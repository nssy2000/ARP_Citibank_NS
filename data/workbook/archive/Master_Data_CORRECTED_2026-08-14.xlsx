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3.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nigelsim/Desktop/arp-master-4/data/workbook/"/>
    </mc:Choice>
  </mc:AlternateContent>
  <xr:revisionPtr revIDLastSave="0" documentId="11_332FE9156E06647C9F6B87CB6DE346EB0D91524D" xr6:coauthVersionLast="47" xr6:coauthVersionMax="47" xr10:uidLastSave="{00000000-0000-0000-0000-000000000000}"/>
  <bookViews>
    <workbookView xWindow="-20" yWindow="680" windowWidth="30240" windowHeight="17720" tabRatio="500" xr2:uid="{00000000-000D-0000-FFFF-FFFF00000000}"/>
  </bookViews>
  <sheets>
    <sheet name="Human_Data_Entry" sheetId="1" r:id="rId1"/>
    <sheet name="LLM_Data_Entry" sheetId="2" r:id="rId2"/>
    <sheet name="Summary" sheetId="3" r:id="rId3"/>
    <sheet name="Charts" sheetId="4" r:id="rId4"/>
    <sheet name="Efficiency" sheetId="5" r:id="rId5"/>
    <sheet name="Company_List" sheetId="6" r:id="rId6"/>
    <sheet name="Settings" sheetId="7" r:id="rId7"/>
    <sheet name="Corrections_Log" sheetId="8" r:id="rId8"/>
    <sheet name="Corrected_Metrics" sheetId="9" r:id="rId9"/>
    <sheet name="Findings" sheetId="10" r:id="rId10"/>
    <sheet name="Confusion_Matrices" sheetId="11" r:id="rId11"/>
    <sheet name="Anchor_Audit" sheetId="12" r:id="rId12"/>
    <sheet name="Item_C_Ablation" sheetId="13" r:id="rId13"/>
    <sheet name="Walk_Forward" sheetId="14" r:id="rId14"/>
    <sheet name="Accuracy_Conventions" sheetId="15" r:id="rId15"/>
    <sheet name="Results_Three_Sets" sheetId="16" r:id="rId16"/>
    <sheet name="Sector_Breakdown" sheetId="17" r:id="rId17"/>
    <sheet name="Price_Basis_Note" sheetId="18" r:id="rId18"/>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15" l="1"/>
  <c r="G74" i="15" s="1"/>
  <c r="C74" i="15"/>
  <c r="B74" i="15"/>
  <c r="F74" i="15" s="1"/>
  <c r="G69" i="15"/>
  <c r="E69" i="15"/>
  <c r="C69" i="15"/>
  <c r="B69" i="15"/>
  <c r="F69" i="15" s="1"/>
  <c r="A29" i="15"/>
  <c r="C29" i="15" s="1"/>
  <c r="G29" i="15" s="1"/>
  <c r="A28" i="15"/>
  <c r="A27" i="15"/>
  <c r="A26" i="15"/>
  <c r="A25" i="15"/>
  <c r="A24" i="15"/>
  <c r="A23" i="15"/>
  <c r="K21" i="15"/>
  <c r="I21" i="15"/>
  <c r="J21" i="15" s="1"/>
  <c r="H21" i="15"/>
  <c r="F21" i="15"/>
  <c r="E33" i="15" s="1"/>
  <c r="E21" i="15"/>
  <c r="C21" i="15"/>
  <c r="G21" i="15" s="1"/>
  <c r="B21" i="15"/>
  <c r="D21" i="15" s="1"/>
  <c r="C33" i="15" s="1"/>
  <c r="E16" i="15"/>
  <c r="C16" i="15"/>
  <c r="G16" i="15" s="1"/>
  <c r="B16" i="15"/>
  <c r="F16" i="15" s="1"/>
  <c r="H16" i="15" s="1"/>
  <c r="A16" i="15"/>
  <c r="I16" i="15" s="1"/>
  <c r="A15" i="15"/>
  <c r="A14" i="15"/>
  <c r="A13" i="15"/>
  <c r="A12" i="15"/>
  <c r="A11" i="15"/>
  <c r="A10" i="15"/>
  <c r="K8" i="15"/>
  <c r="I8" i="15"/>
  <c r="J8" i="15" s="1"/>
  <c r="E8" i="15"/>
  <c r="C8" i="15"/>
  <c r="G8" i="15" s="1"/>
  <c r="B8" i="15"/>
  <c r="F8" i="15" s="1"/>
  <c r="F8" i="6"/>
  <c r="F7" i="6"/>
  <c r="F6" i="6"/>
  <c r="F5" i="6"/>
  <c r="F4" i="6"/>
  <c r="F3" i="6"/>
  <c r="E103" i="5"/>
  <c r="D103" i="5"/>
  <c r="C103" i="5"/>
  <c r="B86" i="5"/>
  <c r="B85" i="5"/>
  <c r="B84" i="5"/>
  <c r="B83" i="5"/>
  <c r="C31" i="5"/>
  <c r="C30" i="5"/>
  <c r="C32" i="5" s="1"/>
  <c r="C24" i="5"/>
  <c r="J76" i="5" s="1"/>
  <c r="C22" i="5"/>
  <c r="C23" i="5" s="1"/>
  <c r="C18" i="5"/>
  <c r="J75" i="5" s="1"/>
  <c r="C17" i="5"/>
  <c r="B15" i="5"/>
  <c r="B14" i="5"/>
  <c r="B17" i="5" s="1"/>
  <c r="C13" i="5"/>
  <c r="B8" i="5"/>
  <c r="C15" i="5" s="1"/>
  <c r="D15" i="5" s="1"/>
  <c r="B7" i="5"/>
  <c r="F34" i="4"/>
  <c r="D34" i="4"/>
  <c r="E34" i="4" s="1"/>
  <c r="C34" i="4"/>
  <c r="B34" i="4"/>
  <c r="F33" i="4"/>
  <c r="D33" i="4"/>
  <c r="C33" i="4"/>
  <c r="E33" i="4" s="1"/>
  <c r="B33" i="4"/>
  <c r="F32" i="4"/>
  <c r="D32" i="4"/>
  <c r="E32" i="4" s="1"/>
  <c r="C32" i="4"/>
  <c r="B32" i="4"/>
  <c r="B25" i="4"/>
  <c r="C12" i="4"/>
  <c r="B12" i="4"/>
  <c r="A12" i="4"/>
  <c r="A11" i="4"/>
  <c r="A10" i="4"/>
  <c r="A9" i="4"/>
  <c r="Q8" i="4"/>
  <c r="M8" i="4"/>
  <c r="H8" i="4"/>
  <c r="A8" i="4"/>
  <c r="Q7" i="4"/>
  <c r="M7" i="4"/>
  <c r="H7" i="4"/>
  <c r="A7" i="4"/>
  <c r="Q6" i="4"/>
  <c r="M6" i="4"/>
  <c r="H6" i="4"/>
  <c r="A6" i="4"/>
  <c r="B461" i="3"/>
  <c r="B460" i="3"/>
  <c r="B459" i="3"/>
  <c r="B458" i="3"/>
  <c r="B457" i="3"/>
  <c r="B379" i="3"/>
  <c r="B378" i="3"/>
  <c r="B357" i="3"/>
  <c r="B356" i="3"/>
  <c r="B341" i="3"/>
  <c r="B340" i="3"/>
  <c r="B339" i="3"/>
  <c r="B338" i="3"/>
  <c r="D295" i="3"/>
  <c r="D294" i="3"/>
  <c r="D293" i="3"/>
  <c r="B286" i="3"/>
  <c r="B285" i="3"/>
  <c r="B284" i="3"/>
  <c r="B283" i="3"/>
  <c r="B282" i="3"/>
  <c r="B281" i="3"/>
  <c r="B280" i="3"/>
  <c r="B279" i="3"/>
  <c r="H211" i="3"/>
  <c r="I211" i="3" s="1"/>
  <c r="F211" i="3"/>
  <c r="G211" i="3" s="1"/>
  <c r="D211" i="3"/>
  <c r="E211" i="3" s="1"/>
  <c r="I210" i="3"/>
  <c r="H210" i="3"/>
  <c r="F210" i="3"/>
  <c r="G210" i="3" s="1"/>
  <c r="D210" i="3"/>
  <c r="E210" i="3" s="1"/>
  <c r="H209" i="3"/>
  <c r="I209" i="3" s="1"/>
  <c r="G209" i="3"/>
  <c r="F209" i="3"/>
  <c r="D209" i="3"/>
  <c r="E209" i="3" s="1"/>
  <c r="H208" i="3"/>
  <c r="I208" i="3" s="1"/>
  <c r="G208" i="3"/>
  <c r="F208" i="3"/>
  <c r="D208" i="3"/>
  <c r="E208" i="3" s="1"/>
  <c r="H207" i="3"/>
  <c r="I207" i="3" s="1"/>
  <c r="F207" i="3"/>
  <c r="D207" i="3"/>
  <c r="E207" i="3" s="1"/>
  <c r="G201" i="3"/>
  <c r="F201" i="3"/>
  <c r="E201" i="3"/>
  <c r="D201" i="3"/>
  <c r="G200" i="3"/>
  <c r="E200" i="3"/>
  <c r="F200" i="3" s="1"/>
  <c r="D200" i="3"/>
  <c r="G199" i="3"/>
  <c r="E199" i="3"/>
  <c r="F199" i="3" s="1"/>
  <c r="D199" i="3"/>
  <c r="G198" i="3"/>
  <c r="F198" i="3"/>
  <c r="E198" i="3"/>
  <c r="D198" i="3"/>
  <c r="E191" i="3"/>
  <c r="D191" i="3"/>
  <c r="C191" i="3"/>
  <c r="E190" i="3"/>
  <c r="D190" i="3"/>
  <c r="C190" i="3"/>
  <c r="E189" i="3"/>
  <c r="E192" i="3" s="1"/>
  <c r="D189" i="3"/>
  <c r="D192" i="3" s="1"/>
  <c r="E188" i="3"/>
  <c r="D188" i="3"/>
  <c r="C188" i="3"/>
  <c r="E187" i="3"/>
  <c r="D187" i="3"/>
  <c r="C187" i="3"/>
  <c r="C189" i="3" s="1"/>
  <c r="C192" i="3" s="1"/>
  <c r="E186" i="3"/>
  <c r="D186" i="3"/>
  <c r="C186" i="3"/>
  <c r="P179" i="3"/>
  <c r="M179" i="3"/>
  <c r="K179" i="3"/>
  <c r="I179" i="3"/>
  <c r="J179" i="3" s="1"/>
  <c r="H179" i="3"/>
  <c r="P161" i="3"/>
  <c r="N161" i="3"/>
  <c r="M161" i="3"/>
  <c r="K161" i="3"/>
  <c r="I161" i="3"/>
  <c r="J161" i="3" s="1"/>
  <c r="H161" i="3"/>
  <c r="C134" i="3"/>
  <c r="B134" i="3"/>
  <c r="C133" i="3"/>
  <c r="B133" i="3"/>
  <c r="C132" i="3"/>
  <c r="B132" i="3"/>
  <c r="C130" i="3"/>
  <c r="B130" i="3"/>
  <c r="C129" i="3"/>
  <c r="C131" i="3" s="1"/>
  <c r="B128" i="3"/>
  <c r="C127" i="3"/>
  <c r="C126" i="3"/>
  <c r="B126" i="3"/>
  <c r="B127" i="3" s="1"/>
  <c r="C125" i="3"/>
  <c r="C128" i="3" s="1"/>
  <c r="B125" i="3"/>
  <c r="N108" i="3"/>
  <c r="M108" i="3"/>
  <c r="I108" i="3"/>
  <c r="O108" i="3" s="1"/>
  <c r="G108" i="3"/>
  <c r="F108" i="3"/>
  <c r="E108" i="3"/>
  <c r="O107" i="3"/>
  <c r="N107" i="3"/>
  <c r="M107" i="3"/>
  <c r="I107" i="3"/>
  <c r="G107" i="3"/>
  <c r="F107" i="3"/>
  <c r="E107" i="3"/>
  <c r="O106" i="3"/>
  <c r="I106" i="3"/>
  <c r="F106" i="3"/>
  <c r="E106" i="3"/>
  <c r="G106" i="3" s="1"/>
  <c r="I105" i="3"/>
  <c r="G105" i="3"/>
  <c r="F105" i="3"/>
  <c r="E105" i="3"/>
  <c r="I104" i="3"/>
  <c r="N104" i="3" s="1"/>
  <c r="F104" i="3"/>
  <c r="E104" i="3"/>
  <c r="G104" i="3" s="1"/>
  <c r="M103" i="3"/>
  <c r="I103" i="3"/>
  <c r="F103" i="3"/>
  <c r="E103" i="3"/>
  <c r="G103" i="3" s="1"/>
  <c r="O102" i="3"/>
  <c r="M102" i="3"/>
  <c r="I102" i="3"/>
  <c r="N102" i="3" s="1"/>
  <c r="F102" i="3"/>
  <c r="G102" i="3" s="1"/>
  <c r="E102" i="3"/>
  <c r="N101" i="3"/>
  <c r="I101" i="3"/>
  <c r="F101" i="3"/>
  <c r="E101" i="3"/>
  <c r="G101" i="3" s="1"/>
  <c r="O100" i="3"/>
  <c r="M100" i="3"/>
  <c r="I100" i="3"/>
  <c r="N100" i="3" s="1"/>
  <c r="F100" i="3"/>
  <c r="E100" i="3"/>
  <c r="G100" i="3" s="1"/>
  <c r="O99" i="3"/>
  <c r="N99" i="3"/>
  <c r="I99" i="3"/>
  <c r="M99" i="3" s="1"/>
  <c r="F99" i="3"/>
  <c r="E99" i="3"/>
  <c r="G99" i="3" s="1"/>
  <c r="O98" i="3"/>
  <c r="I98" i="3"/>
  <c r="N98" i="3" s="1"/>
  <c r="G98" i="3"/>
  <c r="F98" i="3"/>
  <c r="E98" i="3"/>
  <c r="O97" i="3"/>
  <c r="N97" i="3"/>
  <c r="M97" i="3"/>
  <c r="I97" i="3"/>
  <c r="G97" i="3"/>
  <c r="F97" i="3"/>
  <c r="E97" i="3"/>
  <c r="O96" i="3"/>
  <c r="N96" i="3"/>
  <c r="I96" i="3"/>
  <c r="M96" i="3" s="1"/>
  <c r="F96" i="3"/>
  <c r="E96" i="3"/>
  <c r="G96" i="3" s="1"/>
  <c r="I95" i="3"/>
  <c r="F95" i="3"/>
  <c r="E95" i="3"/>
  <c r="G95" i="3" s="1"/>
  <c r="O94" i="3"/>
  <c r="I94" i="3"/>
  <c r="F94" i="3"/>
  <c r="E94" i="3"/>
  <c r="G94" i="3" s="1"/>
  <c r="M93" i="3"/>
  <c r="I93" i="3"/>
  <c r="F93" i="3"/>
  <c r="E93" i="3"/>
  <c r="G93" i="3" s="1"/>
  <c r="O92" i="3"/>
  <c r="M92" i="3"/>
  <c r="I92" i="3"/>
  <c r="N92" i="3" s="1"/>
  <c r="G92" i="3"/>
  <c r="F92" i="3"/>
  <c r="E92" i="3"/>
  <c r="I91" i="3"/>
  <c r="F91" i="3"/>
  <c r="E91" i="3"/>
  <c r="G91" i="3" s="1"/>
  <c r="O90" i="3"/>
  <c r="M90" i="3"/>
  <c r="I90" i="3"/>
  <c r="N90" i="3" s="1"/>
  <c r="F90" i="3"/>
  <c r="E90" i="3"/>
  <c r="G90" i="3" s="1"/>
  <c r="O89" i="3"/>
  <c r="N89" i="3"/>
  <c r="I89" i="3"/>
  <c r="M89" i="3" s="1"/>
  <c r="G89" i="3"/>
  <c r="F89" i="3"/>
  <c r="E89" i="3"/>
  <c r="O88" i="3"/>
  <c r="I88" i="3"/>
  <c r="N88" i="3" s="1"/>
  <c r="G88" i="3"/>
  <c r="F88" i="3"/>
  <c r="E88" i="3"/>
  <c r="O87" i="3"/>
  <c r="N87" i="3"/>
  <c r="M87" i="3"/>
  <c r="I87" i="3"/>
  <c r="G87" i="3"/>
  <c r="F87" i="3"/>
  <c r="E87" i="3"/>
  <c r="O86" i="3"/>
  <c r="N86" i="3"/>
  <c r="K86" i="3"/>
  <c r="I86" i="3"/>
  <c r="L86" i="3" s="1"/>
  <c r="F86" i="3"/>
  <c r="E86" i="3"/>
  <c r="G86" i="3" s="1"/>
  <c r="C86" i="3"/>
  <c r="B86" i="3"/>
  <c r="D86" i="3" s="1"/>
  <c r="I85" i="3"/>
  <c r="F85" i="3"/>
  <c r="E85" i="3"/>
  <c r="I84" i="3"/>
  <c r="F84" i="3"/>
  <c r="E84" i="3"/>
  <c r="I83" i="3"/>
  <c r="F83" i="3"/>
  <c r="E83" i="3"/>
  <c r="G83" i="3" s="1"/>
  <c r="O82" i="3"/>
  <c r="M82" i="3"/>
  <c r="I82" i="3"/>
  <c r="N82" i="3" s="1"/>
  <c r="F82" i="3"/>
  <c r="G82" i="3" s="1"/>
  <c r="E82" i="3"/>
  <c r="O81" i="3"/>
  <c r="N81" i="3"/>
  <c r="I81" i="3"/>
  <c r="F81" i="3"/>
  <c r="E81" i="3"/>
  <c r="G81" i="3" s="1"/>
  <c r="O80" i="3"/>
  <c r="M80" i="3"/>
  <c r="I80" i="3"/>
  <c r="N80" i="3" s="1"/>
  <c r="F80" i="3"/>
  <c r="E80" i="3"/>
  <c r="G80" i="3" s="1"/>
  <c r="O79" i="3"/>
  <c r="N79" i="3"/>
  <c r="I79" i="3"/>
  <c r="G79" i="3"/>
  <c r="F79" i="3"/>
  <c r="E79" i="3"/>
  <c r="O78" i="3"/>
  <c r="I78" i="3"/>
  <c r="G78" i="3"/>
  <c r="F78" i="3"/>
  <c r="E78" i="3"/>
  <c r="O77" i="3"/>
  <c r="N77" i="3"/>
  <c r="M77" i="3"/>
  <c r="I77" i="3"/>
  <c r="G77" i="3"/>
  <c r="F77" i="3"/>
  <c r="E77" i="3"/>
  <c r="O76" i="3"/>
  <c r="N76" i="3"/>
  <c r="K76" i="3"/>
  <c r="I76" i="3"/>
  <c r="L76" i="3" s="1"/>
  <c r="F76" i="3"/>
  <c r="E76" i="3"/>
  <c r="G76" i="3" s="1"/>
  <c r="C76" i="3"/>
  <c r="B76" i="3"/>
  <c r="D76" i="3" s="1"/>
  <c r="I75" i="3"/>
  <c r="F75" i="3"/>
  <c r="E75" i="3"/>
  <c r="G75" i="3" s="1"/>
  <c r="I74" i="3"/>
  <c r="F74" i="3"/>
  <c r="E74" i="3"/>
  <c r="I73" i="3"/>
  <c r="F73" i="3"/>
  <c r="E73" i="3"/>
  <c r="G73" i="3" s="1"/>
  <c r="O72" i="3"/>
  <c r="M72" i="3"/>
  <c r="I72" i="3"/>
  <c r="N72" i="3" s="1"/>
  <c r="F72" i="3"/>
  <c r="G72" i="3" s="1"/>
  <c r="E72" i="3"/>
  <c r="O71" i="3"/>
  <c r="N71" i="3"/>
  <c r="M71" i="3"/>
  <c r="I71" i="3"/>
  <c r="F71" i="3"/>
  <c r="E71" i="3"/>
  <c r="I70" i="3"/>
  <c r="F70" i="3"/>
  <c r="E70" i="3"/>
  <c r="G70" i="3" s="1"/>
  <c r="M69" i="3"/>
  <c r="I69" i="3"/>
  <c r="F69" i="3"/>
  <c r="E69" i="3"/>
  <c r="G69" i="3" s="1"/>
  <c r="I68" i="3"/>
  <c r="F68" i="3"/>
  <c r="E68" i="3"/>
  <c r="G68" i="3" s="1"/>
  <c r="M67" i="3"/>
  <c r="I67" i="3"/>
  <c r="G67" i="3"/>
  <c r="F67" i="3"/>
  <c r="E67" i="3"/>
  <c r="I66" i="3"/>
  <c r="G66" i="3"/>
  <c r="F66" i="3"/>
  <c r="E66" i="3"/>
  <c r="O65" i="3"/>
  <c r="I65" i="3"/>
  <c r="G65" i="3"/>
  <c r="F65" i="3"/>
  <c r="E65" i="3"/>
  <c r="I64" i="3"/>
  <c r="F64" i="3"/>
  <c r="E64" i="3"/>
  <c r="G64" i="3" s="1"/>
  <c r="N63" i="3"/>
  <c r="I63" i="3"/>
  <c r="M63" i="3" s="1"/>
  <c r="F63" i="3"/>
  <c r="G63" i="3" s="1"/>
  <c r="E63" i="3"/>
  <c r="O62" i="3"/>
  <c r="N62" i="3"/>
  <c r="M62" i="3"/>
  <c r="I62" i="3"/>
  <c r="G62" i="3"/>
  <c r="F62" i="3"/>
  <c r="E62" i="3"/>
  <c r="O61" i="3"/>
  <c r="N61" i="3"/>
  <c r="M61" i="3"/>
  <c r="I61" i="3"/>
  <c r="F61" i="3"/>
  <c r="E61" i="3"/>
  <c r="G61" i="3" s="1"/>
  <c r="N60" i="3"/>
  <c r="M60" i="3"/>
  <c r="I60" i="3"/>
  <c r="G60" i="3"/>
  <c r="F60" i="3"/>
  <c r="E60" i="3"/>
  <c r="M59" i="3"/>
  <c r="I59" i="3"/>
  <c r="O59" i="3" s="1"/>
  <c r="F59" i="3"/>
  <c r="E59" i="3"/>
  <c r="N58" i="3"/>
  <c r="M58" i="3"/>
  <c r="I58" i="3"/>
  <c r="O58" i="3" s="1"/>
  <c r="F58" i="3"/>
  <c r="E58" i="3"/>
  <c r="O57" i="3"/>
  <c r="M57" i="3"/>
  <c r="I57" i="3"/>
  <c r="F57" i="3"/>
  <c r="E57" i="3"/>
  <c r="G57" i="3" s="1"/>
  <c r="O56" i="3"/>
  <c r="M56" i="3"/>
  <c r="I56" i="3"/>
  <c r="N56" i="3" s="1"/>
  <c r="F56" i="3"/>
  <c r="E56" i="3"/>
  <c r="G56" i="3" s="1"/>
  <c r="O55" i="3"/>
  <c r="I55" i="3"/>
  <c r="G55" i="3"/>
  <c r="F55" i="3"/>
  <c r="E55" i="3"/>
  <c r="I54" i="3"/>
  <c r="F54" i="3"/>
  <c r="E54" i="3"/>
  <c r="G54" i="3" s="1"/>
  <c r="N53" i="3"/>
  <c r="I53" i="3"/>
  <c r="M53" i="3" s="1"/>
  <c r="F53" i="3"/>
  <c r="G53" i="3" s="1"/>
  <c r="E53" i="3"/>
  <c r="O52" i="3"/>
  <c r="N52" i="3"/>
  <c r="M52" i="3"/>
  <c r="I52" i="3"/>
  <c r="G52" i="3"/>
  <c r="F52" i="3"/>
  <c r="E52" i="3"/>
  <c r="O51" i="3"/>
  <c r="N51" i="3"/>
  <c r="M51" i="3"/>
  <c r="I51" i="3"/>
  <c r="F51" i="3"/>
  <c r="E51" i="3"/>
  <c r="G51" i="3" s="1"/>
  <c r="N50" i="3"/>
  <c r="M50" i="3"/>
  <c r="I50" i="3"/>
  <c r="G50" i="3"/>
  <c r="F50" i="3"/>
  <c r="E50" i="3"/>
  <c r="M49" i="3"/>
  <c r="I49" i="3"/>
  <c r="O49" i="3" s="1"/>
  <c r="F49" i="3"/>
  <c r="E49" i="3"/>
  <c r="N48" i="3"/>
  <c r="M48" i="3"/>
  <c r="I48" i="3"/>
  <c r="O48" i="3" s="1"/>
  <c r="F48" i="3"/>
  <c r="E48" i="3"/>
  <c r="O47" i="3"/>
  <c r="M47" i="3"/>
  <c r="I47" i="3"/>
  <c r="F47" i="3"/>
  <c r="E47" i="3"/>
  <c r="G47" i="3" s="1"/>
  <c r="O46" i="3"/>
  <c r="M46" i="3"/>
  <c r="I46" i="3"/>
  <c r="N46" i="3" s="1"/>
  <c r="F46" i="3"/>
  <c r="E46" i="3"/>
  <c r="G46" i="3" s="1"/>
  <c r="O45" i="3"/>
  <c r="I45" i="3"/>
  <c r="G45" i="3"/>
  <c r="F45" i="3"/>
  <c r="E45" i="3"/>
  <c r="I44" i="3"/>
  <c r="F44" i="3"/>
  <c r="E44" i="3"/>
  <c r="G44" i="3" s="1"/>
  <c r="N43" i="3"/>
  <c r="I43" i="3"/>
  <c r="M43" i="3" s="1"/>
  <c r="F43" i="3"/>
  <c r="G43" i="3" s="1"/>
  <c r="E43" i="3"/>
  <c r="O42" i="3"/>
  <c r="N42" i="3"/>
  <c r="M42" i="3"/>
  <c r="I42" i="3"/>
  <c r="G42" i="3"/>
  <c r="F42" i="3"/>
  <c r="E42" i="3"/>
  <c r="O41" i="3"/>
  <c r="N41" i="3"/>
  <c r="M41" i="3"/>
  <c r="I41" i="3"/>
  <c r="F41" i="3"/>
  <c r="E41" i="3"/>
  <c r="G41" i="3" s="1"/>
  <c r="N40" i="3"/>
  <c r="M40" i="3"/>
  <c r="I40" i="3"/>
  <c r="G40" i="3"/>
  <c r="F40" i="3"/>
  <c r="E40" i="3"/>
  <c r="I39" i="3"/>
  <c r="F39" i="3"/>
  <c r="E39" i="3"/>
  <c r="I38" i="3"/>
  <c r="F38" i="3"/>
  <c r="E38" i="3"/>
  <c r="I37" i="3"/>
  <c r="F37" i="3"/>
  <c r="E37" i="3"/>
  <c r="G37" i="3" s="1"/>
  <c r="O36" i="3"/>
  <c r="M36" i="3"/>
  <c r="I36" i="3"/>
  <c r="N36" i="3" s="1"/>
  <c r="F36" i="3"/>
  <c r="E36" i="3"/>
  <c r="G36" i="3" s="1"/>
  <c r="O35" i="3"/>
  <c r="I35" i="3"/>
  <c r="G35" i="3"/>
  <c r="F35" i="3"/>
  <c r="E35" i="3"/>
  <c r="N34" i="3"/>
  <c r="I34" i="3"/>
  <c r="F34" i="3"/>
  <c r="E34" i="3"/>
  <c r="G34" i="3" s="1"/>
  <c r="N33" i="3"/>
  <c r="I33" i="3"/>
  <c r="M33" i="3" s="1"/>
  <c r="F33" i="3"/>
  <c r="G33" i="3" s="1"/>
  <c r="E33" i="3"/>
  <c r="O32" i="3"/>
  <c r="N32" i="3"/>
  <c r="M32" i="3"/>
  <c r="I32" i="3"/>
  <c r="G32" i="3"/>
  <c r="F32" i="3"/>
  <c r="E32" i="3"/>
  <c r="O31" i="3"/>
  <c r="N31" i="3"/>
  <c r="M31" i="3"/>
  <c r="I31" i="3"/>
  <c r="F31" i="3"/>
  <c r="E31" i="3"/>
  <c r="G31" i="3" s="1"/>
  <c r="N30" i="3"/>
  <c r="M30" i="3"/>
  <c r="I30" i="3"/>
  <c r="F30" i="3"/>
  <c r="G30" i="3" s="1"/>
  <c r="E30" i="3"/>
  <c r="M29" i="3"/>
  <c r="I29" i="3"/>
  <c r="F29" i="3"/>
  <c r="E29" i="3"/>
  <c r="N28" i="3"/>
  <c r="M28" i="3"/>
  <c r="I28" i="3"/>
  <c r="F28" i="3"/>
  <c r="E28" i="3"/>
  <c r="G28" i="3" s="1"/>
  <c r="O27" i="3"/>
  <c r="M27" i="3"/>
  <c r="I27" i="3"/>
  <c r="F27" i="3"/>
  <c r="G27" i="3" s="1"/>
  <c r="E27" i="3"/>
  <c r="I26" i="3"/>
  <c r="F26" i="3"/>
  <c r="E26" i="3"/>
  <c r="G26" i="3" s="1"/>
  <c r="I25" i="3"/>
  <c r="G25" i="3"/>
  <c r="F25" i="3"/>
  <c r="E25" i="3"/>
  <c r="N24" i="3"/>
  <c r="I24" i="3"/>
  <c r="F24" i="3"/>
  <c r="E24" i="3"/>
  <c r="G24" i="3" s="1"/>
  <c r="I23" i="3"/>
  <c r="N23" i="3" s="1"/>
  <c r="F23" i="3"/>
  <c r="G23" i="3" s="1"/>
  <c r="E23" i="3"/>
  <c r="O22" i="3"/>
  <c r="N22" i="3"/>
  <c r="M22" i="3"/>
  <c r="I22" i="3"/>
  <c r="G22" i="3"/>
  <c r="F22" i="3"/>
  <c r="E22" i="3"/>
  <c r="O21" i="3"/>
  <c r="N21" i="3"/>
  <c r="M21" i="3"/>
  <c r="I21" i="3"/>
  <c r="F21" i="3"/>
  <c r="E21" i="3"/>
  <c r="N20" i="3"/>
  <c r="M20" i="3"/>
  <c r="I20" i="3"/>
  <c r="F20" i="3"/>
  <c r="E20" i="3"/>
  <c r="G20" i="3" s="1"/>
  <c r="I19" i="3"/>
  <c r="F19" i="3"/>
  <c r="E19" i="3"/>
  <c r="I18" i="3"/>
  <c r="F18" i="3"/>
  <c r="E18" i="3"/>
  <c r="R11" i="3" a="1"/>
  <c r="R11" i="3" s="1"/>
  <c r="R13" i="3" s="1"/>
  <c r="Q11" i="3" a="1"/>
  <c r="Q11" i="3"/>
  <c r="Q13" i="3" s="1"/>
  <c r="O11" i="3"/>
  <c r="O13" i="3" s="1"/>
  <c r="M11" i="3"/>
  <c r="M13" i="3" s="1"/>
  <c r="K11" i="3"/>
  <c r="K13" i="3" s="1"/>
  <c r="J11" i="3"/>
  <c r="I11" i="3"/>
  <c r="E11" i="3"/>
  <c r="E13" i="3" s="1"/>
  <c r="D11" i="3"/>
  <c r="D13" i="3" s="1"/>
  <c r="C11" i="3"/>
  <c r="J10" i="3"/>
  <c r="I10" i="3"/>
  <c r="J9" i="3"/>
  <c r="I9" i="3"/>
  <c r="J8" i="3"/>
  <c r="I8" i="3"/>
  <c r="J7" i="3"/>
  <c r="I7" i="3"/>
  <c r="J6" i="3"/>
  <c r="I6" i="3"/>
  <c r="J5" i="3"/>
  <c r="I5" i="3"/>
  <c r="AS430" i="2"/>
  <c r="AQ430" i="2"/>
  <c r="AR430" i="2" s="1"/>
  <c r="AN430" i="2"/>
  <c r="AM430" i="2"/>
  <c r="AO430" i="2" s="1"/>
  <c r="AP430" i="2" s="1"/>
  <c r="AL430" i="2"/>
  <c r="AK430" i="2"/>
  <c r="AG430" i="2"/>
  <c r="AS429" i="2"/>
  <c r="AQ429" i="2"/>
  <c r="AR429" i="2" s="1"/>
  <c r="AN429" i="2"/>
  <c r="AM429" i="2"/>
  <c r="AO429" i="2" s="1"/>
  <c r="AP429" i="2" s="1"/>
  <c r="AL429" i="2"/>
  <c r="AK429" i="2"/>
  <c r="AG429" i="2"/>
  <c r="AS428" i="2"/>
  <c r="AQ428" i="2"/>
  <c r="AR428" i="2" s="1"/>
  <c r="AP428" i="2"/>
  <c r="AO428" i="2"/>
  <c r="AN428" i="2"/>
  <c r="AM428" i="2"/>
  <c r="AL428" i="2"/>
  <c r="AK428" i="2"/>
  <c r="AG428" i="2"/>
  <c r="AS427" i="2"/>
  <c r="AO427" i="2"/>
  <c r="AP427" i="2" s="1"/>
  <c r="AN427" i="2"/>
  <c r="AQ427" i="2" s="1"/>
  <c r="AR427" i="2" s="1"/>
  <c r="AM427" i="2"/>
  <c r="AL427" i="2"/>
  <c r="AK427" i="2"/>
  <c r="AG427" i="2"/>
  <c r="AS426" i="2"/>
  <c r="AQ426" i="2"/>
  <c r="AR426" i="2" s="1"/>
  <c r="AN426" i="2"/>
  <c r="AM426" i="2"/>
  <c r="AO426" i="2" s="1"/>
  <c r="AP426" i="2" s="1"/>
  <c r="AL426" i="2"/>
  <c r="AK426" i="2"/>
  <c r="AG426" i="2"/>
  <c r="AS425" i="2"/>
  <c r="AQ425" i="2"/>
  <c r="AR425" i="2" s="1"/>
  <c r="AO425" i="2"/>
  <c r="AP425" i="2" s="1"/>
  <c r="AN425" i="2"/>
  <c r="AM425" i="2"/>
  <c r="AL425" i="2"/>
  <c r="AK425" i="2"/>
  <c r="AG425" i="2"/>
  <c r="AS424" i="2"/>
  <c r="AP424" i="2"/>
  <c r="AO424" i="2"/>
  <c r="AN424" i="2"/>
  <c r="AQ424" i="2" s="1"/>
  <c r="AR424" i="2" s="1"/>
  <c r="AM424" i="2"/>
  <c r="AL424" i="2"/>
  <c r="AK424" i="2"/>
  <c r="AG424" i="2"/>
  <c r="AS423" i="2"/>
  <c r="AQ423" i="2"/>
  <c r="AR423" i="2" s="1"/>
  <c r="AN423" i="2"/>
  <c r="AM423" i="2"/>
  <c r="AO423" i="2" s="1"/>
  <c r="AP423" i="2" s="1"/>
  <c r="AL423" i="2"/>
  <c r="AK423" i="2"/>
  <c r="AG423" i="2"/>
  <c r="AS422" i="2"/>
  <c r="AN422" i="2"/>
  <c r="AQ422" i="2" s="1"/>
  <c r="AR422" i="2" s="1"/>
  <c r="AM422" i="2"/>
  <c r="AO422" i="2" s="1"/>
  <c r="AP422" i="2" s="1"/>
  <c r="AL422" i="2"/>
  <c r="AK422" i="2"/>
  <c r="AG422" i="2"/>
  <c r="AS421" i="2"/>
  <c r="AO421" i="2"/>
  <c r="AP421" i="2" s="1"/>
  <c r="AN421" i="2"/>
  <c r="AQ421" i="2" s="1"/>
  <c r="AR421" i="2" s="1"/>
  <c r="AM421" i="2"/>
  <c r="AL421" i="2"/>
  <c r="AK421" i="2"/>
  <c r="AG421" i="2"/>
  <c r="AS420" i="2"/>
  <c r="AN420" i="2"/>
  <c r="AQ420" i="2" s="1"/>
  <c r="AR420" i="2" s="1"/>
  <c r="AM420" i="2"/>
  <c r="AO420" i="2" s="1"/>
  <c r="AP420" i="2" s="1"/>
  <c r="AL420" i="2"/>
  <c r="AK420" i="2"/>
  <c r="AG420" i="2"/>
  <c r="AS419" i="2"/>
  <c r="AQ419" i="2"/>
  <c r="AR419" i="2" s="1"/>
  <c r="AP419" i="2"/>
  <c r="AN419" i="2"/>
  <c r="AM419" i="2"/>
  <c r="AO419" i="2" s="1"/>
  <c r="AL419" i="2"/>
  <c r="AK419" i="2"/>
  <c r="AG419" i="2"/>
  <c r="AS418" i="2"/>
  <c r="AQ418" i="2"/>
  <c r="AR418" i="2" s="1"/>
  <c r="AO418" i="2"/>
  <c r="AP418" i="2" s="1"/>
  <c r="AN418" i="2"/>
  <c r="AM418" i="2"/>
  <c r="AL418" i="2"/>
  <c r="AK418" i="2"/>
  <c r="AG418" i="2"/>
  <c r="AS417" i="2"/>
  <c r="AQ417" i="2"/>
  <c r="AR417" i="2" s="1"/>
  <c r="AO417" i="2"/>
  <c r="AP417" i="2" s="1"/>
  <c r="AN417" i="2"/>
  <c r="AM417" i="2"/>
  <c r="AL417" i="2"/>
  <c r="AK417" i="2"/>
  <c r="AG417" i="2"/>
  <c r="AS416" i="2"/>
  <c r="AP416" i="2"/>
  <c r="AN416" i="2"/>
  <c r="AQ416" i="2" s="1"/>
  <c r="AR416" i="2" s="1"/>
  <c r="AM416" i="2"/>
  <c r="AO416" i="2" s="1"/>
  <c r="AL416" i="2"/>
  <c r="AK416" i="2"/>
  <c r="AG416" i="2"/>
  <c r="AS415" i="2"/>
  <c r="AQ415" i="2"/>
  <c r="AR415" i="2" s="1"/>
  <c r="AP415" i="2"/>
  <c r="AN415" i="2"/>
  <c r="AM415" i="2"/>
  <c r="AO415" i="2" s="1"/>
  <c r="AL415" i="2"/>
  <c r="AK415" i="2"/>
  <c r="AG415" i="2"/>
  <c r="AS414" i="2"/>
  <c r="AQ414" i="2"/>
  <c r="AR414" i="2" s="1"/>
  <c r="AO414" i="2"/>
  <c r="AP414" i="2" s="1"/>
  <c r="AN414" i="2"/>
  <c r="AM414" i="2"/>
  <c r="AL414" i="2"/>
  <c r="AK414" i="2"/>
  <c r="AG414" i="2"/>
  <c r="AS413" i="2"/>
  <c r="AQ413" i="2"/>
  <c r="AR413" i="2" s="1"/>
  <c r="AO413" i="2"/>
  <c r="AP413" i="2" s="1"/>
  <c r="AN413" i="2"/>
  <c r="AM413" i="2"/>
  <c r="AL413" i="2"/>
  <c r="AK413" i="2"/>
  <c r="AG413" i="2"/>
  <c r="AS412" i="2"/>
  <c r="AN412" i="2"/>
  <c r="AQ412" i="2" s="1"/>
  <c r="AR412" i="2" s="1"/>
  <c r="AM412" i="2"/>
  <c r="AO412" i="2" s="1"/>
  <c r="AP412" i="2" s="1"/>
  <c r="AL412" i="2"/>
  <c r="AK412" i="2"/>
  <c r="AG412" i="2"/>
  <c r="AS411" i="2"/>
  <c r="AN411" i="2"/>
  <c r="AQ411" i="2" s="1"/>
  <c r="AR411" i="2" s="1"/>
  <c r="AM411" i="2"/>
  <c r="AO411" i="2" s="1"/>
  <c r="AP411" i="2" s="1"/>
  <c r="AL411" i="2"/>
  <c r="AK411" i="2"/>
  <c r="AG411" i="2"/>
  <c r="AS410" i="2"/>
  <c r="AN410" i="2"/>
  <c r="AQ410" i="2" s="1"/>
  <c r="AR410" i="2" s="1"/>
  <c r="AM410" i="2"/>
  <c r="AO410" i="2" s="1"/>
  <c r="AP410" i="2" s="1"/>
  <c r="AL410" i="2"/>
  <c r="AK410" i="2"/>
  <c r="AG410" i="2"/>
  <c r="AS409" i="2"/>
  <c r="AP409" i="2"/>
  <c r="AN409" i="2"/>
  <c r="AQ409" i="2" s="1"/>
  <c r="AR409" i="2" s="1"/>
  <c r="AM409" i="2"/>
  <c r="AO409" i="2" s="1"/>
  <c r="AL409" i="2"/>
  <c r="AK409" i="2"/>
  <c r="AG409" i="2"/>
  <c r="AS408" i="2"/>
  <c r="AQ408" i="2"/>
  <c r="AR408" i="2" s="1"/>
  <c r="AN408" i="2"/>
  <c r="AM408" i="2"/>
  <c r="AO408" i="2" s="1"/>
  <c r="AP408" i="2" s="1"/>
  <c r="AL408" i="2"/>
  <c r="AK408" i="2"/>
  <c r="AG408" i="2"/>
  <c r="AS407" i="2"/>
  <c r="AO407" i="2"/>
  <c r="AP407" i="2" s="1"/>
  <c r="AN407" i="2"/>
  <c r="AQ407" i="2" s="1"/>
  <c r="AR407" i="2" s="1"/>
  <c r="AM407" i="2"/>
  <c r="AL407" i="2"/>
  <c r="AK407" i="2"/>
  <c r="AG407" i="2"/>
  <c r="AS406" i="2"/>
  <c r="AQ406" i="2"/>
  <c r="AR406" i="2" s="1"/>
  <c r="AN406" i="2"/>
  <c r="AM406" i="2"/>
  <c r="AO406" i="2" s="1"/>
  <c r="AP406" i="2" s="1"/>
  <c r="AL406" i="2"/>
  <c r="AK406" i="2"/>
  <c r="AG406" i="2"/>
  <c r="AS405" i="2"/>
  <c r="AQ405" i="2"/>
  <c r="AR405" i="2" s="1"/>
  <c r="AP405" i="2"/>
  <c r="AO405" i="2"/>
  <c r="AN405" i="2"/>
  <c r="AM405" i="2"/>
  <c r="AL405" i="2"/>
  <c r="AK405" i="2"/>
  <c r="AG405" i="2"/>
  <c r="AS404" i="2"/>
  <c r="AQ404" i="2"/>
  <c r="AR404" i="2" s="1"/>
  <c r="AO404" i="2"/>
  <c r="AP404" i="2" s="1"/>
  <c r="AN404" i="2"/>
  <c r="AM404" i="2"/>
  <c r="AL404" i="2"/>
  <c r="AK404" i="2"/>
  <c r="AG404" i="2"/>
  <c r="AS403" i="2"/>
  <c r="AQ403" i="2"/>
  <c r="AR403" i="2" s="1"/>
  <c r="AN403" i="2"/>
  <c r="AM403" i="2"/>
  <c r="AO403" i="2" s="1"/>
  <c r="AP403" i="2" s="1"/>
  <c r="AL403" i="2"/>
  <c r="AK403" i="2"/>
  <c r="AG403" i="2"/>
  <c r="AS402" i="2"/>
  <c r="AQ402" i="2"/>
  <c r="AR402" i="2" s="1"/>
  <c r="AO402" i="2"/>
  <c r="AP402" i="2" s="1"/>
  <c r="AN402" i="2"/>
  <c r="AM402" i="2"/>
  <c r="AL402" i="2"/>
  <c r="AK402" i="2"/>
  <c r="AG402" i="2"/>
  <c r="AS401" i="2"/>
  <c r="AP401" i="2"/>
  <c r="AN401" i="2"/>
  <c r="AQ401" i="2" s="1"/>
  <c r="AR401" i="2" s="1"/>
  <c r="AM401" i="2"/>
  <c r="AO401" i="2" s="1"/>
  <c r="AL401" i="2"/>
  <c r="AK401" i="2"/>
  <c r="AG401" i="2"/>
  <c r="AS400" i="2"/>
  <c r="AO400" i="2"/>
  <c r="AP400" i="2" s="1"/>
  <c r="AN400" i="2"/>
  <c r="AQ400" i="2" s="1"/>
  <c r="AR400" i="2" s="1"/>
  <c r="AM400" i="2"/>
  <c r="AL400" i="2"/>
  <c r="AK400" i="2"/>
  <c r="AG400" i="2"/>
  <c r="AS399" i="2"/>
  <c r="AQ399" i="2"/>
  <c r="AR399" i="2" s="1"/>
  <c r="AN399" i="2"/>
  <c r="AM399" i="2"/>
  <c r="AO399" i="2" s="1"/>
  <c r="AP399" i="2" s="1"/>
  <c r="AL399" i="2"/>
  <c r="AK399" i="2"/>
  <c r="AG399" i="2"/>
  <c r="AS398" i="2"/>
  <c r="AQ398" i="2"/>
  <c r="AR398" i="2" s="1"/>
  <c r="AP398" i="2"/>
  <c r="AO398" i="2"/>
  <c r="AN398" i="2"/>
  <c r="AM398" i="2"/>
  <c r="AL398" i="2"/>
  <c r="AK398" i="2"/>
  <c r="AG398" i="2"/>
  <c r="AS397" i="2"/>
  <c r="AQ397" i="2"/>
  <c r="AR397" i="2" s="1"/>
  <c r="AO397" i="2"/>
  <c r="AP397" i="2" s="1"/>
  <c r="AN397" i="2"/>
  <c r="AM397" i="2"/>
  <c r="AL397" i="2"/>
  <c r="AK397" i="2"/>
  <c r="AG397" i="2"/>
  <c r="AS396" i="2"/>
  <c r="AP396" i="2"/>
  <c r="AN396" i="2"/>
  <c r="AQ396" i="2" s="1"/>
  <c r="AR396" i="2" s="1"/>
  <c r="AM396" i="2"/>
  <c r="AO396" i="2" s="1"/>
  <c r="AL396" i="2"/>
  <c r="AK396" i="2"/>
  <c r="AG396" i="2"/>
  <c r="AS395" i="2"/>
  <c r="AQ395" i="2"/>
  <c r="AR395" i="2" s="1"/>
  <c r="AP395" i="2"/>
  <c r="AN395" i="2"/>
  <c r="AM395" i="2"/>
  <c r="AO395" i="2" s="1"/>
  <c r="AL395" i="2"/>
  <c r="AK395" i="2"/>
  <c r="AG395" i="2"/>
  <c r="AS394" i="2"/>
  <c r="AQ394" i="2"/>
  <c r="AR394" i="2" s="1"/>
  <c r="AO394" i="2"/>
  <c r="AP394" i="2" s="1"/>
  <c r="AN394" i="2"/>
  <c r="AM394" i="2"/>
  <c r="AL394" i="2"/>
  <c r="AK394" i="2"/>
  <c r="AG394" i="2"/>
  <c r="AS393" i="2"/>
  <c r="AO393" i="2"/>
  <c r="AP393" i="2" s="1"/>
  <c r="AN393" i="2"/>
  <c r="AQ393" i="2" s="1"/>
  <c r="AR393" i="2" s="1"/>
  <c r="AM393" i="2"/>
  <c r="AL393" i="2"/>
  <c r="AK393" i="2"/>
  <c r="AG393" i="2"/>
  <c r="AS392" i="2"/>
  <c r="AN392" i="2"/>
  <c r="AQ392" i="2" s="1"/>
  <c r="AR392" i="2" s="1"/>
  <c r="AM392" i="2"/>
  <c r="AO392" i="2" s="1"/>
  <c r="AP392" i="2" s="1"/>
  <c r="AL392" i="2"/>
  <c r="AK392" i="2"/>
  <c r="AG392" i="2"/>
  <c r="AS391" i="2"/>
  <c r="AP391" i="2"/>
  <c r="AO391" i="2"/>
  <c r="AN391" i="2"/>
  <c r="AQ391" i="2" s="1"/>
  <c r="AR391" i="2" s="1"/>
  <c r="AM391" i="2"/>
  <c r="AL391" i="2"/>
  <c r="AK391" i="2"/>
  <c r="AG391" i="2"/>
  <c r="AS390" i="2"/>
  <c r="AQ390" i="2"/>
  <c r="AR390" i="2" s="1"/>
  <c r="AN390" i="2"/>
  <c r="AM390" i="2"/>
  <c r="AO390" i="2" s="1"/>
  <c r="AP390" i="2" s="1"/>
  <c r="AL390" i="2"/>
  <c r="AK390" i="2"/>
  <c r="AG390" i="2"/>
  <c r="AS389" i="2"/>
  <c r="AP389" i="2"/>
  <c r="AN389" i="2"/>
  <c r="AQ389" i="2" s="1"/>
  <c r="AR389" i="2" s="1"/>
  <c r="AM389" i="2"/>
  <c r="AO389" i="2" s="1"/>
  <c r="AL389" i="2"/>
  <c r="AK389" i="2"/>
  <c r="AG389" i="2"/>
  <c r="AS388" i="2"/>
  <c r="AQ388" i="2"/>
  <c r="AR388" i="2" s="1"/>
  <c r="AP388" i="2"/>
  <c r="AN388" i="2"/>
  <c r="AM388" i="2"/>
  <c r="AO388" i="2" s="1"/>
  <c r="AL388" i="2"/>
  <c r="AK388" i="2"/>
  <c r="AG388" i="2"/>
  <c r="AS387" i="2"/>
  <c r="AO387" i="2"/>
  <c r="AP387" i="2" s="1"/>
  <c r="AN387" i="2"/>
  <c r="AQ387" i="2" s="1"/>
  <c r="AR387" i="2" s="1"/>
  <c r="AM387" i="2"/>
  <c r="AL387" i="2"/>
  <c r="AK387" i="2"/>
  <c r="AG387" i="2"/>
  <c r="AS386" i="2"/>
  <c r="AQ386" i="2"/>
  <c r="AR386" i="2" s="1"/>
  <c r="AN386" i="2"/>
  <c r="AM386" i="2"/>
  <c r="AO386" i="2" s="1"/>
  <c r="AP386" i="2" s="1"/>
  <c r="AL386" i="2"/>
  <c r="AK386" i="2"/>
  <c r="AG386" i="2"/>
  <c r="AS385" i="2"/>
  <c r="AQ385" i="2"/>
  <c r="AR385" i="2" s="1"/>
  <c r="AP385" i="2"/>
  <c r="AO385" i="2"/>
  <c r="AN385" i="2"/>
  <c r="AM385" i="2"/>
  <c r="AL385" i="2"/>
  <c r="AK385" i="2"/>
  <c r="AG385" i="2"/>
  <c r="AS384" i="2"/>
  <c r="AR384" i="2"/>
  <c r="AQ384" i="2"/>
  <c r="AP384" i="2"/>
  <c r="AO384" i="2"/>
  <c r="AN384" i="2"/>
  <c r="AM384" i="2"/>
  <c r="AL384" i="2"/>
  <c r="AK384" i="2"/>
  <c r="AG384" i="2"/>
  <c r="AS383" i="2"/>
  <c r="AR383" i="2"/>
  <c r="AQ383" i="2"/>
  <c r="AP383" i="2"/>
  <c r="AO383" i="2"/>
  <c r="AN383" i="2"/>
  <c r="AM383" i="2"/>
  <c r="AL383" i="2"/>
  <c r="AK383" i="2"/>
  <c r="AG383" i="2"/>
  <c r="AS382" i="2"/>
  <c r="AR382" i="2"/>
  <c r="AQ382" i="2"/>
  <c r="AP382" i="2"/>
  <c r="AO382" i="2"/>
  <c r="AN382" i="2"/>
  <c r="AM382" i="2"/>
  <c r="AL382" i="2"/>
  <c r="AK382" i="2"/>
  <c r="AG382" i="2"/>
  <c r="AS381" i="2"/>
  <c r="AR381" i="2"/>
  <c r="AQ381" i="2"/>
  <c r="AP381" i="2"/>
  <c r="AO381" i="2"/>
  <c r="AN381" i="2"/>
  <c r="AM381" i="2"/>
  <c r="AL381" i="2"/>
  <c r="AK381" i="2"/>
  <c r="AG381" i="2"/>
  <c r="AS380" i="2"/>
  <c r="AR380" i="2"/>
  <c r="AQ380" i="2"/>
  <c r="AP380" i="2"/>
  <c r="AO380" i="2"/>
  <c r="AN380" i="2"/>
  <c r="AM380" i="2"/>
  <c r="AL380" i="2"/>
  <c r="AK380" i="2"/>
  <c r="AG380" i="2"/>
  <c r="AS379" i="2"/>
  <c r="AR379" i="2"/>
  <c r="AQ379" i="2"/>
  <c r="AP379" i="2"/>
  <c r="AO379" i="2"/>
  <c r="AN379" i="2"/>
  <c r="AM379" i="2"/>
  <c r="AL379" i="2"/>
  <c r="AK379" i="2"/>
  <c r="AG379" i="2"/>
  <c r="AS378" i="2"/>
  <c r="AR378" i="2"/>
  <c r="AQ378" i="2"/>
  <c r="AP378" i="2"/>
  <c r="AO378" i="2"/>
  <c r="AN378" i="2"/>
  <c r="AM378" i="2"/>
  <c r="AL378" i="2"/>
  <c r="AK378" i="2"/>
  <c r="AG378" i="2"/>
  <c r="AS377" i="2"/>
  <c r="AR377" i="2"/>
  <c r="AQ377" i="2"/>
  <c r="AP377" i="2"/>
  <c r="AO377" i="2"/>
  <c r="AN377" i="2"/>
  <c r="AM377" i="2"/>
  <c r="AL377" i="2"/>
  <c r="AK377" i="2"/>
  <c r="AG377" i="2"/>
  <c r="AS376" i="2"/>
  <c r="AR376" i="2"/>
  <c r="AQ376" i="2"/>
  <c r="AP376" i="2"/>
  <c r="AO376" i="2"/>
  <c r="AN376" i="2"/>
  <c r="AM376" i="2"/>
  <c r="AL376" i="2"/>
  <c r="AK376" i="2"/>
  <c r="AG376" i="2"/>
  <c r="AS375" i="2"/>
  <c r="AR375" i="2"/>
  <c r="AQ375" i="2"/>
  <c r="AP375" i="2"/>
  <c r="AO375" i="2"/>
  <c r="AN375" i="2"/>
  <c r="AM375" i="2"/>
  <c r="AL375" i="2"/>
  <c r="AK375" i="2"/>
  <c r="AG375" i="2"/>
  <c r="AS374" i="2"/>
  <c r="AR374" i="2"/>
  <c r="AQ374" i="2"/>
  <c r="AP374" i="2"/>
  <c r="AO374" i="2"/>
  <c r="AN374" i="2"/>
  <c r="AM374" i="2"/>
  <c r="AL374" i="2"/>
  <c r="AK374" i="2"/>
  <c r="AG374" i="2"/>
  <c r="AS373" i="2"/>
  <c r="AR373" i="2"/>
  <c r="AQ373" i="2"/>
  <c r="AP373" i="2"/>
  <c r="AO373" i="2"/>
  <c r="AN373" i="2"/>
  <c r="AM373" i="2"/>
  <c r="AL373" i="2"/>
  <c r="AK373" i="2"/>
  <c r="AG373" i="2"/>
  <c r="AS372" i="2"/>
  <c r="AR372" i="2"/>
  <c r="AQ372" i="2"/>
  <c r="AP372" i="2"/>
  <c r="AO372" i="2"/>
  <c r="AN372" i="2"/>
  <c r="AM372" i="2"/>
  <c r="AL372" i="2"/>
  <c r="AK372" i="2"/>
  <c r="AG372" i="2"/>
  <c r="AS371" i="2"/>
  <c r="AR371" i="2"/>
  <c r="AQ371" i="2"/>
  <c r="AP371" i="2"/>
  <c r="AO371" i="2"/>
  <c r="AN371" i="2"/>
  <c r="AM371" i="2"/>
  <c r="AL371" i="2"/>
  <c r="AK371" i="2"/>
  <c r="AG371" i="2"/>
  <c r="AS370" i="2"/>
  <c r="AR370" i="2"/>
  <c r="AQ370" i="2"/>
  <c r="AP370" i="2"/>
  <c r="AO370" i="2"/>
  <c r="AN370" i="2"/>
  <c r="AM370" i="2"/>
  <c r="AL370" i="2"/>
  <c r="AK370" i="2"/>
  <c r="AG370" i="2"/>
  <c r="AS369" i="2"/>
  <c r="AR369" i="2"/>
  <c r="AQ369" i="2"/>
  <c r="AP369" i="2"/>
  <c r="AO369" i="2"/>
  <c r="AN369" i="2"/>
  <c r="AM369" i="2"/>
  <c r="AL369" i="2"/>
  <c r="AK369" i="2"/>
  <c r="AG369" i="2"/>
  <c r="AS368" i="2"/>
  <c r="AR368" i="2"/>
  <c r="AQ368" i="2"/>
  <c r="AP368" i="2"/>
  <c r="AO368" i="2"/>
  <c r="AN368" i="2"/>
  <c r="AM368" i="2"/>
  <c r="AL368" i="2"/>
  <c r="AK368" i="2"/>
  <c r="AG368" i="2"/>
  <c r="AS367" i="2"/>
  <c r="AR367" i="2"/>
  <c r="AQ367" i="2"/>
  <c r="AP367" i="2"/>
  <c r="AO367" i="2"/>
  <c r="AN367" i="2"/>
  <c r="AM367" i="2"/>
  <c r="AL367" i="2"/>
  <c r="AK367" i="2"/>
  <c r="AG367" i="2"/>
  <c r="AS366" i="2"/>
  <c r="AR366" i="2"/>
  <c r="AQ366" i="2"/>
  <c r="AP366" i="2"/>
  <c r="AO366" i="2"/>
  <c r="AN366" i="2"/>
  <c r="AM366" i="2"/>
  <c r="AL366" i="2"/>
  <c r="AK366" i="2"/>
  <c r="AG366" i="2"/>
  <c r="AS365" i="2"/>
  <c r="AR365" i="2"/>
  <c r="AQ365" i="2"/>
  <c r="AP365" i="2"/>
  <c r="AO365" i="2"/>
  <c r="AN365" i="2"/>
  <c r="AM365" i="2"/>
  <c r="AL365" i="2"/>
  <c r="AK365" i="2"/>
  <c r="AG365" i="2"/>
  <c r="AS364" i="2"/>
  <c r="AR364" i="2"/>
  <c r="AQ364" i="2"/>
  <c r="AP364" i="2"/>
  <c r="AO364" i="2"/>
  <c r="AN364" i="2"/>
  <c r="AM364" i="2"/>
  <c r="AL364" i="2"/>
  <c r="AK364" i="2"/>
  <c r="AG364" i="2"/>
  <c r="AS363" i="2"/>
  <c r="AR363" i="2"/>
  <c r="AQ363" i="2"/>
  <c r="AP363" i="2"/>
  <c r="AO363" i="2"/>
  <c r="AN363" i="2"/>
  <c r="AM363" i="2"/>
  <c r="AL363" i="2"/>
  <c r="AK363" i="2"/>
  <c r="AG363" i="2"/>
  <c r="AS362" i="2"/>
  <c r="AR362" i="2"/>
  <c r="AQ362" i="2"/>
  <c r="AP362" i="2"/>
  <c r="AO362" i="2"/>
  <c r="AN362" i="2"/>
  <c r="AM362" i="2"/>
  <c r="AL362" i="2"/>
  <c r="AK362" i="2"/>
  <c r="AG362" i="2"/>
  <c r="AS361" i="2"/>
  <c r="AR361" i="2"/>
  <c r="AQ361" i="2"/>
  <c r="AP361" i="2"/>
  <c r="AO361" i="2"/>
  <c r="AN361" i="2"/>
  <c r="AM361" i="2"/>
  <c r="AL361" i="2"/>
  <c r="AK361" i="2"/>
  <c r="AG361" i="2"/>
  <c r="AS360" i="2"/>
  <c r="AR360" i="2"/>
  <c r="AQ360" i="2"/>
  <c r="AP360" i="2"/>
  <c r="AO360" i="2"/>
  <c r="AN360" i="2"/>
  <c r="AM360" i="2"/>
  <c r="AL360" i="2"/>
  <c r="AK360" i="2"/>
  <c r="AG360" i="2"/>
  <c r="AS359" i="2"/>
  <c r="AR359" i="2"/>
  <c r="AQ359" i="2"/>
  <c r="AP359" i="2"/>
  <c r="AO359" i="2"/>
  <c r="AN359" i="2"/>
  <c r="AM359" i="2"/>
  <c r="AL359" i="2"/>
  <c r="AK359" i="2"/>
  <c r="AG359" i="2"/>
  <c r="AS358" i="2"/>
  <c r="AR358" i="2"/>
  <c r="AQ358" i="2"/>
  <c r="AP358" i="2"/>
  <c r="AO358" i="2"/>
  <c r="AN358" i="2"/>
  <c r="AM358" i="2"/>
  <c r="AL358" i="2"/>
  <c r="AK358" i="2"/>
  <c r="AG358" i="2"/>
  <c r="AS357" i="2"/>
  <c r="AR357" i="2"/>
  <c r="AQ357" i="2"/>
  <c r="AP357" i="2"/>
  <c r="AO357" i="2"/>
  <c r="AN357" i="2"/>
  <c r="AM357" i="2"/>
  <c r="AL357" i="2"/>
  <c r="AK357" i="2"/>
  <c r="AG357" i="2"/>
  <c r="AS356" i="2"/>
  <c r="AR356" i="2"/>
  <c r="AQ356" i="2"/>
  <c r="AP356" i="2"/>
  <c r="AO356" i="2"/>
  <c r="AN356" i="2"/>
  <c r="AM356" i="2"/>
  <c r="AL356" i="2"/>
  <c r="AK356" i="2"/>
  <c r="AG356" i="2"/>
  <c r="AS355" i="2"/>
  <c r="AR355" i="2"/>
  <c r="AQ355" i="2"/>
  <c r="AP355" i="2"/>
  <c r="AO355" i="2"/>
  <c r="AN355" i="2"/>
  <c r="AM355" i="2"/>
  <c r="AL355" i="2"/>
  <c r="AK355" i="2"/>
  <c r="AG355" i="2"/>
  <c r="AS354" i="2"/>
  <c r="AR354" i="2"/>
  <c r="AQ354" i="2"/>
  <c r="AP354" i="2"/>
  <c r="AO354" i="2"/>
  <c r="AN354" i="2"/>
  <c r="AM354" i="2"/>
  <c r="AL354" i="2"/>
  <c r="AK354" i="2"/>
  <c r="AG354" i="2"/>
  <c r="AS353" i="2"/>
  <c r="AR353" i="2"/>
  <c r="AQ353" i="2"/>
  <c r="AP353" i="2"/>
  <c r="AO353" i="2"/>
  <c r="AN353" i="2"/>
  <c r="AM353" i="2"/>
  <c r="AL353" i="2"/>
  <c r="AK353" i="2"/>
  <c r="AG353" i="2"/>
  <c r="AS352" i="2"/>
  <c r="AR352" i="2"/>
  <c r="AQ352" i="2"/>
  <c r="AP352" i="2"/>
  <c r="AO352" i="2"/>
  <c r="AN352" i="2"/>
  <c r="AM352" i="2"/>
  <c r="AL352" i="2"/>
  <c r="AK352" i="2"/>
  <c r="AG352" i="2"/>
  <c r="AS351" i="2"/>
  <c r="AR351" i="2"/>
  <c r="AQ351" i="2"/>
  <c r="AP351" i="2"/>
  <c r="AO351" i="2"/>
  <c r="AN351" i="2"/>
  <c r="AM351" i="2"/>
  <c r="AL351" i="2"/>
  <c r="AK351" i="2"/>
  <c r="AG351" i="2"/>
  <c r="AS350" i="2"/>
  <c r="AR350" i="2"/>
  <c r="AQ350" i="2"/>
  <c r="AP350" i="2"/>
  <c r="AO350" i="2"/>
  <c r="AN350" i="2"/>
  <c r="AM350" i="2"/>
  <c r="AL350" i="2"/>
  <c r="AK350" i="2"/>
  <c r="AG350" i="2"/>
  <c r="AS349" i="2"/>
  <c r="AR349" i="2"/>
  <c r="AQ349" i="2"/>
  <c r="AP349" i="2"/>
  <c r="AO349" i="2"/>
  <c r="AN349" i="2"/>
  <c r="AM349" i="2"/>
  <c r="AL349" i="2"/>
  <c r="AK349" i="2"/>
  <c r="AG349" i="2"/>
  <c r="AS348" i="2"/>
  <c r="AR348" i="2"/>
  <c r="AQ348" i="2"/>
  <c r="AP348" i="2"/>
  <c r="AO348" i="2"/>
  <c r="AN348" i="2"/>
  <c r="AM348" i="2"/>
  <c r="AL348" i="2"/>
  <c r="AK348" i="2"/>
  <c r="AG348" i="2"/>
  <c r="AS347" i="2"/>
  <c r="AR347" i="2"/>
  <c r="AQ347" i="2"/>
  <c r="AP347" i="2"/>
  <c r="AO347" i="2"/>
  <c r="AN347" i="2"/>
  <c r="AM347" i="2"/>
  <c r="AL347" i="2"/>
  <c r="AK347" i="2"/>
  <c r="AG347" i="2"/>
  <c r="AS346" i="2"/>
  <c r="AR346" i="2"/>
  <c r="AQ346" i="2"/>
  <c r="AP346" i="2"/>
  <c r="AO346" i="2"/>
  <c r="AN346" i="2"/>
  <c r="AM346" i="2"/>
  <c r="AL346" i="2"/>
  <c r="AK346" i="2"/>
  <c r="AG346" i="2"/>
  <c r="AS345" i="2"/>
  <c r="AR345" i="2"/>
  <c r="AQ345" i="2"/>
  <c r="AP345" i="2"/>
  <c r="AO345" i="2"/>
  <c r="AN345" i="2"/>
  <c r="AM345" i="2"/>
  <c r="AL345" i="2"/>
  <c r="AK345" i="2"/>
  <c r="AG345" i="2"/>
  <c r="AS344" i="2"/>
  <c r="AR344" i="2"/>
  <c r="AQ344" i="2"/>
  <c r="AP344" i="2"/>
  <c r="AO344" i="2"/>
  <c r="AN344" i="2"/>
  <c r="AM344" i="2"/>
  <c r="AL344" i="2"/>
  <c r="AK344" i="2"/>
  <c r="AG344" i="2"/>
  <c r="AS343" i="2"/>
  <c r="AR343" i="2"/>
  <c r="AQ343" i="2"/>
  <c r="AP343" i="2"/>
  <c r="AO343" i="2"/>
  <c r="AN343" i="2"/>
  <c r="AM343" i="2"/>
  <c r="AL343" i="2"/>
  <c r="AK343" i="2"/>
  <c r="AG343" i="2"/>
  <c r="AS342" i="2"/>
  <c r="AR342" i="2"/>
  <c r="AQ342" i="2"/>
  <c r="AP342" i="2"/>
  <c r="AO342" i="2"/>
  <c r="AN342" i="2"/>
  <c r="AM342" i="2"/>
  <c r="AL342" i="2"/>
  <c r="AK342" i="2"/>
  <c r="AG342" i="2"/>
  <c r="AS341" i="2"/>
  <c r="AR341" i="2"/>
  <c r="AQ341" i="2"/>
  <c r="AP341" i="2"/>
  <c r="AO341" i="2"/>
  <c r="AN341" i="2"/>
  <c r="AM341" i="2"/>
  <c r="AL341" i="2"/>
  <c r="AK341" i="2"/>
  <c r="AG341" i="2"/>
  <c r="AS340" i="2"/>
  <c r="AR340" i="2"/>
  <c r="AQ340" i="2"/>
  <c r="AP340" i="2"/>
  <c r="AO340" i="2"/>
  <c r="AN340" i="2"/>
  <c r="AM340" i="2"/>
  <c r="AL340" i="2"/>
  <c r="AK340" i="2"/>
  <c r="AG340" i="2"/>
  <c r="AS339" i="2"/>
  <c r="AR339" i="2"/>
  <c r="AQ339" i="2"/>
  <c r="AP339" i="2"/>
  <c r="AO339" i="2"/>
  <c r="AN339" i="2"/>
  <c r="AM339" i="2"/>
  <c r="AL339" i="2"/>
  <c r="AK339" i="2"/>
  <c r="AG339" i="2"/>
  <c r="AS338" i="2"/>
  <c r="AR338" i="2"/>
  <c r="AQ338" i="2"/>
  <c r="AP338" i="2"/>
  <c r="AO338" i="2"/>
  <c r="AN338" i="2"/>
  <c r="AM338" i="2"/>
  <c r="AL338" i="2"/>
  <c r="AK338" i="2"/>
  <c r="AG338" i="2"/>
  <c r="AS337" i="2"/>
  <c r="AR337" i="2"/>
  <c r="AQ337" i="2"/>
  <c r="AP337" i="2"/>
  <c r="AO337" i="2"/>
  <c r="AN337" i="2"/>
  <c r="AM337" i="2"/>
  <c r="AL337" i="2"/>
  <c r="AK337" i="2"/>
  <c r="AG337" i="2"/>
  <c r="AS336" i="2"/>
  <c r="AR336" i="2"/>
  <c r="AQ336" i="2"/>
  <c r="AP336" i="2"/>
  <c r="AO336" i="2"/>
  <c r="AN336" i="2"/>
  <c r="AM336" i="2"/>
  <c r="AL336" i="2"/>
  <c r="AK336" i="2"/>
  <c r="AG336" i="2"/>
  <c r="AS335" i="2"/>
  <c r="AR335" i="2"/>
  <c r="AQ335" i="2"/>
  <c r="AP335" i="2"/>
  <c r="AO335" i="2"/>
  <c r="AN335" i="2"/>
  <c r="AM335" i="2"/>
  <c r="AL335" i="2"/>
  <c r="AK335" i="2"/>
  <c r="AG335" i="2"/>
  <c r="AS334" i="2"/>
  <c r="AR334" i="2"/>
  <c r="AQ334" i="2"/>
  <c r="AP334" i="2"/>
  <c r="AO334" i="2"/>
  <c r="AN334" i="2"/>
  <c r="AM334" i="2"/>
  <c r="AL334" i="2"/>
  <c r="AK334" i="2"/>
  <c r="AG334" i="2"/>
  <c r="AS333" i="2"/>
  <c r="AR333" i="2"/>
  <c r="AQ333" i="2"/>
  <c r="AP333" i="2"/>
  <c r="AO333" i="2"/>
  <c r="AN333" i="2"/>
  <c r="AM333" i="2"/>
  <c r="AL333" i="2"/>
  <c r="AK333" i="2"/>
  <c r="AG333" i="2"/>
  <c r="AS332" i="2"/>
  <c r="AR332" i="2"/>
  <c r="AQ332" i="2"/>
  <c r="AP332" i="2"/>
  <c r="AO332" i="2"/>
  <c r="AN332" i="2"/>
  <c r="AM332" i="2"/>
  <c r="AL332" i="2"/>
  <c r="AK332" i="2"/>
  <c r="AG332" i="2"/>
  <c r="AS331" i="2"/>
  <c r="AR331" i="2"/>
  <c r="AQ331" i="2"/>
  <c r="AP331" i="2"/>
  <c r="AO331" i="2"/>
  <c r="AN331" i="2"/>
  <c r="AM331" i="2"/>
  <c r="AL331" i="2"/>
  <c r="AK331" i="2"/>
  <c r="AG331" i="2"/>
  <c r="AS330" i="2"/>
  <c r="AR330" i="2"/>
  <c r="AQ330" i="2"/>
  <c r="AP330" i="2"/>
  <c r="AO330" i="2"/>
  <c r="AN330" i="2"/>
  <c r="AM330" i="2"/>
  <c r="AL330" i="2"/>
  <c r="AK330" i="2"/>
  <c r="AG330" i="2"/>
  <c r="AS329" i="2"/>
  <c r="AR329" i="2"/>
  <c r="AQ329" i="2"/>
  <c r="AP329" i="2"/>
  <c r="AO329" i="2"/>
  <c r="AN329" i="2"/>
  <c r="AM329" i="2"/>
  <c r="AL329" i="2"/>
  <c r="AK329" i="2"/>
  <c r="AG329" i="2"/>
  <c r="AS328" i="2"/>
  <c r="AR328" i="2"/>
  <c r="AQ328" i="2"/>
  <c r="AP328" i="2"/>
  <c r="AO328" i="2"/>
  <c r="AN328" i="2"/>
  <c r="AM328" i="2"/>
  <c r="AL328" i="2"/>
  <c r="AK328" i="2"/>
  <c r="AG328" i="2"/>
  <c r="AS327" i="2"/>
  <c r="AR327" i="2"/>
  <c r="AQ327" i="2"/>
  <c r="AP327" i="2"/>
  <c r="AO327" i="2"/>
  <c r="AN327" i="2"/>
  <c r="AM327" i="2"/>
  <c r="AL327" i="2"/>
  <c r="AK327" i="2"/>
  <c r="AG327" i="2"/>
  <c r="AS326" i="2"/>
  <c r="AR326" i="2"/>
  <c r="AQ326" i="2"/>
  <c r="AP326" i="2"/>
  <c r="AO326" i="2"/>
  <c r="AN326" i="2"/>
  <c r="AM326" i="2"/>
  <c r="AL326" i="2"/>
  <c r="AK326" i="2"/>
  <c r="AG326" i="2"/>
  <c r="AS325" i="2"/>
  <c r="AR325" i="2"/>
  <c r="AQ325" i="2"/>
  <c r="AP325" i="2"/>
  <c r="AO325" i="2"/>
  <c r="AN325" i="2"/>
  <c r="AM325" i="2"/>
  <c r="AL325" i="2"/>
  <c r="AK325" i="2"/>
  <c r="AG325" i="2"/>
  <c r="AS324" i="2"/>
  <c r="AR324" i="2"/>
  <c r="AQ324" i="2"/>
  <c r="AP324" i="2"/>
  <c r="AO324" i="2"/>
  <c r="AN324" i="2"/>
  <c r="AM324" i="2"/>
  <c r="AL324" i="2"/>
  <c r="AK324" i="2"/>
  <c r="AG324" i="2"/>
  <c r="AS323" i="2"/>
  <c r="AR323" i="2"/>
  <c r="AQ323" i="2"/>
  <c r="AP323" i="2"/>
  <c r="AO323" i="2"/>
  <c r="AN323" i="2"/>
  <c r="AM323" i="2"/>
  <c r="AL323" i="2"/>
  <c r="AK323" i="2"/>
  <c r="AG323" i="2"/>
  <c r="AS322" i="2"/>
  <c r="AR322" i="2"/>
  <c r="AQ322" i="2"/>
  <c r="AP322" i="2"/>
  <c r="AO322" i="2"/>
  <c r="AN322" i="2"/>
  <c r="AM322" i="2"/>
  <c r="AL322" i="2"/>
  <c r="AK322" i="2"/>
  <c r="AG322" i="2"/>
  <c r="AS321" i="2"/>
  <c r="AR321" i="2"/>
  <c r="AQ321" i="2"/>
  <c r="AP321" i="2"/>
  <c r="AO321" i="2"/>
  <c r="AN321" i="2"/>
  <c r="AM321" i="2"/>
  <c r="AL321" i="2"/>
  <c r="AK321" i="2"/>
  <c r="AG321" i="2"/>
  <c r="AS320" i="2"/>
  <c r="AR320" i="2"/>
  <c r="AQ320" i="2"/>
  <c r="AP320" i="2"/>
  <c r="AO320" i="2"/>
  <c r="AN320" i="2"/>
  <c r="AM320" i="2"/>
  <c r="AL320" i="2"/>
  <c r="AK320" i="2"/>
  <c r="AG320" i="2"/>
  <c r="AS319" i="2"/>
  <c r="AR319" i="2"/>
  <c r="AQ319" i="2"/>
  <c r="AP319" i="2"/>
  <c r="AO319" i="2"/>
  <c r="AN319" i="2"/>
  <c r="AM319" i="2"/>
  <c r="AL319" i="2"/>
  <c r="AK319" i="2"/>
  <c r="AG319" i="2"/>
  <c r="AS318" i="2"/>
  <c r="AR318" i="2"/>
  <c r="AQ318" i="2"/>
  <c r="AP318" i="2"/>
  <c r="AO318" i="2"/>
  <c r="AN318" i="2"/>
  <c r="AM318" i="2"/>
  <c r="AL318" i="2"/>
  <c r="AK318" i="2"/>
  <c r="AG318" i="2"/>
  <c r="AS317" i="2"/>
  <c r="AR317" i="2"/>
  <c r="AQ317" i="2"/>
  <c r="AP317" i="2"/>
  <c r="AO317" i="2"/>
  <c r="AN317" i="2"/>
  <c r="AM317" i="2"/>
  <c r="AL317" i="2"/>
  <c r="AK317" i="2"/>
  <c r="AG317" i="2"/>
  <c r="AS316" i="2"/>
  <c r="AR316" i="2"/>
  <c r="AQ316" i="2"/>
  <c r="AP316" i="2"/>
  <c r="AO316" i="2"/>
  <c r="AN316" i="2"/>
  <c r="AM316" i="2"/>
  <c r="AL316" i="2"/>
  <c r="AK316" i="2"/>
  <c r="AG316" i="2"/>
  <c r="AS315" i="2"/>
  <c r="AR315" i="2"/>
  <c r="AQ315" i="2"/>
  <c r="AP315" i="2"/>
  <c r="AO315" i="2"/>
  <c r="AN315" i="2"/>
  <c r="AM315" i="2"/>
  <c r="AL315" i="2"/>
  <c r="AK315" i="2"/>
  <c r="AG315" i="2"/>
  <c r="AS314" i="2"/>
  <c r="AR314" i="2"/>
  <c r="AQ314" i="2"/>
  <c r="AP314" i="2"/>
  <c r="AO314" i="2"/>
  <c r="AN314" i="2"/>
  <c r="AM314" i="2"/>
  <c r="AL314" i="2"/>
  <c r="AK314" i="2"/>
  <c r="AG314" i="2"/>
  <c r="AS313" i="2"/>
  <c r="AR313" i="2"/>
  <c r="AQ313" i="2"/>
  <c r="AP313" i="2"/>
  <c r="AO313" i="2"/>
  <c r="AN313" i="2"/>
  <c r="AM313" i="2"/>
  <c r="AL313" i="2"/>
  <c r="AK313" i="2"/>
  <c r="AG313" i="2"/>
  <c r="AS312" i="2"/>
  <c r="AR312" i="2"/>
  <c r="AQ312" i="2"/>
  <c r="AP312" i="2"/>
  <c r="AO312" i="2"/>
  <c r="AN312" i="2"/>
  <c r="AM312" i="2"/>
  <c r="AL312" i="2"/>
  <c r="AK312" i="2"/>
  <c r="AG312" i="2"/>
  <c r="AS311" i="2"/>
  <c r="AR311" i="2"/>
  <c r="AQ311" i="2"/>
  <c r="AP311" i="2"/>
  <c r="AO311" i="2"/>
  <c r="AN311" i="2"/>
  <c r="AM311" i="2"/>
  <c r="AL311" i="2"/>
  <c r="AK311" i="2"/>
  <c r="AG311" i="2"/>
  <c r="AS310" i="2"/>
  <c r="AR310" i="2"/>
  <c r="AQ310" i="2"/>
  <c r="AP310" i="2"/>
  <c r="AO310" i="2"/>
  <c r="AN310" i="2"/>
  <c r="AM310" i="2"/>
  <c r="AL310" i="2"/>
  <c r="AK310" i="2"/>
  <c r="AG310" i="2"/>
  <c r="AS309" i="2"/>
  <c r="AR309" i="2"/>
  <c r="AQ309" i="2"/>
  <c r="AP309" i="2"/>
  <c r="AO309" i="2"/>
  <c r="AN309" i="2"/>
  <c r="AM309" i="2"/>
  <c r="AL309" i="2"/>
  <c r="AK309" i="2"/>
  <c r="AG309" i="2"/>
  <c r="AS308" i="2"/>
  <c r="AR308" i="2"/>
  <c r="AQ308" i="2"/>
  <c r="AP308" i="2"/>
  <c r="AO308" i="2"/>
  <c r="AN308" i="2"/>
  <c r="AM308" i="2"/>
  <c r="AL308" i="2"/>
  <c r="AK308" i="2"/>
  <c r="AG308" i="2"/>
  <c r="AS307" i="2"/>
  <c r="AR307" i="2"/>
  <c r="AQ307" i="2"/>
  <c r="AP307" i="2"/>
  <c r="AO307" i="2"/>
  <c r="AN307" i="2"/>
  <c r="AM307" i="2"/>
  <c r="AL307" i="2"/>
  <c r="AK307" i="2"/>
  <c r="AG307" i="2"/>
  <c r="AS306" i="2"/>
  <c r="AR306" i="2"/>
  <c r="AQ306" i="2"/>
  <c r="AP306" i="2"/>
  <c r="AO306" i="2"/>
  <c r="AN306" i="2"/>
  <c r="AM306" i="2"/>
  <c r="AL306" i="2"/>
  <c r="AK306" i="2"/>
  <c r="AG306" i="2"/>
  <c r="AS305" i="2"/>
  <c r="AR305" i="2"/>
  <c r="AQ305" i="2"/>
  <c r="AP305" i="2"/>
  <c r="AO305" i="2"/>
  <c r="AN305" i="2"/>
  <c r="AM305" i="2"/>
  <c r="AL305" i="2"/>
  <c r="AK305" i="2"/>
  <c r="AG305" i="2"/>
  <c r="AS304" i="2"/>
  <c r="AR304" i="2"/>
  <c r="AQ304" i="2"/>
  <c r="AP304" i="2"/>
  <c r="AO304" i="2"/>
  <c r="AN304" i="2"/>
  <c r="AM304" i="2"/>
  <c r="AL304" i="2"/>
  <c r="AK304" i="2"/>
  <c r="AG304" i="2"/>
  <c r="AS303" i="2"/>
  <c r="AR303" i="2"/>
  <c r="AQ303" i="2"/>
  <c r="AP303" i="2"/>
  <c r="AO303" i="2"/>
  <c r="AN303" i="2"/>
  <c r="AM303" i="2"/>
  <c r="AL303" i="2"/>
  <c r="AK303" i="2"/>
  <c r="AG303" i="2"/>
  <c r="AS302" i="2"/>
  <c r="AR302" i="2"/>
  <c r="AQ302" i="2"/>
  <c r="AP302" i="2"/>
  <c r="AO302" i="2"/>
  <c r="AN302" i="2"/>
  <c r="AM302" i="2"/>
  <c r="AL302" i="2"/>
  <c r="AK302" i="2"/>
  <c r="AG302" i="2"/>
  <c r="AS301" i="2"/>
  <c r="AR301" i="2"/>
  <c r="AQ301" i="2"/>
  <c r="AP301" i="2"/>
  <c r="AO301" i="2"/>
  <c r="AN301" i="2"/>
  <c r="AM301" i="2"/>
  <c r="AL301" i="2"/>
  <c r="AK301" i="2"/>
  <c r="AG301" i="2"/>
  <c r="AS300" i="2"/>
  <c r="AR300" i="2"/>
  <c r="AQ300" i="2"/>
  <c r="AP300" i="2"/>
  <c r="AO300" i="2"/>
  <c r="AN300" i="2"/>
  <c r="AM300" i="2"/>
  <c r="AL300" i="2"/>
  <c r="AK300" i="2"/>
  <c r="AG300" i="2"/>
  <c r="AS299" i="2"/>
  <c r="AR299" i="2"/>
  <c r="AQ299" i="2"/>
  <c r="AP299" i="2"/>
  <c r="AO299" i="2"/>
  <c r="AN299" i="2"/>
  <c r="AM299" i="2"/>
  <c r="AL299" i="2"/>
  <c r="AK299" i="2"/>
  <c r="AG299" i="2"/>
  <c r="AS298" i="2"/>
  <c r="AR298" i="2"/>
  <c r="AQ298" i="2"/>
  <c r="AP298" i="2"/>
  <c r="AO298" i="2"/>
  <c r="AN298" i="2"/>
  <c r="AM298" i="2"/>
  <c r="AL298" i="2"/>
  <c r="AK298" i="2"/>
  <c r="AG298" i="2"/>
  <c r="AS297" i="2"/>
  <c r="AR297" i="2"/>
  <c r="AQ297" i="2"/>
  <c r="AP297" i="2"/>
  <c r="AO297" i="2"/>
  <c r="AN297" i="2"/>
  <c r="AM297" i="2"/>
  <c r="AL297" i="2"/>
  <c r="AK297" i="2"/>
  <c r="AG297" i="2"/>
  <c r="AS296" i="2"/>
  <c r="AR296" i="2"/>
  <c r="AQ296" i="2"/>
  <c r="AP296" i="2"/>
  <c r="AO296" i="2"/>
  <c r="AN296" i="2"/>
  <c r="AM296" i="2"/>
  <c r="AL296" i="2"/>
  <c r="AK296" i="2"/>
  <c r="AG296" i="2"/>
  <c r="AS295" i="2"/>
  <c r="AR295" i="2"/>
  <c r="AQ295" i="2"/>
  <c r="AP295" i="2"/>
  <c r="AO295" i="2"/>
  <c r="AN295" i="2"/>
  <c r="AM295" i="2"/>
  <c r="AL295" i="2"/>
  <c r="AK295" i="2"/>
  <c r="AG295" i="2"/>
  <c r="AS294" i="2"/>
  <c r="AR294" i="2"/>
  <c r="AQ294" i="2"/>
  <c r="AP294" i="2"/>
  <c r="AO294" i="2"/>
  <c r="AN294" i="2"/>
  <c r="AM294" i="2"/>
  <c r="AL294" i="2"/>
  <c r="AK294" i="2"/>
  <c r="AG294" i="2"/>
  <c r="AS293" i="2"/>
  <c r="AR293" i="2"/>
  <c r="AQ293" i="2"/>
  <c r="AP293" i="2"/>
  <c r="AO293" i="2"/>
  <c r="AN293" i="2"/>
  <c r="AM293" i="2"/>
  <c r="AL293" i="2"/>
  <c r="AK293" i="2"/>
  <c r="AG293" i="2"/>
  <c r="AS292" i="2"/>
  <c r="AR292" i="2"/>
  <c r="AQ292" i="2"/>
  <c r="AP292" i="2"/>
  <c r="AO292" i="2"/>
  <c r="AN292" i="2"/>
  <c r="AM292" i="2"/>
  <c r="AL292" i="2"/>
  <c r="AK292" i="2"/>
  <c r="AG292" i="2"/>
  <c r="AS291" i="2"/>
  <c r="AR291" i="2"/>
  <c r="AQ291" i="2"/>
  <c r="AP291" i="2"/>
  <c r="AO291" i="2"/>
  <c r="AN291" i="2"/>
  <c r="AM291" i="2"/>
  <c r="AL291" i="2"/>
  <c r="AK291" i="2"/>
  <c r="AG291" i="2"/>
  <c r="AS290" i="2"/>
  <c r="AR290" i="2"/>
  <c r="AQ290" i="2"/>
  <c r="AP290" i="2"/>
  <c r="AO290" i="2"/>
  <c r="AN290" i="2"/>
  <c r="AM290" i="2"/>
  <c r="AL290" i="2"/>
  <c r="AK290" i="2"/>
  <c r="AG290" i="2"/>
  <c r="AS289" i="2"/>
  <c r="AR289" i="2"/>
  <c r="AQ289" i="2"/>
  <c r="AP289" i="2"/>
  <c r="AO289" i="2"/>
  <c r="AN289" i="2"/>
  <c r="AM289" i="2"/>
  <c r="AL289" i="2"/>
  <c r="AK289" i="2"/>
  <c r="AG289" i="2"/>
  <c r="AS288" i="2"/>
  <c r="AR288" i="2"/>
  <c r="AQ288" i="2"/>
  <c r="AP288" i="2"/>
  <c r="AO288" i="2"/>
  <c r="AN288" i="2"/>
  <c r="AM288" i="2"/>
  <c r="AL288" i="2"/>
  <c r="AK288" i="2"/>
  <c r="AG288" i="2"/>
  <c r="AS287" i="2"/>
  <c r="AR287" i="2"/>
  <c r="AQ287" i="2"/>
  <c r="AP287" i="2"/>
  <c r="AO287" i="2"/>
  <c r="AN287" i="2"/>
  <c r="AM287" i="2"/>
  <c r="AL287" i="2"/>
  <c r="AK287" i="2"/>
  <c r="AG287" i="2"/>
  <c r="AS286" i="2"/>
  <c r="AR286" i="2"/>
  <c r="AQ286" i="2"/>
  <c r="AP286" i="2"/>
  <c r="AO286" i="2"/>
  <c r="AN286" i="2"/>
  <c r="AM286" i="2"/>
  <c r="AL286" i="2"/>
  <c r="AK286" i="2"/>
  <c r="AG286" i="2"/>
  <c r="AS285" i="2"/>
  <c r="AR285" i="2"/>
  <c r="AQ285" i="2"/>
  <c r="AP285" i="2"/>
  <c r="AO285" i="2"/>
  <c r="AN285" i="2"/>
  <c r="AM285" i="2"/>
  <c r="AL285" i="2"/>
  <c r="AK285" i="2"/>
  <c r="AG285" i="2"/>
  <c r="AS284" i="2"/>
  <c r="AR284" i="2"/>
  <c r="AQ284" i="2"/>
  <c r="AP284" i="2"/>
  <c r="AO284" i="2"/>
  <c r="AN284" i="2"/>
  <c r="AM284" i="2"/>
  <c r="AL284" i="2"/>
  <c r="AK284" i="2"/>
  <c r="AG284" i="2"/>
  <c r="AS283" i="2"/>
  <c r="AR283" i="2"/>
  <c r="AQ283" i="2"/>
  <c r="AP283" i="2"/>
  <c r="AO283" i="2"/>
  <c r="AN283" i="2"/>
  <c r="AM283" i="2"/>
  <c r="AL283" i="2"/>
  <c r="AK283" i="2"/>
  <c r="AG283" i="2"/>
  <c r="AS282" i="2"/>
  <c r="AR282" i="2"/>
  <c r="AQ282" i="2"/>
  <c r="AP282" i="2"/>
  <c r="AO282" i="2"/>
  <c r="AN282" i="2"/>
  <c r="AM282" i="2"/>
  <c r="AL282" i="2"/>
  <c r="AK282" i="2"/>
  <c r="AG282" i="2"/>
  <c r="AS281" i="2"/>
  <c r="AR281" i="2"/>
  <c r="AQ281" i="2"/>
  <c r="AP281" i="2"/>
  <c r="AO281" i="2"/>
  <c r="AN281" i="2"/>
  <c r="AM281" i="2"/>
  <c r="AL281" i="2"/>
  <c r="AK281" i="2"/>
  <c r="AG281" i="2"/>
  <c r="AS280" i="2"/>
  <c r="AR280" i="2"/>
  <c r="AQ280" i="2"/>
  <c r="AP280" i="2"/>
  <c r="AO280" i="2"/>
  <c r="AN280" i="2"/>
  <c r="AM280" i="2"/>
  <c r="AL280" i="2"/>
  <c r="AK280" i="2"/>
  <c r="AG280" i="2"/>
  <c r="AS279" i="2"/>
  <c r="AR279" i="2"/>
  <c r="AQ279" i="2"/>
  <c r="AP279" i="2"/>
  <c r="AO279" i="2"/>
  <c r="AN279" i="2"/>
  <c r="AM279" i="2"/>
  <c r="AL279" i="2"/>
  <c r="AK279" i="2"/>
  <c r="AG279" i="2"/>
  <c r="AS278" i="2"/>
  <c r="AR278" i="2"/>
  <c r="AQ278" i="2"/>
  <c r="AP278" i="2"/>
  <c r="AO278" i="2"/>
  <c r="AN278" i="2"/>
  <c r="AM278" i="2"/>
  <c r="AL278" i="2"/>
  <c r="AK278" i="2"/>
  <c r="AG278" i="2"/>
  <c r="AS277" i="2"/>
  <c r="AR277" i="2"/>
  <c r="AQ277" i="2"/>
  <c r="AP277" i="2"/>
  <c r="AO277" i="2"/>
  <c r="AN277" i="2"/>
  <c r="AM277" i="2"/>
  <c r="AL277" i="2"/>
  <c r="AK277" i="2"/>
  <c r="AG277" i="2"/>
  <c r="AS276" i="2"/>
  <c r="AR276" i="2"/>
  <c r="AQ276" i="2"/>
  <c r="AP276" i="2"/>
  <c r="AO276" i="2"/>
  <c r="AN276" i="2"/>
  <c r="AM276" i="2"/>
  <c r="AL276" i="2"/>
  <c r="AK276" i="2"/>
  <c r="AG276" i="2"/>
  <c r="AS275" i="2"/>
  <c r="AR275" i="2"/>
  <c r="AQ275" i="2"/>
  <c r="AP275" i="2"/>
  <c r="AO275" i="2"/>
  <c r="AN275" i="2"/>
  <c r="AM275" i="2"/>
  <c r="AL275" i="2"/>
  <c r="AK275" i="2"/>
  <c r="AG275" i="2"/>
  <c r="AS274" i="2"/>
  <c r="AR274" i="2"/>
  <c r="AQ274" i="2"/>
  <c r="AP274" i="2"/>
  <c r="AO274" i="2"/>
  <c r="AN274" i="2"/>
  <c r="AM274" i="2"/>
  <c r="AL274" i="2"/>
  <c r="AK274" i="2"/>
  <c r="AG274" i="2"/>
  <c r="AS273" i="2"/>
  <c r="AR273" i="2"/>
  <c r="AQ273" i="2"/>
  <c r="AP273" i="2"/>
  <c r="AO273" i="2"/>
  <c r="AN273" i="2"/>
  <c r="AM273" i="2"/>
  <c r="AL273" i="2"/>
  <c r="AK273" i="2"/>
  <c r="AG273" i="2"/>
  <c r="AS272" i="2"/>
  <c r="AR272" i="2"/>
  <c r="AQ272" i="2"/>
  <c r="AP272" i="2"/>
  <c r="AO272" i="2"/>
  <c r="AN272" i="2"/>
  <c r="AM272" i="2"/>
  <c r="AL272" i="2"/>
  <c r="AK272" i="2"/>
  <c r="AG272" i="2"/>
  <c r="AS271" i="2"/>
  <c r="AR271" i="2"/>
  <c r="AQ271" i="2"/>
  <c r="AP271" i="2"/>
  <c r="AO271" i="2"/>
  <c r="AN271" i="2"/>
  <c r="AM271" i="2"/>
  <c r="AL271" i="2"/>
  <c r="AK271" i="2"/>
  <c r="AG271" i="2"/>
  <c r="AS270" i="2"/>
  <c r="AR270" i="2"/>
  <c r="AQ270" i="2"/>
  <c r="AP270" i="2"/>
  <c r="AO270" i="2"/>
  <c r="AN270" i="2"/>
  <c r="AM270" i="2"/>
  <c r="AL270" i="2"/>
  <c r="AK270" i="2"/>
  <c r="AG270" i="2"/>
  <c r="AS269" i="2"/>
  <c r="AR269" i="2"/>
  <c r="AQ269" i="2"/>
  <c r="AP269" i="2"/>
  <c r="AO269" i="2"/>
  <c r="AN269" i="2"/>
  <c r="AM269" i="2"/>
  <c r="AL269" i="2"/>
  <c r="AK269" i="2"/>
  <c r="AG269" i="2"/>
  <c r="AS268" i="2"/>
  <c r="AR268" i="2"/>
  <c r="AQ268" i="2"/>
  <c r="AP268" i="2"/>
  <c r="AO268" i="2"/>
  <c r="AN268" i="2"/>
  <c r="AM268" i="2"/>
  <c r="AL268" i="2"/>
  <c r="AK268" i="2"/>
  <c r="AG268" i="2"/>
  <c r="AS267" i="2"/>
  <c r="AR267" i="2"/>
  <c r="AQ267" i="2"/>
  <c r="AP267" i="2"/>
  <c r="AO267" i="2"/>
  <c r="AN267" i="2"/>
  <c r="AM267" i="2"/>
  <c r="AL267" i="2"/>
  <c r="AK267" i="2"/>
  <c r="AG267" i="2"/>
  <c r="AS266" i="2"/>
  <c r="AR266" i="2"/>
  <c r="AQ266" i="2"/>
  <c r="AP266" i="2"/>
  <c r="AO266" i="2"/>
  <c r="AN266" i="2"/>
  <c r="AM266" i="2"/>
  <c r="AL266" i="2"/>
  <c r="AK266" i="2"/>
  <c r="AG266" i="2"/>
  <c r="AS265" i="2"/>
  <c r="AR265" i="2"/>
  <c r="AQ265" i="2"/>
  <c r="AP265" i="2"/>
  <c r="AO265" i="2"/>
  <c r="AN265" i="2"/>
  <c r="AM265" i="2"/>
  <c r="AL265" i="2"/>
  <c r="AK265" i="2"/>
  <c r="AG265" i="2"/>
  <c r="AS264" i="2"/>
  <c r="AR264" i="2"/>
  <c r="AQ264" i="2"/>
  <c r="AP264" i="2"/>
  <c r="AO264" i="2"/>
  <c r="AN264" i="2"/>
  <c r="AM264" i="2"/>
  <c r="AL264" i="2"/>
  <c r="AK264" i="2"/>
  <c r="AG264" i="2"/>
  <c r="AS263" i="2"/>
  <c r="AR263" i="2"/>
  <c r="AQ263" i="2"/>
  <c r="AP263" i="2"/>
  <c r="AO263" i="2"/>
  <c r="AN263" i="2"/>
  <c r="AM263" i="2"/>
  <c r="AL263" i="2"/>
  <c r="AK263" i="2"/>
  <c r="AG263" i="2"/>
  <c r="AS262" i="2"/>
  <c r="AR262" i="2"/>
  <c r="AQ262" i="2"/>
  <c r="AP262" i="2"/>
  <c r="AO262" i="2"/>
  <c r="AN262" i="2"/>
  <c r="AM262" i="2"/>
  <c r="AL262" i="2"/>
  <c r="AK262" i="2"/>
  <c r="AG262" i="2"/>
  <c r="AS261" i="2"/>
  <c r="AR261" i="2"/>
  <c r="AQ261" i="2"/>
  <c r="AP261" i="2"/>
  <c r="AO261" i="2"/>
  <c r="AN261" i="2"/>
  <c r="AM261" i="2"/>
  <c r="AL261" i="2"/>
  <c r="AK261" i="2"/>
  <c r="AG261" i="2"/>
  <c r="AS260" i="2"/>
  <c r="AR260" i="2"/>
  <c r="AQ260" i="2"/>
  <c r="AP260" i="2"/>
  <c r="AO260" i="2"/>
  <c r="AN260" i="2"/>
  <c r="AM260" i="2"/>
  <c r="AL260" i="2"/>
  <c r="AK260" i="2"/>
  <c r="AG260" i="2"/>
  <c r="AS259" i="2"/>
  <c r="AR259" i="2"/>
  <c r="AQ259" i="2"/>
  <c r="AP259" i="2"/>
  <c r="AO259" i="2"/>
  <c r="AN259" i="2"/>
  <c r="AM259" i="2"/>
  <c r="AL259" i="2"/>
  <c r="AK259" i="2"/>
  <c r="AG259" i="2"/>
  <c r="AS258" i="2"/>
  <c r="AR258" i="2"/>
  <c r="AQ258" i="2"/>
  <c r="AP258" i="2"/>
  <c r="AO258" i="2"/>
  <c r="AN258" i="2"/>
  <c r="AM258" i="2"/>
  <c r="AL258" i="2"/>
  <c r="AK258" i="2"/>
  <c r="AG258" i="2"/>
  <c r="AS257" i="2"/>
  <c r="AR257" i="2"/>
  <c r="AQ257" i="2"/>
  <c r="AP257" i="2"/>
  <c r="AO257" i="2"/>
  <c r="AN257" i="2"/>
  <c r="AM257" i="2"/>
  <c r="AL257" i="2"/>
  <c r="AK257" i="2"/>
  <c r="AG257" i="2"/>
  <c r="AS256" i="2"/>
  <c r="AR256" i="2"/>
  <c r="AQ256" i="2"/>
  <c r="AP256" i="2"/>
  <c r="AO256" i="2"/>
  <c r="AN256" i="2"/>
  <c r="AM256" i="2"/>
  <c r="AL256" i="2"/>
  <c r="AK256" i="2"/>
  <c r="AG256" i="2"/>
  <c r="AS255" i="2"/>
  <c r="AR255" i="2"/>
  <c r="AQ255" i="2"/>
  <c r="AP255" i="2"/>
  <c r="AO255" i="2"/>
  <c r="AN255" i="2"/>
  <c r="AM255" i="2"/>
  <c r="AL255" i="2"/>
  <c r="AK255" i="2"/>
  <c r="AG255" i="2"/>
  <c r="AS254" i="2"/>
  <c r="AR254" i="2"/>
  <c r="AQ254" i="2"/>
  <c r="AP254" i="2"/>
  <c r="AO254" i="2"/>
  <c r="AN254" i="2"/>
  <c r="AM254" i="2"/>
  <c r="AL254" i="2"/>
  <c r="AK254" i="2"/>
  <c r="AG254" i="2"/>
  <c r="AS253" i="2"/>
  <c r="AR253" i="2"/>
  <c r="AQ253" i="2"/>
  <c r="AP253" i="2"/>
  <c r="AO253" i="2"/>
  <c r="AN253" i="2"/>
  <c r="AM253" i="2"/>
  <c r="AL253" i="2"/>
  <c r="AK253" i="2"/>
  <c r="AG253" i="2"/>
  <c r="AS252" i="2"/>
  <c r="AR252" i="2"/>
  <c r="AQ252" i="2"/>
  <c r="AP252" i="2"/>
  <c r="AO252" i="2"/>
  <c r="AN252" i="2"/>
  <c r="AM252" i="2"/>
  <c r="AL252" i="2"/>
  <c r="AK252" i="2"/>
  <c r="AG252" i="2"/>
  <c r="AS251" i="2"/>
  <c r="AR251" i="2"/>
  <c r="AQ251" i="2"/>
  <c r="AP251" i="2"/>
  <c r="AO251" i="2"/>
  <c r="AN251" i="2"/>
  <c r="AM251" i="2"/>
  <c r="AL251" i="2"/>
  <c r="AK251" i="2"/>
  <c r="AG251" i="2"/>
  <c r="AS250" i="2"/>
  <c r="AR250" i="2"/>
  <c r="AQ250" i="2"/>
  <c r="AP250" i="2"/>
  <c r="AO250" i="2"/>
  <c r="AN250" i="2"/>
  <c r="AM250" i="2"/>
  <c r="AL250" i="2"/>
  <c r="AK250" i="2"/>
  <c r="AG250" i="2"/>
  <c r="AS249" i="2"/>
  <c r="AR249" i="2"/>
  <c r="AQ249" i="2"/>
  <c r="AP249" i="2"/>
  <c r="AO249" i="2"/>
  <c r="AN249" i="2"/>
  <c r="AM249" i="2"/>
  <c r="AL249" i="2"/>
  <c r="AK249" i="2"/>
  <c r="AG249" i="2"/>
  <c r="AS248" i="2"/>
  <c r="AR248" i="2"/>
  <c r="AQ248" i="2"/>
  <c r="AP248" i="2"/>
  <c r="AO248" i="2"/>
  <c r="AN248" i="2"/>
  <c r="AM248" i="2"/>
  <c r="AL248" i="2"/>
  <c r="AK248" i="2"/>
  <c r="AG248" i="2"/>
  <c r="AS247" i="2"/>
  <c r="AR247" i="2"/>
  <c r="AQ247" i="2"/>
  <c r="AP247" i="2"/>
  <c r="AO247" i="2"/>
  <c r="AN247" i="2"/>
  <c r="AM247" i="2"/>
  <c r="AL247" i="2"/>
  <c r="AK247" i="2"/>
  <c r="AG247" i="2"/>
  <c r="AS246" i="2"/>
  <c r="AR246" i="2"/>
  <c r="AQ246" i="2"/>
  <c r="AP246" i="2"/>
  <c r="AO246" i="2"/>
  <c r="AN246" i="2"/>
  <c r="AM246" i="2"/>
  <c r="AL246" i="2"/>
  <c r="AK246" i="2"/>
  <c r="AG246" i="2"/>
  <c r="AS245" i="2"/>
  <c r="AR245" i="2"/>
  <c r="AQ245" i="2"/>
  <c r="AP245" i="2"/>
  <c r="AO245" i="2"/>
  <c r="AN245" i="2"/>
  <c r="AM245" i="2"/>
  <c r="AL245" i="2"/>
  <c r="AK245" i="2"/>
  <c r="AG245" i="2"/>
  <c r="AS244" i="2"/>
  <c r="AR244" i="2"/>
  <c r="AQ244" i="2"/>
  <c r="AP244" i="2"/>
  <c r="AO244" i="2"/>
  <c r="AN244" i="2"/>
  <c r="AM244" i="2"/>
  <c r="AL244" i="2"/>
  <c r="AK244" i="2"/>
  <c r="AG244" i="2"/>
  <c r="AS243" i="2"/>
  <c r="AR243" i="2"/>
  <c r="AQ243" i="2"/>
  <c r="AP243" i="2"/>
  <c r="AO243" i="2"/>
  <c r="AN243" i="2"/>
  <c r="AM243" i="2"/>
  <c r="AL243" i="2"/>
  <c r="AK243" i="2"/>
  <c r="AG243" i="2"/>
  <c r="AS242" i="2"/>
  <c r="AR242" i="2"/>
  <c r="AQ242" i="2"/>
  <c r="AP242" i="2"/>
  <c r="AO242" i="2"/>
  <c r="AN242" i="2"/>
  <c r="AM242" i="2"/>
  <c r="AL242" i="2"/>
  <c r="AK242" i="2"/>
  <c r="AG242" i="2"/>
  <c r="AS241" i="2"/>
  <c r="AR241" i="2"/>
  <c r="AQ241" i="2"/>
  <c r="AP241" i="2"/>
  <c r="AO241" i="2"/>
  <c r="AN241" i="2"/>
  <c r="AM241" i="2"/>
  <c r="AL241" i="2"/>
  <c r="AK241" i="2"/>
  <c r="AG241" i="2"/>
  <c r="AS240" i="2"/>
  <c r="AR240" i="2"/>
  <c r="AQ240" i="2"/>
  <c r="AP240" i="2"/>
  <c r="AO240" i="2"/>
  <c r="AN240" i="2"/>
  <c r="AM240" i="2"/>
  <c r="AL240" i="2"/>
  <c r="AK240" i="2"/>
  <c r="AG240" i="2"/>
  <c r="AS239" i="2"/>
  <c r="AR239" i="2"/>
  <c r="AQ239" i="2"/>
  <c r="AP239" i="2"/>
  <c r="AO239" i="2"/>
  <c r="AN239" i="2"/>
  <c r="AM239" i="2"/>
  <c r="AL239" i="2"/>
  <c r="AK239" i="2"/>
  <c r="AG239" i="2"/>
  <c r="AS238" i="2"/>
  <c r="AR238" i="2"/>
  <c r="AQ238" i="2"/>
  <c r="AP238" i="2"/>
  <c r="AO238" i="2"/>
  <c r="AN238" i="2"/>
  <c r="AM238" i="2"/>
  <c r="AL238" i="2"/>
  <c r="AK238" i="2"/>
  <c r="AG238" i="2"/>
  <c r="AS237" i="2"/>
  <c r="AR237" i="2"/>
  <c r="AQ237" i="2"/>
  <c r="AP237" i="2"/>
  <c r="AO237" i="2"/>
  <c r="AN237" i="2"/>
  <c r="AM237" i="2"/>
  <c r="AL237" i="2"/>
  <c r="AK237" i="2"/>
  <c r="AG237" i="2"/>
  <c r="AS236" i="2"/>
  <c r="AR236" i="2"/>
  <c r="AQ236" i="2"/>
  <c r="AP236" i="2"/>
  <c r="AO236" i="2"/>
  <c r="AN236" i="2"/>
  <c r="AM236" i="2"/>
  <c r="AL236" i="2"/>
  <c r="AK236" i="2"/>
  <c r="AG236" i="2"/>
  <c r="AS235" i="2"/>
  <c r="AR235" i="2"/>
  <c r="AQ235" i="2"/>
  <c r="AP235" i="2"/>
  <c r="AO235" i="2"/>
  <c r="AN235" i="2"/>
  <c r="AM235" i="2"/>
  <c r="AL235" i="2"/>
  <c r="AK235" i="2"/>
  <c r="AG235" i="2"/>
  <c r="AS234" i="2"/>
  <c r="AR234" i="2"/>
  <c r="AQ234" i="2"/>
  <c r="AP234" i="2"/>
  <c r="AO234" i="2"/>
  <c r="AN234" i="2"/>
  <c r="AM234" i="2"/>
  <c r="AL234" i="2"/>
  <c r="AK234" i="2"/>
  <c r="AG234" i="2"/>
  <c r="AS233" i="2"/>
  <c r="AR233" i="2"/>
  <c r="AQ233" i="2"/>
  <c r="AP233" i="2"/>
  <c r="AO233" i="2"/>
  <c r="AN233" i="2"/>
  <c r="AM233" i="2"/>
  <c r="AL233" i="2"/>
  <c r="AK233" i="2"/>
  <c r="AG233" i="2"/>
  <c r="AS232" i="2"/>
  <c r="AR232" i="2"/>
  <c r="AQ232" i="2"/>
  <c r="AP232" i="2"/>
  <c r="AO232" i="2"/>
  <c r="AN232" i="2"/>
  <c r="AM232" i="2"/>
  <c r="AL232" i="2"/>
  <c r="AK232" i="2"/>
  <c r="AG232" i="2"/>
  <c r="AS231" i="2"/>
  <c r="AR231" i="2"/>
  <c r="AQ231" i="2"/>
  <c r="AP231" i="2"/>
  <c r="AO231" i="2"/>
  <c r="AN231" i="2"/>
  <c r="AM231" i="2"/>
  <c r="AL231" i="2"/>
  <c r="AK231" i="2"/>
  <c r="AG231" i="2"/>
  <c r="AS230" i="2"/>
  <c r="AR230" i="2"/>
  <c r="AQ230" i="2"/>
  <c r="AP230" i="2"/>
  <c r="AO230" i="2"/>
  <c r="AN230" i="2"/>
  <c r="AM230" i="2"/>
  <c r="AL230" i="2"/>
  <c r="AK230" i="2"/>
  <c r="AG230" i="2"/>
  <c r="AS229" i="2"/>
  <c r="AR229" i="2"/>
  <c r="AQ229" i="2"/>
  <c r="AP229" i="2"/>
  <c r="AO229" i="2"/>
  <c r="AN229" i="2"/>
  <c r="AM229" i="2"/>
  <c r="AL229" i="2"/>
  <c r="AK229" i="2"/>
  <c r="AG229" i="2"/>
  <c r="AS228" i="2"/>
  <c r="AR228" i="2"/>
  <c r="AQ228" i="2"/>
  <c r="AP228" i="2"/>
  <c r="AO228" i="2"/>
  <c r="AN228" i="2"/>
  <c r="AM228" i="2"/>
  <c r="AL228" i="2"/>
  <c r="AK228" i="2"/>
  <c r="AG228" i="2"/>
  <c r="AS227" i="2"/>
  <c r="AR227" i="2"/>
  <c r="AQ227" i="2"/>
  <c r="AP227" i="2"/>
  <c r="AO227" i="2"/>
  <c r="AN227" i="2"/>
  <c r="AM227" i="2"/>
  <c r="AL227" i="2"/>
  <c r="AK227" i="2"/>
  <c r="AG227" i="2"/>
  <c r="AS226" i="2"/>
  <c r="AR226" i="2"/>
  <c r="AQ226" i="2"/>
  <c r="AP226" i="2"/>
  <c r="AO226" i="2"/>
  <c r="AN226" i="2"/>
  <c r="AM226" i="2"/>
  <c r="AL226" i="2"/>
  <c r="AK226" i="2"/>
  <c r="AG226" i="2"/>
  <c r="AS225" i="2"/>
  <c r="AR225" i="2"/>
  <c r="AQ225" i="2"/>
  <c r="AP225" i="2"/>
  <c r="AO225" i="2"/>
  <c r="AN225" i="2"/>
  <c r="AM225" i="2"/>
  <c r="AL225" i="2"/>
  <c r="AK225" i="2"/>
  <c r="AG225" i="2"/>
  <c r="AS224" i="2"/>
  <c r="AR224" i="2"/>
  <c r="AQ224" i="2"/>
  <c r="AP224" i="2"/>
  <c r="AO224" i="2"/>
  <c r="AN224" i="2"/>
  <c r="AM224" i="2"/>
  <c r="AL224" i="2"/>
  <c r="AK224" i="2"/>
  <c r="AG224" i="2"/>
  <c r="AS223" i="2"/>
  <c r="AR223" i="2"/>
  <c r="AQ223" i="2"/>
  <c r="AP223" i="2"/>
  <c r="AO223" i="2"/>
  <c r="AN223" i="2"/>
  <c r="AM223" i="2"/>
  <c r="AL223" i="2"/>
  <c r="AK223" i="2"/>
  <c r="AG223" i="2"/>
  <c r="AS222" i="2"/>
  <c r="AR222" i="2"/>
  <c r="AQ222" i="2"/>
  <c r="AP222" i="2"/>
  <c r="AO222" i="2"/>
  <c r="AN222" i="2"/>
  <c r="AM222" i="2"/>
  <c r="AL222" i="2"/>
  <c r="AK222" i="2"/>
  <c r="AG222" i="2"/>
  <c r="AS221" i="2"/>
  <c r="AR221" i="2"/>
  <c r="AQ221" i="2"/>
  <c r="AP221" i="2"/>
  <c r="AO221" i="2"/>
  <c r="AN221" i="2"/>
  <c r="AM221" i="2"/>
  <c r="AL221" i="2"/>
  <c r="AK221" i="2"/>
  <c r="AG221" i="2"/>
  <c r="AS220" i="2"/>
  <c r="AR220" i="2"/>
  <c r="AQ220" i="2"/>
  <c r="AP220" i="2"/>
  <c r="AO220" i="2"/>
  <c r="AN220" i="2"/>
  <c r="AM220" i="2"/>
  <c r="AL220" i="2"/>
  <c r="AK220" i="2"/>
  <c r="AG220" i="2"/>
  <c r="AS219" i="2"/>
  <c r="AR219" i="2"/>
  <c r="AQ219" i="2"/>
  <c r="AP219" i="2"/>
  <c r="AO219" i="2"/>
  <c r="AN219" i="2"/>
  <c r="AM219" i="2"/>
  <c r="AL219" i="2"/>
  <c r="AK219" i="2"/>
  <c r="AG219" i="2"/>
  <c r="AS218" i="2"/>
  <c r="AR218" i="2"/>
  <c r="AQ218" i="2"/>
  <c r="AP218" i="2"/>
  <c r="AO218" i="2"/>
  <c r="AN218" i="2"/>
  <c r="AM218" i="2"/>
  <c r="AL218" i="2"/>
  <c r="AK218" i="2"/>
  <c r="AG218" i="2"/>
  <c r="AS217" i="2"/>
  <c r="AR217" i="2"/>
  <c r="AQ217" i="2"/>
  <c r="AP217" i="2"/>
  <c r="AO217" i="2"/>
  <c r="AN217" i="2"/>
  <c r="AM217" i="2"/>
  <c r="AL217" i="2"/>
  <c r="AK217" i="2"/>
  <c r="AG217" i="2"/>
  <c r="AS216" i="2"/>
  <c r="AR216" i="2"/>
  <c r="AQ216" i="2"/>
  <c r="AP216" i="2"/>
  <c r="AO216" i="2"/>
  <c r="AN216" i="2"/>
  <c r="AM216" i="2"/>
  <c r="AL216" i="2"/>
  <c r="AK216" i="2"/>
  <c r="AG216" i="2"/>
  <c r="AS215" i="2"/>
  <c r="AR215" i="2"/>
  <c r="AQ215" i="2"/>
  <c r="AP215" i="2"/>
  <c r="AO215" i="2"/>
  <c r="AN215" i="2"/>
  <c r="AM215" i="2"/>
  <c r="AL215" i="2"/>
  <c r="AK215" i="2"/>
  <c r="AG215" i="2"/>
  <c r="AS214" i="2"/>
  <c r="AR214" i="2"/>
  <c r="AQ214" i="2"/>
  <c r="AP214" i="2"/>
  <c r="AO214" i="2"/>
  <c r="AN214" i="2"/>
  <c r="AM214" i="2"/>
  <c r="AL214" i="2"/>
  <c r="AK214" i="2"/>
  <c r="AG214" i="2"/>
  <c r="AS213" i="2"/>
  <c r="AR213" i="2"/>
  <c r="AQ213" i="2"/>
  <c r="AP213" i="2"/>
  <c r="AO213" i="2"/>
  <c r="AN213" i="2"/>
  <c r="AM213" i="2"/>
  <c r="AL213" i="2"/>
  <c r="AK213" i="2"/>
  <c r="AG213" i="2"/>
  <c r="AS212" i="2"/>
  <c r="AR212" i="2"/>
  <c r="AQ212" i="2"/>
  <c r="AP212" i="2"/>
  <c r="AO212" i="2"/>
  <c r="AN212" i="2"/>
  <c r="AM212" i="2"/>
  <c r="AL212" i="2"/>
  <c r="AK212" i="2"/>
  <c r="AG212" i="2"/>
  <c r="AS211" i="2"/>
  <c r="AR211" i="2"/>
  <c r="AQ211" i="2"/>
  <c r="AP211" i="2"/>
  <c r="AO211" i="2"/>
  <c r="AN211" i="2"/>
  <c r="AM211" i="2"/>
  <c r="AL211" i="2"/>
  <c r="AK211" i="2"/>
  <c r="AG211" i="2"/>
  <c r="AS210" i="2"/>
  <c r="AR210" i="2"/>
  <c r="AQ210" i="2"/>
  <c r="AP210" i="2"/>
  <c r="AO210" i="2"/>
  <c r="AN210" i="2"/>
  <c r="AM210" i="2"/>
  <c r="AL210" i="2"/>
  <c r="AK210" i="2"/>
  <c r="AG210" i="2"/>
  <c r="AS209" i="2"/>
  <c r="AR209" i="2"/>
  <c r="AQ209" i="2"/>
  <c r="AP209" i="2"/>
  <c r="AO209" i="2"/>
  <c r="AN209" i="2"/>
  <c r="AM209" i="2"/>
  <c r="AL209" i="2"/>
  <c r="AK209" i="2"/>
  <c r="AG209" i="2"/>
  <c r="AS208" i="2"/>
  <c r="AR208" i="2"/>
  <c r="AQ208" i="2"/>
  <c r="AP208" i="2"/>
  <c r="AO208" i="2"/>
  <c r="AN208" i="2"/>
  <c r="AM208" i="2"/>
  <c r="AL208" i="2"/>
  <c r="AK208" i="2"/>
  <c r="AG208" i="2"/>
  <c r="AS207" i="2"/>
  <c r="AR207" i="2"/>
  <c r="AQ207" i="2"/>
  <c r="AP207" i="2"/>
  <c r="AO207" i="2"/>
  <c r="AN207" i="2"/>
  <c r="AM207" i="2"/>
  <c r="AL207" i="2"/>
  <c r="AK207" i="2"/>
  <c r="AG207" i="2"/>
  <c r="AS206" i="2"/>
  <c r="AR206" i="2"/>
  <c r="AQ206" i="2"/>
  <c r="AP206" i="2"/>
  <c r="AO206" i="2"/>
  <c r="AN206" i="2"/>
  <c r="AM206" i="2"/>
  <c r="AL206" i="2"/>
  <c r="AK206" i="2"/>
  <c r="AG206" i="2"/>
  <c r="AS205" i="2"/>
  <c r="AR205" i="2"/>
  <c r="AQ205" i="2"/>
  <c r="AP205" i="2"/>
  <c r="AO205" i="2"/>
  <c r="AN205" i="2"/>
  <c r="AM205" i="2"/>
  <c r="AL205" i="2"/>
  <c r="AK205" i="2"/>
  <c r="AG205" i="2"/>
  <c r="AS204" i="2"/>
  <c r="AR204" i="2"/>
  <c r="AQ204" i="2"/>
  <c r="AP204" i="2"/>
  <c r="AO204" i="2"/>
  <c r="AN204" i="2"/>
  <c r="AM204" i="2"/>
  <c r="AL204" i="2"/>
  <c r="AK204" i="2"/>
  <c r="AG204" i="2"/>
  <c r="AS203" i="2"/>
  <c r="AR203" i="2"/>
  <c r="AQ203" i="2"/>
  <c r="AP203" i="2"/>
  <c r="AO203" i="2"/>
  <c r="AN203" i="2"/>
  <c r="AM203" i="2"/>
  <c r="AL203" i="2"/>
  <c r="AK203" i="2"/>
  <c r="AG203" i="2"/>
  <c r="AS202" i="2"/>
  <c r="AR202" i="2"/>
  <c r="AQ202" i="2"/>
  <c r="AP202" i="2"/>
  <c r="AO202" i="2"/>
  <c r="AN202" i="2"/>
  <c r="AM202" i="2"/>
  <c r="AL202" i="2"/>
  <c r="AK202" i="2"/>
  <c r="AG202" i="2"/>
  <c r="AS201" i="2"/>
  <c r="AR201" i="2"/>
  <c r="AQ201" i="2"/>
  <c r="AP201" i="2"/>
  <c r="AO201" i="2"/>
  <c r="AN201" i="2"/>
  <c r="AM201" i="2"/>
  <c r="AL201" i="2"/>
  <c r="AK201" i="2"/>
  <c r="AG201" i="2"/>
  <c r="AS200" i="2"/>
  <c r="AR200" i="2"/>
  <c r="AQ200" i="2"/>
  <c r="AP200" i="2"/>
  <c r="AO200" i="2"/>
  <c r="AN200" i="2"/>
  <c r="AM200" i="2"/>
  <c r="AL200" i="2"/>
  <c r="AK200" i="2"/>
  <c r="AG200" i="2"/>
  <c r="AS199" i="2"/>
  <c r="AR199" i="2"/>
  <c r="AQ199" i="2"/>
  <c r="AP199" i="2"/>
  <c r="AO199" i="2"/>
  <c r="AN199" i="2"/>
  <c r="AM199" i="2"/>
  <c r="AL199" i="2"/>
  <c r="AK199" i="2"/>
  <c r="AG199" i="2"/>
  <c r="AS198" i="2"/>
  <c r="AR198" i="2"/>
  <c r="AQ198" i="2"/>
  <c r="AP198" i="2"/>
  <c r="AO198" i="2"/>
  <c r="AN198" i="2"/>
  <c r="AM198" i="2"/>
  <c r="AL198" i="2"/>
  <c r="AK198" i="2"/>
  <c r="AG198" i="2"/>
  <c r="AS197" i="2"/>
  <c r="AR197" i="2"/>
  <c r="AQ197" i="2"/>
  <c r="AP197" i="2"/>
  <c r="AO197" i="2"/>
  <c r="AN197" i="2"/>
  <c r="AM197" i="2"/>
  <c r="AL197" i="2"/>
  <c r="AK197" i="2"/>
  <c r="AG197" i="2"/>
  <c r="AS196" i="2"/>
  <c r="AR196" i="2"/>
  <c r="AQ196" i="2"/>
  <c r="AP196" i="2"/>
  <c r="AO196" i="2"/>
  <c r="AN196" i="2"/>
  <c r="AM196" i="2"/>
  <c r="AL196" i="2"/>
  <c r="AK196" i="2"/>
  <c r="AG196" i="2"/>
  <c r="AS195" i="2"/>
  <c r="AR195" i="2"/>
  <c r="AQ195" i="2"/>
  <c r="AP195" i="2"/>
  <c r="AO195" i="2"/>
  <c r="AN195" i="2"/>
  <c r="AM195" i="2"/>
  <c r="AL195" i="2"/>
  <c r="AK195" i="2"/>
  <c r="AG195" i="2"/>
  <c r="AS194" i="2"/>
  <c r="AR194" i="2"/>
  <c r="AQ194" i="2"/>
  <c r="AP194" i="2"/>
  <c r="AO194" i="2"/>
  <c r="AN194" i="2"/>
  <c r="AM194" i="2"/>
  <c r="AL194" i="2"/>
  <c r="AK194" i="2"/>
  <c r="AG194" i="2"/>
  <c r="AS193" i="2"/>
  <c r="AR193" i="2"/>
  <c r="AQ193" i="2"/>
  <c r="AP193" i="2"/>
  <c r="AO193" i="2"/>
  <c r="AN193" i="2"/>
  <c r="AM193" i="2"/>
  <c r="AL193" i="2"/>
  <c r="AK193" i="2"/>
  <c r="AG193" i="2"/>
  <c r="AS192" i="2"/>
  <c r="AR192" i="2"/>
  <c r="AQ192" i="2"/>
  <c r="AP192" i="2"/>
  <c r="AO192" i="2"/>
  <c r="AN192" i="2"/>
  <c r="AM192" i="2"/>
  <c r="AL192" i="2"/>
  <c r="AK192" i="2"/>
  <c r="AG192" i="2"/>
  <c r="AS191" i="2"/>
  <c r="AR191" i="2"/>
  <c r="AQ191" i="2"/>
  <c r="AP191" i="2"/>
  <c r="AO191" i="2"/>
  <c r="AN191" i="2"/>
  <c r="AM191" i="2"/>
  <c r="AL191" i="2"/>
  <c r="AK191" i="2"/>
  <c r="AG191" i="2"/>
  <c r="AS190" i="2"/>
  <c r="AR190" i="2"/>
  <c r="AQ190" i="2"/>
  <c r="AP190" i="2"/>
  <c r="AO190" i="2"/>
  <c r="AN190" i="2"/>
  <c r="AM190" i="2"/>
  <c r="AL190" i="2"/>
  <c r="AK190" i="2"/>
  <c r="AG190" i="2"/>
  <c r="AS189" i="2"/>
  <c r="AR189" i="2"/>
  <c r="AQ189" i="2"/>
  <c r="AP189" i="2"/>
  <c r="AO189" i="2"/>
  <c r="AN189" i="2"/>
  <c r="AM189" i="2"/>
  <c r="AL189" i="2"/>
  <c r="AK189" i="2"/>
  <c r="AG189" i="2"/>
  <c r="AS188" i="2"/>
  <c r="AR188" i="2"/>
  <c r="AQ188" i="2"/>
  <c r="AP188" i="2"/>
  <c r="AO188" i="2"/>
  <c r="AN188" i="2"/>
  <c r="AM188" i="2"/>
  <c r="AL188" i="2"/>
  <c r="AK188" i="2"/>
  <c r="AG188" i="2"/>
  <c r="AS187" i="2"/>
  <c r="AR187" i="2"/>
  <c r="AQ187" i="2"/>
  <c r="AP187" i="2"/>
  <c r="AO187" i="2"/>
  <c r="AN187" i="2"/>
  <c r="AM187" i="2"/>
  <c r="AL187" i="2"/>
  <c r="AK187" i="2"/>
  <c r="AG187" i="2"/>
  <c r="AS186" i="2"/>
  <c r="AR186" i="2"/>
  <c r="AQ186" i="2"/>
  <c r="AP186" i="2"/>
  <c r="AO186" i="2"/>
  <c r="AN186" i="2"/>
  <c r="AM186" i="2"/>
  <c r="AL186" i="2"/>
  <c r="AK186" i="2"/>
  <c r="AG186" i="2"/>
  <c r="AS185" i="2"/>
  <c r="AR185" i="2"/>
  <c r="AQ185" i="2"/>
  <c r="AP185" i="2"/>
  <c r="AN185" i="2"/>
  <c r="AM185" i="2"/>
  <c r="AO185" i="2" s="1"/>
  <c r="AL185" i="2"/>
  <c r="AK185" i="2"/>
  <c r="AG185" i="2"/>
  <c r="AS184" i="2"/>
  <c r="AR184" i="2"/>
  <c r="AQ184" i="2"/>
  <c r="AN184" i="2"/>
  <c r="AM184" i="2"/>
  <c r="AO184" i="2" s="1"/>
  <c r="AP184" i="2" s="1"/>
  <c r="AL184" i="2"/>
  <c r="AK184" i="2"/>
  <c r="AG184" i="2"/>
  <c r="AS183" i="2"/>
  <c r="AR183" i="2"/>
  <c r="AQ183" i="2"/>
  <c r="AP183" i="2"/>
  <c r="AN183" i="2"/>
  <c r="AM183" i="2"/>
  <c r="AO183" i="2" s="1"/>
  <c r="AL183" i="2"/>
  <c r="AK183" i="2"/>
  <c r="AG183" i="2"/>
  <c r="AS182" i="2"/>
  <c r="AR182" i="2"/>
  <c r="AQ182" i="2"/>
  <c r="AP182" i="2"/>
  <c r="AN182" i="2"/>
  <c r="AM182" i="2"/>
  <c r="AO182" i="2" s="1"/>
  <c r="AL182" i="2"/>
  <c r="AK182" i="2"/>
  <c r="AG182" i="2"/>
  <c r="AS181" i="2"/>
  <c r="AR181" i="2"/>
  <c r="AQ181" i="2"/>
  <c r="AN181" i="2"/>
  <c r="AM181" i="2"/>
  <c r="AO181" i="2" s="1"/>
  <c r="AP181" i="2" s="1"/>
  <c r="AL181" i="2"/>
  <c r="AK181" i="2"/>
  <c r="AG181" i="2"/>
  <c r="AS180" i="2"/>
  <c r="AR180" i="2"/>
  <c r="AQ180" i="2"/>
  <c r="AN180" i="2"/>
  <c r="AM180" i="2"/>
  <c r="AO180" i="2" s="1"/>
  <c r="AP180" i="2" s="1"/>
  <c r="AL180" i="2"/>
  <c r="AK180" i="2"/>
  <c r="AG180" i="2"/>
  <c r="AS179" i="2"/>
  <c r="AR179" i="2"/>
  <c r="AQ179" i="2"/>
  <c r="AN179" i="2"/>
  <c r="AM179" i="2"/>
  <c r="AO179" i="2" s="1"/>
  <c r="AP179" i="2" s="1"/>
  <c r="AL179" i="2"/>
  <c r="AK179" i="2"/>
  <c r="AG179" i="2"/>
  <c r="AS178" i="2"/>
  <c r="AR178" i="2"/>
  <c r="AQ178" i="2"/>
  <c r="AN178" i="2"/>
  <c r="AM178" i="2"/>
  <c r="AO178" i="2" s="1"/>
  <c r="AP178" i="2" s="1"/>
  <c r="AL178" i="2"/>
  <c r="AK178" i="2"/>
  <c r="AG178" i="2"/>
  <c r="AS177" i="2"/>
  <c r="AR177" i="2"/>
  <c r="AQ177" i="2"/>
  <c r="AN177" i="2"/>
  <c r="AM177" i="2"/>
  <c r="AO177" i="2" s="1"/>
  <c r="AP177" i="2" s="1"/>
  <c r="AL177" i="2"/>
  <c r="AK177" i="2"/>
  <c r="AG177" i="2"/>
  <c r="AS176" i="2"/>
  <c r="AR176" i="2"/>
  <c r="AQ176" i="2"/>
  <c r="AN176" i="2"/>
  <c r="AM176" i="2"/>
  <c r="AO176" i="2" s="1"/>
  <c r="AP176" i="2" s="1"/>
  <c r="AL176" i="2"/>
  <c r="AK176" i="2"/>
  <c r="AG176" i="2"/>
  <c r="AS175" i="2"/>
  <c r="AR175" i="2"/>
  <c r="AQ175" i="2"/>
  <c r="AP175" i="2"/>
  <c r="AN175" i="2"/>
  <c r="AM175" i="2"/>
  <c r="AO175" i="2" s="1"/>
  <c r="AL175" i="2"/>
  <c r="AK175" i="2"/>
  <c r="AG175" i="2"/>
  <c r="AS174" i="2"/>
  <c r="AR174" i="2"/>
  <c r="AQ174" i="2"/>
  <c r="AN174" i="2"/>
  <c r="AM174" i="2"/>
  <c r="AO174" i="2" s="1"/>
  <c r="AP174" i="2" s="1"/>
  <c r="AL174" i="2"/>
  <c r="AK174" i="2"/>
  <c r="AG174" i="2"/>
  <c r="AS173" i="2"/>
  <c r="AR173" i="2"/>
  <c r="AQ173" i="2"/>
  <c r="AP173" i="2"/>
  <c r="AN173" i="2"/>
  <c r="AM173" i="2"/>
  <c r="AO173" i="2" s="1"/>
  <c r="AL173" i="2"/>
  <c r="AK173" i="2"/>
  <c r="AG173" i="2"/>
  <c r="AS172" i="2"/>
  <c r="AR172" i="2"/>
  <c r="AQ172" i="2"/>
  <c r="AP172" i="2"/>
  <c r="AN172" i="2"/>
  <c r="AM172" i="2"/>
  <c r="AO172" i="2" s="1"/>
  <c r="AL172" i="2"/>
  <c r="AK172" i="2"/>
  <c r="AG172" i="2"/>
  <c r="AS171" i="2"/>
  <c r="AR171" i="2"/>
  <c r="AQ171" i="2"/>
  <c r="AN171" i="2"/>
  <c r="AM171" i="2"/>
  <c r="AO171" i="2" s="1"/>
  <c r="AP171" i="2" s="1"/>
  <c r="AL171" i="2"/>
  <c r="AK171" i="2"/>
  <c r="AG171" i="2"/>
  <c r="AS170" i="2"/>
  <c r="AR170" i="2"/>
  <c r="AQ170" i="2"/>
  <c r="AN170" i="2"/>
  <c r="AM170" i="2"/>
  <c r="AO170" i="2" s="1"/>
  <c r="AP170" i="2" s="1"/>
  <c r="AL170" i="2"/>
  <c r="AK170" i="2"/>
  <c r="AG170" i="2"/>
  <c r="AS169" i="2"/>
  <c r="AR169" i="2"/>
  <c r="AQ169" i="2"/>
  <c r="AN169" i="2"/>
  <c r="AM169" i="2"/>
  <c r="AO169" i="2" s="1"/>
  <c r="AP169" i="2" s="1"/>
  <c r="AL169" i="2"/>
  <c r="AK169" i="2"/>
  <c r="AG169" i="2"/>
  <c r="AS168" i="2"/>
  <c r="AR168" i="2"/>
  <c r="AQ168" i="2"/>
  <c r="AN168" i="2"/>
  <c r="AM168" i="2"/>
  <c r="AO168" i="2" s="1"/>
  <c r="AP168" i="2" s="1"/>
  <c r="AL168" i="2"/>
  <c r="AK168" i="2"/>
  <c r="AG168" i="2"/>
  <c r="AS167" i="2"/>
  <c r="AR167" i="2"/>
  <c r="AQ167" i="2"/>
  <c r="AN167" i="2"/>
  <c r="AM167" i="2"/>
  <c r="AO167" i="2" s="1"/>
  <c r="AP167" i="2" s="1"/>
  <c r="AL167" i="2"/>
  <c r="AK167" i="2"/>
  <c r="AG167" i="2"/>
  <c r="AS166" i="2"/>
  <c r="AR166" i="2"/>
  <c r="AQ166" i="2"/>
  <c r="AN166" i="2"/>
  <c r="AM166" i="2"/>
  <c r="AO166" i="2" s="1"/>
  <c r="AP166" i="2" s="1"/>
  <c r="AL166" i="2"/>
  <c r="AK166" i="2"/>
  <c r="AG166" i="2"/>
  <c r="AS165" i="2"/>
  <c r="AR165" i="2"/>
  <c r="AQ165" i="2"/>
  <c r="AP165" i="2"/>
  <c r="AN165" i="2"/>
  <c r="AM165" i="2"/>
  <c r="AO165" i="2" s="1"/>
  <c r="AL165" i="2"/>
  <c r="AK165" i="2"/>
  <c r="AG165" i="2"/>
  <c r="AS164" i="2"/>
  <c r="AR164" i="2"/>
  <c r="AQ164" i="2"/>
  <c r="AN164" i="2"/>
  <c r="AM164" i="2"/>
  <c r="AO164" i="2" s="1"/>
  <c r="AP164" i="2" s="1"/>
  <c r="AL164" i="2"/>
  <c r="AK164" i="2"/>
  <c r="AG164" i="2"/>
  <c r="AS163" i="2"/>
  <c r="AR163" i="2"/>
  <c r="AQ163" i="2"/>
  <c r="AN163" i="2"/>
  <c r="AM163" i="2"/>
  <c r="AO163" i="2" s="1"/>
  <c r="AP163" i="2" s="1"/>
  <c r="AL163" i="2"/>
  <c r="AK163" i="2"/>
  <c r="AG163" i="2"/>
  <c r="AS162" i="2"/>
  <c r="AR162" i="2"/>
  <c r="AQ162" i="2"/>
  <c r="AP162" i="2"/>
  <c r="AN162" i="2"/>
  <c r="AM162" i="2"/>
  <c r="AO162" i="2" s="1"/>
  <c r="AL162" i="2"/>
  <c r="AK162" i="2"/>
  <c r="AG162" i="2"/>
  <c r="AS161" i="2"/>
  <c r="AR161" i="2"/>
  <c r="AQ161" i="2"/>
  <c r="AN161" i="2"/>
  <c r="AM161" i="2"/>
  <c r="AO161" i="2" s="1"/>
  <c r="AP161" i="2" s="1"/>
  <c r="AL161" i="2"/>
  <c r="AK161" i="2"/>
  <c r="AG161" i="2"/>
  <c r="AS160" i="2"/>
  <c r="AR160" i="2"/>
  <c r="AQ160" i="2"/>
  <c r="AP160" i="2"/>
  <c r="AN160" i="2"/>
  <c r="AM160" i="2"/>
  <c r="AO160" i="2" s="1"/>
  <c r="AL160" i="2"/>
  <c r="AK160" i="2"/>
  <c r="AG160" i="2"/>
  <c r="AS159" i="2"/>
  <c r="AR159" i="2"/>
  <c r="AQ159" i="2"/>
  <c r="AN159" i="2"/>
  <c r="AM159" i="2"/>
  <c r="AO159" i="2" s="1"/>
  <c r="AP159" i="2" s="1"/>
  <c r="AL159" i="2"/>
  <c r="AK159" i="2"/>
  <c r="AG159" i="2"/>
  <c r="AS158" i="2"/>
  <c r="AR158" i="2"/>
  <c r="AQ158" i="2"/>
  <c r="AN158" i="2"/>
  <c r="AM158" i="2"/>
  <c r="AO158" i="2" s="1"/>
  <c r="AP158" i="2" s="1"/>
  <c r="AL158" i="2"/>
  <c r="AK158" i="2"/>
  <c r="AG158" i="2"/>
  <c r="AS157" i="2"/>
  <c r="AR157" i="2"/>
  <c r="AQ157" i="2"/>
  <c r="AN157" i="2"/>
  <c r="AM157" i="2"/>
  <c r="AO157" i="2" s="1"/>
  <c r="AP157" i="2" s="1"/>
  <c r="AL157" i="2"/>
  <c r="AK157" i="2"/>
  <c r="AG157" i="2"/>
  <c r="AS156" i="2"/>
  <c r="AR156" i="2"/>
  <c r="AQ156" i="2"/>
  <c r="AN156" i="2"/>
  <c r="AM156" i="2"/>
  <c r="AO156" i="2" s="1"/>
  <c r="AP156" i="2" s="1"/>
  <c r="AL156" i="2"/>
  <c r="AK156" i="2"/>
  <c r="AG156" i="2"/>
  <c r="AS155" i="2"/>
  <c r="AR155" i="2"/>
  <c r="AQ155" i="2"/>
  <c r="AP155" i="2"/>
  <c r="AN155" i="2"/>
  <c r="AM155" i="2"/>
  <c r="AO155" i="2" s="1"/>
  <c r="AL155" i="2"/>
  <c r="AK155" i="2"/>
  <c r="AG155" i="2"/>
  <c r="AS154" i="2"/>
  <c r="AR154" i="2"/>
  <c r="AQ154" i="2"/>
  <c r="AN154" i="2"/>
  <c r="AM154" i="2"/>
  <c r="AO154" i="2" s="1"/>
  <c r="AP154" i="2" s="1"/>
  <c r="AL154" i="2"/>
  <c r="AK154" i="2"/>
  <c r="AG154" i="2"/>
  <c r="AS153" i="2"/>
  <c r="AR153" i="2"/>
  <c r="AQ153" i="2"/>
  <c r="AP153" i="2"/>
  <c r="AN153" i="2"/>
  <c r="AM153" i="2"/>
  <c r="AO153" i="2" s="1"/>
  <c r="AL153" i="2"/>
  <c r="AK153" i="2"/>
  <c r="AG153" i="2"/>
  <c r="AS152" i="2"/>
  <c r="AR152" i="2"/>
  <c r="AQ152" i="2"/>
  <c r="AP152" i="2"/>
  <c r="AN152" i="2"/>
  <c r="AM152" i="2"/>
  <c r="AO152" i="2" s="1"/>
  <c r="AL152" i="2"/>
  <c r="AK152" i="2"/>
  <c r="AG152" i="2"/>
  <c r="AS151" i="2"/>
  <c r="AR151" i="2"/>
  <c r="AQ151" i="2"/>
  <c r="AN151" i="2"/>
  <c r="AM151" i="2"/>
  <c r="AO151" i="2" s="1"/>
  <c r="AP151" i="2" s="1"/>
  <c r="AL151" i="2"/>
  <c r="AK151" i="2"/>
  <c r="AG151" i="2"/>
  <c r="AS150" i="2"/>
  <c r="AR150" i="2"/>
  <c r="AQ150" i="2"/>
  <c r="AN150" i="2"/>
  <c r="AM150" i="2"/>
  <c r="AO150" i="2" s="1"/>
  <c r="AP150" i="2" s="1"/>
  <c r="AL150" i="2"/>
  <c r="AK150" i="2"/>
  <c r="AG150" i="2"/>
  <c r="AS149" i="2"/>
  <c r="AR149" i="2"/>
  <c r="AQ149" i="2"/>
  <c r="AN149" i="2"/>
  <c r="AM149" i="2"/>
  <c r="AO149" i="2" s="1"/>
  <c r="AP149" i="2" s="1"/>
  <c r="AL149" i="2"/>
  <c r="AK149" i="2"/>
  <c r="AG149" i="2"/>
  <c r="AS148" i="2"/>
  <c r="AR148" i="2"/>
  <c r="AQ148" i="2"/>
  <c r="AN148" i="2"/>
  <c r="AM148" i="2"/>
  <c r="AO148" i="2" s="1"/>
  <c r="AP148" i="2" s="1"/>
  <c r="AL148" i="2"/>
  <c r="AK148" i="2"/>
  <c r="AG148" i="2"/>
  <c r="AS147" i="2"/>
  <c r="AR147" i="2"/>
  <c r="AQ147" i="2"/>
  <c r="AN147" i="2"/>
  <c r="AM147" i="2"/>
  <c r="AO147" i="2" s="1"/>
  <c r="AP147" i="2" s="1"/>
  <c r="AL147" i="2"/>
  <c r="AK147" i="2"/>
  <c r="AG147" i="2"/>
  <c r="AS146" i="2"/>
  <c r="AR146" i="2"/>
  <c r="AQ146" i="2"/>
  <c r="AN146" i="2"/>
  <c r="AM146" i="2"/>
  <c r="AO146" i="2" s="1"/>
  <c r="AP146" i="2" s="1"/>
  <c r="AL146" i="2"/>
  <c r="AK146" i="2"/>
  <c r="AG146" i="2"/>
  <c r="AS145" i="2"/>
  <c r="AR145" i="2"/>
  <c r="AQ145" i="2"/>
  <c r="AP145" i="2"/>
  <c r="AN145" i="2"/>
  <c r="AM145" i="2"/>
  <c r="AO145" i="2" s="1"/>
  <c r="AL145" i="2"/>
  <c r="AK145" i="2"/>
  <c r="AG145" i="2"/>
  <c r="AS144" i="2"/>
  <c r="AR144" i="2"/>
  <c r="AQ144" i="2"/>
  <c r="AN144" i="2"/>
  <c r="AM144" i="2"/>
  <c r="AO144" i="2" s="1"/>
  <c r="AP144" i="2" s="1"/>
  <c r="AL144" i="2"/>
  <c r="AK144" i="2"/>
  <c r="AG144" i="2"/>
  <c r="AS143" i="2"/>
  <c r="AR143" i="2"/>
  <c r="AQ143" i="2"/>
  <c r="AN143" i="2"/>
  <c r="AM143" i="2"/>
  <c r="AO143" i="2" s="1"/>
  <c r="AP143" i="2" s="1"/>
  <c r="AL143" i="2"/>
  <c r="AK143" i="2"/>
  <c r="AG143" i="2"/>
  <c r="AS142" i="2"/>
  <c r="AR142" i="2"/>
  <c r="AQ142" i="2"/>
  <c r="AP142" i="2"/>
  <c r="AN142" i="2"/>
  <c r="AM142" i="2"/>
  <c r="AO142" i="2" s="1"/>
  <c r="AL142" i="2"/>
  <c r="AK142" i="2"/>
  <c r="AG142" i="2"/>
  <c r="AS141" i="2"/>
  <c r="AR141" i="2"/>
  <c r="AQ141" i="2"/>
  <c r="AN141" i="2"/>
  <c r="AM141" i="2"/>
  <c r="AO141" i="2" s="1"/>
  <c r="AP141" i="2" s="1"/>
  <c r="AL141" i="2"/>
  <c r="AK141" i="2"/>
  <c r="AG141" i="2"/>
  <c r="AS140" i="2"/>
  <c r="AR140" i="2"/>
  <c r="AQ140" i="2"/>
  <c r="AP140" i="2"/>
  <c r="AN140" i="2"/>
  <c r="AM140" i="2"/>
  <c r="AO140" i="2" s="1"/>
  <c r="AL140" i="2"/>
  <c r="AK140" i="2"/>
  <c r="AG140" i="2"/>
  <c r="AS139" i="2"/>
  <c r="AR139" i="2"/>
  <c r="AQ139" i="2"/>
  <c r="AN139" i="2"/>
  <c r="AM139" i="2"/>
  <c r="AO139" i="2" s="1"/>
  <c r="AP139" i="2" s="1"/>
  <c r="AL139" i="2"/>
  <c r="AK139" i="2"/>
  <c r="AG139" i="2"/>
  <c r="AS138" i="2"/>
  <c r="AR138" i="2"/>
  <c r="AQ138" i="2"/>
  <c r="AN138" i="2"/>
  <c r="AM138" i="2"/>
  <c r="AO138" i="2" s="1"/>
  <c r="AP138" i="2" s="1"/>
  <c r="AL138" i="2"/>
  <c r="AK138" i="2"/>
  <c r="AG138" i="2"/>
  <c r="AS137" i="2"/>
  <c r="AR137" i="2"/>
  <c r="AQ137" i="2"/>
  <c r="AN137" i="2"/>
  <c r="AM137" i="2"/>
  <c r="AO137" i="2" s="1"/>
  <c r="AP137" i="2" s="1"/>
  <c r="AL137" i="2"/>
  <c r="AK137" i="2"/>
  <c r="AG137" i="2"/>
  <c r="AS136" i="2"/>
  <c r="AR136" i="2"/>
  <c r="AQ136" i="2"/>
  <c r="AN136" i="2"/>
  <c r="AM136" i="2"/>
  <c r="AO136" i="2" s="1"/>
  <c r="AP136" i="2" s="1"/>
  <c r="AL136" i="2"/>
  <c r="AK136" i="2"/>
  <c r="AG136" i="2"/>
  <c r="AS135" i="2"/>
  <c r="AR135" i="2"/>
  <c r="AQ135" i="2"/>
  <c r="AP135" i="2"/>
  <c r="AN135" i="2"/>
  <c r="AM135" i="2"/>
  <c r="AO135" i="2" s="1"/>
  <c r="AL135" i="2"/>
  <c r="AK135" i="2"/>
  <c r="AG135" i="2"/>
  <c r="AS134" i="2"/>
  <c r="AR134" i="2"/>
  <c r="AQ134" i="2"/>
  <c r="AN134" i="2"/>
  <c r="AM134" i="2"/>
  <c r="AO134" i="2" s="1"/>
  <c r="AP134" i="2" s="1"/>
  <c r="AL134" i="2"/>
  <c r="AK134" i="2"/>
  <c r="AG134" i="2"/>
  <c r="AS133" i="2"/>
  <c r="AR133" i="2"/>
  <c r="AQ133" i="2"/>
  <c r="AN133" i="2"/>
  <c r="AM133" i="2"/>
  <c r="AO133" i="2" s="1"/>
  <c r="AP133" i="2" s="1"/>
  <c r="AL133" i="2"/>
  <c r="AK133" i="2"/>
  <c r="AG133" i="2"/>
  <c r="AS132" i="2"/>
  <c r="AR132" i="2"/>
  <c r="AQ132" i="2"/>
  <c r="AP132" i="2"/>
  <c r="AN132" i="2"/>
  <c r="AM132" i="2"/>
  <c r="AO132" i="2" s="1"/>
  <c r="AL132" i="2"/>
  <c r="AK132" i="2"/>
  <c r="AG132" i="2"/>
  <c r="AS131" i="2"/>
  <c r="AR131" i="2"/>
  <c r="AQ131" i="2"/>
  <c r="AN131" i="2"/>
  <c r="AM131" i="2"/>
  <c r="AO131" i="2" s="1"/>
  <c r="AP131" i="2" s="1"/>
  <c r="AL131" i="2"/>
  <c r="AK131" i="2"/>
  <c r="AG131" i="2"/>
  <c r="AS130" i="2"/>
  <c r="AR130" i="2"/>
  <c r="AQ130" i="2"/>
  <c r="AN130" i="2"/>
  <c r="AM130" i="2"/>
  <c r="AO130" i="2" s="1"/>
  <c r="AP130" i="2" s="1"/>
  <c r="AL130" i="2"/>
  <c r="AK130" i="2"/>
  <c r="AG130" i="2"/>
  <c r="AS129" i="2"/>
  <c r="AR129" i="2"/>
  <c r="AQ129" i="2"/>
  <c r="AP129" i="2"/>
  <c r="AN129" i="2"/>
  <c r="AM129" i="2"/>
  <c r="AO129" i="2" s="1"/>
  <c r="AL129" i="2"/>
  <c r="AK129" i="2"/>
  <c r="AG129" i="2"/>
  <c r="AS128" i="2"/>
  <c r="AR128" i="2"/>
  <c r="AQ128" i="2"/>
  <c r="AN128" i="2"/>
  <c r="AM128" i="2"/>
  <c r="AO128" i="2" s="1"/>
  <c r="AP128" i="2" s="1"/>
  <c r="AL128" i="2"/>
  <c r="AK128" i="2"/>
  <c r="AG128" i="2"/>
  <c r="AS127" i="2"/>
  <c r="AR127" i="2"/>
  <c r="AQ127" i="2"/>
  <c r="AN127" i="2"/>
  <c r="AM127" i="2"/>
  <c r="AO127" i="2" s="1"/>
  <c r="AP127" i="2" s="1"/>
  <c r="AL127" i="2"/>
  <c r="AK127" i="2"/>
  <c r="AG127" i="2"/>
  <c r="AS126" i="2"/>
  <c r="AR126" i="2"/>
  <c r="AQ126" i="2"/>
  <c r="AN126" i="2"/>
  <c r="AM126" i="2"/>
  <c r="AO126" i="2" s="1"/>
  <c r="AP126" i="2" s="1"/>
  <c r="AL126" i="2"/>
  <c r="AK126" i="2"/>
  <c r="AG126" i="2"/>
  <c r="AS125" i="2"/>
  <c r="AR125" i="2"/>
  <c r="AQ125" i="2"/>
  <c r="AP125" i="2"/>
  <c r="AN125" i="2"/>
  <c r="AM125" i="2"/>
  <c r="AO125" i="2" s="1"/>
  <c r="AL125" i="2"/>
  <c r="AK125" i="2"/>
  <c r="AG125" i="2"/>
  <c r="AS124" i="2"/>
  <c r="AR124" i="2"/>
  <c r="AQ124" i="2"/>
  <c r="AN124" i="2"/>
  <c r="AM124" i="2"/>
  <c r="AO124" i="2" s="1"/>
  <c r="AP124" i="2" s="1"/>
  <c r="AL124" i="2"/>
  <c r="AK124" i="2"/>
  <c r="AG124" i="2"/>
  <c r="AS123" i="2"/>
  <c r="AR123" i="2"/>
  <c r="AQ123" i="2"/>
  <c r="AN123" i="2"/>
  <c r="AM123" i="2"/>
  <c r="AO123" i="2" s="1"/>
  <c r="AP123" i="2" s="1"/>
  <c r="AL123" i="2"/>
  <c r="AK123" i="2"/>
  <c r="AG123" i="2"/>
  <c r="AS122" i="2"/>
  <c r="AR122" i="2"/>
  <c r="AQ122" i="2"/>
  <c r="AP122" i="2"/>
  <c r="AN122" i="2"/>
  <c r="AM122" i="2"/>
  <c r="AO122" i="2" s="1"/>
  <c r="AL122" i="2"/>
  <c r="AK122" i="2"/>
  <c r="AG122" i="2"/>
  <c r="AS121" i="2"/>
  <c r="AR121" i="2"/>
  <c r="AQ121" i="2"/>
  <c r="AN121" i="2"/>
  <c r="AM121" i="2"/>
  <c r="AO121" i="2" s="1"/>
  <c r="AP121" i="2" s="1"/>
  <c r="AL121" i="2"/>
  <c r="AK121" i="2"/>
  <c r="AG121" i="2"/>
  <c r="AS120" i="2"/>
  <c r="AR120" i="2"/>
  <c r="AQ120" i="2"/>
  <c r="AP120" i="2"/>
  <c r="AN120" i="2"/>
  <c r="AM120" i="2"/>
  <c r="AO120" i="2" s="1"/>
  <c r="AL120" i="2"/>
  <c r="AK120" i="2"/>
  <c r="AG120" i="2"/>
  <c r="AS119" i="2"/>
  <c r="AR119" i="2"/>
  <c r="AQ119" i="2"/>
  <c r="AP119" i="2"/>
  <c r="AN119" i="2"/>
  <c r="AM119" i="2"/>
  <c r="AO119" i="2" s="1"/>
  <c r="AL119" i="2"/>
  <c r="AK119" i="2"/>
  <c r="AG119" i="2"/>
  <c r="AS118" i="2"/>
  <c r="AR118" i="2"/>
  <c r="AQ118" i="2"/>
  <c r="AN118" i="2"/>
  <c r="AM118" i="2"/>
  <c r="AO118" i="2" s="1"/>
  <c r="AP118" i="2" s="1"/>
  <c r="AL118" i="2"/>
  <c r="AK118" i="2"/>
  <c r="AG118" i="2"/>
  <c r="AS117" i="2"/>
  <c r="AR117" i="2"/>
  <c r="AQ117" i="2"/>
  <c r="AN117" i="2"/>
  <c r="AM117" i="2"/>
  <c r="AO117" i="2" s="1"/>
  <c r="AP117" i="2" s="1"/>
  <c r="AL117" i="2"/>
  <c r="AK117" i="2"/>
  <c r="AG117" i="2"/>
  <c r="AS116" i="2"/>
  <c r="AR116" i="2"/>
  <c r="AQ116" i="2"/>
  <c r="AN116" i="2"/>
  <c r="AM116" i="2"/>
  <c r="AO116" i="2" s="1"/>
  <c r="AP116" i="2" s="1"/>
  <c r="AL116" i="2"/>
  <c r="AK116" i="2"/>
  <c r="AG116" i="2"/>
  <c r="AS115" i="2"/>
  <c r="AR115" i="2"/>
  <c r="AQ115" i="2"/>
  <c r="AP115" i="2"/>
  <c r="AN115" i="2"/>
  <c r="AM115" i="2"/>
  <c r="AO115" i="2" s="1"/>
  <c r="AL115" i="2"/>
  <c r="AK115" i="2"/>
  <c r="AG115" i="2"/>
  <c r="AS114" i="2"/>
  <c r="AR114" i="2"/>
  <c r="AQ114" i="2"/>
  <c r="AN114" i="2"/>
  <c r="AM114" i="2"/>
  <c r="AO114" i="2" s="1"/>
  <c r="AP114" i="2" s="1"/>
  <c r="AL114" i="2"/>
  <c r="AK114" i="2"/>
  <c r="AG114" i="2"/>
  <c r="AS113" i="2"/>
  <c r="AR113" i="2"/>
  <c r="AQ113" i="2"/>
  <c r="AN113" i="2"/>
  <c r="AM113" i="2"/>
  <c r="AO113" i="2" s="1"/>
  <c r="AP113" i="2" s="1"/>
  <c r="AL113" i="2"/>
  <c r="AK113" i="2"/>
  <c r="AG113" i="2"/>
  <c r="AS112" i="2"/>
  <c r="AR112" i="2"/>
  <c r="AQ112" i="2"/>
  <c r="AP112" i="2"/>
  <c r="AN112" i="2"/>
  <c r="AM112" i="2"/>
  <c r="AO112" i="2" s="1"/>
  <c r="AL112" i="2"/>
  <c r="AK112" i="2"/>
  <c r="AG112" i="2"/>
  <c r="AS111" i="2"/>
  <c r="AR111" i="2"/>
  <c r="AQ111" i="2"/>
  <c r="AN111" i="2"/>
  <c r="AM111" i="2"/>
  <c r="AO111" i="2" s="1"/>
  <c r="AP111" i="2" s="1"/>
  <c r="AL111" i="2"/>
  <c r="AK111" i="2"/>
  <c r="AG111" i="2"/>
  <c r="AS110" i="2"/>
  <c r="AR110" i="2"/>
  <c r="AQ110" i="2"/>
  <c r="AN110" i="2"/>
  <c r="AM110" i="2"/>
  <c r="AO110" i="2" s="1"/>
  <c r="AP110" i="2" s="1"/>
  <c r="AL110" i="2"/>
  <c r="AK110" i="2"/>
  <c r="AG110" i="2"/>
  <c r="AS109" i="2"/>
  <c r="AR109" i="2"/>
  <c r="AQ109" i="2"/>
  <c r="AP109" i="2"/>
  <c r="AN109" i="2"/>
  <c r="AM109" i="2"/>
  <c r="AO109" i="2" s="1"/>
  <c r="AL109" i="2"/>
  <c r="AK109" i="2"/>
  <c r="AG109" i="2"/>
  <c r="AS108" i="2"/>
  <c r="AR108" i="2"/>
  <c r="AQ108" i="2"/>
  <c r="AN108" i="2"/>
  <c r="AM108" i="2"/>
  <c r="AO108" i="2" s="1"/>
  <c r="AP108" i="2" s="1"/>
  <c r="AL108" i="2"/>
  <c r="AK108" i="2"/>
  <c r="AG108" i="2"/>
  <c r="AS107" i="2"/>
  <c r="AR107" i="2"/>
  <c r="AQ107" i="2"/>
  <c r="AN107" i="2"/>
  <c r="AM107" i="2"/>
  <c r="AO107" i="2" s="1"/>
  <c r="AP107" i="2" s="1"/>
  <c r="AL107" i="2"/>
  <c r="AK107" i="2"/>
  <c r="AG107" i="2"/>
  <c r="AS106" i="2"/>
  <c r="AR106" i="2"/>
  <c r="AQ106" i="2"/>
  <c r="AN106" i="2"/>
  <c r="AM106" i="2"/>
  <c r="AO106" i="2" s="1"/>
  <c r="AP106" i="2" s="1"/>
  <c r="AL106" i="2"/>
  <c r="AK106" i="2"/>
  <c r="AG106" i="2"/>
  <c r="AS105" i="2"/>
  <c r="AR105" i="2"/>
  <c r="AQ105" i="2"/>
  <c r="AP105" i="2"/>
  <c r="AN105" i="2"/>
  <c r="AM105" i="2"/>
  <c r="AO105" i="2" s="1"/>
  <c r="AL105" i="2"/>
  <c r="AK105" i="2"/>
  <c r="AG105" i="2"/>
  <c r="AS104" i="2"/>
  <c r="AR104" i="2"/>
  <c r="AQ104" i="2"/>
  <c r="AN104" i="2"/>
  <c r="AM104" i="2"/>
  <c r="AO104" i="2" s="1"/>
  <c r="AP104" i="2" s="1"/>
  <c r="AL104" i="2"/>
  <c r="AK104" i="2"/>
  <c r="AG104" i="2"/>
  <c r="AS103" i="2"/>
  <c r="AR103" i="2"/>
  <c r="AQ103" i="2"/>
  <c r="AN103" i="2"/>
  <c r="AM103" i="2"/>
  <c r="AO103" i="2" s="1"/>
  <c r="AP103" i="2" s="1"/>
  <c r="AL103" i="2"/>
  <c r="AK103" i="2"/>
  <c r="AG103" i="2"/>
  <c r="AS102" i="2"/>
  <c r="AR102" i="2"/>
  <c r="AQ102" i="2"/>
  <c r="AP102" i="2"/>
  <c r="AN102" i="2"/>
  <c r="AM102" i="2"/>
  <c r="AO102" i="2" s="1"/>
  <c r="AL102" i="2"/>
  <c r="AK102" i="2"/>
  <c r="AG102" i="2"/>
  <c r="AS101" i="2"/>
  <c r="AR101" i="2"/>
  <c r="AQ101" i="2"/>
  <c r="AN101" i="2"/>
  <c r="AM101" i="2"/>
  <c r="AO101" i="2" s="1"/>
  <c r="AP101" i="2" s="1"/>
  <c r="AL101" i="2"/>
  <c r="AK101" i="2"/>
  <c r="AG101" i="2"/>
  <c r="AS100" i="2"/>
  <c r="AR100" i="2"/>
  <c r="AQ100" i="2"/>
  <c r="AP100" i="2"/>
  <c r="AN100" i="2"/>
  <c r="AM100" i="2"/>
  <c r="AO100" i="2" s="1"/>
  <c r="AL100" i="2"/>
  <c r="AK100" i="2"/>
  <c r="AG100" i="2"/>
  <c r="AS99" i="2"/>
  <c r="AR99" i="2"/>
  <c r="AQ99" i="2"/>
  <c r="AP99" i="2"/>
  <c r="AN99" i="2"/>
  <c r="AM99" i="2"/>
  <c r="AO99" i="2" s="1"/>
  <c r="AL99" i="2"/>
  <c r="AK99" i="2"/>
  <c r="AG99" i="2"/>
  <c r="AS98" i="2"/>
  <c r="AR98" i="2"/>
  <c r="AQ98" i="2"/>
  <c r="AN98" i="2"/>
  <c r="AM98" i="2"/>
  <c r="AO98" i="2" s="1"/>
  <c r="AP98" i="2" s="1"/>
  <c r="AL98" i="2"/>
  <c r="AK98" i="2"/>
  <c r="AG98" i="2"/>
  <c r="AS97" i="2"/>
  <c r="AR97" i="2"/>
  <c r="AQ97" i="2"/>
  <c r="AN97" i="2"/>
  <c r="AM97" i="2"/>
  <c r="AO97" i="2" s="1"/>
  <c r="AP97" i="2" s="1"/>
  <c r="AL97" i="2"/>
  <c r="AK97" i="2"/>
  <c r="AG97" i="2"/>
  <c r="AS96" i="2"/>
  <c r="AR96" i="2"/>
  <c r="AQ96" i="2"/>
  <c r="AN96" i="2"/>
  <c r="AM96" i="2"/>
  <c r="AO96" i="2" s="1"/>
  <c r="AP96" i="2" s="1"/>
  <c r="AL96" i="2"/>
  <c r="AK96" i="2"/>
  <c r="AG96" i="2"/>
  <c r="AS95" i="2"/>
  <c r="AR95" i="2"/>
  <c r="AQ95" i="2"/>
  <c r="AP95" i="2"/>
  <c r="AN95" i="2"/>
  <c r="AM95" i="2"/>
  <c r="AO95" i="2" s="1"/>
  <c r="AL95" i="2"/>
  <c r="AK95" i="2"/>
  <c r="AG95" i="2"/>
  <c r="AS94" i="2"/>
  <c r="AR94" i="2"/>
  <c r="AQ94" i="2"/>
  <c r="AN94" i="2"/>
  <c r="AM94" i="2"/>
  <c r="AO94" i="2" s="1"/>
  <c r="AP94" i="2" s="1"/>
  <c r="AL94" i="2"/>
  <c r="AK94" i="2"/>
  <c r="AG94" i="2"/>
  <c r="AS93" i="2"/>
  <c r="AR93" i="2"/>
  <c r="AQ93" i="2"/>
  <c r="AP93" i="2"/>
  <c r="AN93" i="2"/>
  <c r="AM93" i="2"/>
  <c r="AO93" i="2" s="1"/>
  <c r="AL93" i="2"/>
  <c r="AK93" i="2"/>
  <c r="AG93" i="2"/>
  <c r="AS92" i="2"/>
  <c r="AR92" i="2"/>
  <c r="AQ92" i="2"/>
  <c r="AP92" i="2"/>
  <c r="AN92" i="2"/>
  <c r="AM92" i="2"/>
  <c r="AO92" i="2" s="1"/>
  <c r="AL92" i="2"/>
  <c r="AK92" i="2"/>
  <c r="AG92" i="2"/>
  <c r="AS91" i="2"/>
  <c r="AR91" i="2"/>
  <c r="AQ91" i="2"/>
  <c r="AN91" i="2"/>
  <c r="AM91" i="2"/>
  <c r="AO91" i="2" s="1"/>
  <c r="AP91" i="2" s="1"/>
  <c r="AL91" i="2"/>
  <c r="AK91" i="2"/>
  <c r="AG91" i="2"/>
  <c r="AS90" i="2"/>
  <c r="AR90" i="2"/>
  <c r="AQ90" i="2"/>
  <c r="AN90" i="2"/>
  <c r="AM90" i="2"/>
  <c r="AO90" i="2" s="1"/>
  <c r="AP90" i="2" s="1"/>
  <c r="AL90" i="2"/>
  <c r="AK90" i="2"/>
  <c r="AG90" i="2"/>
  <c r="AS89" i="2"/>
  <c r="AR89" i="2"/>
  <c r="AQ89" i="2"/>
  <c r="AP89" i="2"/>
  <c r="AN89" i="2"/>
  <c r="AM89" i="2"/>
  <c r="AO89" i="2" s="1"/>
  <c r="AL89" i="2"/>
  <c r="AK89" i="2"/>
  <c r="AG89" i="2"/>
  <c r="AS88" i="2"/>
  <c r="AR88" i="2"/>
  <c r="AQ88" i="2"/>
  <c r="AN88" i="2"/>
  <c r="AM88" i="2"/>
  <c r="AO88" i="2" s="1"/>
  <c r="AP88" i="2" s="1"/>
  <c r="AL88" i="2"/>
  <c r="AK88" i="2"/>
  <c r="AG88" i="2"/>
  <c r="AS87" i="2"/>
  <c r="AR87" i="2"/>
  <c r="AQ87" i="2"/>
  <c r="AN87" i="2"/>
  <c r="AM87" i="2"/>
  <c r="AO87" i="2" s="1"/>
  <c r="AP87" i="2" s="1"/>
  <c r="AL87" i="2"/>
  <c r="AK87" i="2"/>
  <c r="AG87" i="2"/>
  <c r="AS86" i="2"/>
  <c r="AR86" i="2"/>
  <c r="AQ86" i="2"/>
  <c r="AN86" i="2"/>
  <c r="AM86" i="2"/>
  <c r="AO86" i="2" s="1"/>
  <c r="AP86" i="2" s="1"/>
  <c r="AL86" i="2"/>
  <c r="AK86" i="2"/>
  <c r="AG86" i="2"/>
  <c r="AS85" i="2"/>
  <c r="AR85" i="2"/>
  <c r="AQ85" i="2"/>
  <c r="AP85" i="2"/>
  <c r="AN85" i="2"/>
  <c r="AM85" i="2"/>
  <c r="AO85" i="2" s="1"/>
  <c r="AL85" i="2"/>
  <c r="AK85" i="2"/>
  <c r="AG85" i="2"/>
  <c r="AS84" i="2"/>
  <c r="AR84" i="2"/>
  <c r="AQ84" i="2"/>
  <c r="AN84" i="2"/>
  <c r="AM84" i="2"/>
  <c r="AO84" i="2" s="1"/>
  <c r="AP84" i="2" s="1"/>
  <c r="AL84" i="2"/>
  <c r="AK84" i="2"/>
  <c r="AG84" i="2"/>
  <c r="AS83" i="2"/>
  <c r="AR83" i="2"/>
  <c r="AQ83" i="2"/>
  <c r="AN83" i="2"/>
  <c r="AM83" i="2"/>
  <c r="AO83" i="2" s="1"/>
  <c r="AP83" i="2" s="1"/>
  <c r="AL83" i="2"/>
  <c r="AK83" i="2"/>
  <c r="AG83" i="2"/>
  <c r="AS82" i="2"/>
  <c r="AR82" i="2"/>
  <c r="AQ82" i="2"/>
  <c r="AP82" i="2"/>
  <c r="AN82" i="2"/>
  <c r="AM82" i="2"/>
  <c r="AO82" i="2" s="1"/>
  <c r="AL82" i="2"/>
  <c r="AK82" i="2"/>
  <c r="AG82" i="2"/>
  <c r="AS81" i="2"/>
  <c r="AR81" i="2"/>
  <c r="AQ81" i="2"/>
  <c r="AN81" i="2"/>
  <c r="AM81" i="2"/>
  <c r="AO81" i="2" s="1"/>
  <c r="AP81" i="2" s="1"/>
  <c r="AL81" i="2"/>
  <c r="AK81" i="2"/>
  <c r="AG81" i="2"/>
  <c r="AS80" i="2"/>
  <c r="AR80" i="2"/>
  <c r="AQ80" i="2"/>
  <c r="AP80" i="2"/>
  <c r="AN80" i="2"/>
  <c r="AM80" i="2"/>
  <c r="AO80" i="2" s="1"/>
  <c r="AL80" i="2"/>
  <c r="AK80" i="2"/>
  <c r="AG80" i="2"/>
  <c r="AS79" i="2"/>
  <c r="AR79" i="2"/>
  <c r="AQ79" i="2"/>
  <c r="AP79" i="2"/>
  <c r="AN79" i="2"/>
  <c r="AM79" i="2"/>
  <c r="AO79" i="2" s="1"/>
  <c r="AL79" i="2"/>
  <c r="AK79" i="2"/>
  <c r="AG79" i="2"/>
  <c r="AS78" i="2"/>
  <c r="AR78" i="2"/>
  <c r="AQ78" i="2"/>
  <c r="AN78" i="2"/>
  <c r="AM78" i="2"/>
  <c r="AO78" i="2" s="1"/>
  <c r="AP78" i="2" s="1"/>
  <c r="AL78" i="2"/>
  <c r="AK78" i="2"/>
  <c r="AG78" i="2"/>
  <c r="AS77" i="2"/>
  <c r="AR77" i="2"/>
  <c r="AQ77" i="2"/>
  <c r="AN77" i="2"/>
  <c r="AM77" i="2"/>
  <c r="AO77" i="2" s="1"/>
  <c r="AP77" i="2" s="1"/>
  <c r="AL77" i="2"/>
  <c r="AK77" i="2"/>
  <c r="AG77" i="2"/>
  <c r="AS76" i="2"/>
  <c r="AR76" i="2"/>
  <c r="AQ76" i="2"/>
  <c r="AN76" i="2"/>
  <c r="AM76" i="2"/>
  <c r="AO76" i="2" s="1"/>
  <c r="AP76" i="2" s="1"/>
  <c r="AL76" i="2"/>
  <c r="AK76" i="2"/>
  <c r="AG76" i="2"/>
  <c r="AS75" i="2"/>
  <c r="AR75" i="2"/>
  <c r="AQ75" i="2"/>
  <c r="AP75" i="2"/>
  <c r="AN75" i="2"/>
  <c r="AM75" i="2"/>
  <c r="AO75" i="2" s="1"/>
  <c r="AL75" i="2"/>
  <c r="AK75" i="2"/>
  <c r="AG75" i="2"/>
  <c r="AS74" i="2"/>
  <c r="AR74" i="2"/>
  <c r="AQ74" i="2"/>
  <c r="AN74" i="2"/>
  <c r="AM74" i="2"/>
  <c r="AO74" i="2" s="1"/>
  <c r="AP74" i="2" s="1"/>
  <c r="AL74" i="2"/>
  <c r="AK74" i="2"/>
  <c r="AG74" i="2"/>
  <c r="AS73" i="2"/>
  <c r="AR73" i="2"/>
  <c r="AQ73" i="2"/>
  <c r="AN73" i="2"/>
  <c r="AM73" i="2"/>
  <c r="AO73" i="2" s="1"/>
  <c r="AP73" i="2" s="1"/>
  <c r="AL73" i="2"/>
  <c r="AK73" i="2"/>
  <c r="AG73" i="2"/>
  <c r="AS72" i="2"/>
  <c r="AR72" i="2"/>
  <c r="AQ72" i="2"/>
  <c r="AP72" i="2"/>
  <c r="AN72" i="2"/>
  <c r="AM72" i="2"/>
  <c r="AO72" i="2" s="1"/>
  <c r="AL72" i="2"/>
  <c r="AK72" i="2"/>
  <c r="AG72" i="2"/>
  <c r="AS71" i="2"/>
  <c r="AR71" i="2"/>
  <c r="AQ71" i="2"/>
  <c r="AN71" i="2"/>
  <c r="AM71" i="2"/>
  <c r="AO71" i="2" s="1"/>
  <c r="AP71" i="2" s="1"/>
  <c r="AL71" i="2"/>
  <c r="AK71" i="2"/>
  <c r="AG71" i="2"/>
  <c r="AS70" i="2"/>
  <c r="AR70" i="2"/>
  <c r="AQ70" i="2"/>
  <c r="AN70" i="2"/>
  <c r="AM70" i="2"/>
  <c r="AO70" i="2" s="1"/>
  <c r="AP70" i="2" s="1"/>
  <c r="AL70" i="2"/>
  <c r="AK70" i="2"/>
  <c r="AG70" i="2"/>
  <c r="AS69" i="2"/>
  <c r="AR69" i="2"/>
  <c r="AQ69" i="2"/>
  <c r="AP69" i="2"/>
  <c r="AN69" i="2"/>
  <c r="AM69" i="2"/>
  <c r="AO69" i="2" s="1"/>
  <c r="AL69" i="2"/>
  <c r="AK69" i="2"/>
  <c r="AG69" i="2"/>
  <c r="AS68" i="2"/>
  <c r="AR68" i="2"/>
  <c r="AQ68" i="2"/>
  <c r="AN68" i="2"/>
  <c r="AM68" i="2"/>
  <c r="AO68" i="2" s="1"/>
  <c r="AP68" i="2" s="1"/>
  <c r="AL68" i="2"/>
  <c r="AK68" i="2"/>
  <c r="AG68" i="2"/>
  <c r="AS67" i="2"/>
  <c r="AR67" i="2"/>
  <c r="AQ67" i="2"/>
  <c r="AN67" i="2"/>
  <c r="AM67" i="2"/>
  <c r="AO67" i="2" s="1"/>
  <c r="AP67" i="2" s="1"/>
  <c r="AL67" i="2"/>
  <c r="AK67" i="2"/>
  <c r="AG67" i="2"/>
  <c r="AS66" i="2"/>
  <c r="AR66" i="2"/>
  <c r="AQ66" i="2"/>
  <c r="AN66" i="2"/>
  <c r="AM66" i="2"/>
  <c r="AO66" i="2" s="1"/>
  <c r="AP66" i="2" s="1"/>
  <c r="AL66" i="2"/>
  <c r="AK66" i="2"/>
  <c r="AG66" i="2"/>
  <c r="AS65" i="2"/>
  <c r="AR65" i="2"/>
  <c r="AQ65" i="2"/>
  <c r="AP65" i="2"/>
  <c r="AN65" i="2"/>
  <c r="AM65" i="2"/>
  <c r="AO65" i="2" s="1"/>
  <c r="AL65" i="2"/>
  <c r="AK65" i="2"/>
  <c r="AG65" i="2"/>
  <c r="AS64" i="2"/>
  <c r="AR64" i="2"/>
  <c r="AQ64" i="2"/>
  <c r="AN64" i="2"/>
  <c r="AM64" i="2"/>
  <c r="AO64" i="2" s="1"/>
  <c r="AP64" i="2" s="1"/>
  <c r="AL64" i="2"/>
  <c r="AK64" i="2"/>
  <c r="AG64" i="2"/>
  <c r="AS63" i="2"/>
  <c r="AR63" i="2"/>
  <c r="AQ63" i="2"/>
  <c r="AN63" i="2"/>
  <c r="AM63" i="2"/>
  <c r="AO63" i="2" s="1"/>
  <c r="AP63" i="2" s="1"/>
  <c r="AL63" i="2"/>
  <c r="AK63" i="2"/>
  <c r="AG63" i="2"/>
  <c r="AS62" i="2"/>
  <c r="AR62" i="2"/>
  <c r="AQ62" i="2"/>
  <c r="AP62" i="2"/>
  <c r="AN62" i="2"/>
  <c r="AM62" i="2"/>
  <c r="AO62" i="2" s="1"/>
  <c r="AL62" i="2"/>
  <c r="AK62" i="2"/>
  <c r="AG62" i="2"/>
  <c r="AS61" i="2"/>
  <c r="AR61" i="2"/>
  <c r="AQ61" i="2"/>
  <c r="AN61" i="2"/>
  <c r="AM61" i="2"/>
  <c r="AO61" i="2" s="1"/>
  <c r="AP61" i="2" s="1"/>
  <c r="AL61" i="2"/>
  <c r="AK61" i="2"/>
  <c r="AG61" i="2"/>
  <c r="AS60" i="2"/>
  <c r="AR60" i="2"/>
  <c r="AQ60" i="2"/>
  <c r="AP60" i="2"/>
  <c r="AN60" i="2"/>
  <c r="AM60" i="2"/>
  <c r="AO60" i="2" s="1"/>
  <c r="AL60" i="2"/>
  <c r="AK60" i="2"/>
  <c r="AG60" i="2"/>
  <c r="AS59" i="2"/>
  <c r="AR59" i="2"/>
  <c r="AQ59" i="2"/>
  <c r="AP59" i="2"/>
  <c r="AN59" i="2"/>
  <c r="AM59" i="2"/>
  <c r="AO59" i="2" s="1"/>
  <c r="AL59" i="2"/>
  <c r="AK59" i="2"/>
  <c r="AG59" i="2"/>
  <c r="AS58" i="2"/>
  <c r="AR58" i="2"/>
  <c r="AQ58" i="2"/>
  <c r="AN58" i="2"/>
  <c r="AM58" i="2"/>
  <c r="AO58" i="2" s="1"/>
  <c r="AP58" i="2" s="1"/>
  <c r="AL58" i="2"/>
  <c r="AK58" i="2"/>
  <c r="AG58" i="2"/>
  <c r="AS57" i="2"/>
  <c r="AR57" i="2"/>
  <c r="AQ57" i="2"/>
  <c r="AN57" i="2"/>
  <c r="AM57" i="2"/>
  <c r="AO57" i="2" s="1"/>
  <c r="AP57" i="2" s="1"/>
  <c r="AL57" i="2"/>
  <c r="AK57" i="2"/>
  <c r="AG57" i="2"/>
  <c r="AS56" i="2"/>
  <c r="AR56" i="2"/>
  <c r="AQ56" i="2"/>
  <c r="AN56" i="2"/>
  <c r="AM56" i="2"/>
  <c r="AO56" i="2" s="1"/>
  <c r="AP56" i="2" s="1"/>
  <c r="AL56" i="2"/>
  <c r="AK56" i="2"/>
  <c r="AG56" i="2"/>
  <c r="AS55" i="2"/>
  <c r="AR55" i="2"/>
  <c r="AQ55" i="2"/>
  <c r="AP55" i="2"/>
  <c r="AN55" i="2"/>
  <c r="AM55" i="2"/>
  <c r="AO55" i="2" s="1"/>
  <c r="AL55" i="2"/>
  <c r="AK55" i="2"/>
  <c r="AG55" i="2"/>
  <c r="AS54" i="2"/>
  <c r="AR54" i="2"/>
  <c r="AQ54" i="2"/>
  <c r="AN54" i="2"/>
  <c r="AM54" i="2"/>
  <c r="AO54" i="2" s="1"/>
  <c r="AP54" i="2" s="1"/>
  <c r="AL54" i="2"/>
  <c r="AK54" i="2"/>
  <c r="AG54" i="2"/>
  <c r="AS53" i="2"/>
  <c r="AR53" i="2"/>
  <c r="AQ53" i="2"/>
  <c r="AN53" i="2"/>
  <c r="AM53" i="2"/>
  <c r="AO53" i="2" s="1"/>
  <c r="AP53" i="2" s="1"/>
  <c r="AL53" i="2"/>
  <c r="AK53" i="2"/>
  <c r="AG53" i="2"/>
  <c r="AS52" i="2"/>
  <c r="AR52" i="2"/>
  <c r="AQ52" i="2"/>
  <c r="AP52" i="2"/>
  <c r="AN52" i="2"/>
  <c r="AM52" i="2"/>
  <c r="AO52" i="2" s="1"/>
  <c r="AL52" i="2"/>
  <c r="AK52" i="2"/>
  <c r="AG52" i="2"/>
  <c r="AS51" i="2"/>
  <c r="AR51" i="2"/>
  <c r="AQ51" i="2"/>
  <c r="AN51" i="2"/>
  <c r="AM51" i="2"/>
  <c r="AO51" i="2" s="1"/>
  <c r="AP51" i="2" s="1"/>
  <c r="AL51" i="2"/>
  <c r="AK51" i="2"/>
  <c r="AG51" i="2"/>
  <c r="AS50" i="2"/>
  <c r="AR50" i="2"/>
  <c r="AQ50" i="2"/>
  <c r="AN50" i="2"/>
  <c r="AM50" i="2"/>
  <c r="AO50" i="2" s="1"/>
  <c r="AP50" i="2" s="1"/>
  <c r="AL50" i="2"/>
  <c r="AK50" i="2"/>
  <c r="AG50" i="2"/>
  <c r="AS49" i="2"/>
  <c r="AR49" i="2"/>
  <c r="AQ49" i="2"/>
  <c r="AP49" i="2"/>
  <c r="AN49" i="2"/>
  <c r="AM49" i="2"/>
  <c r="AO49" i="2" s="1"/>
  <c r="AL49" i="2"/>
  <c r="AK49" i="2"/>
  <c r="AG49" i="2"/>
  <c r="AS48" i="2"/>
  <c r="AR48" i="2"/>
  <c r="AQ48" i="2"/>
  <c r="AN48" i="2"/>
  <c r="AM48" i="2"/>
  <c r="AO48" i="2" s="1"/>
  <c r="AP48" i="2" s="1"/>
  <c r="AL48" i="2"/>
  <c r="AK48" i="2"/>
  <c r="AG48" i="2"/>
  <c r="AS47" i="2"/>
  <c r="AR47" i="2"/>
  <c r="AQ47" i="2"/>
  <c r="AN47" i="2"/>
  <c r="AM47" i="2"/>
  <c r="AO47" i="2" s="1"/>
  <c r="AP47" i="2" s="1"/>
  <c r="AL47" i="2"/>
  <c r="AK47" i="2"/>
  <c r="AG47" i="2"/>
  <c r="AS46" i="2"/>
  <c r="AR46" i="2"/>
  <c r="AQ46" i="2"/>
  <c r="AN46" i="2"/>
  <c r="AM46" i="2"/>
  <c r="AO46" i="2" s="1"/>
  <c r="AP46" i="2" s="1"/>
  <c r="AL46" i="2"/>
  <c r="AK46" i="2"/>
  <c r="AG46" i="2"/>
  <c r="AS45" i="2"/>
  <c r="AR45" i="2"/>
  <c r="AQ45" i="2"/>
  <c r="AP45" i="2"/>
  <c r="AN45" i="2"/>
  <c r="AM45" i="2"/>
  <c r="AO45" i="2" s="1"/>
  <c r="AL45" i="2"/>
  <c r="AK45" i="2"/>
  <c r="AG45" i="2"/>
  <c r="AS44" i="2"/>
  <c r="AR44" i="2"/>
  <c r="AQ44" i="2"/>
  <c r="AN44" i="2"/>
  <c r="AM44" i="2"/>
  <c r="AO44" i="2" s="1"/>
  <c r="AP44" i="2" s="1"/>
  <c r="AL44" i="2"/>
  <c r="AK44" i="2"/>
  <c r="AG44" i="2"/>
  <c r="AS43" i="2"/>
  <c r="AR43" i="2"/>
  <c r="AQ43" i="2"/>
  <c r="AN43" i="2"/>
  <c r="AM43" i="2"/>
  <c r="AO43" i="2" s="1"/>
  <c r="AP43" i="2" s="1"/>
  <c r="AL43" i="2"/>
  <c r="AK43" i="2"/>
  <c r="AG43" i="2"/>
  <c r="AS42" i="2"/>
  <c r="AR42" i="2"/>
  <c r="AQ42" i="2"/>
  <c r="AP42" i="2"/>
  <c r="AN42" i="2"/>
  <c r="AM42" i="2"/>
  <c r="AO42" i="2" s="1"/>
  <c r="AL42" i="2"/>
  <c r="AK42" i="2"/>
  <c r="AG42" i="2"/>
  <c r="AS41" i="2"/>
  <c r="AR41" i="2"/>
  <c r="AQ41" i="2"/>
  <c r="AP41" i="2"/>
  <c r="AN41" i="2"/>
  <c r="AM41" i="2"/>
  <c r="AO41" i="2" s="1"/>
  <c r="AL41" i="2"/>
  <c r="AK41" i="2"/>
  <c r="AG41" i="2"/>
  <c r="AS40" i="2"/>
  <c r="AR40" i="2"/>
  <c r="AQ40" i="2"/>
  <c r="AP40" i="2"/>
  <c r="AN40" i="2"/>
  <c r="AM40" i="2"/>
  <c r="AO40" i="2" s="1"/>
  <c r="AL40" i="2"/>
  <c r="AK40" i="2"/>
  <c r="AG40" i="2"/>
  <c r="AS39" i="2"/>
  <c r="AR39" i="2"/>
  <c r="AQ39" i="2"/>
  <c r="AP39" i="2"/>
  <c r="AN39" i="2"/>
  <c r="AM39" i="2"/>
  <c r="AO39" i="2" s="1"/>
  <c r="AL39" i="2"/>
  <c r="AK39" i="2"/>
  <c r="AG39" i="2"/>
  <c r="AS38" i="2"/>
  <c r="AR38" i="2"/>
  <c r="AQ38" i="2"/>
  <c r="AN38" i="2"/>
  <c r="AM38" i="2"/>
  <c r="AO38" i="2" s="1"/>
  <c r="AP38" i="2" s="1"/>
  <c r="AL38" i="2"/>
  <c r="AK38" i="2"/>
  <c r="AG38" i="2"/>
  <c r="AS37" i="2"/>
  <c r="AR37" i="2"/>
  <c r="AQ37" i="2"/>
  <c r="AN37" i="2"/>
  <c r="AM37" i="2"/>
  <c r="AO37" i="2" s="1"/>
  <c r="AP37" i="2" s="1"/>
  <c r="AL37" i="2"/>
  <c r="AK37" i="2"/>
  <c r="AG37" i="2"/>
  <c r="AS36" i="2"/>
  <c r="AR36" i="2"/>
  <c r="AQ36" i="2"/>
  <c r="AN36" i="2"/>
  <c r="AM36" i="2"/>
  <c r="AO36" i="2" s="1"/>
  <c r="AP36" i="2" s="1"/>
  <c r="AL36" i="2"/>
  <c r="AK36" i="2"/>
  <c r="AG36" i="2"/>
  <c r="AS35" i="2"/>
  <c r="AR35" i="2"/>
  <c r="AQ35" i="2"/>
  <c r="AP35" i="2"/>
  <c r="AN35" i="2"/>
  <c r="AM35" i="2"/>
  <c r="AO35" i="2" s="1"/>
  <c r="AL35" i="2"/>
  <c r="AK35" i="2"/>
  <c r="AG35" i="2"/>
  <c r="AS34" i="2"/>
  <c r="AR34" i="2"/>
  <c r="AQ34" i="2"/>
  <c r="AN34" i="2"/>
  <c r="AM34" i="2"/>
  <c r="AO34" i="2" s="1"/>
  <c r="AP34" i="2" s="1"/>
  <c r="AL34" i="2"/>
  <c r="AK34" i="2"/>
  <c r="AG34" i="2"/>
  <c r="AS33" i="2"/>
  <c r="AR33" i="2"/>
  <c r="AQ33" i="2"/>
  <c r="AP33" i="2"/>
  <c r="AN33" i="2"/>
  <c r="AM33" i="2"/>
  <c r="AO33" i="2" s="1"/>
  <c r="AL33" i="2"/>
  <c r="AK33" i="2"/>
  <c r="AG33" i="2"/>
  <c r="AS32" i="2"/>
  <c r="AR32" i="2"/>
  <c r="AQ32" i="2"/>
  <c r="AP32" i="2"/>
  <c r="AN32" i="2"/>
  <c r="AM32" i="2"/>
  <c r="AO32" i="2" s="1"/>
  <c r="AL32" i="2"/>
  <c r="AK32" i="2"/>
  <c r="AG32" i="2"/>
  <c r="AS31" i="2"/>
  <c r="AR31" i="2"/>
  <c r="AQ31" i="2"/>
  <c r="AP31" i="2"/>
  <c r="AN31" i="2"/>
  <c r="AM31" i="2"/>
  <c r="AO31" i="2" s="1"/>
  <c r="AL31" i="2"/>
  <c r="AK31" i="2"/>
  <c r="AG31" i="2"/>
  <c r="AS30" i="2"/>
  <c r="AR30" i="2"/>
  <c r="AQ30" i="2"/>
  <c r="AN30" i="2"/>
  <c r="AM30" i="2"/>
  <c r="AO30" i="2" s="1"/>
  <c r="AP30" i="2" s="1"/>
  <c r="AL30" i="2"/>
  <c r="AK30" i="2"/>
  <c r="AG30" i="2"/>
  <c r="AS29" i="2"/>
  <c r="AR29" i="2"/>
  <c r="AQ29" i="2"/>
  <c r="AN29" i="2"/>
  <c r="AM29" i="2"/>
  <c r="AO29" i="2" s="1"/>
  <c r="AP29" i="2" s="1"/>
  <c r="AL29" i="2"/>
  <c r="AK29" i="2"/>
  <c r="AG29" i="2"/>
  <c r="AS28" i="2"/>
  <c r="AR28" i="2"/>
  <c r="AQ28" i="2"/>
  <c r="AN28" i="2"/>
  <c r="AM28" i="2"/>
  <c r="AO28" i="2" s="1"/>
  <c r="AP28" i="2" s="1"/>
  <c r="AL28" i="2"/>
  <c r="AK28" i="2"/>
  <c r="AG28" i="2"/>
  <c r="AS27" i="2"/>
  <c r="AR27" i="2"/>
  <c r="AQ27" i="2"/>
  <c r="AN27" i="2"/>
  <c r="AM27" i="2"/>
  <c r="AO27" i="2" s="1"/>
  <c r="AP27" i="2" s="1"/>
  <c r="AL27" i="2"/>
  <c r="AK27" i="2"/>
  <c r="AG27" i="2"/>
  <c r="AS26" i="2"/>
  <c r="AR26" i="2"/>
  <c r="AQ26" i="2"/>
  <c r="AN26" i="2"/>
  <c r="AM26" i="2"/>
  <c r="AO26" i="2" s="1"/>
  <c r="AP26" i="2" s="1"/>
  <c r="AL26" i="2"/>
  <c r="AK26" i="2"/>
  <c r="AG26" i="2"/>
  <c r="AS25" i="2"/>
  <c r="AR25" i="2"/>
  <c r="AQ25" i="2"/>
  <c r="AP25" i="2"/>
  <c r="AN25" i="2"/>
  <c r="AM25" i="2"/>
  <c r="AO25" i="2" s="1"/>
  <c r="AL25" i="2"/>
  <c r="AK25" i="2"/>
  <c r="AG25" i="2"/>
  <c r="AS24" i="2"/>
  <c r="AR24" i="2"/>
  <c r="AQ24" i="2"/>
  <c r="AN24" i="2"/>
  <c r="AM24" i="2"/>
  <c r="AO24" i="2" s="1"/>
  <c r="AP24" i="2" s="1"/>
  <c r="AL24" i="2"/>
  <c r="AK24" i="2"/>
  <c r="AG24" i="2"/>
  <c r="AS23" i="2"/>
  <c r="AR23" i="2"/>
  <c r="AQ23" i="2"/>
  <c r="AN23" i="2"/>
  <c r="AM23" i="2"/>
  <c r="AO23" i="2" s="1"/>
  <c r="AP23" i="2" s="1"/>
  <c r="AL23" i="2"/>
  <c r="AK23" i="2"/>
  <c r="AG23" i="2"/>
  <c r="AS22" i="2"/>
  <c r="AR22" i="2"/>
  <c r="AQ22" i="2"/>
  <c r="AP22" i="2"/>
  <c r="AN22" i="2"/>
  <c r="AM22" i="2"/>
  <c r="AO22" i="2" s="1"/>
  <c r="AL22" i="2"/>
  <c r="AK22" i="2"/>
  <c r="AG22" i="2"/>
  <c r="AS21" i="2"/>
  <c r="AR21" i="2"/>
  <c r="AQ21" i="2"/>
  <c r="AN21" i="2"/>
  <c r="AM21" i="2"/>
  <c r="AO21" i="2" s="1"/>
  <c r="AP21" i="2" s="1"/>
  <c r="AL21" i="2"/>
  <c r="AK21" i="2"/>
  <c r="AG21" i="2"/>
  <c r="AS20" i="2"/>
  <c r="AR20" i="2"/>
  <c r="AQ20" i="2"/>
  <c r="AN20" i="2"/>
  <c r="AM20" i="2"/>
  <c r="AO20" i="2" s="1"/>
  <c r="AP20" i="2" s="1"/>
  <c r="AL20" i="2"/>
  <c r="AK20" i="2"/>
  <c r="AG20" i="2"/>
  <c r="AS19" i="2"/>
  <c r="AR19" i="2"/>
  <c r="AQ19" i="2"/>
  <c r="AP19" i="2"/>
  <c r="AN19" i="2"/>
  <c r="AM19" i="2"/>
  <c r="AO19" i="2" s="1"/>
  <c r="AL19" i="2"/>
  <c r="AK19" i="2"/>
  <c r="AG19" i="2"/>
  <c r="AS18" i="2"/>
  <c r="AR18" i="2"/>
  <c r="AQ18" i="2"/>
  <c r="AO18" i="2"/>
  <c r="AP18" i="2" s="1"/>
  <c r="AN18" i="2"/>
  <c r="AM18" i="2"/>
  <c r="AL18" i="2"/>
  <c r="AK18" i="2"/>
  <c r="AG18" i="2"/>
  <c r="AS17" i="2"/>
  <c r="AR17" i="2"/>
  <c r="AQ17" i="2"/>
  <c r="AO17" i="2"/>
  <c r="AP17" i="2" s="1"/>
  <c r="AN17" i="2"/>
  <c r="AM17" i="2"/>
  <c r="AL17" i="2"/>
  <c r="AK17" i="2"/>
  <c r="AG17" i="2"/>
  <c r="AS16" i="2"/>
  <c r="AR16" i="2"/>
  <c r="AQ16" i="2"/>
  <c r="AO16" i="2"/>
  <c r="AP16" i="2" s="1"/>
  <c r="AN16" i="2"/>
  <c r="AM16" i="2"/>
  <c r="AL16" i="2"/>
  <c r="AK16" i="2"/>
  <c r="AG16" i="2"/>
  <c r="AS15" i="2"/>
  <c r="AR15" i="2"/>
  <c r="AQ15" i="2"/>
  <c r="AN15" i="2"/>
  <c r="AM15" i="2"/>
  <c r="AO15" i="2" s="1"/>
  <c r="AP15" i="2" s="1"/>
  <c r="AL15" i="2"/>
  <c r="AK15" i="2"/>
  <c r="AG15" i="2"/>
  <c r="AS14" i="2"/>
  <c r="AR14" i="2"/>
  <c r="AQ14" i="2"/>
  <c r="AN14" i="2"/>
  <c r="AM14" i="2"/>
  <c r="AO14" i="2" s="1"/>
  <c r="AP14" i="2" s="1"/>
  <c r="AL14" i="2"/>
  <c r="AK14" i="2"/>
  <c r="AG14" i="2"/>
  <c r="AS13" i="2"/>
  <c r="AR13" i="2"/>
  <c r="AQ13" i="2"/>
  <c r="AN13" i="2"/>
  <c r="AM13" i="2"/>
  <c r="AO13" i="2" s="1"/>
  <c r="AP13" i="2" s="1"/>
  <c r="AL13" i="2"/>
  <c r="AK13" i="2"/>
  <c r="AG13" i="2"/>
  <c r="AS12" i="2"/>
  <c r="AR12" i="2"/>
  <c r="AQ12" i="2"/>
  <c r="AN12" i="2"/>
  <c r="AM12" i="2"/>
  <c r="AO12" i="2" s="1"/>
  <c r="AP12" i="2" s="1"/>
  <c r="AL12" i="2"/>
  <c r="AK12" i="2"/>
  <c r="AG12" i="2"/>
  <c r="AS11" i="2"/>
  <c r="AR11" i="2"/>
  <c r="AQ11" i="2"/>
  <c r="AN11" i="2"/>
  <c r="AM11" i="2"/>
  <c r="AO11" i="2" s="1"/>
  <c r="AP11" i="2" s="1"/>
  <c r="AL11" i="2"/>
  <c r="AK11" i="2"/>
  <c r="AG11" i="2"/>
  <c r="AS10" i="2"/>
  <c r="AR10" i="2"/>
  <c r="AQ10" i="2"/>
  <c r="AN10" i="2"/>
  <c r="AM10" i="2"/>
  <c r="AO10" i="2" s="1"/>
  <c r="AP10" i="2" s="1"/>
  <c r="AL10" i="2"/>
  <c r="AK10" i="2"/>
  <c r="AG10" i="2"/>
  <c r="AS9" i="2"/>
  <c r="AR9" i="2"/>
  <c r="AQ9" i="2"/>
  <c r="AO9" i="2"/>
  <c r="AP9" i="2" s="1"/>
  <c r="AN9" i="2"/>
  <c r="AM9" i="2"/>
  <c r="AL9" i="2"/>
  <c r="AK9" i="2"/>
  <c r="AG9" i="2"/>
  <c r="AS8" i="2"/>
  <c r="AR8" i="2"/>
  <c r="AQ8" i="2"/>
  <c r="AO8" i="2"/>
  <c r="AP8" i="2" s="1"/>
  <c r="AN8" i="2"/>
  <c r="AM8" i="2"/>
  <c r="AL8" i="2"/>
  <c r="AK8" i="2"/>
  <c r="AG8" i="2"/>
  <c r="AS7" i="2"/>
  <c r="AR7" i="2"/>
  <c r="AQ7" i="2"/>
  <c r="AO7" i="2"/>
  <c r="AP7" i="2" s="1"/>
  <c r="AN7" i="2"/>
  <c r="AM7" i="2"/>
  <c r="AL7" i="2"/>
  <c r="AK7" i="2"/>
  <c r="AG7" i="2"/>
  <c r="AS6" i="2"/>
  <c r="AR6" i="2"/>
  <c r="AQ6" i="2"/>
  <c r="AN6" i="2"/>
  <c r="AM6" i="2"/>
  <c r="AO6" i="2" s="1"/>
  <c r="AP6" i="2" s="1"/>
  <c r="AL6" i="2"/>
  <c r="AK6" i="2"/>
  <c r="AG6" i="2"/>
  <c r="AS5" i="2"/>
  <c r="AR5" i="2"/>
  <c r="AQ5" i="2"/>
  <c r="AO5" i="2"/>
  <c r="AP5" i="2" s="1"/>
  <c r="AN5" i="2"/>
  <c r="AM5" i="2"/>
  <c r="AL5" i="2"/>
  <c r="AK5" i="2"/>
  <c r="AG5" i="2"/>
  <c r="AS4" i="2"/>
  <c r="AR4" i="2"/>
  <c r="AQ4" i="2"/>
  <c r="AN4" i="2"/>
  <c r="AM4" i="2"/>
  <c r="AO4" i="2" s="1"/>
  <c r="AP4" i="2" s="1"/>
  <c r="AL4" i="2"/>
  <c r="AK4" i="2"/>
  <c r="AG4" i="2"/>
  <c r="AS3" i="2"/>
  <c r="AR3" i="2"/>
  <c r="AQ3" i="2"/>
  <c r="AN3" i="2"/>
  <c r="AM3" i="2"/>
  <c r="AL3" i="2"/>
  <c r="AK3" i="2"/>
  <c r="AG3" i="2"/>
  <c r="BC524" i="1"/>
  <c r="AZ524" i="1"/>
  <c r="AS524" i="1"/>
  <c r="AR524" i="1"/>
  <c r="AQ524" i="1"/>
  <c r="AP524" i="1"/>
  <c r="AL524" i="1"/>
  <c r="Z524" i="1"/>
  <c r="Y524" i="1"/>
  <c r="X524" i="1"/>
  <c r="W524" i="1"/>
  <c r="R524" i="1"/>
  <c r="Q524" i="1"/>
  <c r="J524" i="1"/>
  <c r="B524" i="1"/>
  <c r="BC523" i="1"/>
  <c r="AZ523" i="1"/>
  <c r="AU523" i="1"/>
  <c r="AX523" i="1" s="1"/>
  <c r="AT523" i="1"/>
  <c r="AV523" i="1" s="1"/>
  <c r="AW523" i="1" s="1"/>
  <c r="AS523" i="1"/>
  <c r="AR523" i="1"/>
  <c r="AQ523" i="1"/>
  <c r="AP523" i="1"/>
  <c r="AL523" i="1"/>
  <c r="X523" i="1"/>
  <c r="Z523" i="1" s="1"/>
  <c r="W523" i="1"/>
  <c r="U523" i="1"/>
  <c r="T523" i="1"/>
  <c r="R523" i="1"/>
  <c r="Q523" i="1"/>
  <c r="J523" i="1"/>
  <c r="S523" i="1" s="1"/>
  <c r="B523" i="1"/>
  <c r="BC522" i="1"/>
  <c r="AZ522" i="1"/>
  <c r="AU522" i="1"/>
  <c r="AX522" i="1" s="1"/>
  <c r="AS522" i="1"/>
  <c r="AR522" i="1"/>
  <c r="AQ522" i="1"/>
  <c r="AP522" i="1"/>
  <c r="AL522" i="1"/>
  <c r="Z522" i="1"/>
  <c r="X522" i="1"/>
  <c r="Y522" i="1" s="1"/>
  <c r="W522" i="1"/>
  <c r="T522" i="1"/>
  <c r="S522" i="1"/>
  <c r="R522" i="1"/>
  <c r="Q522" i="1"/>
  <c r="J522" i="1"/>
  <c r="B522" i="1"/>
  <c r="BC521" i="1"/>
  <c r="AZ521" i="1"/>
  <c r="AU521" i="1"/>
  <c r="AX521" i="1" s="1"/>
  <c r="AS521" i="1"/>
  <c r="AR521" i="1"/>
  <c r="AQ521" i="1"/>
  <c r="AP521" i="1"/>
  <c r="AL521" i="1"/>
  <c r="Y521" i="1"/>
  <c r="X521" i="1"/>
  <c r="Z521" i="1" s="1"/>
  <c r="W521" i="1"/>
  <c r="U521" i="1"/>
  <c r="S521" i="1"/>
  <c r="BK521" i="1" s="1"/>
  <c r="R521" i="1"/>
  <c r="Q521" i="1"/>
  <c r="J521" i="1"/>
  <c r="B521" i="1"/>
  <c r="BC520" i="1"/>
  <c r="AZ520" i="1"/>
  <c r="AU520" i="1"/>
  <c r="AX520" i="1" s="1"/>
  <c r="AT520" i="1"/>
  <c r="AV520" i="1" s="1"/>
  <c r="AW520" i="1" s="1"/>
  <c r="AS520" i="1"/>
  <c r="AR520" i="1"/>
  <c r="AQ520" i="1"/>
  <c r="AP520" i="1"/>
  <c r="AL520" i="1"/>
  <c r="Z520" i="1"/>
  <c r="X520" i="1"/>
  <c r="Y520" i="1" s="1"/>
  <c r="W520" i="1"/>
  <c r="U520" i="1"/>
  <c r="T520" i="1"/>
  <c r="R520" i="1"/>
  <c r="Q520" i="1"/>
  <c r="J520" i="1"/>
  <c r="S520" i="1" s="1"/>
  <c r="B520" i="1"/>
  <c r="BC519" i="1"/>
  <c r="AZ519" i="1"/>
  <c r="AU519" i="1"/>
  <c r="AX519" i="1" s="1"/>
  <c r="AS519" i="1"/>
  <c r="AR519" i="1"/>
  <c r="AQ519" i="1"/>
  <c r="AP519" i="1"/>
  <c r="AL519" i="1"/>
  <c r="Z519" i="1"/>
  <c r="Y519" i="1"/>
  <c r="X519" i="1"/>
  <c r="W519" i="1"/>
  <c r="U519" i="1"/>
  <c r="AT519" i="1" s="1"/>
  <c r="AV519" i="1" s="1"/>
  <c r="AW519" i="1" s="1"/>
  <c r="T519" i="1"/>
  <c r="R519" i="1"/>
  <c r="Q519" i="1"/>
  <c r="J519" i="1"/>
  <c r="S519" i="1" s="1"/>
  <c r="BK519" i="1" s="1"/>
  <c r="B519" i="1"/>
  <c r="BC518" i="1"/>
  <c r="AZ518" i="1"/>
  <c r="AU518" i="1"/>
  <c r="AX518" i="1" s="1"/>
  <c r="AS518" i="1"/>
  <c r="AR518" i="1"/>
  <c r="AQ518" i="1"/>
  <c r="AP518" i="1"/>
  <c r="AL518" i="1"/>
  <c r="Z518" i="1"/>
  <c r="Y518" i="1"/>
  <c r="X518" i="1"/>
  <c r="W518" i="1"/>
  <c r="U518" i="1"/>
  <c r="AT518" i="1" s="1"/>
  <c r="AV518" i="1" s="1"/>
  <c r="AW518" i="1" s="1"/>
  <c r="R518" i="1"/>
  <c r="Q518" i="1"/>
  <c r="J518" i="1"/>
  <c r="B518" i="1"/>
  <c r="BC517" i="1"/>
  <c r="AZ517" i="1"/>
  <c r="AS517" i="1"/>
  <c r="AR517" i="1"/>
  <c r="AQ517" i="1"/>
  <c r="AP517" i="1"/>
  <c r="AL517" i="1"/>
  <c r="Z517" i="1"/>
  <c r="Y517" i="1"/>
  <c r="X517" i="1"/>
  <c r="W517" i="1"/>
  <c r="R517" i="1"/>
  <c r="Q517" i="1"/>
  <c r="J517" i="1"/>
  <c r="B517" i="1"/>
  <c r="BC516" i="1"/>
  <c r="AZ516" i="1"/>
  <c r="AU516" i="1"/>
  <c r="AX516" i="1" s="1"/>
  <c r="AT516" i="1"/>
  <c r="AV516" i="1" s="1"/>
  <c r="AW516" i="1" s="1"/>
  <c r="AS516" i="1"/>
  <c r="AR516" i="1"/>
  <c r="AQ516" i="1"/>
  <c r="AP516" i="1"/>
  <c r="AL516" i="1"/>
  <c r="X516" i="1"/>
  <c r="W516" i="1"/>
  <c r="T516" i="1"/>
  <c r="S516" i="1"/>
  <c r="R516" i="1"/>
  <c r="Q516" i="1"/>
  <c r="J516" i="1"/>
  <c r="U516" i="1" s="1"/>
  <c r="B516" i="1"/>
  <c r="BC515" i="1"/>
  <c r="AZ515" i="1"/>
  <c r="AS515" i="1"/>
  <c r="AR515" i="1"/>
  <c r="AQ515" i="1"/>
  <c r="AP515" i="1"/>
  <c r="AL515" i="1"/>
  <c r="Z515" i="1"/>
  <c r="Y515" i="1"/>
  <c r="X515" i="1"/>
  <c r="W515" i="1"/>
  <c r="R515" i="1"/>
  <c r="Q515" i="1"/>
  <c r="J515" i="1"/>
  <c r="B515" i="1"/>
  <c r="BC514" i="1"/>
  <c r="AZ514" i="1"/>
  <c r="AS514" i="1"/>
  <c r="AR514" i="1"/>
  <c r="AQ514" i="1"/>
  <c r="AP514" i="1"/>
  <c r="AL514" i="1"/>
  <c r="Z514" i="1"/>
  <c r="Y514" i="1"/>
  <c r="X514" i="1"/>
  <c r="W514" i="1"/>
  <c r="R514" i="1"/>
  <c r="Q514" i="1"/>
  <c r="J514" i="1"/>
  <c r="B514" i="1"/>
  <c r="BC513" i="1"/>
  <c r="AZ513" i="1"/>
  <c r="AV513" i="1"/>
  <c r="AW513" i="1" s="1"/>
  <c r="AU513" i="1"/>
  <c r="AX513" i="1" s="1"/>
  <c r="AS513" i="1"/>
  <c r="AR513" i="1"/>
  <c r="AQ513" i="1"/>
  <c r="AP513" i="1"/>
  <c r="AL513" i="1"/>
  <c r="X513" i="1"/>
  <c r="W513" i="1"/>
  <c r="U513" i="1"/>
  <c r="AT513" i="1" s="1"/>
  <c r="T513" i="1"/>
  <c r="S513" i="1"/>
  <c r="R513" i="1"/>
  <c r="Q513" i="1"/>
  <c r="J513" i="1"/>
  <c r="B513" i="1"/>
  <c r="BC512" i="1"/>
  <c r="AZ512" i="1"/>
  <c r="AU512" i="1"/>
  <c r="AX512" i="1" s="1"/>
  <c r="AS512" i="1"/>
  <c r="AR512" i="1"/>
  <c r="AQ512" i="1"/>
  <c r="AP512" i="1"/>
  <c r="AL512" i="1"/>
  <c r="X512" i="1"/>
  <c r="W512" i="1"/>
  <c r="T512" i="1"/>
  <c r="R512" i="1"/>
  <c r="Q512" i="1"/>
  <c r="J512" i="1"/>
  <c r="B512" i="1"/>
  <c r="BC511" i="1"/>
  <c r="AZ511" i="1"/>
  <c r="AS511" i="1"/>
  <c r="AR511" i="1"/>
  <c r="AQ511" i="1"/>
  <c r="AP511" i="1"/>
  <c r="AL511" i="1"/>
  <c r="Y511" i="1"/>
  <c r="X511" i="1"/>
  <c r="Z511" i="1" s="1"/>
  <c r="W511" i="1"/>
  <c r="R511" i="1"/>
  <c r="Q511" i="1"/>
  <c r="J511" i="1"/>
  <c r="B511" i="1"/>
  <c r="BC510" i="1"/>
  <c r="AZ510" i="1"/>
  <c r="AS510" i="1"/>
  <c r="AR510" i="1"/>
  <c r="AQ510" i="1"/>
  <c r="AP510" i="1"/>
  <c r="AL510" i="1"/>
  <c r="Y510" i="1"/>
  <c r="X510" i="1"/>
  <c r="Z510" i="1" s="1"/>
  <c r="W510" i="1"/>
  <c r="R510" i="1"/>
  <c r="Q510" i="1"/>
  <c r="J510" i="1"/>
  <c r="B510" i="1"/>
  <c r="BC509" i="1"/>
  <c r="AZ509" i="1"/>
  <c r="AS509" i="1"/>
  <c r="AR509" i="1"/>
  <c r="AQ509" i="1"/>
  <c r="AP509" i="1"/>
  <c r="AL509" i="1"/>
  <c r="Z509" i="1"/>
  <c r="Y509" i="1"/>
  <c r="X509" i="1"/>
  <c r="W509" i="1"/>
  <c r="T509" i="1"/>
  <c r="S509" i="1"/>
  <c r="BK509" i="1" s="1"/>
  <c r="R509" i="1"/>
  <c r="Q509" i="1"/>
  <c r="J509" i="1"/>
  <c r="B509" i="1"/>
  <c r="BC508" i="1"/>
  <c r="AZ508" i="1"/>
  <c r="AU508" i="1"/>
  <c r="AX508" i="1" s="1"/>
  <c r="AS508" i="1"/>
  <c r="AR508" i="1"/>
  <c r="AQ508" i="1"/>
  <c r="AP508" i="1"/>
  <c r="AL508" i="1"/>
  <c r="Z508" i="1"/>
  <c r="X508" i="1"/>
  <c r="Y508" i="1" s="1"/>
  <c r="W508" i="1"/>
  <c r="T508" i="1"/>
  <c r="S508" i="1"/>
  <c r="BK508" i="1" s="1"/>
  <c r="R508" i="1"/>
  <c r="Q508" i="1"/>
  <c r="J508" i="1"/>
  <c r="B508" i="1"/>
  <c r="BC507" i="1"/>
  <c r="AZ507" i="1"/>
  <c r="AS507" i="1"/>
  <c r="AR507" i="1"/>
  <c r="AQ507" i="1"/>
  <c r="AP507" i="1"/>
  <c r="AL507" i="1"/>
  <c r="Z507" i="1"/>
  <c r="X507" i="1"/>
  <c r="Y507" i="1" s="1"/>
  <c r="W507" i="1"/>
  <c r="R507" i="1"/>
  <c r="Q507" i="1"/>
  <c r="J507" i="1"/>
  <c r="B507" i="1"/>
  <c r="BC506" i="1"/>
  <c r="AZ506" i="1"/>
  <c r="AS506" i="1"/>
  <c r="AR506" i="1"/>
  <c r="AQ506" i="1"/>
  <c r="AP506" i="1"/>
  <c r="AL506" i="1"/>
  <c r="X506" i="1"/>
  <c r="W506" i="1"/>
  <c r="S506" i="1"/>
  <c r="R506" i="1"/>
  <c r="Q506" i="1"/>
  <c r="J506" i="1"/>
  <c r="B506" i="1"/>
  <c r="BC505" i="1"/>
  <c r="AZ505" i="1"/>
  <c r="AU505" i="1"/>
  <c r="AX505" i="1" s="1"/>
  <c r="AT505" i="1"/>
  <c r="AV505" i="1" s="1"/>
  <c r="AW505" i="1" s="1"/>
  <c r="AS505" i="1"/>
  <c r="AR505" i="1"/>
  <c r="AQ505" i="1"/>
  <c r="AP505" i="1"/>
  <c r="AL505" i="1"/>
  <c r="X505" i="1"/>
  <c r="W505" i="1"/>
  <c r="U505" i="1"/>
  <c r="T505" i="1"/>
  <c r="R505" i="1"/>
  <c r="Q505" i="1"/>
  <c r="J505" i="1"/>
  <c r="S505" i="1" s="1"/>
  <c r="B505" i="1"/>
  <c r="BC504" i="1"/>
  <c r="AZ504" i="1"/>
  <c r="AS504" i="1"/>
  <c r="AR504" i="1"/>
  <c r="AQ504" i="1"/>
  <c r="AP504" i="1"/>
  <c r="AL504" i="1"/>
  <c r="Z504" i="1"/>
  <c r="Y504" i="1"/>
  <c r="X504" i="1"/>
  <c r="W504" i="1"/>
  <c r="R504" i="1"/>
  <c r="Q504" i="1"/>
  <c r="J504" i="1"/>
  <c r="B504" i="1"/>
  <c r="BC503" i="1"/>
  <c r="AZ503" i="1"/>
  <c r="AS503" i="1"/>
  <c r="AR503" i="1"/>
  <c r="AQ503" i="1"/>
  <c r="AP503" i="1"/>
  <c r="AL503" i="1"/>
  <c r="X503" i="1"/>
  <c r="Z503" i="1" s="1"/>
  <c r="W503" i="1"/>
  <c r="U503" i="1"/>
  <c r="S503" i="1"/>
  <c r="R503" i="1"/>
  <c r="Q503" i="1"/>
  <c r="J503" i="1"/>
  <c r="B503" i="1"/>
  <c r="BC502" i="1"/>
  <c r="AZ502" i="1"/>
  <c r="AX502" i="1"/>
  <c r="AU502" i="1"/>
  <c r="AS502" i="1"/>
  <c r="AR502" i="1"/>
  <c r="AQ502" i="1"/>
  <c r="AP502" i="1"/>
  <c r="AL502" i="1"/>
  <c r="X502" i="1"/>
  <c r="Z502" i="1" s="1"/>
  <c r="W502" i="1"/>
  <c r="T502" i="1"/>
  <c r="S502" i="1"/>
  <c r="R502" i="1"/>
  <c r="Q502" i="1"/>
  <c r="J502" i="1"/>
  <c r="B502" i="1"/>
  <c r="BC501" i="1"/>
  <c r="AZ501" i="1"/>
  <c r="AU501" i="1"/>
  <c r="AX501" i="1" s="1"/>
  <c r="AS501" i="1"/>
  <c r="AR501" i="1"/>
  <c r="AQ501" i="1"/>
  <c r="AP501" i="1"/>
  <c r="AL501" i="1"/>
  <c r="Y501" i="1"/>
  <c r="X501" i="1"/>
  <c r="Z501" i="1" s="1"/>
  <c r="W501" i="1"/>
  <c r="U501" i="1"/>
  <c r="AT501" i="1" s="1"/>
  <c r="AV501" i="1" s="1"/>
  <c r="AW501" i="1" s="1"/>
  <c r="T501" i="1"/>
  <c r="R501" i="1"/>
  <c r="Q501" i="1"/>
  <c r="J501" i="1"/>
  <c r="S501" i="1" s="1"/>
  <c r="B501" i="1"/>
  <c r="BC500" i="1"/>
  <c r="AZ500" i="1"/>
  <c r="AU500" i="1"/>
  <c r="AX500" i="1" s="1"/>
  <c r="AS500" i="1"/>
  <c r="AR500" i="1"/>
  <c r="AQ500" i="1"/>
  <c r="AP500" i="1"/>
  <c r="AL500" i="1"/>
  <c r="Z500" i="1"/>
  <c r="Y500" i="1"/>
  <c r="X500" i="1"/>
  <c r="W500" i="1"/>
  <c r="U500" i="1"/>
  <c r="AT500" i="1" s="1"/>
  <c r="AV500" i="1" s="1"/>
  <c r="AW500" i="1" s="1"/>
  <c r="R500" i="1"/>
  <c r="Q500" i="1"/>
  <c r="J500" i="1"/>
  <c r="B500" i="1"/>
  <c r="BC499" i="1"/>
  <c r="AZ499" i="1"/>
  <c r="AS499" i="1"/>
  <c r="AR499" i="1"/>
  <c r="AQ499" i="1"/>
  <c r="AP499" i="1"/>
  <c r="AL499" i="1"/>
  <c r="Z499" i="1"/>
  <c r="Y499" i="1"/>
  <c r="X499" i="1"/>
  <c r="W499" i="1"/>
  <c r="U499" i="1"/>
  <c r="AT499" i="1" s="1"/>
  <c r="AV499" i="1" s="1"/>
  <c r="AW499" i="1" s="1"/>
  <c r="T499" i="1"/>
  <c r="R499" i="1"/>
  <c r="Q499" i="1"/>
  <c r="J499" i="1"/>
  <c r="AU499" i="1" s="1"/>
  <c r="AX499" i="1" s="1"/>
  <c r="B499" i="1"/>
  <c r="BC498" i="1"/>
  <c r="AZ498" i="1"/>
  <c r="AX498" i="1"/>
  <c r="AV498" i="1"/>
  <c r="AW498" i="1" s="1"/>
  <c r="AU498" i="1"/>
  <c r="AS498" i="1"/>
  <c r="AR498" i="1"/>
  <c r="AQ498" i="1"/>
  <c r="AP498" i="1"/>
  <c r="AL498" i="1"/>
  <c r="X498" i="1"/>
  <c r="W498" i="1"/>
  <c r="U498" i="1"/>
  <c r="AT498" i="1" s="1"/>
  <c r="T498" i="1"/>
  <c r="R498" i="1"/>
  <c r="Q498" i="1"/>
  <c r="J498" i="1"/>
  <c r="S498" i="1" s="1"/>
  <c r="B498" i="1"/>
  <c r="BC497" i="1"/>
  <c r="AZ497" i="1"/>
  <c r="AS497" i="1"/>
  <c r="AR497" i="1"/>
  <c r="AQ497" i="1"/>
  <c r="AP497" i="1"/>
  <c r="AL497" i="1"/>
  <c r="X497" i="1"/>
  <c r="Z497" i="1" s="1"/>
  <c r="W497" i="1"/>
  <c r="S497" i="1"/>
  <c r="R497" i="1"/>
  <c r="Q497" i="1"/>
  <c r="J497" i="1"/>
  <c r="B497" i="1"/>
  <c r="BC496" i="1"/>
  <c r="AZ496" i="1"/>
  <c r="AS496" i="1"/>
  <c r="AR496" i="1"/>
  <c r="AQ496" i="1"/>
  <c r="AP496" i="1"/>
  <c r="AL496" i="1"/>
  <c r="Y496" i="1"/>
  <c r="X496" i="1"/>
  <c r="Z496" i="1" s="1"/>
  <c r="W496" i="1"/>
  <c r="U496" i="1"/>
  <c r="R496" i="1"/>
  <c r="Q496" i="1"/>
  <c r="J496" i="1"/>
  <c r="B496" i="1"/>
  <c r="BC495" i="1"/>
  <c r="AZ495" i="1"/>
  <c r="AX495" i="1"/>
  <c r="AV495" i="1"/>
  <c r="AW495" i="1" s="1"/>
  <c r="AU495" i="1"/>
  <c r="AT495" i="1"/>
  <c r="AS495" i="1"/>
  <c r="AR495" i="1"/>
  <c r="AQ495" i="1"/>
  <c r="AP495" i="1"/>
  <c r="AL495" i="1"/>
  <c r="X495" i="1"/>
  <c r="W495" i="1"/>
  <c r="U495" i="1"/>
  <c r="T495" i="1"/>
  <c r="R495" i="1"/>
  <c r="Q495" i="1"/>
  <c r="J495" i="1"/>
  <c r="S495" i="1" s="1"/>
  <c r="B495" i="1"/>
  <c r="BC494" i="1"/>
  <c r="AZ494" i="1"/>
  <c r="AX494" i="1"/>
  <c r="AU494" i="1"/>
  <c r="AS494" i="1"/>
  <c r="AR494" i="1"/>
  <c r="AQ494" i="1"/>
  <c r="AP494" i="1"/>
  <c r="AL494" i="1"/>
  <c r="Z494" i="1"/>
  <c r="Y494" i="1"/>
  <c r="BK494" i="1" s="1"/>
  <c r="X494" i="1"/>
  <c r="W494" i="1"/>
  <c r="U494" i="1"/>
  <c r="AT494" i="1" s="1"/>
  <c r="AV494" i="1" s="1"/>
  <c r="AW494" i="1" s="1"/>
  <c r="T494" i="1"/>
  <c r="R494" i="1"/>
  <c r="Q494" i="1"/>
  <c r="J494" i="1"/>
  <c r="S494" i="1" s="1"/>
  <c r="B494" i="1"/>
  <c r="BC493" i="1"/>
  <c r="AZ493" i="1"/>
  <c r="AU493" i="1"/>
  <c r="AX493" i="1" s="1"/>
  <c r="AS493" i="1"/>
  <c r="AR493" i="1"/>
  <c r="AQ493" i="1"/>
  <c r="AP493" i="1"/>
  <c r="AL493" i="1"/>
  <c r="Z493" i="1"/>
  <c r="Y493" i="1"/>
  <c r="X493" i="1"/>
  <c r="W493" i="1"/>
  <c r="U493" i="1"/>
  <c r="AT493" i="1" s="1"/>
  <c r="AV493" i="1" s="1"/>
  <c r="AW493" i="1" s="1"/>
  <c r="R493" i="1"/>
  <c r="Q493" i="1"/>
  <c r="J493" i="1"/>
  <c r="B493" i="1"/>
  <c r="BC492" i="1"/>
  <c r="AZ492" i="1"/>
  <c r="AS492" i="1"/>
  <c r="AR492" i="1"/>
  <c r="AQ492" i="1"/>
  <c r="AP492" i="1"/>
  <c r="AL492" i="1"/>
  <c r="Z492" i="1"/>
  <c r="Y492" i="1"/>
  <c r="X492" i="1"/>
  <c r="W492" i="1"/>
  <c r="R492" i="1"/>
  <c r="Q492" i="1"/>
  <c r="J492" i="1"/>
  <c r="B492" i="1"/>
  <c r="BC491" i="1"/>
  <c r="AZ491" i="1"/>
  <c r="AS491" i="1"/>
  <c r="AR491" i="1"/>
  <c r="AQ491" i="1"/>
  <c r="AP491" i="1"/>
  <c r="AL491" i="1"/>
  <c r="X491" i="1"/>
  <c r="W491" i="1"/>
  <c r="R491" i="1"/>
  <c r="Q491" i="1"/>
  <c r="J491" i="1"/>
  <c r="B491" i="1"/>
  <c r="BC490" i="1"/>
  <c r="AZ490" i="1"/>
  <c r="AU490" i="1"/>
  <c r="AX490" i="1" s="1"/>
  <c r="AS490" i="1"/>
  <c r="AR490" i="1"/>
  <c r="AQ490" i="1"/>
  <c r="AP490" i="1"/>
  <c r="AL490" i="1"/>
  <c r="Z490" i="1"/>
  <c r="Y490" i="1"/>
  <c r="X490" i="1"/>
  <c r="W490" i="1"/>
  <c r="T490" i="1"/>
  <c r="R490" i="1"/>
  <c r="Q490" i="1"/>
  <c r="J490" i="1"/>
  <c r="B490" i="1"/>
  <c r="BC489" i="1"/>
  <c r="AZ489" i="1"/>
  <c r="AS489" i="1"/>
  <c r="AR489" i="1"/>
  <c r="AQ489" i="1"/>
  <c r="AP489" i="1"/>
  <c r="AL489" i="1"/>
  <c r="Z489" i="1"/>
  <c r="Y489" i="1"/>
  <c r="X489" i="1"/>
  <c r="W489" i="1"/>
  <c r="S489" i="1"/>
  <c r="BK489" i="1" s="1"/>
  <c r="R489" i="1"/>
  <c r="Q489" i="1"/>
  <c r="J489" i="1"/>
  <c r="B489" i="1"/>
  <c r="BC488" i="1"/>
  <c r="AZ488" i="1"/>
  <c r="AU488" i="1"/>
  <c r="AX488" i="1" s="1"/>
  <c r="AT488" i="1"/>
  <c r="AV488" i="1" s="1"/>
  <c r="AW488" i="1" s="1"/>
  <c r="AS488" i="1"/>
  <c r="AR488" i="1"/>
  <c r="AQ488" i="1"/>
  <c r="AP488" i="1"/>
  <c r="AL488" i="1"/>
  <c r="Z488" i="1"/>
  <c r="X488" i="1"/>
  <c r="Y488" i="1" s="1"/>
  <c r="W488" i="1"/>
  <c r="U488" i="1"/>
  <c r="T488" i="1"/>
  <c r="S488" i="1"/>
  <c r="BK488" i="1" s="1"/>
  <c r="R488" i="1"/>
  <c r="Q488" i="1"/>
  <c r="J488" i="1"/>
  <c r="B488" i="1"/>
  <c r="BC487" i="1"/>
  <c r="AZ487" i="1"/>
  <c r="AU487" i="1"/>
  <c r="AX487" i="1" s="1"/>
  <c r="AS487" i="1"/>
  <c r="AR487" i="1"/>
  <c r="AQ487" i="1"/>
  <c r="AP487" i="1"/>
  <c r="AL487" i="1"/>
  <c r="X487" i="1"/>
  <c r="W487" i="1"/>
  <c r="T487" i="1"/>
  <c r="R487" i="1"/>
  <c r="Q487" i="1"/>
  <c r="J487" i="1"/>
  <c r="B487" i="1"/>
  <c r="BC486" i="1"/>
  <c r="AZ486" i="1"/>
  <c r="AS486" i="1"/>
  <c r="AR486" i="1"/>
  <c r="AQ486" i="1"/>
  <c r="AP486" i="1"/>
  <c r="AL486" i="1"/>
  <c r="X486" i="1"/>
  <c r="Z486" i="1" s="1"/>
  <c r="W486" i="1"/>
  <c r="T486" i="1"/>
  <c r="S486" i="1"/>
  <c r="R486" i="1"/>
  <c r="Q486" i="1"/>
  <c r="J486" i="1"/>
  <c r="B486" i="1"/>
  <c r="BC485" i="1"/>
  <c r="AZ485" i="1"/>
  <c r="AS485" i="1"/>
  <c r="AR485" i="1"/>
  <c r="AQ485" i="1"/>
  <c r="AP485" i="1"/>
  <c r="AL485" i="1"/>
  <c r="X485" i="1"/>
  <c r="Z485" i="1" s="1"/>
  <c r="W485" i="1"/>
  <c r="U485" i="1"/>
  <c r="AT485" i="1" s="1"/>
  <c r="AV485" i="1" s="1"/>
  <c r="AW485" i="1" s="1"/>
  <c r="T485" i="1"/>
  <c r="R485" i="1"/>
  <c r="Q485" i="1"/>
  <c r="J485" i="1"/>
  <c r="B485" i="1"/>
  <c r="BC484" i="1"/>
  <c r="AZ484" i="1"/>
  <c r="AU484" i="1"/>
  <c r="AX484" i="1" s="1"/>
  <c r="AS484" i="1"/>
  <c r="AR484" i="1"/>
  <c r="AQ484" i="1"/>
  <c r="AP484" i="1"/>
  <c r="AL484" i="1"/>
  <c r="Z484" i="1"/>
  <c r="Y484" i="1"/>
  <c r="X484" i="1"/>
  <c r="W484" i="1"/>
  <c r="R484" i="1"/>
  <c r="Q484" i="1"/>
  <c r="J484" i="1"/>
  <c r="B484" i="1"/>
  <c r="BC483" i="1"/>
  <c r="AZ483" i="1"/>
  <c r="AS483" i="1"/>
  <c r="AR483" i="1"/>
  <c r="AQ483" i="1"/>
  <c r="AP483" i="1"/>
  <c r="AL483" i="1"/>
  <c r="Y483" i="1"/>
  <c r="X483" i="1"/>
  <c r="Z483" i="1" s="1"/>
  <c r="W483" i="1"/>
  <c r="R483" i="1"/>
  <c r="Q483" i="1"/>
  <c r="J483" i="1"/>
  <c r="B483" i="1"/>
  <c r="BC482" i="1"/>
  <c r="AZ482" i="1"/>
  <c r="AS482" i="1"/>
  <c r="AR482" i="1"/>
  <c r="AQ482" i="1"/>
  <c r="AP482" i="1"/>
  <c r="AL482" i="1"/>
  <c r="X482" i="1"/>
  <c r="W482" i="1"/>
  <c r="S482" i="1"/>
  <c r="R482" i="1"/>
  <c r="Q482" i="1"/>
  <c r="J482" i="1"/>
  <c r="B482" i="1"/>
  <c r="BC481" i="1"/>
  <c r="AZ481" i="1"/>
  <c r="AU481" i="1"/>
  <c r="AX481" i="1" s="1"/>
  <c r="AT481" i="1"/>
  <c r="AV481" i="1" s="1"/>
  <c r="AW481" i="1" s="1"/>
  <c r="AS481" i="1"/>
  <c r="AR481" i="1"/>
  <c r="AQ481" i="1"/>
  <c r="AP481" i="1"/>
  <c r="AL481" i="1"/>
  <c r="X481" i="1"/>
  <c r="Z481" i="1" s="1"/>
  <c r="W481" i="1"/>
  <c r="U481" i="1"/>
  <c r="T481" i="1"/>
  <c r="S481" i="1"/>
  <c r="R481" i="1"/>
  <c r="Q481" i="1"/>
  <c r="J481" i="1"/>
  <c r="B481" i="1"/>
  <c r="BC480" i="1"/>
  <c r="AZ480" i="1"/>
  <c r="AU480" i="1"/>
  <c r="AX480" i="1" s="1"/>
  <c r="AS480" i="1"/>
  <c r="AR480" i="1"/>
  <c r="AQ480" i="1"/>
  <c r="AP480" i="1"/>
  <c r="AL480" i="1"/>
  <c r="X480" i="1"/>
  <c r="W480" i="1"/>
  <c r="T480" i="1"/>
  <c r="R480" i="1"/>
  <c r="Q480" i="1"/>
  <c r="J480" i="1"/>
  <c r="S480" i="1" s="1"/>
  <c r="B480" i="1"/>
  <c r="BC479" i="1"/>
  <c r="AZ479" i="1"/>
  <c r="AX479" i="1"/>
  <c r="AU479" i="1"/>
  <c r="AS479" i="1"/>
  <c r="AR479" i="1"/>
  <c r="AQ479" i="1"/>
  <c r="AP479" i="1"/>
  <c r="AL479" i="1"/>
  <c r="Z479" i="1"/>
  <c r="Y479" i="1"/>
  <c r="X479" i="1"/>
  <c r="W479" i="1"/>
  <c r="T479" i="1"/>
  <c r="S479" i="1"/>
  <c r="BK479" i="1" s="1"/>
  <c r="R479" i="1"/>
  <c r="Q479" i="1"/>
  <c r="J479" i="1"/>
  <c r="B479" i="1"/>
  <c r="BC478" i="1"/>
  <c r="AZ478" i="1"/>
  <c r="AT478" i="1"/>
  <c r="AV478" i="1" s="1"/>
  <c r="AW478" i="1" s="1"/>
  <c r="AS478" i="1"/>
  <c r="AR478" i="1"/>
  <c r="AQ478" i="1"/>
  <c r="AP478" i="1"/>
  <c r="AL478" i="1"/>
  <c r="X478" i="1"/>
  <c r="Z478" i="1" s="1"/>
  <c r="W478" i="1"/>
  <c r="U478" i="1"/>
  <c r="T478" i="1"/>
  <c r="R478" i="1"/>
  <c r="Q478" i="1"/>
  <c r="J478" i="1"/>
  <c r="B478" i="1"/>
  <c r="BC477" i="1"/>
  <c r="AZ477" i="1"/>
  <c r="AS477" i="1"/>
  <c r="AR477" i="1"/>
  <c r="AQ477" i="1"/>
  <c r="AP477" i="1"/>
  <c r="AL477" i="1"/>
  <c r="X477" i="1"/>
  <c r="W477" i="1"/>
  <c r="R477" i="1"/>
  <c r="Q477" i="1"/>
  <c r="J477" i="1"/>
  <c r="B477" i="1"/>
  <c r="BC476" i="1"/>
  <c r="AZ476" i="1"/>
  <c r="AV476" i="1"/>
  <c r="AW476" i="1" s="1"/>
  <c r="AU476" i="1"/>
  <c r="AX476" i="1" s="1"/>
  <c r="AT476" i="1"/>
  <c r="AS476" i="1"/>
  <c r="AR476" i="1"/>
  <c r="AQ476" i="1"/>
  <c r="AP476" i="1"/>
  <c r="AL476" i="1"/>
  <c r="X476" i="1"/>
  <c r="W476" i="1"/>
  <c r="U476" i="1"/>
  <c r="T476" i="1"/>
  <c r="R476" i="1"/>
  <c r="Q476" i="1"/>
  <c r="J476" i="1"/>
  <c r="S476" i="1" s="1"/>
  <c r="B476" i="1"/>
  <c r="BC475" i="1"/>
  <c r="AZ475" i="1"/>
  <c r="AS475" i="1"/>
  <c r="AR475" i="1"/>
  <c r="AQ475" i="1"/>
  <c r="AP475" i="1"/>
  <c r="AL475" i="1"/>
  <c r="Z475" i="1"/>
  <c r="Y475" i="1"/>
  <c r="X475" i="1"/>
  <c r="W475" i="1"/>
  <c r="R475" i="1"/>
  <c r="Q475" i="1"/>
  <c r="J475" i="1"/>
  <c r="B475" i="1"/>
  <c r="BC474" i="1"/>
  <c r="AZ474" i="1"/>
  <c r="AX474" i="1"/>
  <c r="AS474" i="1"/>
  <c r="AR474" i="1"/>
  <c r="AQ474" i="1"/>
  <c r="AP474" i="1"/>
  <c r="AL474" i="1"/>
  <c r="Z474" i="1"/>
  <c r="Y474" i="1"/>
  <c r="X474" i="1"/>
  <c r="W474" i="1"/>
  <c r="U474" i="1"/>
  <c r="AT474" i="1" s="1"/>
  <c r="AV474" i="1" s="1"/>
  <c r="AW474" i="1" s="1"/>
  <c r="T474" i="1"/>
  <c r="S474" i="1"/>
  <c r="R474" i="1"/>
  <c r="Q474" i="1"/>
  <c r="J474" i="1"/>
  <c r="AU474" i="1" s="1"/>
  <c r="B474" i="1"/>
  <c r="BC473" i="1"/>
  <c r="AZ473" i="1"/>
  <c r="AX473" i="1"/>
  <c r="AU473" i="1"/>
  <c r="AS473" i="1"/>
  <c r="AR473" i="1"/>
  <c r="AQ473" i="1"/>
  <c r="AP473" i="1"/>
  <c r="AL473" i="1"/>
  <c r="Z473" i="1"/>
  <c r="X473" i="1"/>
  <c r="Y473" i="1" s="1"/>
  <c r="BK473" i="1" s="1"/>
  <c r="W473" i="1"/>
  <c r="U473" i="1"/>
  <c r="AT473" i="1" s="1"/>
  <c r="AV473" i="1" s="1"/>
  <c r="AW473" i="1" s="1"/>
  <c r="T473" i="1"/>
  <c r="R473" i="1"/>
  <c r="Q473" i="1"/>
  <c r="J473" i="1"/>
  <c r="S473" i="1" s="1"/>
  <c r="B473" i="1"/>
  <c r="BC472" i="1"/>
  <c r="AZ472" i="1"/>
  <c r="AS472" i="1"/>
  <c r="AR472" i="1"/>
  <c r="AQ472" i="1"/>
  <c r="AP472" i="1"/>
  <c r="AL472" i="1"/>
  <c r="Z472" i="1"/>
  <c r="X472" i="1"/>
  <c r="Y472" i="1" s="1"/>
  <c r="BK472" i="1" s="1"/>
  <c r="W472" i="1"/>
  <c r="S472" i="1"/>
  <c r="R472" i="1"/>
  <c r="Q472" i="1"/>
  <c r="J472" i="1"/>
  <c r="B472" i="1"/>
  <c r="BC471" i="1"/>
  <c r="AZ471" i="1"/>
  <c r="AS471" i="1"/>
  <c r="AR471" i="1"/>
  <c r="AQ471" i="1"/>
  <c r="AP471" i="1"/>
  <c r="AL471" i="1"/>
  <c r="Y471" i="1"/>
  <c r="X471" i="1"/>
  <c r="Z471" i="1" s="1"/>
  <c r="W471" i="1"/>
  <c r="U471" i="1"/>
  <c r="R471" i="1"/>
  <c r="Q471" i="1"/>
  <c r="J471" i="1"/>
  <c r="B471" i="1"/>
  <c r="BC470" i="1"/>
  <c r="AZ470" i="1"/>
  <c r="AX470" i="1"/>
  <c r="AV470" i="1"/>
  <c r="AW470" i="1" s="1"/>
  <c r="AU470" i="1"/>
  <c r="AT470" i="1"/>
  <c r="AS470" i="1"/>
  <c r="AR470" i="1"/>
  <c r="AQ470" i="1"/>
  <c r="AP470" i="1"/>
  <c r="AL470" i="1"/>
  <c r="Z470" i="1"/>
  <c r="X470" i="1"/>
  <c r="Y470" i="1" s="1"/>
  <c r="W470" i="1"/>
  <c r="U470" i="1"/>
  <c r="T470" i="1"/>
  <c r="R470" i="1"/>
  <c r="Q470" i="1"/>
  <c r="J470" i="1"/>
  <c r="S470" i="1" s="1"/>
  <c r="B470" i="1"/>
  <c r="BC469" i="1"/>
  <c r="AZ469" i="1"/>
  <c r="AS469" i="1"/>
  <c r="AR469" i="1"/>
  <c r="AQ469" i="1"/>
  <c r="AP469" i="1"/>
  <c r="AL469" i="1"/>
  <c r="Z469" i="1"/>
  <c r="Y469" i="1"/>
  <c r="X469" i="1"/>
  <c r="W469" i="1"/>
  <c r="U469" i="1"/>
  <c r="AT469" i="1" s="1"/>
  <c r="AV469" i="1" s="1"/>
  <c r="AW469" i="1" s="1"/>
  <c r="R469" i="1"/>
  <c r="Q469" i="1"/>
  <c r="J469" i="1"/>
  <c r="B469" i="1"/>
  <c r="BC468" i="1"/>
  <c r="AZ468" i="1"/>
  <c r="AS468" i="1"/>
  <c r="AR468" i="1"/>
  <c r="AQ468" i="1"/>
  <c r="AP468" i="1"/>
  <c r="AL468" i="1"/>
  <c r="Z468" i="1"/>
  <c r="Y468" i="1"/>
  <c r="BK468" i="1" s="1"/>
  <c r="X468" i="1"/>
  <c r="W468" i="1"/>
  <c r="S468" i="1"/>
  <c r="R468" i="1"/>
  <c r="Q468" i="1"/>
  <c r="J468" i="1"/>
  <c r="B468" i="1"/>
  <c r="BC467" i="1"/>
  <c r="AZ467" i="1"/>
  <c r="AU467" i="1"/>
  <c r="AX467" i="1" s="1"/>
  <c r="AS467" i="1"/>
  <c r="AR467" i="1"/>
  <c r="AQ467" i="1"/>
  <c r="AP467" i="1"/>
  <c r="AL467" i="1"/>
  <c r="X467" i="1"/>
  <c r="W467" i="1"/>
  <c r="T467" i="1"/>
  <c r="R467" i="1"/>
  <c r="Q467" i="1"/>
  <c r="J467" i="1"/>
  <c r="B467" i="1"/>
  <c r="BC466" i="1"/>
  <c r="AZ466" i="1"/>
  <c r="AV466" i="1"/>
  <c r="AW466" i="1" s="1"/>
  <c r="AU466" i="1"/>
  <c r="AX466" i="1" s="1"/>
  <c r="AS466" i="1"/>
  <c r="AR466" i="1"/>
  <c r="AQ466" i="1"/>
  <c r="AP466" i="1"/>
  <c r="AL466" i="1"/>
  <c r="X466" i="1"/>
  <c r="W466" i="1"/>
  <c r="U466" i="1"/>
  <c r="AT466" i="1" s="1"/>
  <c r="S466" i="1"/>
  <c r="R466" i="1"/>
  <c r="Q466" i="1"/>
  <c r="J466" i="1"/>
  <c r="T466" i="1" s="1"/>
  <c r="B466" i="1"/>
  <c r="BC465" i="1"/>
  <c r="AZ465" i="1"/>
  <c r="AS465" i="1"/>
  <c r="AR465" i="1"/>
  <c r="AQ465" i="1"/>
  <c r="AP465" i="1"/>
  <c r="AL465" i="1"/>
  <c r="Z465" i="1"/>
  <c r="Y465" i="1"/>
  <c r="X465" i="1"/>
  <c r="W465" i="1"/>
  <c r="U465" i="1"/>
  <c r="AT465" i="1" s="1"/>
  <c r="AV465" i="1" s="1"/>
  <c r="AW465" i="1" s="1"/>
  <c r="R465" i="1"/>
  <c r="Q465" i="1"/>
  <c r="J465" i="1"/>
  <c r="B465" i="1"/>
  <c r="BC464" i="1"/>
  <c r="AZ464" i="1"/>
  <c r="AX464" i="1"/>
  <c r="AU464" i="1"/>
  <c r="AT464" i="1"/>
  <c r="AV464" i="1" s="1"/>
  <c r="AW464" i="1" s="1"/>
  <c r="AS464" i="1"/>
  <c r="AR464" i="1"/>
  <c r="AQ464" i="1"/>
  <c r="AP464" i="1"/>
  <c r="AL464" i="1"/>
  <c r="Z464" i="1"/>
  <c r="X464" i="1"/>
  <c r="Y464" i="1" s="1"/>
  <c r="BK464" i="1" s="1"/>
  <c r="W464" i="1"/>
  <c r="U464" i="1"/>
  <c r="T464" i="1"/>
  <c r="S464" i="1"/>
  <c r="R464" i="1"/>
  <c r="Q464" i="1"/>
  <c r="J464" i="1"/>
  <c r="B464" i="1"/>
  <c r="BC463" i="1"/>
  <c r="AZ463" i="1"/>
  <c r="AX463" i="1"/>
  <c r="AU463" i="1"/>
  <c r="AS463" i="1"/>
  <c r="AR463" i="1"/>
  <c r="AQ463" i="1"/>
  <c r="AP463" i="1"/>
  <c r="AL463" i="1"/>
  <c r="Z463" i="1"/>
  <c r="Y463" i="1"/>
  <c r="X463" i="1"/>
  <c r="W463" i="1"/>
  <c r="S463" i="1"/>
  <c r="R463" i="1"/>
  <c r="Q463" i="1"/>
  <c r="J463" i="1"/>
  <c r="T463" i="1" s="1"/>
  <c r="B463" i="1"/>
  <c r="BK462" i="1"/>
  <c r="BC462" i="1"/>
  <c r="AZ462" i="1"/>
  <c r="AS462" i="1"/>
  <c r="AR462" i="1"/>
  <c r="AQ462" i="1"/>
  <c r="AP462" i="1"/>
  <c r="AL462" i="1"/>
  <c r="Z462" i="1"/>
  <c r="X462" i="1"/>
  <c r="Y462" i="1" s="1"/>
  <c r="W462" i="1"/>
  <c r="R462" i="1"/>
  <c r="Q462" i="1"/>
  <c r="J462" i="1"/>
  <c r="S462" i="1" s="1"/>
  <c r="B462" i="1"/>
  <c r="BC461" i="1"/>
  <c r="AZ461" i="1"/>
  <c r="AS461" i="1"/>
  <c r="AR461" i="1"/>
  <c r="AQ461" i="1"/>
  <c r="AP461" i="1"/>
  <c r="AL461" i="1"/>
  <c r="X461" i="1"/>
  <c r="Z461" i="1" s="1"/>
  <c r="W461" i="1"/>
  <c r="T461" i="1"/>
  <c r="R461" i="1"/>
  <c r="Q461" i="1"/>
  <c r="J461" i="1"/>
  <c r="B461" i="1"/>
  <c r="BC460" i="1"/>
  <c r="AZ460" i="1"/>
  <c r="AS460" i="1"/>
  <c r="AR460" i="1"/>
  <c r="AQ460" i="1"/>
  <c r="AP460" i="1"/>
  <c r="AL460" i="1"/>
  <c r="X460" i="1"/>
  <c r="W460" i="1"/>
  <c r="U460" i="1"/>
  <c r="T460" i="1"/>
  <c r="R460" i="1"/>
  <c r="Q460" i="1"/>
  <c r="J460" i="1"/>
  <c r="AU460" i="1" s="1"/>
  <c r="AX460" i="1" s="1"/>
  <c r="B460" i="1"/>
  <c r="BC459" i="1"/>
  <c r="AZ459" i="1"/>
  <c r="AX459" i="1"/>
  <c r="AW459" i="1"/>
  <c r="AU459" i="1"/>
  <c r="AS459" i="1"/>
  <c r="AR459" i="1"/>
  <c r="AQ459" i="1"/>
  <c r="AP459" i="1"/>
  <c r="AL459" i="1"/>
  <c r="Z459" i="1"/>
  <c r="Y459" i="1"/>
  <c r="X459" i="1"/>
  <c r="W459" i="1"/>
  <c r="U459" i="1"/>
  <c r="AT459" i="1" s="1"/>
  <c r="AV459" i="1" s="1"/>
  <c r="T459" i="1"/>
  <c r="S459" i="1"/>
  <c r="R459" i="1"/>
  <c r="Q459" i="1"/>
  <c r="J459" i="1"/>
  <c r="B459" i="1"/>
  <c r="BC458" i="1"/>
  <c r="AZ458" i="1"/>
  <c r="AU458" i="1"/>
  <c r="AX458" i="1" s="1"/>
  <c r="AT458" i="1"/>
  <c r="AV458" i="1" s="1"/>
  <c r="AW458" i="1" s="1"/>
  <c r="AS458" i="1"/>
  <c r="AR458" i="1"/>
  <c r="AQ458" i="1"/>
  <c r="AP458" i="1"/>
  <c r="AL458" i="1"/>
  <c r="X458" i="1"/>
  <c r="Z458" i="1" s="1"/>
  <c r="W458" i="1"/>
  <c r="U458" i="1"/>
  <c r="S458" i="1"/>
  <c r="R458" i="1"/>
  <c r="Q458" i="1"/>
  <c r="J458" i="1"/>
  <c r="T458" i="1" s="1"/>
  <c r="B458" i="1"/>
  <c r="BC457" i="1"/>
  <c r="AZ457" i="1"/>
  <c r="AU457" i="1"/>
  <c r="AX457" i="1" s="1"/>
  <c r="AT457" i="1"/>
  <c r="AV457" i="1" s="1"/>
  <c r="AW457" i="1" s="1"/>
  <c r="AS457" i="1"/>
  <c r="AR457" i="1"/>
  <c r="AQ457" i="1"/>
  <c r="AP457" i="1"/>
  <c r="AL457" i="1"/>
  <c r="X457" i="1"/>
  <c r="Y457" i="1" s="1"/>
  <c r="W457" i="1"/>
  <c r="U457" i="1"/>
  <c r="T457" i="1"/>
  <c r="S457" i="1"/>
  <c r="R457" i="1"/>
  <c r="Q457" i="1"/>
  <c r="J457" i="1"/>
  <c r="B457" i="1"/>
  <c r="BC456" i="1"/>
  <c r="AZ456" i="1"/>
  <c r="AU456" i="1"/>
  <c r="AX456" i="1" s="1"/>
  <c r="AS456" i="1"/>
  <c r="AR456" i="1"/>
  <c r="AQ456" i="1"/>
  <c r="AP456" i="1"/>
  <c r="AL456" i="1"/>
  <c r="Z456" i="1"/>
  <c r="Y456" i="1"/>
  <c r="X456" i="1"/>
  <c r="W456" i="1"/>
  <c r="S456" i="1"/>
  <c r="R456" i="1"/>
  <c r="Q456" i="1"/>
  <c r="J456" i="1"/>
  <c r="T456" i="1" s="1"/>
  <c r="B456" i="1"/>
  <c r="BC455" i="1"/>
  <c r="AZ455" i="1"/>
  <c r="AS455" i="1"/>
  <c r="AR455" i="1"/>
  <c r="AQ455" i="1"/>
  <c r="AP455" i="1"/>
  <c r="AL455" i="1"/>
  <c r="Z455" i="1"/>
  <c r="Y455" i="1"/>
  <c r="X455" i="1"/>
  <c r="W455" i="1"/>
  <c r="R455" i="1"/>
  <c r="Q455" i="1"/>
  <c r="J455" i="1"/>
  <c r="B455" i="1"/>
  <c r="BK454" i="1"/>
  <c r="BC454" i="1"/>
  <c r="AZ454" i="1"/>
  <c r="AX454" i="1"/>
  <c r="AU454" i="1"/>
  <c r="AS454" i="1"/>
  <c r="AR454" i="1"/>
  <c r="AQ454" i="1"/>
  <c r="AP454" i="1"/>
  <c r="AL454" i="1"/>
  <c r="Z454" i="1"/>
  <c r="Y454" i="1"/>
  <c r="X454" i="1"/>
  <c r="W454" i="1"/>
  <c r="U454" i="1"/>
  <c r="AT454" i="1" s="1"/>
  <c r="AV454" i="1" s="1"/>
  <c r="AW454" i="1" s="1"/>
  <c r="T454" i="1"/>
  <c r="S454" i="1"/>
  <c r="R454" i="1"/>
  <c r="Q454" i="1"/>
  <c r="J454" i="1"/>
  <c r="B454" i="1"/>
  <c r="BC453" i="1"/>
  <c r="AZ453" i="1"/>
  <c r="AU453" i="1"/>
  <c r="AX453" i="1" s="1"/>
  <c r="AS453" i="1"/>
  <c r="AR453" i="1"/>
  <c r="AQ453" i="1"/>
  <c r="AP453" i="1"/>
  <c r="AL453" i="1"/>
  <c r="X453" i="1"/>
  <c r="W453" i="1"/>
  <c r="S453" i="1"/>
  <c r="R453" i="1"/>
  <c r="Q453" i="1"/>
  <c r="J453" i="1"/>
  <c r="B453" i="1"/>
  <c r="BC452" i="1"/>
  <c r="AZ452" i="1"/>
  <c r="AU452" i="1"/>
  <c r="AX452" i="1" s="1"/>
  <c r="AT452" i="1"/>
  <c r="AV452" i="1" s="1"/>
  <c r="AW452" i="1" s="1"/>
  <c r="AS452" i="1"/>
  <c r="AR452" i="1"/>
  <c r="AQ452" i="1"/>
  <c r="AP452" i="1"/>
  <c r="AL452" i="1"/>
  <c r="X452" i="1"/>
  <c r="Y452" i="1" s="1"/>
  <c r="W452" i="1"/>
  <c r="U452" i="1"/>
  <c r="T452" i="1"/>
  <c r="S452" i="1"/>
  <c r="R452" i="1"/>
  <c r="Q452" i="1"/>
  <c r="J452" i="1"/>
  <c r="B452" i="1"/>
  <c r="BC451" i="1"/>
  <c r="AZ451" i="1"/>
  <c r="AU451" i="1"/>
  <c r="AX451" i="1" s="1"/>
  <c r="AT451" i="1"/>
  <c r="AV451" i="1" s="1"/>
  <c r="AW451" i="1" s="1"/>
  <c r="AS451" i="1"/>
  <c r="AR451" i="1"/>
  <c r="AQ451" i="1"/>
  <c r="AP451" i="1"/>
  <c r="AL451" i="1"/>
  <c r="X451" i="1"/>
  <c r="W451" i="1"/>
  <c r="U451" i="1"/>
  <c r="T451" i="1"/>
  <c r="R451" i="1"/>
  <c r="Q451" i="1"/>
  <c r="J451" i="1"/>
  <c r="S451" i="1" s="1"/>
  <c r="B451" i="1"/>
  <c r="BC450" i="1"/>
  <c r="AZ450" i="1"/>
  <c r="AS450" i="1"/>
  <c r="AR450" i="1"/>
  <c r="AQ450" i="1"/>
  <c r="AP450" i="1"/>
  <c r="AL450" i="1"/>
  <c r="X450" i="1"/>
  <c r="Z450" i="1" s="1"/>
  <c r="W450" i="1"/>
  <c r="R450" i="1"/>
  <c r="Q450" i="1"/>
  <c r="J450" i="1"/>
  <c r="B450" i="1"/>
  <c r="BK449" i="1"/>
  <c r="BC449" i="1"/>
  <c r="AZ449" i="1"/>
  <c r="AX449" i="1"/>
  <c r="AU449" i="1"/>
  <c r="AS449" i="1"/>
  <c r="AR449" i="1"/>
  <c r="AQ449" i="1"/>
  <c r="AP449" i="1"/>
  <c r="AL449" i="1"/>
  <c r="Z449" i="1"/>
  <c r="Y449" i="1"/>
  <c r="X449" i="1"/>
  <c r="W449" i="1"/>
  <c r="U449" i="1"/>
  <c r="AT449" i="1" s="1"/>
  <c r="AV449" i="1" s="1"/>
  <c r="AW449" i="1" s="1"/>
  <c r="T449" i="1"/>
  <c r="S449" i="1"/>
  <c r="R449" i="1"/>
  <c r="Q449" i="1"/>
  <c r="J449" i="1"/>
  <c r="B449" i="1"/>
  <c r="BC448" i="1"/>
  <c r="AZ448" i="1"/>
  <c r="AU448" i="1"/>
  <c r="AX448" i="1" s="1"/>
  <c r="AS448" i="1"/>
  <c r="AR448" i="1"/>
  <c r="AQ448" i="1"/>
  <c r="AP448" i="1"/>
  <c r="AL448" i="1"/>
  <c r="Y448" i="1"/>
  <c r="X448" i="1"/>
  <c r="Z448" i="1" s="1"/>
  <c r="W448" i="1"/>
  <c r="U448" i="1"/>
  <c r="AT448" i="1" s="1"/>
  <c r="AV448" i="1" s="1"/>
  <c r="AW448" i="1" s="1"/>
  <c r="R448" i="1"/>
  <c r="Q448" i="1"/>
  <c r="J448" i="1"/>
  <c r="T448" i="1" s="1"/>
  <c r="B448" i="1"/>
  <c r="BC447" i="1"/>
  <c r="AZ447" i="1"/>
  <c r="AS447" i="1"/>
  <c r="AR447" i="1"/>
  <c r="AQ447" i="1"/>
  <c r="AP447" i="1"/>
  <c r="AL447" i="1"/>
  <c r="X447" i="1"/>
  <c r="Y447" i="1" s="1"/>
  <c r="W447" i="1"/>
  <c r="R447" i="1"/>
  <c r="Q447" i="1"/>
  <c r="J447" i="1"/>
  <c r="AU447" i="1" s="1"/>
  <c r="AX447" i="1" s="1"/>
  <c r="B447" i="1"/>
  <c r="BC446" i="1"/>
  <c r="AZ446" i="1"/>
  <c r="AS446" i="1"/>
  <c r="AR446" i="1"/>
  <c r="AQ446" i="1"/>
  <c r="AP446" i="1"/>
  <c r="AL446" i="1"/>
  <c r="Z446" i="1"/>
  <c r="X446" i="1"/>
  <c r="Y446" i="1" s="1"/>
  <c r="W446" i="1"/>
  <c r="R446" i="1"/>
  <c r="Q446" i="1"/>
  <c r="J446" i="1"/>
  <c r="B446" i="1"/>
  <c r="BK445" i="1"/>
  <c r="BC445" i="1"/>
  <c r="AZ445" i="1"/>
  <c r="AS445" i="1"/>
  <c r="AR445" i="1"/>
  <c r="AQ445" i="1"/>
  <c r="AP445" i="1"/>
  <c r="AL445" i="1"/>
  <c r="Z445" i="1"/>
  <c r="Y445" i="1"/>
  <c r="X445" i="1"/>
  <c r="W445" i="1"/>
  <c r="S445" i="1"/>
  <c r="R445" i="1"/>
  <c r="Q445" i="1"/>
  <c r="J445" i="1"/>
  <c r="B445" i="1"/>
  <c r="BC444" i="1"/>
  <c r="AZ444" i="1"/>
  <c r="AV444" i="1"/>
  <c r="AW444" i="1" s="1"/>
  <c r="AU444" i="1"/>
  <c r="AX444" i="1" s="1"/>
  <c r="AS444" i="1"/>
  <c r="AR444" i="1"/>
  <c r="AQ444" i="1"/>
  <c r="AP444" i="1"/>
  <c r="AL444" i="1"/>
  <c r="X444" i="1"/>
  <c r="W444" i="1"/>
  <c r="U444" i="1"/>
  <c r="AT444" i="1" s="1"/>
  <c r="T444" i="1"/>
  <c r="S444" i="1"/>
  <c r="R444" i="1"/>
  <c r="Q444" i="1"/>
  <c r="J444" i="1"/>
  <c r="B444" i="1"/>
  <c r="BC443" i="1"/>
  <c r="AZ443" i="1"/>
  <c r="AX443" i="1"/>
  <c r="AU443" i="1"/>
  <c r="AS443" i="1"/>
  <c r="AR443" i="1"/>
  <c r="AQ443" i="1"/>
  <c r="AP443" i="1"/>
  <c r="AL443" i="1"/>
  <c r="X443" i="1"/>
  <c r="W443" i="1"/>
  <c r="S443" i="1"/>
  <c r="R443" i="1"/>
  <c r="Q443" i="1"/>
  <c r="J443" i="1"/>
  <c r="B443" i="1"/>
  <c r="BC442" i="1"/>
  <c r="AZ442" i="1"/>
  <c r="AS442" i="1"/>
  <c r="AR442" i="1"/>
  <c r="AQ442" i="1"/>
  <c r="AP442" i="1"/>
  <c r="AL442" i="1"/>
  <c r="Z442" i="1"/>
  <c r="X442" i="1"/>
  <c r="Y442" i="1" s="1"/>
  <c r="W442" i="1"/>
  <c r="R442" i="1"/>
  <c r="Q442" i="1"/>
  <c r="J442" i="1"/>
  <c r="AU442" i="1" s="1"/>
  <c r="AX442" i="1" s="1"/>
  <c r="B442" i="1"/>
  <c r="BC441" i="1"/>
  <c r="AZ441" i="1"/>
  <c r="AS441" i="1"/>
  <c r="AR441" i="1"/>
  <c r="AQ441" i="1"/>
  <c r="AP441" i="1"/>
  <c r="AL441" i="1"/>
  <c r="X441" i="1"/>
  <c r="Z441" i="1" s="1"/>
  <c r="W441" i="1"/>
  <c r="R441" i="1"/>
  <c r="Q441" i="1"/>
  <c r="J441" i="1"/>
  <c r="B441" i="1"/>
  <c r="BC440" i="1"/>
  <c r="AZ440" i="1"/>
  <c r="AS440" i="1"/>
  <c r="AR440" i="1"/>
  <c r="AQ440" i="1"/>
  <c r="AP440" i="1"/>
  <c r="AL440" i="1"/>
  <c r="Y440" i="1"/>
  <c r="X440" i="1"/>
  <c r="Z440" i="1" s="1"/>
  <c r="W440" i="1"/>
  <c r="R440" i="1"/>
  <c r="Q440" i="1"/>
  <c r="J440" i="1"/>
  <c r="B440" i="1"/>
  <c r="BC439" i="1"/>
  <c r="AZ439" i="1"/>
  <c r="AX439" i="1"/>
  <c r="AU439" i="1"/>
  <c r="AT439" i="1"/>
  <c r="AV439" i="1" s="1"/>
  <c r="AW439" i="1" s="1"/>
  <c r="AS439" i="1"/>
  <c r="AR439" i="1"/>
  <c r="AQ439" i="1"/>
  <c r="AP439" i="1"/>
  <c r="AL439" i="1"/>
  <c r="X439" i="1"/>
  <c r="W439" i="1"/>
  <c r="U439" i="1"/>
  <c r="T439" i="1"/>
  <c r="S439" i="1"/>
  <c r="R439" i="1"/>
  <c r="Q439" i="1"/>
  <c r="J439" i="1"/>
  <c r="B439" i="1"/>
  <c r="BC438" i="1"/>
  <c r="AZ438" i="1"/>
  <c r="AS438" i="1"/>
  <c r="AR438" i="1"/>
  <c r="AQ438" i="1"/>
  <c r="AP438" i="1"/>
  <c r="AL438" i="1"/>
  <c r="Z438" i="1"/>
  <c r="Y438" i="1"/>
  <c r="X438" i="1"/>
  <c r="W438" i="1"/>
  <c r="R438" i="1"/>
  <c r="Q438" i="1"/>
  <c r="J438" i="1"/>
  <c r="B438" i="1"/>
  <c r="BC437" i="1"/>
  <c r="AZ437" i="1"/>
  <c r="AS437" i="1"/>
  <c r="AR437" i="1"/>
  <c r="AQ437" i="1"/>
  <c r="AP437" i="1"/>
  <c r="AL437" i="1"/>
  <c r="X437" i="1"/>
  <c r="Y437" i="1" s="1"/>
  <c r="W437" i="1"/>
  <c r="R437" i="1"/>
  <c r="Q437" i="1"/>
  <c r="J437" i="1"/>
  <c r="B437" i="1"/>
  <c r="BC436" i="1"/>
  <c r="AZ436" i="1"/>
  <c r="AU436" i="1"/>
  <c r="AX436" i="1" s="1"/>
  <c r="AT436" i="1"/>
  <c r="AV436" i="1" s="1"/>
  <c r="AW436" i="1" s="1"/>
  <c r="AS436" i="1"/>
  <c r="AR436" i="1"/>
  <c r="AQ436" i="1"/>
  <c r="AP436" i="1"/>
  <c r="AL436" i="1"/>
  <c r="X436" i="1"/>
  <c r="Z436" i="1" s="1"/>
  <c r="W436" i="1"/>
  <c r="U436" i="1"/>
  <c r="S436" i="1"/>
  <c r="R436" i="1"/>
  <c r="Q436" i="1"/>
  <c r="J436" i="1"/>
  <c r="T436" i="1" s="1"/>
  <c r="B436" i="1"/>
  <c r="BC435" i="1"/>
  <c r="AZ435" i="1"/>
  <c r="AX435" i="1"/>
  <c r="AS435" i="1"/>
  <c r="AR435" i="1"/>
  <c r="AQ435" i="1"/>
  <c r="AP435" i="1"/>
  <c r="AL435" i="1"/>
  <c r="Z435" i="1"/>
  <c r="Y435" i="1"/>
  <c r="X435" i="1"/>
  <c r="W435" i="1"/>
  <c r="U435" i="1"/>
  <c r="AT435" i="1" s="1"/>
  <c r="AV435" i="1" s="1"/>
  <c r="AW435" i="1" s="1"/>
  <c r="T435" i="1"/>
  <c r="S435" i="1"/>
  <c r="BK435" i="1" s="1"/>
  <c r="R435" i="1"/>
  <c r="Q435" i="1"/>
  <c r="J435" i="1"/>
  <c r="AU435" i="1" s="1"/>
  <c r="B435" i="1"/>
  <c r="BC434" i="1"/>
  <c r="AZ434" i="1"/>
  <c r="AX434" i="1"/>
  <c r="AU434" i="1"/>
  <c r="AS434" i="1"/>
  <c r="AR434" i="1"/>
  <c r="AQ434" i="1"/>
  <c r="AP434" i="1"/>
  <c r="AL434" i="1"/>
  <c r="X434" i="1"/>
  <c r="Z434" i="1" s="1"/>
  <c r="W434" i="1"/>
  <c r="U434" i="1"/>
  <c r="AT434" i="1" s="1"/>
  <c r="AV434" i="1" s="1"/>
  <c r="AW434" i="1" s="1"/>
  <c r="T434" i="1"/>
  <c r="S434" i="1"/>
  <c r="R434" i="1"/>
  <c r="Q434" i="1"/>
  <c r="J434" i="1"/>
  <c r="B434" i="1"/>
  <c r="BC433" i="1"/>
  <c r="AZ433" i="1"/>
  <c r="AS433" i="1"/>
  <c r="AR433" i="1"/>
  <c r="AQ433" i="1"/>
  <c r="AP433" i="1"/>
  <c r="AL433" i="1"/>
  <c r="Y433" i="1"/>
  <c r="X433" i="1"/>
  <c r="Z433" i="1" s="1"/>
  <c r="W433" i="1"/>
  <c r="R433" i="1"/>
  <c r="Q433" i="1"/>
  <c r="J433" i="1"/>
  <c r="B433" i="1"/>
  <c r="BC432" i="1"/>
  <c r="AZ432" i="1"/>
  <c r="AS432" i="1"/>
  <c r="AR432" i="1"/>
  <c r="AQ432" i="1"/>
  <c r="AP432" i="1"/>
  <c r="AL432" i="1"/>
  <c r="X432" i="1"/>
  <c r="Y432" i="1" s="1"/>
  <c r="W432" i="1"/>
  <c r="R432" i="1"/>
  <c r="Q432" i="1"/>
  <c r="J432" i="1"/>
  <c r="B432" i="1"/>
  <c r="BC431" i="1"/>
  <c r="AZ431" i="1"/>
  <c r="AS431" i="1"/>
  <c r="AR431" i="1"/>
  <c r="AQ431" i="1"/>
  <c r="AP431" i="1"/>
  <c r="AL431" i="1"/>
  <c r="Y431" i="1"/>
  <c r="X431" i="1"/>
  <c r="Z431" i="1" s="1"/>
  <c r="W431" i="1"/>
  <c r="S431" i="1"/>
  <c r="BK431" i="1" s="1"/>
  <c r="R431" i="1"/>
  <c r="Q431" i="1"/>
  <c r="J431" i="1"/>
  <c r="B431" i="1"/>
  <c r="BC430" i="1"/>
  <c r="AZ430" i="1"/>
  <c r="AX430" i="1"/>
  <c r="AV430" i="1"/>
  <c r="AW430" i="1" s="1"/>
  <c r="AS430" i="1"/>
  <c r="AR430" i="1"/>
  <c r="AQ430" i="1"/>
  <c r="AP430" i="1"/>
  <c r="AL430" i="1"/>
  <c r="X430" i="1"/>
  <c r="Z430" i="1" s="1"/>
  <c r="W430" i="1"/>
  <c r="U430" i="1"/>
  <c r="AT430" i="1" s="1"/>
  <c r="T430" i="1"/>
  <c r="S430" i="1"/>
  <c r="R430" i="1"/>
  <c r="Q430" i="1"/>
  <c r="J430" i="1"/>
  <c r="AU430" i="1" s="1"/>
  <c r="B430" i="1"/>
  <c r="BC429" i="1"/>
  <c r="AZ429" i="1"/>
  <c r="AX429" i="1"/>
  <c r="AV429" i="1"/>
  <c r="AW429" i="1" s="1"/>
  <c r="AU429" i="1"/>
  <c r="AS429" i="1"/>
  <c r="AR429" i="1"/>
  <c r="AQ429" i="1"/>
  <c r="AP429" i="1"/>
  <c r="AL429" i="1"/>
  <c r="X429" i="1"/>
  <c r="Z429" i="1" s="1"/>
  <c r="W429" i="1"/>
  <c r="U429" i="1"/>
  <c r="AT429" i="1" s="1"/>
  <c r="T429" i="1"/>
  <c r="S429" i="1"/>
  <c r="R429" i="1"/>
  <c r="Q429" i="1"/>
  <c r="J429" i="1"/>
  <c r="B429" i="1"/>
  <c r="BK428" i="1"/>
  <c r="BC428" i="1"/>
  <c r="AZ428" i="1"/>
  <c r="AS428" i="1"/>
  <c r="AR428" i="1"/>
  <c r="AQ428" i="1"/>
  <c r="AP428" i="1"/>
  <c r="AL428" i="1"/>
  <c r="Z428" i="1"/>
  <c r="Y428" i="1"/>
  <c r="X428" i="1"/>
  <c r="W428" i="1"/>
  <c r="S428" i="1"/>
  <c r="R428" i="1"/>
  <c r="Q428" i="1"/>
  <c r="J428" i="1"/>
  <c r="B428" i="1"/>
  <c r="BC427" i="1"/>
  <c r="AZ427" i="1"/>
  <c r="AU427" i="1"/>
  <c r="AX427" i="1" s="1"/>
  <c r="AT427" i="1"/>
  <c r="AV427" i="1" s="1"/>
  <c r="AW427" i="1" s="1"/>
  <c r="AS427" i="1"/>
  <c r="AR427" i="1"/>
  <c r="AQ427" i="1"/>
  <c r="AP427" i="1"/>
  <c r="AL427" i="1"/>
  <c r="X427" i="1"/>
  <c r="Y427" i="1" s="1"/>
  <c r="W427" i="1"/>
  <c r="U427" i="1"/>
  <c r="T427" i="1"/>
  <c r="S427" i="1"/>
  <c r="R427" i="1"/>
  <c r="Q427" i="1"/>
  <c r="J427" i="1"/>
  <c r="B427" i="1"/>
  <c r="BC426" i="1"/>
  <c r="AZ426" i="1"/>
  <c r="AU426" i="1"/>
  <c r="AX426" i="1" s="1"/>
  <c r="AT426" i="1"/>
  <c r="AV426" i="1" s="1"/>
  <c r="AW426" i="1" s="1"/>
  <c r="AS426" i="1"/>
  <c r="AR426" i="1"/>
  <c r="AQ426" i="1"/>
  <c r="AP426" i="1"/>
  <c r="AL426" i="1"/>
  <c r="Y426" i="1"/>
  <c r="X426" i="1"/>
  <c r="Z426" i="1" s="1"/>
  <c r="W426" i="1"/>
  <c r="U426" i="1"/>
  <c r="R426" i="1"/>
  <c r="Q426" i="1"/>
  <c r="J426" i="1"/>
  <c r="T426" i="1" s="1"/>
  <c r="B426" i="1"/>
  <c r="BC425" i="1"/>
  <c r="AZ425" i="1"/>
  <c r="AX425" i="1"/>
  <c r="AS425" i="1"/>
  <c r="AR425" i="1"/>
  <c r="AQ425" i="1"/>
  <c r="AP425" i="1"/>
  <c r="AL425" i="1"/>
  <c r="Z425" i="1"/>
  <c r="Y425" i="1"/>
  <c r="X425" i="1"/>
  <c r="W425" i="1"/>
  <c r="R425" i="1"/>
  <c r="Q425" i="1"/>
  <c r="J425" i="1"/>
  <c r="AU425" i="1" s="1"/>
  <c r="B425" i="1"/>
  <c r="BC424" i="1"/>
  <c r="AZ424" i="1"/>
  <c r="AU424" i="1"/>
  <c r="AX424" i="1" s="1"/>
  <c r="AS424" i="1"/>
  <c r="AR424" i="1"/>
  <c r="AQ424" i="1"/>
  <c r="AP424" i="1"/>
  <c r="AL424" i="1"/>
  <c r="Y424" i="1"/>
  <c r="X424" i="1"/>
  <c r="Z424" i="1" s="1"/>
  <c r="BK424" i="1" s="1"/>
  <c r="W424" i="1"/>
  <c r="U424" i="1"/>
  <c r="AT424" i="1" s="1"/>
  <c r="AV424" i="1" s="1"/>
  <c r="AW424" i="1" s="1"/>
  <c r="T424" i="1"/>
  <c r="S424" i="1"/>
  <c r="R424" i="1"/>
  <c r="Q424" i="1"/>
  <c r="J424" i="1"/>
  <c r="B424" i="1"/>
  <c r="BC423" i="1"/>
  <c r="AZ423" i="1"/>
  <c r="AU423" i="1"/>
  <c r="AX423" i="1" s="1"/>
  <c r="AS423" i="1"/>
  <c r="AR423" i="1"/>
  <c r="AQ423" i="1"/>
  <c r="AP423" i="1"/>
  <c r="AL423" i="1"/>
  <c r="X423" i="1"/>
  <c r="Z423" i="1" s="1"/>
  <c r="W423" i="1"/>
  <c r="S423" i="1"/>
  <c r="R423" i="1"/>
  <c r="Q423" i="1"/>
  <c r="J423" i="1"/>
  <c r="B423" i="1"/>
  <c r="BC422" i="1"/>
  <c r="AZ422" i="1"/>
  <c r="AU422" i="1"/>
  <c r="AX422" i="1" s="1"/>
  <c r="AS422" i="1"/>
  <c r="AR422" i="1"/>
  <c r="AQ422" i="1"/>
  <c r="AP422" i="1"/>
  <c r="AL422" i="1"/>
  <c r="X422" i="1"/>
  <c r="Y422" i="1" s="1"/>
  <c r="W422" i="1"/>
  <c r="T422" i="1"/>
  <c r="U422" i="1" s="1"/>
  <c r="AT422" i="1" s="1"/>
  <c r="AV422" i="1" s="1"/>
  <c r="AW422" i="1" s="1"/>
  <c r="R422" i="1"/>
  <c r="S422" i="1" s="1"/>
  <c r="Q422" i="1"/>
  <c r="J422" i="1"/>
  <c r="B422" i="1"/>
  <c r="BC421" i="1"/>
  <c r="AZ421" i="1"/>
  <c r="AU421" i="1"/>
  <c r="AX421" i="1" s="1"/>
  <c r="AS421" i="1"/>
  <c r="AR421" i="1"/>
  <c r="AQ421" i="1"/>
  <c r="AP421" i="1"/>
  <c r="AL421" i="1"/>
  <c r="Y421" i="1"/>
  <c r="X421" i="1"/>
  <c r="Z421" i="1" s="1"/>
  <c r="W421" i="1"/>
  <c r="T421" i="1"/>
  <c r="U421" i="1" s="1"/>
  <c r="AT421" i="1" s="1"/>
  <c r="AV421" i="1" s="1"/>
  <c r="AW421" i="1" s="1"/>
  <c r="S421" i="1"/>
  <c r="BK421" i="1" s="1"/>
  <c r="Q421" i="1"/>
  <c r="R421" i="1" s="1"/>
  <c r="J421" i="1"/>
  <c r="B421" i="1"/>
  <c r="BC420" i="1"/>
  <c r="AZ420" i="1"/>
  <c r="AX420" i="1"/>
  <c r="AS420" i="1"/>
  <c r="AR420" i="1"/>
  <c r="AQ420" i="1"/>
  <c r="AP420" i="1"/>
  <c r="AL420" i="1"/>
  <c r="X420" i="1"/>
  <c r="Y420" i="1" s="1"/>
  <c r="W420" i="1"/>
  <c r="T420" i="1"/>
  <c r="U420" i="1" s="1"/>
  <c r="AT420" i="1" s="1"/>
  <c r="AV420" i="1" s="1"/>
  <c r="AW420" i="1" s="1"/>
  <c r="R420" i="1"/>
  <c r="Q420" i="1"/>
  <c r="J420" i="1"/>
  <c r="AU420" i="1" s="1"/>
  <c r="B420" i="1"/>
  <c r="BC419" i="1"/>
  <c r="AZ419" i="1"/>
  <c r="AX419" i="1"/>
  <c r="AW419" i="1"/>
  <c r="AU419" i="1"/>
  <c r="AS419" i="1"/>
  <c r="AR419" i="1"/>
  <c r="AQ419" i="1"/>
  <c r="AP419" i="1"/>
  <c r="AL419" i="1"/>
  <c r="X419" i="1"/>
  <c r="Z419" i="1" s="1"/>
  <c r="W419" i="1"/>
  <c r="T419" i="1"/>
  <c r="U419" i="1" s="1"/>
  <c r="AT419" i="1" s="1"/>
  <c r="AV419" i="1" s="1"/>
  <c r="Q419" i="1"/>
  <c r="R419" i="1" s="1"/>
  <c r="S419" i="1" s="1"/>
  <c r="J419" i="1"/>
  <c r="B419" i="1"/>
  <c r="BC418" i="1"/>
  <c r="AZ418" i="1"/>
  <c r="AS418" i="1"/>
  <c r="AR418" i="1"/>
  <c r="AQ418" i="1"/>
  <c r="AP418" i="1"/>
  <c r="AL418" i="1"/>
  <c r="Y418" i="1"/>
  <c r="X418" i="1"/>
  <c r="Z418" i="1" s="1"/>
  <c r="W418" i="1"/>
  <c r="R418" i="1"/>
  <c r="Q418" i="1"/>
  <c r="J418" i="1"/>
  <c r="B418" i="1"/>
  <c r="BC417" i="1"/>
  <c r="AZ417" i="1"/>
  <c r="AX417" i="1"/>
  <c r="AU417" i="1"/>
  <c r="AS417" i="1"/>
  <c r="AR417" i="1"/>
  <c r="AQ417" i="1"/>
  <c r="AP417" i="1"/>
  <c r="AL417" i="1"/>
  <c r="Z417" i="1"/>
  <c r="X417" i="1"/>
  <c r="Y417" i="1" s="1"/>
  <c r="W417" i="1"/>
  <c r="T417" i="1"/>
  <c r="U417" i="1" s="1"/>
  <c r="AT417" i="1" s="1"/>
  <c r="AV417" i="1" s="1"/>
  <c r="AW417" i="1" s="1"/>
  <c r="Q417" i="1"/>
  <c r="R417" i="1" s="1"/>
  <c r="S417" i="1" s="1"/>
  <c r="BK417" i="1" s="1"/>
  <c r="J417" i="1"/>
  <c r="B417" i="1"/>
  <c r="BC416" i="1"/>
  <c r="AZ416" i="1"/>
  <c r="AU416" i="1"/>
  <c r="AX416" i="1" s="1"/>
  <c r="AS416" i="1"/>
  <c r="AR416" i="1"/>
  <c r="AQ416" i="1"/>
  <c r="AP416" i="1"/>
  <c r="AL416" i="1"/>
  <c r="Z416" i="1"/>
  <c r="X416" i="1"/>
  <c r="Y416" i="1" s="1"/>
  <c r="W416" i="1"/>
  <c r="Q416" i="1"/>
  <c r="R416" i="1" s="1"/>
  <c r="J416" i="1"/>
  <c r="B416" i="1"/>
  <c r="BC415" i="1"/>
  <c r="AZ415" i="1"/>
  <c r="AS415" i="1"/>
  <c r="AR415" i="1"/>
  <c r="AQ415" i="1"/>
  <c r="AP415" i="1"/>
  <c r="AL415" i="1"/>
  <c r="Z415" i="1"/>
  <c r="X415" i="1"/>
  <c r="Y415" i="1" s="1"/>
  <c r="W415" i="1"/>
  <c r="Q415" i="1"/>
  <c r="R415" i="1" s="1"/>
  <c r="S415" i="1" s="1"/>
  <c r="BK415" i="1" s="1"/>
  <c r="J415" i="1"/>
  <c r="B415" i="1"/>
  <c r="BC414" i="1"/>
  <c r="AZ414" i="1"/>
  <c r="AU414" i="1"/>
  <c r="AX414" i="1" s="1"/>
  <c r="AT414" i="1"/>
  <c r="AV414" i="1" s="1"/>
  <c r="AW414" i="1" s="1"/>
  <c r="AS414" i="1"/>
  <c r="AR414" i="1"/>
  <c r="AQ414" i="1"/>
  <c r="AP414" i="1"/>
  <c r="AL414" i="1"/>
  <c r="X414" i="1"/>
  <c r="W414" i="1"/>
  <c r="T414" i="1"/>
  <c r="U414" i="1" s="1"/>
  <c r="R414" i="1"/>
  <c r="S414" i="1" s="1"/>
  <c r="Q414" i="1"/>
  <c r="J414" i="1"/>
  <c r="B414" i="1"/>
  <c r="BC413" i="1"/>
  <c r="AZ413" i="1"/>
  <c r="AU413" i="1"/>
  <c r="AX413" i="1" s="1"/>
  <c r="AS413" i="1"/>
  <c r="AR413" i="1"/>
  <c r="AQ413" i="1"/>
  <c r="AP413" i="1"/>
  <c r="AL413" i="1"/>
  <c r="X413" i="1"/>
  <c r="Z413" i="1" s="1"/>
  <c r="W413" i="1"/>
  <c r="U413" i="1"/>
  <c r="AT413" i="1" s="1"/>
  <c r="AV413" i="1" s="1"/>
  <c r="AW413" i="1" s="1"/>
  <c r="S413" i="1"/>
  <c r="Q413" i="1"/>
  <c r="R413" i="1" s="1"/>
  <c r="J413" i="1"/>
  <c r="T413" i="1" s="1"/>
  <c r="B413" i="1"/>
  <c r="BC412" i="1"/>
  <c r="AZ412" i="1"/>
  <c r="AU412" i="1"/>
  <c r="AX412" i="1" s="1"/>
  <c r="AS412" i="1"/>
  <c r="AR412" i="1"/>
  <c r="AQ412" i="1"/>
  <c r="AP412" i="1"/>
  <c r="AL412" i="1"/>
  <c r="X412" i="1"/>
  <c r="Y412" i="1" s="1"/>
  <c r="W412" i="1"/>
  <c r="Q412" i="1"/>
  <c r="R412" i="1" s="1"/>
  <c r="J412" i="1"/>
  <c r="B412" i="1"/>
  <c r="BC411" i="1"/>
  <c r="AZ411" i="1"/>
  <c r="AX411" i="1"/>
  <c r="AS411" i="1"/>
  <c r="AR411" i="1"/>
  <c r="AQ411" i="1"/>
  <c r="AP411" i="1"/>
  <c r="AL411" i="1"/>
  <c r="Z411" i="1"/>
  <c r="Y411" i="1"/>
  <c r="X411" i="1"/>
  <c r="W411" i="1"/>
  <c r="T411" i="1"/>
  <c r="U411" i="1" s="1"/>
  <c r="AT411" i="1" s="1"/>
  <c r="AV411" i="1" s="1"/>
  <c r="AW411" i="1" s="1"/>
  <c r="Q411" i="1"/>
  <c r="R411" i="1" s="1"/>
  <c r="S411" i="1" s="1"/>
  <c r="BK411" i="1" s="1"/>
  <c r="J411" i="1"/>
  <c r="AU411" i="1" s="1"/>
  <c r="B411" i="1"/>
  <c r="BC410" i="1"/>
  <c r="AZ410" i="1"/>
  <c r="AS410" i="1"/>
  <c r="AR410" i="1"/>
  <c r="AQ410" i="1"/>
  <c r="AP410" i="1"/>
  <c r="AL410" i="1"/>
  <c r="X410" i="1"/>
  <c r="W410" i="1"/>
  <c r="T410" i="1"/>
  <c r="Q410" i="1"/>
  <c r="U410" i="1" s="1"/>
  <c r="AT410" i="1" s="1"/>
  <c r="AV410" i="1" s="1"/>
  <c r="AW410" i="1" s="1"/>
  <c r="J410" i="1"/>
  <c r="AU410" i="1" s="1"/>
  <c r="AX410" i="1" s="1"/>
  <c r="B410" i="1"/>
  <c r="BC409" i="1"/>
  <c r="AZ409" i="1"/>
  <c r="AU409" i="1"/>
  <c r="AX409" i="1" s="1"/>
  <c r="AS409" i="1"/>
  <c r="AR409" i="1"/>
  <c r="AQ409" i="1"/>
  <c r="AP409" i="1"/>
  <c r="AL409" i="1"/>
  <c r="Y409" i="1"/>
  <c r="X409" i="1"/>
  <c r="Z409" i="1" s="1"/>
  <c r="W409" i="1"/>
  <c r="T409" i="1"/>
  <c r="U409" i="1" s="1"/>
  <c r="AT409" i="1" s="1"/>
  <c r="AV409" i="1" s="1"/>
  <c r="AW409" i="1" s="1"/>
  <c r="Q409" i="1"/>
  <c r="R409" i="1" s="1"/>
  <c r="S409" i="1" s="1"/>
  <c r="J409" i="1"/>
  <c r="B409" i="1"/>
  <c r="BC408" i="1"/>
  <c r="AZ408" i="1"/>
  <c r="AS408" i="1"/>
  <c r="AR408" i="1"/>
  <c r="AQ408" i="1"/>
  <c r="AP408" i="1"/>
  <c r="AL408" i="1"/>
  <c r="Z408" i="1"/>
  <c r="Y408" i="1"/>
  <c r="X408" i="1"/>
  <c r="W408" i="1"/>
  <c r="R408" i="1"/>
  <c r="Q408" i="1"/>
  <c r="J408" i="1"/>
  <c r="B408" i="1"/>
  <c r="BC407" i="1"/>
  <c r="AZ407" i="1"/>
  <c r="AU407" i="1"/>
  <c r="AX407" i="1" s="1"/>
  <c r="AT407" i="1"/>
  <c r="AV407" i="1" s="1"/>
  <c r="AW407" i="1" s="1"/>
  <c r="AS407" i="1"/>
  <c r="AR407" i="1"/>
  <c r="AQ407" i="1"/>
  <c r="AP407" i="1"/>
  <c r="AL407" i="1"/>
  <c r="X407" i="1"/>
  <c r="W407" i="1"/>
  <c r="T407" i="1"/>
  <c r="S407" i="1"/>
  <c r="R407" i="1"/>
  <c r="Q407" i="1"/>
  <c r="J407" i="1"/>
  <c r="U407" i="1" s="1"/>
  <c r="B407" i="1"/>
  <c r="BC406" i="1"/>
  <c r="AZ406" i="1"/>
  <c r="AU406" i="1"/>
  <c r="AX406" i="1" s="1"/>
  <c r="AS406" i="1"/>
  <c r="AR406" i="1"/>
  <c r="AQ406" i="1"/>
  <c r="AP406" i="1"/>
  <c r="AL406" i="1"/>
  <c r="Y406" i="1"/>
  <c r="X406" i="1"/>
  <c r="Z406" i="1" s="1"/>
  <c r="W406" i="1"/>
  <c r="Q406" i="1"/>
  <c r="R406" i="1" s="1"/>
  <c r="J406" i="1"/>
  <c r="B406" i="1"/>
  <c r="BC405" i="1"/>
  <c r="AZ405" i="1"/>
  <c r="AX405" i="1"/>
  <c r="AS405" i="1"/>
  <c r="AR405" i="1"/>
  <c r="AQ405" i="1"/>
  <c r="AP405" i="1"/>
  <c r="AL405" i="1"/>
  <c r="Z405" i="1"/>
  <c r="Y405" i="1"/>
  <c r="X405" i="1"/>
  <c r="W405" i="1"/>
  <c r="Q405" i="1"/>
  <c r="R405" i="1" s="1"/>
  <c r="S405" i="1" s="1"/>
  <c r="BK405" i="1" s="1"/>
  <c r="J405" i="1"/>
  <c r="AU405" i="1" s="1"/>
  <c r="B405" i="1"/>
  <c r="BC404" i="1"/>
  <c r="AZ404" i="1"/>
  <c r="AU404" i="1"/>
  <c r="AX404" i="1" s="1"/>
  <c r="AS404" i="1"/>
  <c r="AR404" i="1"/>
  <c r="AQ404" i="1"/>
  <c r="AP404" i="1"/>
  <c r="AL404" i="1"/>
  <c r="X404" i="1"/>
  <c r="W404" i="1"/>
  <c r="T404" i="1"/>
  <c r="U404" i="1" s="1"/>
  <c r="AT404" i="1" s="1"/>
  <c r="AV404" i="1" s="1"/>
  <c r="AW404" i="1" s="1"/>
  <c r="R404" i="1"/>
  <c r="S404" i="1" s="1"/>
  <c r="Q404" i="1"/>
  <c r="J404" i="1"/>
  <c r="B404" i="1"/>
  <c r="BC403" i="1"/>
  <c r="AZ403" i="1"/>
  <c r="AU403" i="1"/>
  <c r="AX403" i="1" s="1"/>
  <c r="AS403" i="1"/>
  <c r="AR403" i="1"/>
  <c r="AQ403" i="1"/>
  <c r="AP403" i="1"/>
  <c r="AL403" i="1"/>
  <c r="X403" i="1"/>
  <c r="Z403" i="1" s="1"/>
  <c r="W403" i="1"/>
  <c r="S403" i="1"/>
  <c r="R403" i="1"/>
  <c r="Q403" i="1"/>
  <c r="J403" i="1"/>
  <c r="B403" i="1"/>
  <c r="BC402" i="1"/>
  <c r="AZ402" i="1"/>
  <c r="AU402" i="1"/>
  <c r="AX402" i="1" s="1"/>
  <c r="AS402" i="1"/>
  <c r="AR402" i="1"/>
  <c r="AQ402" i="1"/>
  <c r="AP402" i="1"/>
  <c r="AL402" i="1"/>
  <c r="X402" i="1"/>
  <c r="W402" i="1"/>
  <c r="T402" i="1"/>
  <c r="Q402" i="1"/>
  <c r="J402" i="1"/>
  <c r="B402" i="1"/>
  <c r="BC401" i="1"/>
  <c r="AZ401" i="1"/>
  <c r="AU401" i="1"/>
  <c r="AX401" i="1" s="1"/>
  <c r="AS401" i="1"/>
  <c r="AR401" i="1"/>
  <c r="AQ401" i="1"/>
  <c r="AP401" i="1"/>
  <c r="AL401" i="1"/>
  <c r="Y401" i="1"/>
  <c r="X401" i="1"/>
  <c r="Z401" i="1" s="1"/>
  <c r="W401" i="1"/>
  <c r="U401" i="1"/>
  <c r="AT401" i="1" s="1"/>
  <c r="AV401" i="1" s="1"/>
  <c r="AW401" i="1" s="1"/>
  <c r="T401" i="1"/>
  <c r="Q401" i="1"/>
  <c r="R401" i="1" s="1"/>
  <c r="J401" i="1"/>
  <c r="B401" i="1"/>
  <c r="BC400" i="1"/>
  <c r="AZ400" i="1"/>
  <c r="AX400" i="1"/>
  <c r="AS400" i="1"/>
  <c r="AR400" i="1"/>
  <c r="AQ400" i="1"/>
  <c r="AP400" i="1"/>
  <c r="AL400" i="1"/>
  <c r="Z400" i="1"/>
  <c r="Y400" i="1"/>
  <c r="X400" i="1"/>
  <c r="W400" i="1"/>
  <c r="T400" i="1"/>
  <c r="U400" i="1" s="1"/>
  <c r="AT400" i="1" s="1"/>
  <c r="AV400" i="1" s="1"/>
  <c r="AW400" i="1" s="1"/>
  <c r="Q400" i="1"/>
  <c r="R400" i="1" s="1"/>
  <c r="J400" i="1"/>
  <c r="AU400" i="1" s="1"/>
  <c r="B400" i="1"/>
  <c r="BC399" i="1"/>
  <c r="AZ399" i="1"/>
  <c r="AX399" i="1"/>
  <c r="AU399" i="1"/>
  <c r="AS399" i="1"/>
  <c r="AR399" i="1"/>
  <c r="AQ399" i="1"/>
  <c r="AP399" i="1"/>
  <c r="AL399" i="1"/>
  <c r="Z399" i="1"/>
  <c r="Y399" i="1"/>
  <c r="BK399" i="1" s="1"/>
  <c r="X399" i="1"/>
  <c r="W399" i="1"/>
  <c r="U399" i="1"/>
  <c r="AT399" i="1" s="1"/>
  <c r="AV399" i="1" s="1"/>
  <c r="AW399" i="1" s="1"/>
  <c r="T399" i="1"/>
  <c r="R399" i="1"/>
  <c r="S399" i="1" s="1"/>
  <c r="Q399" i="1"/>
  <c r="J399" i="1"/>
  <c r="B399" i="1"/>
  <c r="BC398" i="1"/>
  <c r="AZ398" i="1"/>
  <c r="AU398" i="1"/>
  <c r="AX398" i="1" s="1"/>
  <c r="AS398" i="1"/>
  <c r="AR398" i="1"/>
  <c r="AQ398" i="1"/>
  <c r="AP398" i="1"/>
  <c r="AL398" i="1"/>
  <c r="Y398" i="1"/>
  <c r="X398" i="1"/>
  <c r="Z398" i="1" s="1"/>
  <c r="W398" i="1"/>
  <c r="Q398" i="1"/>
  <c r="R398" i="1" s="1"/>
  <c r="J398" i="1"/>
  <c r="B398" i="1"/>
  <c r="BC397" i="1"/>
  <c r="AZ397" i="1"/>
  <c r="AS397" i="1"/>
  <c r="AR397" i="1"/>
  <c r="AQ397" i="1"/>
  <c r="AP397" i="1"/>
  <c r="AL397" i="1"/>
  <c r="X397" i="1"/>
  <c r="W397" i="1"/>
  <c r="Q397" i="1"/>
  <c r="R397" i="1" s="1"/>
  <c r="J397" i="1"/>
  <c r="B397" i="1"/>
  <c r="BC396" i="1"/>
  <c r="AZ396" i="1"/>
  <c r="AU396" i="1"/>
  <c r="AX396" i="1" s="1"/>
  <c r="AS396" i="1"/>
  <c r="AR396" i="1"/>
  <c r="AQ396" i="1"/>
  <c r="AP396" i="1"/>
  <c r="AL396" i="1"/>
  <c r="Z396" i="1"/>
  <c r="X396" i="1"/>
  <c r="Y396" i="1" s="1"/>
  <c r="W396" i="1"/>
  <c r="Q396" i="1"/>
  <c r="R396" i="1" s="1"/>
  <c r="J396" i="1"/>
  <c r="B396" i="1"/>
  <c r="BC395" i="1"/>
  <c r="AZ395" i="1"/>
  <c r="AX395" i="1"/>
  <c r="AS395" i="1"/>
  <c r="AR395" i="1"/>
  <c r="AQ395" i="1"/>
  <c r="AP395" i="1"/>
  <c r="AL395" i="1"/>
  <c r="Z395" i="1"/>
  <c r="Y395" i="1"/>
  <c r="X395" i="1"/>
  <c r="W395" i="1"/>
  <c r="T395" i="1"/>
  <c r="U395" i="1" s="1"/>
  <c r="AT395" i="1" s="1"/>
  <c r="AV395" i="1" s="1"/>
  <c r="AW395" i="1" s="1"/>
  <c r="S395" i="1"/>
  <c r="R395" i="1"/>
  <c r="Q395" i="1"/>
  <c r="J395" i="1"/>
  <c r="AU395" i="1" s="1"/>
  <c r="B395" i="1"/>
  <c r="BC394" i="1"/>
  <c r="AZ394" i="1"/>
  <c r="AU394" i="1"/>
  <c r="AX394" i="1" s="1"/>
  <c r="AS394" i="1"/>
  <c r="AR394" i="1"/>
  <c r="AQ394" i="1"/>
  <c r="AP394" i="1"/>
  <c r="AL394" i="1"/>
  <c r="Y394" i="1"/>
  <c r="X394" i="1"/>
  <c r="Z394" i="1" s="1"/>
  <c r="W394" i="1"/>
  <c r="U394" i="1"/>
  <c r="AT394" i="1" s="1"/>
  <c r="AV394" i="1" s="1"/>
  <c r="AW394" i="1" s="1"/>
  <c r="T394" i="1"/>
  <c r="S394" i="1"/>
  <c r="BK394" i="1" s="1"/>
  <c r="R394" i="1"/>
  <c r="Q394" i="1"/>
  <c r="J394" i="1"/>
  <c r="B394" i="1"/>
  <c r="BC393" i="1"/>
  <c r="AZ393" i="1"/>
  <c r="AS393" i="1"/>
  <c r="AR393" i="1"/>
  <c r="AQ393" i="1"/>
  <c r="AP393" i="1"/>
  <c r="AL393" i="1"/>
  <c r="Z393" i="1"/>
  <c r="Y393" i="1"/>
  <c r="X393" i="1"/>
  <c r="W393" i="1"/>
  <c r="R393" i="1"/>
  <c r="Q393" i="1"/>
  <c r="J393" i="1"/>
  <c r="B393" i="1"/>
  <c r="BC392" i="1"/>
  <c r="AZ392" i="1"/>
  <c r="AS392" i="1"/>
  <c r="AR392" i="1"/>
  <c r="AQ392" i="1"/>
  <c r="AP392" i="1"/>
  <c r="AL392" i="1"/>
  <c r="X392" i="1"/>
  <c r="W392" i="1"/>
  <c r="T392" i="1"/>
  <c r="R392" i="1"/>
  <c r="Q392" i="1"/>
  <c r="J392" i="1"/>
  <c r="B392" i="1"/>
  <c r="BC391" i="1"/>
  <c r="AZ391" i="1"/>
  <c r="AX391" i="1"/>
  <c r="AU391" i="1"/>
  <c r="AS391" i="1"/>
  <c r="AR391" i="1"/>
  <c r="AQ391" i="1"/>
  <c r="AP391" i="1"/>
  <c r="AL391" i="1"/>
  <c r="X391" i="1"/>
  <c r="W391" i="1"/>
  <c r="T391" i="1"/>
  <c r="U391" i="1" s="1"/>
  <c r="AT391" i="1" s="1"/>
  <c r="AV391" i="1" s="1"/>
  <c r="AW391" i="1" s="1"/>
  <c r="S391" i="1"/>
  <c r="Q391" i="1"/>
  <c r="R391" i="1" s="1"/>
  <c r="J391" i="1"/>
  <c r="B391" i="1"/>
  <c r="BC390" i="1"/>
  <c r="AZ390" i="1"/>
  <c r="AS390" i="1"/>
  <c r="AR390" i="1"/>
  <c r="AQ390" i="1"/>
  <c r="AP390" i="1"/>
  <c r="AL390" i="1"/>
  <c r="Z390" i="1"/>
  <c r="X390" i="1"/>
  <c r="Y390" i="1" s="1"/>
  <c r="W390" i="1"/>
  <c r="R390" i="1"/>
  <c r="Q390" i="1"/>
  <c r="J390" i="1"/>
  <c r="B390" i="1"/>
  <c r="BC389" i="1"/>
  <c r="AZ389" i="1"/>
  <c r="AU389" i="1"/>
  <c r="AX389" i="1" s="1"/>
  <c r="AS389" i="1"/>
  <c r="AR389" i="1"/>
  <c r="AQ389" i="1"/>
  <c r="AP389" i="1"/>
  <c r="AL389" i="1"/>
  <c r="Z389" i="1"/>
  <c r="Y389" i="1"/>
  <c r="X389" i="1"/>
  <c r="W389" i="1"/>
  <c r="T389" i="1"/>
  <c r="U389" i="1" s="1"/>
  <c r="AT389" i="1" s="1"/>
  <c r="AV389" i="1" s="1"/>
  <c r="AW389" i="1" s="1"/>
  <c r="S389" i="1"/>
  <c r="BK389" i="1" s="1"/>
  <c r="Q389" i="1"/>
  <c r="R389" i="1" s="1"/>
  <c r="J389" i="1"/>
  <c r="B389" i="1"/>
  <c r="BC388" i="1"/>
  <c r="AZ388" i="1"/>
  <c r="AX388" i="1"/>
  <c r="AU388" i="1"/>
  <c r="AS388" i="1"/>
  <c r="AR388" i="1"/>
  <c r="AQ388" i="1"/>
  <c r="AP388" i="1"/>
  <c r="AL388" i="1"/>
  <c r="X388" i="1"/>
  <c r="W388" i="1"/>
  <c r="Q388" i="1"/>
  <c r="R388" i="1" s="1"/>
  <c r="S388" i="1" s="1"/>
  <c r="J388" i="1"/>
  <c r="B388" i="1"/>
  <c r="BC387" i="1"/>
  <c r="AZ387" i="1"/>
  <c r="AU387" i="1"/>
  <c r="AX387" i="1" s="1"/>
  <c r="AS387" i="1"/>
  <c r="AR387" i="1"/>
  <c r="AQ387" i="1"/>
  <c r="AP387" i="1"/>
  <c r="AL387" i="1"/>
  <c r="Z387" i="1"/>
  <c r="X387" i="1"/>
  <c r="Y387" i="1" s="1"/>
  <c r="W387" i="1"/>
  <c r="Q387" i="1"/>
  <c r="R387" i="1" s="1"/>
  <c r="J387" i="1"/>
  <c r="B387" i="1"/>
  <c r="BC386" i="1"/>
  <c r="AZ386" i="1"/>
  <c r="AS386" i="1"/>
  <c r="AR386" i="1"/>
  <c r="AQ386" i="1"/>
  <c r="AP386" i="1"/>
  <c r="AL386" i="1"/>
  <c r="X386" i="1"/>
  <c r="W386" i="1"/>
  <c r="Q386" i="1"/>
  <c r="R386" i="1" s="1"/>
  <c r="J386" i="1"/>
  <c r="B386" i="1"/>
  <c r="BC385" i="1"/>
  <c r="AZ385" i="1"/>
  <c r="AX385" i="1"/>
  <c r="AS385" i="1"/>
  <c r="AR385" i="1"/>
  <c r="AQ385" i="1"/>
  <c r="AP385" i="1"/>
  <c r="AL385" i="1"/>
  <c r="Z385" i="1"/>
  <c r="Y385" i="1"/>
  <c r="X385" i="1"/>
  <c r="W385" i="1"/>
  <c r="R385" i="1"/>
  <c r="Q385" i="1"/>
  <c r="J385" i="1"/>
  <c r="AU385" i="1" s="1"/>
  <c r="B385" i="1"/>
  <c r="BC384" i="1"/>
  <c r="AZ384" i="1"/>
  <c r="AU384" i="1"/>
  <c r="AX384" i="1" s="1"/>
  <c r="AS384" i="1"/>
  <c r="AR384" i="1"/>
  <c r="AQ384" i="1"/>
  <c r="AP384" i="1"/>
  <c r="AL384" i="1"/>
  <c r="Z384" i="1"/>
  <c r="Y384" i="1"/>
  <c r="X384" i="1"/>
  <c r="W384" i="1"/>
  <c r="T384" i="1"/>
  <c r="U384" i="1" s="1"/>
  <c r="AT384" i="1" s="1"/>
  <c r="AV384" i="1" s="1"/>
  <c r="AW384" i="1" s="1"/>
  <c r="S384" i="1"/>
  <c r="BK384" i="1" s="1"/>
  <c r="R384" i="1"/>
  <c r="Q384" i="1"/>
  <c r="J384" i="1"/>
  <c r="B384" i="1"/>
  <c r="BC383" i="1"/>
  <c r="AZ383" i="1"/>
  <c r="AS383" i="1"/>
  <c r="AR383" i="1"/>
  <c r="AQ383" i="1"/>
  <c r="AP383" i="1"/>
  <c r="AL383" i="1"/>
  <c r="Z383" i="1"/>
  <c r="X383" i="1"/>
  <c r="Y383" i="1" s="1"/>
  <c r="W383" i="1"/>
  <c r="R383" i="1"/>
  <c r="Q383" i="1"/>
  <c r="J383" i="1"/>
  <c r="AU383" i="1" s="1"/>
  <c r="AX383" i="1" s="1"/>
  <c r="B383" i="1"/>
  <c r="BC382" i="1"/>
  <c r="AZ382" i="1"/>
  <c r="AU382" i="1"/>
  <c r="AX382" i="1" s="1"/>
  <c r="AS382" i="1"/>
  <c r="AR382" i="1"/>
  <c r="AQ382" i="1"/>
  <c r="AP382" i="1"/>
  <c r="AL382" i="1"/>
  <c r="Z382" i="1"/>
  <c r="X382" i="1"/>
  <c r="Y382" i="1" s="1"/>
  <c r="W382" i="1"/>
  <c r="S382" i="1"/>
  <c r="BK382" i="1" s="1"/>
  <c r="R382" i="1"/>
  <c r="Q382" i="1"/>
  <c r="J382" i="1"/>
  <c r="B382" i="1"/>
  <c r="BC381" i="1"/>
  <c r="AZ381" i="1"/>
  <c r="AS381" i="1"/>
  <c r="AR381" i="1"/>
  <c r="AQ381" i="1"/>
  <c r="AP381" i="1"/>
  <c r="AL381" i="1"/>
  <c r="X381" i="1"/>
  <c r="Z381" i="1" s="1"/>
  <c r="W381" i="1"/>
  <c r="T381" i="1"/>
  <c r="S381" i="1"/>
  <c r="Q381" i="1"/>
  <c r="R381" i="1" s="1"/>
  <c r="J381" i="1"/>
  <c r="AU381" i="1" s="1"/>
  <c r="AX381" i="1" s="1"/>
  <c r="B381" i="1"/>
  <c r="BC380" i="1"/>
  <c r="AZ380" i="1"/>
  <c r="AS380" i="1"/>
  <c r="AR380" i="1"/>
  <c r="AQ380" i="1"/>
  <c r="AP380" i="1"/>
  <c r="AL380" i="1"/>
  <c r="Y380" i="1"/>
  <c r="X380" i="1"/>
  <c r="Z380" i="1" s="1"/>
  <c r="W380" i="1"/>
  <c r="T380" i="1"/>
  <c r="R380" i="1"/>
  <c r="Q380" i="1"/>
  <c r="J380" i="1"/>
  <c r="B380" i="1"/>
  <c r="BC379" i="1"/>
  <c r="AZ379" i="1"/>
  <c r="AX379" i="1"/>
  <c r="AW379" i="1"/>
  <c r="AV379" i="1"/>
  <c r="AU379" i="1"/>
  <c r="AS379" i="1"/>
  <c r="AR379" i="1"/>
  <c r="AQ379" i="1"/>
  <c r="AP379" i="1"/>
  <c r="AL379" i="1"/>
  <c r="Y379" i="1"/>
  <c r="X379" i="1"/>
  <c r="Z379" i="1" s="1"/>
  <c r="W379" i="1"/>
  <c r="T379" i="1"/>
  <c r="U379" i="1" s="1"/>
  <c r="AT379" i="1" s="1"/>
  <c r="R379" i="1"/>
  <c r="S379" i="1" s="1"/>
  <c r="Q379" i="1"/>
  <c r="J379" i="1"/>
  <c r="B379" i="1"/>
  <c r="BC378" i="1"/>
  <c r="AZ378" i="1"/>
  <c r="AS378" i="1"/>
  <c r="AR378" i="1"/>
  <c r="AQ378" i="1"/>
  <c r="AP378" i="1"/>
  <c r="AL378" i="1"/>
  <c r="Y378" i="1"/>
  <c r="X378" i="1"/>
  <c r="Z378" i="1" s="1"/>
  <c r="W378" i="1"/>
  <c r="Q378" i="1"/>
  <c r="R378" i="1" s="1"/>
  <c r="S378" i="1" s="1"/>
  <c r="BK378" i="1" s="1"/>
  <c r="J378" i="1"/>
  <c r="T378" i="1" s="1"/>
  <c r="B378" i="1"/>
  <c r="BC377" i="1"/>
  <c r="AZ377" i="1"/>
  <c r="AX377" i="1"/>
  <c r="AU377" i="1"/>
  <c r="AS377" i="1"/>
  <c r="AR377" i="1"/>
  <c r="AQ377" i="1"/>
  <c r="AP377" i="1"/>
  <c r="AL377" i="1"/>
  <c r="Z377" i="1"/>
  <c r="X377" i="1"/>
  <c r="Y377" i="1" s="1"/>
  <c r="W377" i="1"/>
  <c r="T377" i="1"/>
  <c r="U377" i="1" s="1"/>
  <c r="AT377" i="1" s="1"/>
  <c r="AV377" i="1" s="1"/>
  <c r="AW377" i="1" s="1"/>
  <c r="R377" i="1"/>
  <c r="S377" i="1" s="1"/>
  <c r="Q377" i="1"/>
  <c r="J377" i="1"/>
  <c r="B377" i="1"/>
  <c r="BC376" i="1"/>
  <c r="AZ376" i="1"/>
  <c r="AS376" i="1"/>
  <c r="AR376" i="1"/>
  <c r="AQ376" i="1"/>
  <c r="AP376" i="1"/>
  <c r="AL376" i="1"/>
  <c r="X376" i="1"/>
  <c r="W376" i="1"/>
  <c r="Q376" i="1"/>
  <c r="R376" i="1" s="1"/>
  <c r="J376" i="1"/>
  <c r="B376" i="1"/>
  <c r="BC375" i="1"/>
  <c r="AZ375" i="1"/>
  <c r="AS375" i="1"/>
  <c r="AR375" i="1"/>
  <c r="AQ375" i="1"/>
  <c r="AP375" i="1"/>
  <c r="AL375" i="1"/>
  <c r="X375" i="1"/>
  <c r="W375" i="1"/>
  <c r="Q375" i="1"/>
  <c r="R375" i="1" s="1"/>
  <c r="J375" i="1"/>
  <c r="B375" i="1"/>
  <c r="BC374" i="1"/>
  <c r="AZ374" i="1"/>
  <c r="AV374" i="1"/>
  <c r="AW374" i="1" s="1"/>
  <c r="AU374" i="1"/>
  <c r="AX374" i="1" s="1"/>
  <c r="AS374" i="1"/>
  <c r="AR374" i="1"/>
  <c r="AQ374" i="1"/>
  <c r="AP374" i="1"/>
  <c r="AL374" i="1"/>
  <c r="Y374" i="1"/>
  <c r="X374" i="1"/>
  <c r="Z374" i="1" s="1"/>
  <c r="W374" i="1"/>
  <c r="T374" i="1"/>
  <c r="R374" i="1"/>
  <c r="S374" i="1" s="1"/>
  <c r="BK374" i="1" s="1"/>
  <c r="Q374" i="1"/>
  <c r="U374" i="1" s="1"/>
  <c r="AT374" i="1" s="1"/>
  <c r="J374" i="1"/>
  <c r="B374" i="1"/>
  <c r="BC373" i="1"/>
  <c r="AZ373" i="1"/>
  <c r="AU373" i="1"/>
  <c r="AX373" i="1" s="1"/>
  <c r="AS373" i="1"/>
  <c r="AR373" i="1"/>
  <c r="AQ373" i="1"/>
  <c r="AP373" i="1"/>
  <c r="AL373" i="1"/>
  <c r="X373" i="1"/>
  <c r="W373" i="1"/>
  <c r="Q373" i="1"/>
  <c r="R373" i="1" s="1"/>
  <c r="J373" i="1"/>
  <c r="B373" i="1"/>
  <c r="BC372" i="1"/>
  <c r="AZ372" i="1"/>
  <c r="AS372" i="1"/>
  <c r="AR372" i="1"/>
  <c r="AQ372" i="1"/>
  <c r="AP372" i="1"/>
  <c r="AL372" i="1"/>
  <c r="Z372" i="1"/>
  <c r="X372" i="1"/>
  <c r="Y372" i="1" s="1"/>
  <c r="W372" i="1"/>
  <c r="R372" i="1"/>
  <c r="Q372" i="1"/>
  <c r="J372" i="1"/>
  <c r="B372" i="1"/>
  <c r="BC371" i="1"/>
  <c r="AZ371" i="1"/>
  <c r="AU371" i="1"/>
  <c r="AX371" i="1" s="1"/>
  <c r="AS371" i="1"/>
  <c r="AR371" i="1"/>
  <c r="AQ371" i="1"/>
  <c r="AP371" i="1"/>
  <c r="AL371" i="1"/>
  <c r="Z371" i="1"/>
  <c r="Y371" i="1"/>
  <c r="X371" i="1"/>
  <c r="W371" i="1"/>
  <c r="Q371" i="1"/>
  <c r="R371" i="1" s="1"/>
  <c r="J371" i="1"/>
  <c r="T371" i="1" s="1"/>
  <c r="U371" i="1" s="1"/>
  <c r="AT371" i="1" s="1"/>
  <c r="AV371" i="1" s="1"/>
  <c r="AW371" i="1" s="1"/>
  <c r="B371" i="1"/>
  <c r="BC370" i="1"/>
  <c r="AZ370" i="1"/>
  <c r="AS370" i="1"/>
  <c r="AR370" i="1"/>
  <c r="AQ370" i="1"/>
  <c r="AP370" i="1"/>
  <c r="AL370" i="1"/>
  <c r="X370" i="1"/>
  <c r="Z370" i="1" s="1"/>
  <c r="W370" i="1"/>
  <c r="Q370" i="1"/>
  <c r="R370" i="1" s="1"/>
  <c r="J370" i="1"/>
  <c r="B370" i="1"/>
  <c r="BC369" i="1"/>
  <c r="AZ369" i="1"/>
  <c r="AU369" i="1"/>
  <c r="AX369" i="1" s="1"/>
  <c r="AS369" i="1"/>
  <c r="AR369" i="1"/>
  <c r="AQ369" i="1"/>
  <c r="AP369" i="1"/>
  <c r="AL369" i="1"/>
  <c r="X369" i="1"/>
  <c r="W369" i="1"/>
  <c r="T369" i="1"/>
  <c r="U369" i="1" s="1"/>
  <c r="AT369" i="1" s="1"/>
  <c r="AV369" i="1" s="1"/>
  <c r="AW369" i="1" s="1"/>
  <c r="Q369" i="1"/>
  <c r="R369" i="1" s="1"/>
  <c r="S369" i="1" s="1"/>
  <c r="J369" i="1"/>
  <c r="B369" i="1"/>
  <c r="BC368" i="1"/>
  <c r="AZ368" i="1"/>
  <c r="AU368" i="1"/>
  <c r="AX368" i="1" s="1"/>
  <c r="AS368" i="1"/>
  <c r="AR368" i="1"/>
  <c r="AQ368" i="1"/>
  <c r="AP368" i="1"/>
  <c r="AL368" i="1"/>
  <c r="Z368" i="1"/>
  <c r="Y368" i="1"/>
  <c r="X368" i="1"/>
  <c r="W368" i="1"/>
  <c r="S368" i="1"/>
  <c r="R368" i="1"/>
  <c r="Q368" i="1"/>
  <c r="U368" i="1" s="1"/>
  <c r="AT368" i="1" s="1"/>
  <c r="AV368" i="1" s="1"/>
  <c r="AW368" i="1" s="1"/>
  <c r="J368" i="1"/>
  <c r="T368" i="1" s="1"/>
  <c r="B368" i="1"/>
  <c r="BC367" i="1"/>
  <c r="AZ367" i="1"/>
  <c r="AX367" i="1"/>
  <c r="AU367" i="1"/>
  <c r="AT367" i="1"/>
  <c r="AV367" i="1" s="1"/>
  <c r="AW367" i="1" s="1"/>
  <c r="AS367" i="1"/>
  <c r="AR367" i="1"/>
  <c r="AQ367" i="1"/>
  <c r="AP367" i="1"/>
  <c r="AL367" i="1"/>
  <c r="X367" i="1"/>
  <c r="W367" i="1"/>
  <c r="T367" i="1"/>
  <c r="U367" i="1" s="1"/>
  <c r="R367" i="1"/>
  <c r="S367" i="1" s="1"/>
  <c r="Q367" i="1"/>
  <c r="J367" i="1"/>
  <c r="B367" i="1"/>
  <c r="BC366" i="1"/>
  <c r="AZ366" i="1"/>
  <c r="AX366" i="1"/>
  <c r="AU366" i="1"/>
  <c r="AS366" i="1"/>
  <c r="AR366" i="1"/>
  <c r="AQ366" i="1"/>
  <c r="AP366" i="1"/>
  <c r="AL366" i="1"/>
  <c r="X366" i="1"/>
  <c r="Y366" i="1" s="1"/>
  <c r="W366" i="1"/>
  <c r="T366" i="1"/>
  <c r="Q366" i="1"/>
  <c r="R366" i="1" s="1"/>
  <c r="S366" i="1" s="1"/>
  <c r="J366" i="1"/>
  <c r="B366" i="1"/>
  <c r="BC365" i="1"/>
  <c r="AZ365" i="1"/>
  <c r="AS365" i="1"/>
  <c r="AR365" i="1"/>
  <c r="AQ365" i="1"/>
  <c r="AP365" i="1"/>
  <c r="AL365" i="1"/>
  <c r="Z365" i="1"/>
  <c r="X365" i="1"/>
  <c r="Y365" i="1" s="1"/>
  <c r="W365" i="1"/>
  <c r="T365" i="1"/>
  <c r="R365" i="1"/>
  <c r="Q365" i="1"/>
  <c r="J365" i="1"/>
  <c r="B365" i="1"/>
  <c r="BC364" i="1"/>
  <c r="AZ364" i="1"/>
  <c r="AU364" i="1"/>
  <c r="AX364" i="1" s="1"/>
  <c r="AS364" i="1"/>
  <c r="AR364" i="1"/>
  <c r="AQ364" i="1"/>
  <c r="AP364" i="1"/>
  <c r="AL364" i="1"/>
  <c r="Z364" i="1"/>
  <c r="Y364" i="1"/>
  <c r="X364" i="1"/>
  <c r="W364" i="1"/>
  <c r="T364" i="1"/>
  <c r="U364" i="1" s="1"/>
  <c r="AT364" i="1" s="1"/>
  <c r="AV364" i="1" s="1"/>
  <c r="AW364" i="1" s="1"/>
  <c r="S364" i="1"/>
  <c r="BK364" i="1" s="1"/>
  <c r="Q364" i="1"/>
  <c r="R364" i="1" s="1"/>
  <c r="J364" i="1"/>
  <c r="B364" i="1"/>
  <c r="BC363" i="1"/>
  <c r="AZ363" i="1"/>
  <c r="AX363" i="1"/>
  <c r="AU363" i="1"/>
  <c r="AS363" i="1"/>
  <c r="AR363" i="1"/>
  <c r="AQ363" i="1"/>
  <c r="AP363" i="1"/>
  <c r="AL363" i="1"/>
  <c r="X363" i="1"/>
  <c r="Z363" i="1" s="1"/>
  <c r="W363" i="1"/>
  <c r="U363" i="1"/>
  <c r="AT363" i="1" s="1"/>
  <c r="AV363" i="1" s="1"/>
  <c r="AW363" i="1" s="1"/>
  <c r="R363" i="1"/>
  <c r="S363" i="1" s="1"/>
  <c r="Q363" i="1"/>
  <c r="J363" i="1"/>
  <c r="T363" i="1" s="1"/>
  <c r="B363" i="1"/>
  <c r="BC362" i="1"/>
  <c r="AZ362" i="1"/>
  <c r="AU362" i="1"/>
  <c r="AX362" i="1" s="1"/>
  <c r="AS362" i="1"/>
  <c r="AR362" i="1"/>
  <c r="AQ362" i="1"/>
  <c r="AP362" i="1"/>
  <c r="AL362" i="1"/>
  <c r="Z362" i="1"/>
  <c r="X362" i="1"/>
  <c r="Y362" i="1" s="1"/>
  <c r="W362" i="1"/>
  <c r="Q362" i="1"/>
  <c r="R362" i="1" s="1"/>
  <c r="J362" i="1"/>
  <c r="S362" i="1" s="1"/>
  <c r="BK362" i="1" s="1"/>
  <c r="B362" i="1"/>
  <c r="BC361" i="1"/>
  <c r="AZ361" i="1"/>
  <c r="AU361" i="1"/>
  <c r="AX361" i="1" s="1"/>
  <c r="AS361" i="1"/>
  <c r="AR361" i="1"/>
  <c r="AQ361" i="1"/>
  <c r="AP361" i="1"/>
  <c r="AL361" i="1"/>
  <c r="Z361" i="1"/>
  <c r="X361" i="1"/>
  <c r="Y361" i="1" s="1"/>
  <c r="W361" i="1"/>
  <c r="T361" i="1"/>
  <c r="Q361" i="1"/>
  <c r="R361" i="1" s="1"/>
  <c r="J361" i="1"/>
  <c r="B361" i="1"/>
  <c r="BC360" i="1"/>
  <c r="AZ360" i="1"/>
  <c r="AS360" i="1"/>
  <c r="AR360" i="1"/>
  <c r="AQ360" i="1"/>
  <c r="AP360" i="1"/>
  <c r="AL360" i="1"/>
  <c r="Z360" i="1"/>
  <c r="Y360" i="1"/>
  <c r="X360" i="1"/>
  <c r="W360" i="1"/>
  <c r="Q360" i="1"/>
  <c r="R360" i="1" s="1"/>
  <c r="J360" i="1"/>
  <c r="B360" i="1"/>
  <c r="BC359" i="1"/>
  <c r="AZ359" i="1"/>
  <c r="AU359" i="1"/>
  <c r="AX359" i="1" s="1"/>
  <c r="AS359" i="1"/>
  <c r="AR359" i="1"/>
  <c r="AQ359" i="1"/>
  <c r="AP359" i="1"/>
  <c r="AL359" i="1"/>
  <c r="Z359" i="1"/>
  <c r="Y359" i="1"/>
  <c r="X359" i="1"/>
  <c r="W359" i="1"/>
  <c r="T359" i="1"/>
  <c r="U359" i="1" s="1"/>
  <c r="AT359" i="1" s="1"/>
  <c r="AV359" i="1" s="1"/>
  <c r="AW359" i="1" s="1"/>
  <c r="S359" i="1"/>
  <c r="BK359" i="1" s="1"/>
  <c r="R359" i="1"/>
  <c r="Q359" i="1"/>
  <c r="J359" i="1"/>
  <c r="B359" i="1"/>
  <c r="BC358" i="1"/>
  <c r="AZ358" i="1"/>
  <c r="AS358" i="1"/>
  <c r="AR358" i="1"/>
  <c r="AQ358" i="1"/>
  <c r="AP358" i="1"/>
  <c r="AL358" i="1"/>
  <c r="Z358" i="1"/>
  <c r="X358" i="1"/>
  <c r="Y358" i="1" s="1"/>
  <c r="W358" i="1"/>
  <c r="Q358" i="1"/>
  <c r="R358" i="1" s="1"/>
  <c r="J358" i="1"/>
  <c r="B358" i="1"/>
  <c r="BC357" i="1"/>
  <c r="AZ357" i="1"/>
  <c r="AX357" i="1"/>
  <c r="AU357" i="1"/>
  <c r="AS357" i="1"/>
  <c r="AR357" i="1"/>
  <c r="AQ357" i="1"/>
  <c r="AP357" i="1"/>
  <c r="AL357" i="1"/>
  <c r="Z357" i="1"/>
  <c r="X357" i="1"/>
  <c r="Y357" i="1" s="1"/>
  <c r="W357" i="1"/>
  <c r="R357" i="1"/>
  <c r="S357" i="1" s="1"/>
  <c r="BK357" i="1" s="1"/>
  <c r="Q357" i="1"/>
  <c r="J357" i="1"/>
  <c r="B357" i="1"/>
  <c r="BC356" i="1"/>
  <c r="AZ356" i="1"/>
  <c r="AS356" i="1"/>
  <c r="AR356" i="1"/>
  <c r="AQ356" i="1"/>
  <c r="AP356" i="1"/>
  <c r="AL356" i="1"/>
  <c r="Y356" i="1"/>
  <c r="X356" i="1"/>
  <c r="Z356" i="1" s="1"/>
  <c r="W356" i="1"/>
  <c r="T356" i="1"/>
  <c r="S356" i="1"/>
  <c r="Q356" i="1"/>
  <c r="R356" i="1" s="1"/>
  <c r="J356" i="1"/>
  <c r="AU356" i="1" s="1"/>
  <c r="AX356" i="1" s="1"/>
  <c r="B356" i="1"/>
  <c r="BC355" i="1"/>
  <c r="AZ355" i="1"/>
  <c r="AX355" i="1"/>
  <c r="AS355" i="1"/>
  <c r="AR355" i="1"/>
  <c r="AQ355" i="1"/>
  <c r="AP355" i="1"/>
  <c r="AL355" i="1"/>
  <c r="X355" i="1"/>
  <c r="W355" i="1"/>
  <c r="T355" i="1"/>
  <c r="U355" i="1" s="1"/>
  <c r="AT355" i="1" s="1"/>
  <c r="AV355" i="1" s="1"/>
  <c r="AW355" i="1" s="1"/>
  <c r="S355" i="1"/>
  <c r="R355" i="1"/>
  <c r="Q355" i="1"/>
  <c r="J355" i="1"/>
  <c r="AU355" i="1" s="1"/>
  <c r="B355" i="1"/>
  <c r="BC354" i="1"/>
  <c r="AZ354" i="1"/>
  <c r="AX354" i="1"/>
  <c r="AV354" i="1"/>
  <c r="AW354" i="1" s="1"/>
  <c r="AU354" i="1"/>
  <c r="AS354" i="1"/>
  <c r="AR354" i="1"/>
  <c r="AQ354" i="1"/>
  <c r="AP354" i="1"/>
  <c r="AL354" i="1"/>
  <c r="Y354" i="1"/>
  <c r="X354" i="1"/>
  <c r="Z354" i="1" s="1"/>
  <c r="W354" i="1"/>
  <c r="T354" i="1"/>
  <c r="U354" i="1" s="1"/>
  <c r="AT354" i="1" s="1"/>
  <c r="Q354" i="1"/>
  <c r="R354" i="1" s="1"/>
  <c r="S354" i="1" s="1"/>
  <c r="BK354" i="1" s="1"/>
  <c r="J354" i="1"/>
  <c r="B354" i="1"/>
  <c r="BC353" i="1"/>
  <c r="AZ353" i="1"/>
  <c r="AS353" i="1"/>
  <c r="AR353" i="1"/>
  <c r="AQ353" i="1"/>
  <c r="AP353" i="1"/>
  <c r="AL353" i="1"/>
  <c r="X353" i="1"/>
  <c r="Z353" i="1" s="1"/>
  <c r="W353" i="1"/>
  <c r="Q353" i="1"/>
  <c r="R353" i="1" s="1"/>
  <c r="J353" i="1"/>
  <c r="B353" i="1"/>
  <c r="BC352" i="1"/>
  <c r="AZ352" i="1"/>
  <c r="AX352" i="1"/>
  <c r="AU352" i="1"/>
  <c r="AT352" i="1"/>
  <c r="AV352" i="1" s="1"/>
  <c r="AW352" i="1" s="1"/>
  <c r="AS352" i="1"/>
  <c r="AR352" i="1"/>
  <c r="AQ352" i="1"/>
  <c r="AP352" i="1"/>
  <c r="AL352" i="1"/>
  <c r="Z352" i="1"/>
  <c r="X352" i="1"/>
  <c r="Y352" i="1" s="1"/>
  <c r="W352" i="1"/>
  <c r="T352" i="1"/>
  <c r="U352" i="1" s="1"/>
  <c r="S352" i="1"/>
  <c r="BK352" i="1" s="1"/>
  <c r="R352" i="1"/>
  <c r="Q352" i="1"/>
  <c r="J352" i="1"/>
  <c r="B352" i="1"/>
  <c r="BC351" i="1"/>
  <c r="AZ351" i="1"/>
  <c r="AS351" i="1"/>
  <c r="AR351" i="1"/>
  <c r="AQ351" i="1"/>
  <c r="AP351" i="1"/>
  <c r="AL351" i="1"/>
  <c r="X351" i="1"/>
  <c r="W351" i="1"/>
  <c r="Q351" i="1"/>
  <c r="R351" i="1" s="1"/>
  <c r="J351" i="1"/>
  <c r="B351" i="1"/>
  <c r="BC350" i="1"/>
  <c r="AZ350" i="1"/>
  <c r="AS350" i="1"/>
  <c r="AR350" i="1"/>
  <c r="AQ350" i="1"/>
  <c r="AP350" i="1"/>
  <c r="AL350" i="1"/>
  <c r="X350" i="1"/>
  <c r="W350" i="1"/>
  <c r="S350" i="1"/>
  <c r="Q350" i="1"/>
  <c r="R350" i="1" s="1"/>
  <c r="J350" i="1"/>
  <c r="B350" i="1"/>
  <c r="BC349" i="1"/>
  <c r="AZ349" i="1"/>
  <c r="AU349" i="1"/>
  <c r="AX349" i="1" s="1"/>
  <c r="AS349" i="1"/>
  <c r="AR349" i="1"/>
  <c r="AQ349" i="1"/>
  <c r="AP349" i="1"/>
  <c r="AL349" i="1"/>
  <c r="Y349" i="1"/>
  <c r="X349" i="1"/>
  <c r="Z349" i="1" s="1"/>
  <c r="W349" i="1"/>
  <c r="U349" i="1"/>
  <c r="AT349" i="1" s="1"/>
  <c r="AV349" i="1" s="1"/>
  <c r="AW349" i="1" s="1"/>
  <c r="T349" i="1"/>
  <c r="R349" i="1"/>
  <c r="S349" i="1" s="1"/>
  <c r="BK349" i="1" s="1"/>
  <c r="Q349" i="1"/>
  <c r="J349" i="1"/>
  <c r="B349" i="1"/>
  <c r="BC348" i="1"/>
  <c r="AZ348" i="1"/>
  <c r="AS348" i="1"/>
  <c r="AR348" i="1"/>
  <c r="AQ348" i="1"/>
  <c r="AP348" i="1"/>
  <c r="AL348" i="1"/>
  <c r="X348" i="1"/>
  <c r="Y348" i="1" s="1"/>
  <c r="W348" i="1"/>
  <c r="Q348" i="1"/>
  <c r="R348" i="1" s="1"/>
  <c r="J348" i="1"/>
  <c r="B348" i="1"/>
  <c r="BC347" i="1"/>
  <c r="AZ347" i="1"/>
  <c r="AU347" i="1"/>
  <c r="AX347" i="1" s="1"/>
  <c r="AS347" i="1"/>
  <c r="AR347" i="1"/>
  <c r="AQ347" i="1"/>
  <c r="AP347" i="1"/>
  <c r="AL347" i="1"/>
  <c r="Z347" i="1"/>
  <c r="X347" i="1"/>
  <c r="Y347" i="1" s="1"/>
  <c r="W347" i="1"/>
  <c r="S347" i="1"/>
  <c r="BK347" i="1" s="1"/>
  <c r="R347" i="1"/>
  <c r="Q347" i="1"/>
  <c r="J347" i="1"/>
  <c r="B347" i="1"/>
  <c r="BC346" i="1"/>
  <c r="AZ346" i="1"/>
  <c r="AU346" i="1"/>
  <c r="AX346" i="1" s="1"/>
  <c r="AS346" i="1"/>
  <c r="AR346" i="1"/>
  <c r="AQ346" i="1"/>
  <c r="AP346" i="1"/>
  <c r="AL346" i="1"/>
  <c r="Z346" i="1"/>
  <c r="Y346" i="1"/>
  <c r="X346" i="1"/>
  <c r="W346" i="1"/>
  <c r="Q346" i="1"/>
  <c r="R346" i="1" s="1"/>
  <c r="J346" i="1"/>
  <c r="B346" i="1"/>
  <c r="BC345" i="1"/>
  <c r="AZ345" i="1"/>
  <c r="AS345" i="1"/>
  <c r="AR345" i="1"/>
  <c r="AQ345" i="1"/>
  <c r="AP345" i="1"/>
  <c r="AL345" i="1"/>
  <c r="X345" i="1"/>
  <c r="Z345" i="1" s="1"/>
  <c r="W345" i="1"/>
  <c r="S345" i="1"/>
  <c r="R345" i="1"/>
  <c r="Q345" i="1"/>
  <c r="J345" i="1"/>
  <c r="B345" i="1"/>
  <c r="BC344" i="1"/>
  <c r="AZ344" i="1"/>
  <c r="AU344" i="1"/>
  <c r="AX344" i="1" s="1"/>
  <c r="AT344" i="1"/>
  <c r="AV344" i="1" s="1"/>
  <c r="AW344" i="1" s="1"/>
  <c r="AS344" i="1"/>
  <c r="AR344" i="1"/>
  <c r="AQ344" i="1"/>
  <c r="AP344" i="1"/>
  <c r="AL344" i="1"/>
  <c r="X344" i="1"/>
  <c r="W344" i="1"/>
  <c r="T344" i="1"/>
  <c r="U344" i="1" s="1"/>
  <c r="Q344" i="1"/>
  <c r="R344" i="1" s="1"/>
  <c r="S344" i="1" s="1"/>
  <c r="J344" i="1"/>
  <c r="B344" i="1"/>
  <c r="BC343" i="1"/>
  <c r="AZ343" i="1"/>
  <c r="AW343" i="1"/>
  <c r="AU343" i="1"/>
  <c r="AX343" i="1" s="1"/>
  <c r="AS343" i="1"/>
  <c r="AR343" i="1"/>
  <c r="AQ343" i="1"/>
  <c r="AP343" i="1"/>
  <c r="AL343" i="1"/>
  <c r="Z343" i="1"/>
  <c r="Y343" i="1"/>
  <c r="X343" i="1"/>
  <c r="W343" i="1"/>
  <c r="Q343" i="1"/>
  <c r="U343" i="1" s="1"/>
  <c r="AT343" i="1" s="1"/>
  <c r="AV343" i="1" s="1"/>
  <c r="J343" i="1"/>
  <c r="T343" i="1" s="1"/>
  <c r="B343" i="1"/>
  <c r="BC342" i="1"/>
  <c r="AZ342" i="1"/>
  <c r="AU342" i="1"/>
  <c r="AX342" i="1" s="1"/>
  <c r="AT342" i="1"/>
  <c r="AV342" i="1" s="1"/>
  <c r="AW342" i="1" s="1"/>
  <c r="AS342" i="1"/>
  <c r="AR342" i="1"/>
  <c r="AQ342" i="1"/>
  <c r="AP342" i="1"/>
  <c r="AL342" i="1"/>
  <c r="X342" i="1"/>
  <c r="W342" i="1"/>
  <c r="T342" i="1"/>
  <c r="U342" i="1" s="1"/>
  <c r="S342" i="1"/>
  <c r="R342" i="1"/>
  <c r="Q342" i="1"/>
  <c r="J342" i="1"/>
  <c r="B342" i="1"/>
  <c r="BC341" i="1"/>
  <c r="AZ341" i="1"/>
  <c r="AX341" i="1"/>
  <c r="AU341" i="1"/>
  <c r="AS341" i="1"/>
  <c r="AR341" i="1"/>
  <c r="AQ341" i="1"/>
  <c r="AP341" i="1"/>
  <c r="AL341" i="1"/>
  <c r="X341" i="1"/>
  <c r="Y341" i="1" s="1"/>
  <c r="W341" i="1"/>
  <c r="T341" i="1"/>
  <c r="Q341" i="1"/>
  <c r="R341" i="1" s="1"/>
  <c r="S341" i="1" s="1"/>
  <c r="J341" i="1"/>
  <c r="B341" i="1"/>
  <c r="BC340" i="1"/>
  <c r="AZ340" i="1"/>
  <c r="AS340" i="1"/>
  <c r="AR340" i="1"/>
  <c r="AQ340" i="1"/>
  <c r="AP340" i="1"/>
  <c r="AL340" i="1"/>
  <c r="Z340" i="1"/>
  <c r="Y340" i="1"/>
  <c r="X340" i="1"/>
  <c r="W340" i="1"/>
  <c r="T340" i="1"/>
  <c r="Q340" i="1"/>
  <c r="R340" i="1" s="1"/>
  <c r="J340" i="1"/>
  <c r="B340" i="1"/>
  <c r="BC339" i="1"/>
  <c r="AZ339" i="1"/>
  <c r="AU339" i="1"/>
  <c r="AX339" i="1" s="1"/>
  <c r="AS339" i="1"/>
  <c r="AR339" i="1"/>
  <c r="AQ339" i="1"/>
  <c r="AP339" i="1"/>
  <c r="AL339" i="1"/>
  <c r="Z339" i="1"/>
  <c r="Y339" i="1"/>
  <c r="X339" i="1"/>
  <c r="W339" i="1"/>
  <c r="T339" i="1"/>
  <c r="U339" i="1" s="1"/>
  <c r="AT339" i="1" s="1"/>
  <c r="AV339" i="1" s="1"/>
  <c r="AW339" i="1" s="1"/>
  <c r="Q339" i="1"/>
  <c r="R339" i="1" s="1"/>
  <c r="S339" i="1" s="1"/>
  <c r="BK339" i="1" s="1"/>
  <c r="J339" i="1"/>
  <c r="B339" i="1"/>
  <c r="BC338" i="1"/>
  <c r="AZ338" i="1"/>
  <c r="AX338" i="1"/>
  <c r="AU338" i="1"/>
  <c r="AS338" i="1"/>
  <c r="AR338" i="1"/>
  <c r="AQ338" i="1"/>
  <c r="AP338" i="1"/>
  <c r="AL338" i="1"/>
  <c r="X338" i="1"/>
  <c r="W338" i="1"/>
  <c r="Q338" i="1"/>
  <c r="U338" i="1" s="1"/>
  <c r="AT338" i="1" s="1"/>
  <c r="AV338" i="1" s="1"/>
  <c r="AW338" i="1" s="1"/>
  <c r="J338" i="1"/>
  <c r="T338" i="1" s="1"/>
  <c r="B338" i="1"/>
  <c r="BC337" i="1"/>
  <c r="AZ337" i="1"/>
  <c r="AS337" i="1"/>
  <c r="AR337" i="1"/>
  <c r="AQ337" i="1"/>
  <c r="AP337" i="1"/>
  <c r="AL337" i="1"/>
  <c r="Z337" i="1"/>
  <c r="X337" i="1"/>
  <c r="Y337" i="1" s="1"/>
  <c r="W337" i="1"/>
  <c r="Q337" i="1"/>
  <c r="R337" i="1" s="1"/>
  <c r="J337" i="1"/>
  <c r="B337" i="1"/>
  <c r="BC336" i="1"/>
  <c r="AZ336" i="1"/>
  <c r="AS336" i="1"/>
  <c r="AR336" i="1"/>
  <c r="AQ336" i="1"/>
  <c r="AP336" i="1"/>
  <c r="AL336" i="1"/>
  <c r="Z336" i="1"/>
  <c r="Y336" i="1"/>
  <c r="X336" i="1"/>
  <c r="W336" i="1"/>
  <c r="Q336" i="1"/>
  <c r="R336" i="1" s="1"/>
  <c r="J336" i="1"/>
  <c r="B336" i="1"/>
  <c r="BC335" i="1"/>
  <c r="AZ335" i="1"/>
  <c r="AS335" i="1"/>
  <c r="AR335" i="1"/>
  <c r="AQ335" i="1"/>
  <c r="AP335" i="1"/>
  <c r="AL335" i="1"/>
  <c r="Z335" i="1"/>
  <c r="Y335" i="1"/>
  <c r="X335" i="1"/>
  <c r="W335" i="1"/>
  <c r="Q335" i="1"/>
  <c r="R335" i="1" s="1"/>
  <c r="J335" i="1"/>
  <c r="B335" i="1"/>
  <c r="BK334" i="1"/>
  <c r="BC334" i="1"/>
  <c r="AZ334" i="1"/>
  <c r="AX334" i="1"/>
  <c r="AU334" i="1"/>
  <c r="AS334" i="1"/>
  <c r="AR334" i="1"/>
  <c r="AQ334" i="1"/>
  <c r="AP334" i="1"/>
  <c r="AL334" i="1"/>
  <c r="Z334" i="1"/>
  <c r="Y334" i="1"/>
  <c r="X334" i="1"/>
  <c r="W334" i="1"/>
  <c r="T334" i="1"/>
  <c r="U334" i="1" s="1"/>
  <c r="AT334" i="1" s="1"/>
  <c r="AV334" i="1" s="1"/>
  <c r="AW334" i="1" s="1"/>
  <c r="S334" i="1"/>
  <c r="R334" i="1"/>
  <c r="Q334" i="1"/>
  <c r="J334" i="1"/>
  <c r="B334" i="1"/>
  <c r="BC333" i="1"/>
  <c r="AZ333" i="1"/>
  <c r="AX333" i="1"/>
  <c r="AU333" i="1"/>
  <c r="AS333" i="1"/>
  <c r="AR333" i="1"/>
  <c r="AQ333" i="1"/>
  <c r="AP333" i="1"/>
  <c r="AL333" i="1"/>
  <c r="X333" i="1"/>
  <c r="W333" i="1"/>
  <c r="Q333" i="1"/>
  <c r="R333" i="1" s="1"/>
  <c r="S333" i="1" s="1"/>
  <c r="J333" i="1"/>
  <c r="B333" i="1"/>
  <c r="BC332" i="1"/>
  <c r="AZ332" i="1"/>
  <c r="AU332" i="1"/>
  <c r="AX332" i="1" s="1"/>
  <c r="AS332" i="1"/>
  <c r="AR332" i="1"/>
  <c r="AQ332" i="1"/>
  <c r="AP332" i="1"/>
  <c r="AL332" i="1"/>
  <c r="X332" i="1"/>
  <c r="Y332" i="1" s="1"/>
  <c r="W332" i="1"/>
  <c r="U332" i="1"/>
  <c r="AT332" i="1" s="1"/>
  <c r="AV332" i="1" s="1"/>
  <c r="AW332" i="1" s="1"/>
  <c r="T332" i="1"/>
  <c r="Q332" i="1"/>
  <c r="R332" i="1" s="1"/>
  <c r="S332" i="1" s="1"/>
  <c r="J332" i="1"/>
  <c r="B332" i="1"/>
  <c r="BC331" i="1"/>
  <c r="AZ331" i="1"/>
  <c r="AU331" i="1"/>
  <c r="AX331" i="1" s="1"/>
  <c r="AS331" i="1"/>
  <c r="AR331" i="1"/>
  <c r="AQ331" i="1"/>
  <c r="AP331" i="1"/>
  <c r="AL331" i="1"/>
  <c r="X331" i="1"/>
  <c r="Z331" i="1" s="1"/>
  <c r="W331" i="1"/>
  <c r="U331" i="1"/>
  <c r="AT331" i="1" s="1"/>
  <c r="AV331" i="1" s="1"/>
  <c r="AW331" i="1" s="1"/>
  <c r="T331" i="1"/>
  <c r="R331" i="1"/>
  <c r="S331" i="1" s="1"/>
  <c r="Q331" i="1"/>
  <c r="J331" i="1"/>
  <c r="B331" i="1"/>
  <c r="BC330" i="1"/>
  <c r="AZ330" i="1"/>
  <c r="AU330" i="1"/>
  <c r="AX330" i="1" s="1"/>
  <c r="AS330" i="1"/>
  <c r="AR330" i="1"/>
  <c r="AQ330" i="1"/>
  <c r="AP330" i="1"/>
  <c r="AL330" i="1"/>
  <c r="X330" i="1"/>
  <c r="Z330" i="1" s="1"/>
  <c r="W330" i="1"/>
  <c r="R330" i="1"/>
  <c r="Q330" i="1"/>
  <c r="J330" i="1"/>
  <c r="B330" i="1"/>
  <c r="BC329" i="1"/>
  <c r="AZ329" i="1"/>
  <c r="AS329" i="1"/>
  <c r="AR329" i="1"/>
  <c r="AQ329" i="1"/>
  <c r="AP329" i="1"/>
  <c r="AL329" i="1"/>
  <c r="Z329" i="1"/>
  <c r="Y329" i="1"/>
  <c r="X329" i="1"/>
  <c r="W329" i="1"/>
  <c r="Q329" i="1"/>
  <c r="R329" i="1" s="1"/>
  <c r="J329" i="1"/>
  <c r="B329" i="1"/>
  <c r="BC328" i="1"/>
  <c r="AZ328" i="1"/>
  <c r="AU328" i="1"/>
  <c r="AX328" i="1" s="1"/>
  <c r="AS328" i="1"/>
  <c r="AR328" i="1"/>
  <c r="AQ328" i="1"/>
  <c r="AP328" i="1"/>
  <c r="AL328" i="1"/>
  <c r="Z328" i="1"/>
  <c r="Y328" i="1"/>
  <c r="X328" i="1"/>
  <c r="W328" i="1"/>
  <c r="T328" i="1"/>
  <c r="U328" i="1" s="1"/>
  <c r="AT328" i="1" s="1"/>
  <c r="AV328" i="1" s="1"/>
  <c r="AW328" i="1" s="1"/>
  <c r="S328" i="1"/>
  <c r="BK328" i="1" s="1"/>
  <c r="R328" i="1"/>
  <c r="Q328" i="1"/>
  <c r="J328" i="1"/>
  <c r="B328" i="1"/>
  <c r="BC327" i="1"/>
  <c r="AZ327" i="1"/>
  <c r="AX327" i="1"/>
  <c r="AU327" i="1"/>
  <c r="AS327" i="1"/>
  <c r="AR327" i="1"/>
  <c r="AQ327" i="1"/>
  <c r="AP327" i="1"/>
  <c r="AL327" i="1"/>
  <c r="X327" i="1"/>
  <c r="W327" i="1"/>
  <c r="T327" i="1"/>
  <c r="Q327" i="1"/>
  <c r="R327" i="1" s="1"/>
  <c r="S327" i="1" s="1"/>
  <c r="J327" i="1"/>
  <c r="B327" i="1"/>
  <c r="BC326" i="1"/>
  <c r="AZ326" i="1"/>
  <c r="AU326" i="1"/>
  <c r="AX326" i="1" s="1"/>
  <c r="AS326" i="1"/>
  <c r="AR326" i="1"/>
  <c r="AQ326" i="1"/>
  <c r="AP326" i="1"/>
  <c r="AL326" i="1"/>
  <c r="X326" i="1"/>
  <c r="Z326" i="1" s="1"/>
  <c r="W326" i="1"/>
  <c r="Q326" i="1"/>
  <c r="R326" i="1" s="1"/>
  <c r="S326" i="1" s="1"/>
  <c r="J326" i="1"/>
  <c r="B326" i="1"/>
  <c r="BC325" i="1"/>
  <c r="AZ325" i="1"/>
  <c r="AS325" i="1"/>
  <c r="AR325" i="1"/>
  <c r="AQ325" i="1"/>
  <c r="AP325" i="1"/>
  <c r="AL325" i="1"/>
  <c r="X325" i="1"/>
  <c r="W325" i="1"/>
  <c r="T325" i="1"/>
  <c r="R325" i="1"/>
  <c r="Q325" i="1"/>
  <c r="J325" i="1"/>
  <c r="B325" i="1"/>
  <c r="BC324" i="1"/>
  <c r="AZ324" i="1"/>
  <c r="AU324" i="1"/>
  <c r="AX324" i="1" s="1"/>
  <c r="AS324" i="1"/>
  <c r="AR324" i="1"/>
  <c r="AQ324" i="1"/>
  <c r="AP324" i="1"/>
  <c r="AL324" i="1"/>
  <c r="Z324" i="1"/>
  <c r="Y324" i="1"/>
  <c r="X324" i="1"/>
  <c r="W324" i="1"/>
  <c r="U324" i="1"/>
  <c r="AT324" i="1" s="1"/>
  <c r="AV324" i="1" s="1"/>
  <c r="AW324" i="1" s="1"/>
  <c r="T324" i="1"/>
  <c r="Q324" i="1"/>
  <c r="R324" i="1" s="1"/>
  <c r="S324" i="1" s="1"/>
  <c r="J324" i="1"/>
  <c r="B324" i="1"/>
  <c r="BC323" i="1"/>
  <c r="AZ323" i="1"/>
  <c r="AS323" i="1"/>
  <c r="AR323" i="1"/>
  <c r="AQ323" i="1"/>
  <c r="AP323" i="1"/>
  <c r="AL323" i="1"/>
  <c r="Z323" i="1"/>
  <c r="X323" i="1"/>
  <c r="Y323" i="1" s="1"/>
  <c r="W323" i="1"/>
  <c r="U323" i="1"/>
  <c r="AT323" i="1" s="1"/>
  <c r="AV323" i="1" s="1"/>
  <c r="AW323" i="1" s="1"/>
  <c r="R323" i="1"/>
  <c r="S323" i="1" s="1"/>
  <c r="BK323" i="1" s="1"/>
  <c r="Q323" i="1"/>
  <c r="J323" i="1"/>
  <c r="T323" i="1" s="1"/>
  <c r="B323" i="1"/>
  <c r="BK322" i="1"/>
  <c r="BC322" i="1"/>
  <c r="AZ322" i="1"/>
  <c r="AS322" i="1"/>
  <c r="AR322" i="1"/>
  <c r="AQ322" i="1"/>
  <c r="AP322" i="1"/>
  <c r="AL322" i="1"/>
  <c r="Z322" i="1"/>
  <c r="Y322" i="1"/>
  <c r="X322" i="1"/>
  <c r="W322" i="1"/>
  <c r="S322" i="1"/>
  <c r="R322" i="1"/>
  <c r="Q322" i="1"/>
  <c r="J322" i="1"/>
  <c r="AU322" i="1" s="1"/>
  <c r="AX322" i="1" s="1"/>
  <c r="B322" i="1"/>
  <c r="BC321" i="1"/>
  <c r="AZ321" i="1"/>
  <c r="AS321" i="1"/>
  <c r="AR321" i="1"/>
  <c r="AQ321" i="1"/>
  <c r="AP321" i="1"/>
  <c r="AL321" i="1"/>
  <c r="X321" i="1"/>
  <c r="W321" i="1"/>
  <c r="T321" i="1"/>
  <c r="Q321" i="1"/>
  <c r="R321" i="1" s="1"/>
  <c r="J321" i="1"/>
  <c r="B321" i="1"/>
  <c r="BC320" i="1"/>
  <c r="AZ320" i="1"/>
  <c r="AS320" i="1"/>
  <c r="AR320" i="1"/>
  <c r="AQ320" i="1"/>
  <c r="AP320" i="1"/>
  <c r="AL320" i="1"/>
  <c r="X320" i="1"/>
  <c r="W320" i="1"/>
  <c r="T320" i="1"/>
  <c r="R320" i="1"/>
  <c r="Q320" i="1"/>
  <c r="J320" i="1"/>
  <c r="B320" i="1"/>
  <c r="BC319" i="1"/>
  <c r="AZ319" i="1"/>
  <c r="AU319" i="1"/>
  <c r="AX319" i="1" s="1"/>
  <c r="AS319" i="1"/>
  <c r="AR319" i="1"/>
  <c r="AQ319" i="1"/>
  <c r="AP319" i="1"/>
  <c r="AL319" i="1"/>
  <c r="Z319" i="1"/>
  <c r="Y319" i="1"/>
  <c r="X319" i="1"/>
  <c r="W319" i="1"/>
  <c r="R319" i="1"/>
  <c r="Q319" i="1"/>
  <c r="J319" i="1"/>
  <c r="B319" i="1"/>
  <c r="BC318" i="1"/>
  <c r="AZ318" i="1"/>
  <c r="AS318" i="1"/>
  <c r="AR318" i="1"/>
  <c r="AQ318" i="1"/>
  <c r="AP318" i="1"/>
  <c r="AL318" i="1"/>
  <c r="X318" i="1"/>
  <c r="Y318" i="1" s="1"/>
  <c r="W318" i="1"/>
  <c r="R318" i="1"/>
  <c r="Q318" i="1"/>
  <c r="J318" i="1"/>
  <c r="B318" i="1"/>
  <c r="BC317" i="1"/>
  <c r="AZ317" i="1"/>
  <c r="AX317" i="1"/>
  <c r="AU317" i="1"/>
  <c r="AS317" i="1"/>
  <c r="AR317" i="1"/>
  <c r="AQ317" i="1"/>
  <c r="AP317" i="1"/>
  <c r="AL317" i="1"/>
  <c r="Z317" i="1"/>
  <c r="Y317" i="1"/>
  <c r="X317" i="1"/>
  <c r="W317" i="1"/>
  <c r="T317" i="1"/>
  <c r="Q317" i="1"/>
  <c r="R317" i="1" s="1"/>
  <c r="S317" i="1" s="1"/>
  <c r="BK317" i="1" s="1"/>
  <c r="J317" i="1"/>
  <c r="B317" i="1"/>
  <c r="BC316" i="1"/>
  <c r="AZ316" i="1"/>
  <c r="AU316" i="1"/>
  <c r="AX316" i="1" s="1"/>
  <c r="AS316" i="1"/>
  <c r="AR316" i="1"/>
  <c r="AQ316" i="1"/>
  <c r="AP316" i="1"/>
  <c r="AL316" i="1"/>
  <c r="X316" i="1"/>
  <c r="Z316" i="1" s="1"/>
  <c r="W316" i="1"/>
  <c r="T316" i="1"/>
  <c r="U316" i="1" s="1"/>
  <c r="AT316" i="1" s="1"/>
  <c r="AV316" i="1" s="1"/>
  <c r="AW316" i="1" s="1"/>
  <c r="S316" i="1"/>
  <c r="Q316" i="1"/>
  <c r="R316" i="1" s="1"/>
  <c r="J316" i="1"/>
  <c r="B316" i="1"/>
  <c r="BC315" i="1"/>
  <c r="AZ315" i="1"/>
  <c r="AS315" i="1"/>
  <c r="AR315" i="1"/>
  <c r="AQ315" i="1"/>
  <c r="AP315" i="1"/>
  <c r="AL315" i="1"/>
  <c r="Z315" i="1"/>
  <c r="X315" i="1"/>
  <c r="Y315" i="1" s="1"/>
  <c r="W315" i="1"/>
  <c r="Q315" i="1"/>
  <c r="R315" i="1" s="1"/>
  <c r="J315" i="1"/>
  <c r="B315" i="1"/>
  <c r="BC314" i="1"/>
  <c r="AZ314" i="1"/>
  <c r="AU314" i="1"/>
  <c r="AX314" i="1" s="1"/>
  <c r="AS314" i="1"/>
  <c r="AR314" i="1"/>
  <c r="AQ314" i="1"/>
  <c r="AP314" i="1"/>
  <c r="AL314" i="1"/>
  <c r="Z314" i="1"/>
  <c r="Y314" i="1"/>
  <c r="X314" i="1"/>
  <c r="W314" i="1"/>
  <c r="R314" i="1"/>
  <c r="Q314" i="1"/>
  <c r="J314" i="1"/>
  <c r="B314" i="1"/>
  <c r="BC313" i="1"/>
  <c r="AZ313" i="1"/>
  <c r="AX313" i="1"/>
  <c r="AU313" i="1"/>
  <c r="AS313" i="1"/>
  <c r="AR313" i="1"/>
  <c r="AQ313" i="1"/>
  <c r="AP313" i="1"/>
  <c r="AL313" i="1"/>
  <c r="Z313" i="1"/>
  <c r="Y313" i="1"/>
  <c r="X313" i="1"/>
  <c r="W313" i="1"/>
  <c r="S313" i="1"/>
  <c r="R313" i="1"/>
  <c r="Q313" i="1"/>
  <c r="J313" i="1"/>
  <c r="B313" i="1"/>
  <c r="BC312" i="1"/>
  <c r="AZ312" i="1"/>
  <c r="AS312" i="1"/>
  <c r="AR312" i="1"/>
  <c r="AQ312" i="1"/>
  <c r="AP312" i="1"/>
  <c r="AL312" i="1"/>
  <c r="X312" i="1"/>
  <c r="W312" i="1"/>
  <c r="Q312" i="1"/>
  <c r="R312" i="1" s="1"/>
  <c r="S312" i="1" s="1"/>
  <c r="J312" i="1"/>
  <c r="B312" i="1"/>
  <c r="BC311" i="1"/>
  <c r="AZ311" i="1"/>
  <c r="AS311" i="1"/>
  <c r="AR311" i="1"/>
  <c r="AQ311" i="1"/>
  <c r="AP311" i="1"/>
  <c r="AL311" i="1"/>
  <c r="X311" i="1"/>
  <c r="Z311" i="1" s="1"/>
  <c r="W311" i="1"/>
  <c r="Q311" i="1"/>
  <c r="R311" i="1" s="1"/>
  <c r="J311" i="1"/>
  <c r="B311" i="1"/>
  <c r="BC310" i="1"/>
  <c r="AZ310" i="1"/>
  <c r="AS310" i="1"/>
  <c r="AR310" i="1"/>
  <c r="AQ310" i="1"/>
  <c r="AP310" i="1"/>
  <c r="AL310" i="1"/>
  <c r="Z310" i="1"/>
  <c r="Y310" i="1"/>
  <c r="X310" i="1"/>
  <c r="W310" i="1"/>
  <c r="T310" i="1"/>
  <c r="R310" i="1"/>
  <c r="Q310" i="1"/>
  <c r="J310" i="1"/>
  <c r="AU310" i="1" s="1"/>
  <c r="AX310" i="1" s="1"/>
  <c r="B310" i="1"/>
  <c r="BC309" i="1"/>
  <c r="AZ309" i="1"/>
  <c r="AU309" i="1"/>
  <c r="AX309" i="1" s="1"/>
  <c r="AS309" i="1"/>
  <c r="AR309" i="1"/>
  <c r="AQ309" i="1"/>
  <c r="AP309" i="1"/>
  <c r="AL309" i="1"/>
  <c r="Z309" i="1"/>
  <c r="Y309" i="1"/>
  <c r="X309" i="1"/>
  <c r="W309" i="1"/>
  <c r="T309" i="1"/>
  <c r="Q309" i="1"/>
  <c r="J309" i="1"/>
  <c r="B309" i="1"/>
  <c r="BC308" i="1"/>
  <c r="AZ308" i="1"/>
  <c r="AX308" i="1"/>
  <c r="AS308" i="1"/>
  <c r="AR308" i="1"/>
  <c r="AQ308" i="1"/>
  <c r="AP308" i="1"/>
  <c r="AL308" i="1"/>
  <c r="Y308" i="1"/>
  <c r="X308" i="1"/>
  <c r="Z308" i="1" s="1"/>
  <c r="W308" i="1"/>
  <c r="T308" i="1"/>
  <c r="U308" i="1" s="1"/>
  <c r="AT308" i="1" s="1"/>
  <c r="AV308" i="1" s="1"/>
  <c r="AW308" i="1" s="1"/>
  <c r="R308" i="1"/>
  <c r="Q308" i="1"/>
  <c r="J308" i="1"/>
  <c r="AU308" i="1" s="1"/>
  <c r="B308" i="1"/>
  <c r="BC307" i="1"/>
  <c r="AZ307" i="1"/>
  <c r="AU307" i="1"/>
  <c r="AX307" i="1" s="1"/>
  <c r="AS307" i="1"/>
  <c r="AR307" i="1"/>
  <c r="AQ307" i="1"/>
  <c r="AP307" i="1"/>
  <c r="AL307" i="1"/>
  <c r="X307" i="1"/>
  <c r="Z307" i="1" s="1"/>
  <c r="W307" i="1"/>
  <c r="S307" i="1"/>
  <c r="Q307" i="1"/>
  <c r="R307" i="1" s="1"/>
  <c r="J307" i="1"/>
  <c r="B307" i="1"/>
  <c r="BC306" i="1"/>
  <c r="AZ306" i="1"/>
  <c r="AU306" i="1"/>
  <c r="AX306" i="1" s="1"/>
  <c r="AT306" i="1"/>
  <c r="AV306" i="1" s="1"/>
  <c r="AW306" i="1" s="1"/>
  <c r="AS306" i="1"/>
  <c r="AR306" i="1"/>
  <c r="AQ306" i="1"/>
  <c r="AP306" i="1"/>
  <c r="AL306" i="1"/>
  <c r="X306" i="1"/>
  <c r="Z306" i="1" s="1"/>
  <c r="W306" i="1"/>
  <c r="T306" i="1"/>
  <c r="U306" i="1" s="1"/>
  <c r="Q306" i="1"/>
  <c r="R306" i="1" s="1"/>
  <c r="S306" i="1" s="1"/>
  <c r="J306" i="1"/>
  <c r="B306" i="1"/>
  <c r="BC305" i="1"/>
  <c r="AZ305" i="1"/>
  <c r="AU305" i="1"/>
  <c r="AX305" i="1" s="1"/>
  <c r="AS305" i="1"/>
  <c r="AR305" i="1"/>
  <c r="AQ305" i="1"/>
  <c r="AP305" i="1"/>
  <c r="AL305" i="1"/>
  <c r="Z305" i="1"/>
  <c r="Y305" i="1"/>
  <c r="X305" i="1"/>
  <c r="W305" i="1"/>
  <c r="R305" i="1"/>
  <c r="Q305" i="1"/>
  <c r="J305" i="1"/>
  <c r="B305" i="1"/>
  <c r="BC304" i="1"/>
  <c r="AZ304" i="1"/>
  <c r="AS304" i="1"/>
  <c r="AR304" i="1"/>
  <c r="AQ304" i="1"/>
  <c r="AP304" i="1"/>
  <c r="AL304" i="1"/>
  <c r="Z304" i="1"/>
  <c r="Y304" i="1"/>
  <c r="X304" i="1"/>
  <c r="W304" i="1"/>
  <c r="T304" i="1"/>
  <c r="Q304" i="1"/>
  <c r="R304" i="1" s="1"/>
  <c r="J304" i="1"/>
  <c r="B304" i="1"/>
  <c r="BC303" i="1"/>
  <c r="AZ303" i="1"/>
  <c r="AX303" i="1"/>
  <c r="AU303" i="1"/>
  <c r="AS303" i="1"/>
  <c r="AR303" i="1"/>
  <c r="AQ303" i="1"/>
  <c r="AP303" i="1"/>
  <c r="AL303" i="1"/>
  <c r="Y303" i="1"/>
  <c r="X303" i="1"/>
  <c r="Z303" i="1" s="1"/>
  <c r="W303" i="1"/>
  <c r="U303" i="1"/>
  <c r="AT303" i="1" s="1"/>
  <c r="AV303" i="1" s="1"/>
  <c r="AW303" i="1" s="1"/>
  <c r="T303" i="1"/>
  <c r="R303" i="1"/>
  <c r="S303" i="1" s="1"/>
  <c r="BK303" i="1" s="1"/>
  <c r="Q303" i="1"/>
  <c r="J303" i="1"/>
  <c r="B303" i="1"/>
  <c r="BC302" i="1"/>
  <c r="AZ302" i="1"/>
  <c r="AX302" i="1"/>
  <c r="AU302" i="1"/>
  <c r="AS302" i="1"/>
  <c r="AR302" i="1"/>
  <c r="AQ302" i="1"/>
  <c r="AP302" i="1"/>
  <c r="AL302" i="1"/>
  <c r="X302" i="1"/>
  <c r="Z302" i="1" s="1"/>
  <c r="W302" i="1"/>
  <c r="T302" i="1"/>
  <c r="Q302" i="1"/>
  <c r="R302" i="1" s="1"/>
  <c r="J302" i="1"/>
  <c r="B302" i="1"/>
  <c r="BC301" i="1"/>
  <c r="AZ301" i="1"/>
  <c r="AU301" i="1"/>
  <c r="AX301" i="1" s="1"/>
  <c r="AS301" i="1"/>
  <c r="AR301" i="1"/>
  <c r="AQ301" i="1"/>
  <c r="AP301" i="1"/>
  <c r="AL301" i="1"/>
  <c r="X301" i="1"/>
  <c r="W301" i="1"/>
  <c r="Q301" i="1"/>
  <c r="R301" i="1" s="1"/>
  <c r="S301" i="1" s="1"/>
  <c r="J301" i="1"/>
  <c r="B301" i="1"/>
  <c r="BC300" i="1"/>
  <c r="AZ300" i="1"/>
  <c r="AX300" i="1"/>
  <c r="AU300" i="1"/>
  <c r="AS300" i="1"/>
  <c r="AR300" i="1"/>
  <c r="AQ300" i="1"/>
  <c r="AP300" i="1"/>
  <c r="AL300" i="1"/>
  <c r="X300" i="1"/>
  <c r="W300" i="1"/>
  <c r="Q300" i="1"/>
  <c r="R300" i="1" s="1"/>
  <c r="J300" i="1"/>
  <c r="B300" i="1"/>
  <c r="BC299" i="1"/>
  <c r="AZ299" i="1"/>
  <c r="AX299" i="1"/>
  <c r="AU299" i="1"/>
  <c r="AS299" i="1"/>
  <c r="AR299" i="1"/>
  <c r="AQ299" i="1"/>
  <c r="AP299" i="1"/>
  <c r="AL299" i="1"/>
  <c r="Z299" i="1"/>
  <c r="Y299" i="1"/>
  <c r="X299" i="1"/>
  <c r="W299" i="1"/>
  <c r="T299" i="1"/>
  <c r="U299" i="1" s="1"/>
  <c r="AT299" i="1" s="1"/>
  <c r="AV299" i="1" s="1"/>
  <c r="AW299" i="1" s="1"/>
  <c r="S299" i="1"/>
  <c r="BK299" i="1" s="1"/>
  <c r="R299" i="1"/>
  <c r="Q299" i="1"/>
  <c r="J299" i="1"/>
  <c r="B299" i="1"/>
  <c r="BC298" i="1"/>
  <c r="AZ298" i="1"/>
  <c r="AS298" i="1"/>
  <c r="AR298" i="1"/>
  <c r="AQ298" i="1"/>
  <c r="AP298" i="1"/>
  <c r="AL298" i="1"/>
  <c r="X298" i="1"/>
  <c r="W298" i="1"/>
  <c r="R298" i="1"/>
  <c r="Q298" i="1"/>
  <c r="J298" i="1"/>
  <c r="B298" i="1"/>
  <c r="BC297" i="1"/>
  <c r="AZ297" i="1"/>
  <c r="AU297" i="1"/>
  <c r="AX297" i="1" s="1"/>
  <c r="AS297" i="1"/>
  <c r="AR297" i="1"/>
  <c r="AQ297" i="1"/>
  <c r="AP297" i="1"/>
  <c r="AL297" i="1"/>
  <c r="Z297" i="1"/>
  <c r="Y297" i="1"/>
  <c r="X297" i="1"/>
  <c r="W297" i="1"/>
  <c r="T297" i="1"/>
  <c r="S297" i="1"/>
  <c r="Q297" i="1"/>
  <c r="R297" i="1" s="1"/>
  <c r="J297" i="1"/>
  <c r="B297" i="1"/>
  <c r="BC296" i="1"/>
  <c r="AZ296" i="1"/>
  <c r="AU296" i="1"/>
  <c r="AX296" i="1" s="1"/>
  <c r="AS296" i="1"/>
  <c r="AR296" i="1"/>
  <c r="AQ296" i="1"/>
  <c r="AP296" i="1"/>
  <c r="AL296" i="1"/>
  <c r="X296" i="1"/>
  <c r="W296" i="1"/>
  <c r="T296" i="1"/>
  <c r="U296" i="1" s="1"/>
  <c r="R296" i="1"/>
  <c r="Q296" i="1"/>
  <c r="J296" i="1"/>
  <c r="B296" i="1"/>
  <c r="BC295" i="1"/>
  <c r="AZ295" i="1"/>
  <c r="AS295" i="1"/>
  <c r="AR295" i="1"/>
  <c r="AQ295" i="1"/>
  <c r="AP295" i="1"/>
  <c r="AL295" i="1"/>
  <c r="Y295" i="1"/>
  <c r="X295" i="1"/>
  <c r="Z295" i="1" s="1"/>
  <c r="W295" i="1"/>
  <c r="R295" i="1"/>
  <c r="Q295" i="1"/>
  <c r="J295" i="1"/>
  <c r="B295" i="1"/>
  <c r="BC294" i="1"/>
  <c r="AZ294" i="1"/>
  <c r="AS294" i="1"/>
  <c r="AR294" i="1"/>
  <c r="AQ294" i="1"/>
  <c r="AP294" i="1"/>
  <c r="AL294" i="1"/>
  <c r="Z294" i="1"/>
  <c r="Y294" i="1"/>
  <c r="X294" i="1"/>
  <c r="W294" i="1"/>
  <c r="U294" i="1"/>
  <c r="AT294" i="1" s="1"/>
  <c r="AV294" i="1" s="1"/>
  <c r="AW294" i="1" s="1"/>
  <c r="R294" i="1"/>
  <c r="S294" i="1" s="1"/>
  <c r="Q294" i="1"/>
  <c r="J294" i="1"/>
  <c r="T294" i="1" s="1"/>
  <c r="B294" i="1"/>
  <c r="BC293" i="1"/>
  <c r="AZ293" i="1"/>
  <c r="AS293" i="1"/>
  <c r="AR293" i="1"/>
  <c r="AQ293" i="1"/>
  <c r="AP293" i="1"/>
  <c r="AL293" i="1"/>
  <c r="Z293" i="1"/>
  <c r="X293" i="1"/>
  <c r="Y293" i="1" s="1"/>
  <c r="W293" i="1"/>
  <c r="T293" i="1"/>
  <c r="R293" i="1"/>
  <c r="Q293" i="1"/>
  <c r="J293" i="1"/>
  <c r="B293" i="1"/>
  <c r="BC292" i="1"/>
  <c r="AZ292" i="1"/>
  <c r="AU292" i="1"/>
  <c r="AX292" i="1" s="1"/>
  <c r="AS292" i="1"/>
  <c r="AR292" i="1"/>
  <c r="AQ292" i="1"/>
  <c r="AP292" i="1"/>
  <c r="AL292" i="1"/>
  <c r="X292" i="1"/>
  <c r="Z292" i="1" s="1"/>
  <c r="W292" i="1"/>
  <c r="T292" i="1"/>
  <c r="R292" i="1"/>
  <c r="S292" i="1" s="1"/>
  <c r="Q292" i="1"/>
  <c r="J292" i="1"/>
  <c r="B292" i="1"/>
  <c r="BC291" i="1"/>
  <c r="AZ291" i="1"/>
  <c r="AS291" i="1"/>
  <c r="AR291" i="1"/>
  <c r="AQ291" i="1"/>
  <c r="AP291" i="1"/>
  <c r="AL291" i="1"/>
  <c r="X291" i="1"/>
  <c r="W291" i="1"/>
  <c r="Q291" i="1"/>
  <c r="R291" i="1" s="1"/>
  <c r="S291" i="1" s="1"/>
  <c r="J291" i="1"/>
  <c r="B291" i="1"/>
  <c r="BC290" i="1"/>
  <c r="AZ290" i="1"/>
  <c r="AS290" i="1"/>
  <c r="AR290" i="1"/>
  <c r="AQ290" i="1"/>
  <c r="AP290" i="1"/>
  <c r="AL290" i="1"/>
  <c r="Z290" i="1"/>
  <c r="Y290" i="1"/>
  <c r="X290" i="1"/>
  <c r="W290" i="1"/>
  <c r="U290" i="1"/>
  <c r="AT290" i="1" s="1"/>
  <c r="AV290" i="1" s="1"/>
  <c r="AW290" i="1" s="1"/>
  <c r="T290" i="1"/>
  <c r="R290" i="1"/>
  <c r="Q290" i="1"/>
  <c r="J290" i="1"/>
  <c r="B290" i="1"/>
  <c r="BC289" i="1"/>
  <c r="AZ289" i="1"/>
  <c r="AU289" i="1"/>
  <c r="AX289" i="1" s="1"/>
  <c r="AS289" i="1"/>
  <c r="AR289" i="1"/>
  <c r="AQ289" i="1"/>
  <c r="AP289" i="1"/>
  <c r="AL289" i="1"/>
  <c r="Z289" i="1"/>
  <c r="Y289" i="1"/>
  <c r="X289" i="1"/>
  <c r="W289" i="1"/>
  <c r="Q289" i="1"/>
  <c r="R289" i="1" s="1"/>
  <c r="J289" i="1"/>
  <c r="S289" i="1" s="1"/>
  <c r="BK289" i="1" s="1"/>
  <c r="B289" i="1"/>
  <c r="BC288" i="1"/>
  <c r="AZ288" i="1"/>
  <c r="AS288" i="1"/>
  <c r="AR288" i="1"/>
  <c r="AQ288" i="1"/>
  <c r="AP288" i="1"/>
  <c r="AL288" i="1"/>
  <c r="X288" i="1"/>
  <c r="Z288" i="1" s="1"/>
  <c r="W288" i="1"/>
  <c r="S288" i="1"/>
  <c r="R288" i="1"/>
  <c r="Q288" i="1"/>
  <c r="J288" i="1"/>
  <c r="B288" i="1"/>
  <c r="BC287" i="1"/>
  <c r="AZ287" i="1"/>
  <c r="AS287" i="1"/>
  <c r="AR287" i="1"/>
  <c r="AQ287" i="1"/>
  <c r="AP287" i="1"/>
  <c r="AL287" i="1"/>
  <c r="Z287" i="1"/>
  <c r="X287" i="1"/>
  <c r="Y287" i="1" s="1"/>
  <c r="W287" i="1"/>
  <c r="S287" i="1"/>
  <c r="R287" i="1"/>
  <c r="Q287" i="1"/>
  <c r="J287" i="1"/>
  <c r="B287" i="1"/>
  <c r="BC286" i="1"/>
  <c r="AZ286" i="1"/>
  <c r="AS286" i="1"/>
  <c r="AR286" i="1"/>
  <c r="AQ286" i="1"/>
  <c r="AP286" i="1"/>
  <c r="AL286" i="1"/>
  <c r="Y286" i="1"/>
  <c r="X286" i="1"/>
  <c r="Z286" i="1" s="1"/>
  <c r="W286" i="1"/>
  <c r="Q286" i="1"/>
  <c r="R286" i="1" s="1"/>
  <c r="J286" i="1"/>
  <c r="B286" i="1"/>
  <c r="BC285" i="1"/>
  <c r="AZ285" i="1"/>
  <c r="AX285" i="1"/>
  <c r="AU285" i="1"/>
  <c r="AS285" i="1"/>
  <c r="AR285" i="1"/>
  <c r="AQ285" i="1"/>
  <c r="AP285" i="1"/>
  <c r="AL285" i="1"/>
  <c r="X285" i="1"/>
  <c r="Z285" i="1" s="1"/>
  <c r="W285" i="1"/>
  <c r="T285" i="1"/>
  <c r="Q285" i="1"/>
  <c r="U285" i="1" s="1"/>
  <c r="AT285" i="1" s="1"/>
  <c r="AV285" i="1" s="1"/>
  <c r="AW285" i="1" s="1"/>
  <c r="J285" i="1"/>
  <c r="B285" i="1"/>
  <c r="BC284" i="1"/>
  <c r="AZ284" i="1"/>
  <c r="AU284" i="1"/>
  <c r="AX284" i="1" s="1"/>
  <c r="AS284" i="1"/>
  <c r="AR284" i="1"/>
  <c r="AQ284" i="1"/>
  <c r="AP284" i="1"/>
  <c r="AL284" i="1"/>
  <c r="Z284" i="1"/>
  <c r="Y284" i="1"/>
  <c r="X284" i="1"/>
  <c r="W284" i="1"/>
  <c r="U284" i="1"/>
  <c r="AT284" i="1" s="1"/>
  <c r="AV284" i="1" s="1"/>
  <c r="AW284" i="1" s="1"/>
  <c r="T284" i="1"/>
  <c r="Q284" i="1"/>
  <c r="R284" i="1" s="1"/>
  <c r="J284" i="1"/>
  <c r="S284" i="1" s="1"/>
  <c r="B284" i="1"/>
  <c r="BC283" i="1"/>
  <c r="AZ283" i="1"/>
  <c r="AX283" i="1"/>
  <c r="AS283" i="1"/>
  <c r="AR283" i="1"/>
  <c r="AQ283" i="1"/>
  <c r="AP283" i="1"/>
  <c r="AL283" i="1"/>
  <c r="Z283" i="1"/>
  <c r="X283" i="1"/>
  <c r="Y283" i="1" s="1"/>
  <c r="BK283" i="1" s="1"/>
  <c r="W283" i="1"/>
  <c r="T283" i="1"/>
  <c r="R283" i="1"/>
  <c r="S283" i="1" s="1"/>
  <c r="Q283" i="1"/>
  <c r="J283" i="1"/>
  <c r="AU283" i="1" s="1"/>
  <c r="B283" i="1"/>
  <c r="BC282" i="1"/>
  <c r="AZ282" i="1"/>
  <c r="AS282" i="1"/>
  <c r="AR282" i="1"/>
  <c r="AQ282" i="1"/>
  <c r="AP282" i="1"/>
  <c r="AL282" i="1"/>
  <c r="Y282" i="1"/>
  <c r="X282" i="1"/>
  <c r="Z282" i="1" s="1"/>
  <c r="W282" i="1"/>
  <c r="R282" i="1"/>
  <c r="Q282" i="1"/>
  <c r="J282" i="1"/>
  <c r="B282" i="1"/>
  <c r="BC281" i="1"/>
  <c r="AZ281" i="1"/>
  <c r="AU281" i="1"/>
  <c r="AX281" i="1" s="1"/>
  <c r="AS281" i="1"/>
  <c r="AR281" i="1"/>
  <c r="AQ281" i="1"/>
  <c r="AP281" i="1"/>
  <c r="AL281" i="1"/>
  <c r="Y281" i="1"/>
  <c r="X281" i="1"/>
  <c r="Z281" i="1" s="1"/>
  <c r="W281" i="1"/>
  <c r="T281" i="1"/>
  <c r="U281" i="1" s="1"/>
  <c r="AT281" i="1" s="1"/>
  <c r="AV281" i="1" s="1"/>
  <c r="AW281" i="1" s="1"/>
  <c r="Q281" i="1"/>
  <c r="R281" i="1" s="1"/>
  <c r="S281" i="1" s="1"/>
  <c r="J281" i="1"/>
  <c r="B281" i="1"/>
  <c r="BC280" i="1"/>
  <c r="AZ280" i="1"/>
  <c r="AS280" i="1"/>
  <c r="AR280" i="1"/>
  <c r="AQ280" i="1"/>
  <c r="AP280" i="1"/>
  <c r="AL280" i="1"/>
  <c r="Y280" i="1"/>
  <c r="X280" i="1"/>
  <c r="Z280" i="1" s="1"/>
  <c r="W280" i="1"/>
  <c r="R280" i="1"/>
  <c r="Q280" i="1"/>
  <c r="J280" i="1"/>
  <c r="B280" i="1"/>
  <c r="BC279" i="1"/>
  <c r="AZ279" i="1"/>
  <c r="AX279" i="1"/>
  <c r="AS279" i="1"/>
  <c r="AR279" i="1"/>
  <c r="AQ279" i="1"/>
  <c r="AP279" i="1"/>
  <c r="AL279" i="1"/>
  <c r="Z279" i="1"/>
  <c r="Y279" i="1"/>
  <c r="X279" i="1"/>
  <c r="W279" i="1"/>
  <c r="T279" i="1"/>
  <c r="U279" i="1" s="1"/>
  <c r="AT279" i="1" s="1"/>
  <c r="AV279" i="1" s="1"/>
  <c r="AW279" i="1" s="1"/>
  <c r="R279" i="1"/>
  <c r="S279" i="1" s="1"/>
  <c r="BK279" i="1" s="1"/>
  <c r="Q279" i="1"/>
  <c r="J279" i="1"/>
  <c r="AU279" i="1" s="1"/>
  <c r="B279" i="1"/>
  <c r="BC278" i="1"/>
  <c r="AZ278" i="1"/>
  <c r="AU278" i="1"/>
  <c r="AX278" i="1" s="1"/>
  <c r="AS278" i="1"/>
  <c r="AR278" i="1"/>
  <c r="AQ278" i="1"/>
  <c r="AP278" i="1"/>
  <c r="AL278" i="1"/>
  <c r="X278" i="1"/>
  <c r="W278" i="1"/>
  <c r="U278" i="1"/>
  <c r="AT278" i="1" s="1"/>
  <c r="AV278" i="1" s="1"/>
  <c r="AW278" i="1" s="1"/>
  <c r="T278" i="1"/>
  <c r="R278" i="1"/>
  <c r="S278" i="1" s="1"/>
  <c r="Q278" i="1"/>
  <c r="J278" i="1"/>
  <c r="B278" i="1"/>
  <c r="BC277" i="1"/>
  <c r="AZ277" i="1"/>
  <c r="AU277" i="1"/>
  <c r="AX277" i="1" s="1"/>
  <c r="AS277" i="1"/>
  <c r="AR277" i="1"/>
  <c r="AQ277" i="1"/>
  <c r="AP277" i="1"/>
  <c r="AL277" i="1"/>
  <c r="Z277" i="1"/>
  <c r="Y277" i="1"/>
  <c r="X277" i="1"/>
  <c r="W277" i="1"/>
  <c r="T277" i="1"/>
  <c r="S277" i="1"/>
  <c r="BK277" i="1" s="1"/>
  <c r="Q277" i="1"/>
  <c r="R277" i="1" s="1"/>
  <c r="J277" i="1"/>
  <c r="B277" i="1"/>
  <c r="BC276" i="1"/>
  <c r="AZ276" i="1"/>
  <c r="AS276" i="1"/>
  <c r="AR276" i="1"/>
  <c r="AQ276" i="1"/>
  <c r="AP276" i="1"/>
  <c r="AL276" i="1"/>
  <c r="Y276" i="1"/>
  <c r="X276" i="1"/>
  <c r="Z276" i="1" s="1"/>
  <c r="W276" i="1"/>
  <c r="R276" i="1"/>
  <c r="Q276" i="1"/>
  <c r="J276" i="1"/>
  <c r="B276" i="1"/>
  <c r="BC275" i="1"/>
  <c r="AZ275" i="1"/>
  <c r="AU275" i="1"/>
  <c r="AX275" i="1" s="1"/>
  <c r="AS275" i="1"/>
  <c r="AR275" i="1"/>
  <c r="AQ275" i="1"/>
  <c r="AP275" i="1"/>
  <c r="AL275" i="1"/>
  <c r="Z275" i="1"/>
  <c r="X275" i="1"/>
  <c r="Y275" i="1" s="1"/>
  <c r="W275" i="1"/>
  <c r="T275" i="1"/>
  <c r="U275" i="1" s="1"/>
  <c r="AT275" i="1" s="1"/>
  <c r="AV275" i="1" s="1"/>
  <c r="AW275" i="1" s="1"/>
  <c r="Q275" i="1"/>
  <c r="R275" i="1" s="1"/>
  <c r="J275" i="1"/>
  <c r="B275" i="1"/>
  <c r="BC274" i="1"/>
  <c r="AZ274" i="1"/>
  <c r="AW274" i="1"/>
  <c r="AU274" i="1"/>
  <c r="AX274" i="1" s="1"/>
  <c r="AS274" i="1"/>
  <c r="AR274" i="1"/>
  <c r="AQ274" i="1"/>
  <c r="AP274" i="1"/>
  <c r="AL274" i="1"/>
  <c r="Z274" i="1"/>
  <c r="Y274" i="1"/>
  <c r="X274" i="1"/>
  <c r="W274" i="1"/>
  <c r="T274" i="1"/>
  <c r="U274" i="1" s="1"/>
  <c r="AT274" i="1" s="1"/>
  <c r="AV274" i="1" s="1"/>
  <c r="R274" i="1"/>
  <c r="S274" i="1" s="1"/>
  <c r="BK274" i="1" s="1"/>
  <c r="Q274" i="1"/>
  <c r="J274" i="1"/>
  <c r="B274" i="1"/>
  <c r="BC273" i="1"/>
  <c r="AZ273" i="1"/>
  <c r="AU273" i="1"/>
  <c r="AX273" i="1" s="1"/>
  <c r="AS273" i="1"/>
  <c r="AR273" i="1"/>
  <c r="AQ273" i="1"/>
  <c r="AP273" i="1"/>
  <c r="AL273" i="1"/>
  <c r="X273" i="1"/>
  <c r="Z273" i="1" s="1"/>
  <c r="W273" i="1"/>
  <c r="R273" i="1"/>
  <c r="Q273" i="1"/>
  <c r="J273" i="1"/>
  <c r="B273" i="1"/>
  <c r="BC272" i="1"/>
  <c r="AZ272" i="1"/>
  <c r="AS272" i="1"/>
  <c r="AR272" i="1"/>
  <c r="AQ272" i="1"/>
  <c r="AP272" i="1"/>
  <c r="AL272" i="1"/>
  <c r="Z272" i="1"/>
  <c r="Y272" i="1"/>
  <c r="X272" i="1"/>
  <c r="W272" i="1"/>
  <c r="R272" i="1"/>
  <c r="Q272" i="1"/>
  <c r="J272" i="1"/>
  <c r="B272" i="1"/>
  <c r="BC271" i="1"/>
  <c r="AZ271" i="1"/>
  <c r="AU271" i="1"/>
  <c r="AX271" i="1" s="1"/>
  <c r="AS271" i="1"/>
  <c r="AR271" i="1"/>
  <c r="AQ271" i="1"/>
  <c r="AP271" i="1"/>
  <c r="AL271" i="1"/>
  <c r="Z271" i="1"/>
  <c r="Y271" i="1"/>
  <c r="X271" i="1"/>
  <c r="W271" i="1"/>
  <c r="T271" i="1"/>
  <c r="U271" i="1" s="1"/>
  <c r="AT271" i="1" s="1"/>
  <c r="AV271" i="1" s="1"/>
  <c r="AW271" i="1" s="1"/>
  <c r="Q271" i="1"/>
  <c r="R271" i="1" s="1"/>
  <c r="S271" i="1" s="1"/>
  <c r="BK271" i="1" s="1"/>
  <c r="J271" i="1"/>
  <c r="B271" i="1"/>
  <c r="BC270" i="1"/>
  <c r="AZ270" i="1"/>
  <c r="AX270" i="1"/>
  <c r="AW270" i="1"/>
  <c r="AU270" i="1"/>
  <c r="AS270" i="1"/>
  <c r="AR270" i="1"/>
  <c r="AQ270" i="1"/>
  <c r="AP270" i="1"/>
  <c r="AL270" i="1"/>
  <c r="Z270" i="1"/>
  <c r="Y270" i="1"/>
  <c r="X270" i="1"/>
  <c r="W270" i="1"/>
  <c r="U270" i="1"/>
  <c r="AT270" i="1" s="1"/>
  <c r="AV270" i="1" s="1"/>
  <c r="R270" i="1"/>
  <c r="S270" i="1" s="1"/>
  <c r="Q270" i="1"/>
  <c r="J270" i="1"/>
  <c r="T270" i="1" s="1"/>
  <c r="B270" i="1"/>
  <c r="BC269" i="1"/>
  <c r="AZ269" i="1"/>
  <c r="AS269" i="1"/>
  <c r="AR269" i="1"/>
  <c r="AQ269" i="1"/>
  <c r="AP269" i="1"/>
  <c r="AL269" i="1"/>
  <c r="X269" i="1"/>
  <c r="W269" i="1"/>
  <c r="Q269" i="1"/>
  <c r="R269" i="1" s="1"/>
  <c r="J269" i="1"/>
  <c r="S269" i="1" s="1"/>
  <c r="B269" i="1"/>
  <c r="BC268" i="1"/>
  <c r="AZ268" i="1"/>
  <c r="AX268" i="1"/>
  <c r="AU268" i="1"/>
  <c r="AS268" i="1"/>
  <c r="AR268" i="1"/>
  <c r="AQ268" i="1"/>
  <c r="AP268" i="1"/>
  <c r="AL268" i="1"/>
  <c r="Z268" i="1"/>
  <c r="Y268" i="1"/>
  <c r="X268" i="1"/>
  <c r="W268" i="1"/>
  <c r="T268" i="1"/>
  <c r="U268" i="1" s="1"/>
  <c r="AT268" i="1" s="1"/>
  <c r="AV268" i="1" s="1"/>
  <c r="AW268" i="1" s="1"/>
  <c r="Q268" i="1"/>
  <c r="R268" i="1" s="1"/>
  <c r="S268" i="1" s="1"/>
  <c r="J268" i="1"/>
  <c r="B268" i="1"/>
  <c r="BC267" i="1"/>
  <c r="AZ267" i="1"/>
  <c r="AS267" i="1"/>
  <c r="AR267" i="1"/>
  <c r="AQ267" i="1"/>
  <c r="AP267" i="1"/>
  <c r="AL267" i="1"/>
  <c r="Z267" i="1"/>
  <c r="Y267" i="1"/>
  <c r="X267" i="1"/>
  <c r="W267" i="1"/>
  <c r="T267" i="1"/>
  <c r="U267" i="1" s="1"/>
  <c r="AT267" i="1" s="1"/>
  <c r="AV267" i="1" s="1"/>
  <c r="AW267" i="1" s="1"/>
  <c r="Q267" i="1"/>
  <c r="R267" i="1" s="1"/>
  <c r="J267" i="1"/>
  <c r="B267" i="1"/>
  <c r="BC266" i="1"/>
  <c r="AZ266" i="1"/>
  <c r="AX266" i="1"/>
  <c r="AW266" i="1"/>
  <c r="AU266" i="1"/>
  <c r="AS266" i="1"/>
  <c r="AR266" i="1"/>
  <c r="AQ266" i="1"/>
  <c r="AP266" i="1"/>
  <c r="AL266" i="1"/>
  <c r="Z266" i="1"/>
  <c r="Y266" i="1"/>
  <c r="X266" i="1"/>
  <c r="W266" i="1"/>
  <c r="U266" i="1"/>
  <c r="AT266" i="1" s="1"/>
  <c r="AV266" i="1" s="1"/>
  <c r="T266" i="1"/>
  <c r="S266" i="1"/>
  <c r="R266" i="1"/>
  <c r="Q266" i="1"/>
  <c r="J266" i="1"/>
  <c r="B266" i="1"/>
  <c r="BK265" i="1"/>
  <c r="BC265" i="1"/>
  <c r="AZ265" i="1"/>
  <c r="AX265" i="1"/>
  <c r="AU265" i="1"/>
  <c r="AS265" i="1"/>
  <c r="AR265" i="1"/>
  <c r="AQ265" i="1"/>
  <c r="AP265" i="1"/>
  <c r="AL265" i="1"/>
  <c r="Z265" i="1"/>
  <c r="Y265" i="1"/>
  <c r="X265" i="1"/>
  <c r="W265" i="1"/>
  <c r="S265" i="1"/>
  <c r="R265" i="1"/>
  <c r="Q265" i="1"/>
  <c r="J265" i="1"/>
  <c r="B265" i="1"/>
  <c r="BK264" i="1"/>
  <c r="BC264" i="1"/>
  <c r="AZ264" i="1"/>
  <c r="AS264" i="1"/>
  <c r="AR264" i="1"/>
  <c r="AQ264" i="1"/>
  <c r="AP264" i="1"/>
  <c r="AL264" i="1"/>
  <c r="Z264" i="1"/>
  <c r="X264" i="1"/>
  <c r="Y264" i="1" s="1"/>
  <c r="W264" i="1"/>
  <c r="T264" i="1"/>
  <c r="S264" i="1"/>
  <c r="Q264" i="1"/>
  <c r="R264" i="1" s="1"/>
  <c r="J264" i="1"/>
  <c r="AU264" i="1" s="1"/>
  <c r="AX264" i="1" s="1"/>
  <c r="B264" i="1"/>
  <c r="BC263" i="1"/>
  <c r="AZ263" i="1"/>
  <c r="AS263" i="1"/>
  <c r="AR263" i="1"/>
  <c r="AQ263" i="1"/>
  <c r="AP263" i="1"/>
  <c r="AL263" i="1"/>
  <c r="Y263" i="1"/>
  <c r="X263" i="1"/>
  <c r="Z263" i="1" s="1"/>
  <c r="W263" i="1"/>
  <c r="T263" i="1"/>
  <c r="Q263" i="1"/>
  <c r="R263" i="1" s="1"/>
  <c r="J263" i="1"/>
  <c r="B263" i="1"/>
  <c r="BC262" i="1"/>
  <c r="AZ262" i="1"/>
  <c r="AX262" i="1"/>
  <c r="AS262" i="1"/>
  <c r="AR262" i="1"/>
  <c r="AQ262" i="1"/>
  <c r="AP262" i="1"/>
  <c r="AL262" i="1"/>
  <c r="Z262" i="1"/>
  <c r="Y262" i="1"/>
  <c r="X262" i="1"/>
  <c r="W262" i="1"/>
  <c r="T262" i="1"/>
  <c r="U262" i="1" s="1"/>
  <c r="AT262" i="1" s="1"/>
  <c r="AV262" i="1" s="1"/>
  <c r="AW262" i="1" s="1"/>
  <c r="R262" i="1"/>
  <c r="Q262" i="1"/>
  <c r="J262" i="1"/>
  <c r="AU262" i="1" s="1"/>
  <c r="B262" i="1"/>
  <c r="BC261" i="1"/>
  <c r="AZ261" i="1"/>
  <c r="AX261" i="1"/>
  <c r="AU261" i="1"/>
  <c r="AS261" i="1"/>
  <c r="AR261" i="1"/>
  <c r="AQ261" i="1"/>
  <c r="AP261" i="1"/>
  <c r="AL261" i="1"/>
  <c r="Z261" i="1"/>
  <c r="BK261" i="1" s="1"/>
  <c r="X261" i="1"/>
  <c r="Y261" i="1" s="1"/>
  <c r="W261" i="1"/>
  <c r="T261" i="1"/>
  <c r="U261" i="1" s="1"/>
  <c r="AT261" i="1" s="1"/>
  <c r="AV261" i="1" s="1"/>
  <c r="AW261" i="1" s="1"/>
  <c r="S261" i="1"/>
  <c r="R261" i="1"/>
  <c r="Q261" i="1"/>
  <c r="J261" i="1"/>
  <c r="B261" i="1"/>
  <c r="BC260" i="1"/>
  <c r="AZ260" i="1"/>
  <c r="AU260" i="1"/>
  <c r="AX260" i="1" s="1"/>
  <c r="AS260" i="1"/>
  <c r="AR260" i="1"/>
  <c r="AQ260" i="1"/>
  <c r="AP260" i="1"/>
  <c r="AL260" i="1"/>
  <c r="X260" i="1"/>
  <c r="Z260" i="1" s="1"/>
  <c r="W260" i="1"/>
  <c r="R260" i="1"/>
  <c r="Q260" i="1"/>
  <c r="J260" i="1"/>
  <c r="B260" i="1"/>
  <c r="BC259" i="1"/>
  <c r="AZ259" i="1"/>
  <c r="AU259" i="1"/>
  <c r="AX259" i="1" s="1"/>
  <c r="AS259" i="1"/>
  <c r="AR259" i="1"/>
  <c r="AQ259" i="1"/>
  <c r="AP259" i="1"/>
  <c r="AL259" i="1"/>
  <c r="X259" i="1"/>
  <c r="W259" i="1"/>
  <c r="U259" i="1"/>
  <c r="AT259" i="1" s="1"/>
  <c r="AV259" i="1" s="1"/>
  <c r="AW259" i="1" s="1"/>
  <c r="T259" i="1"/>
  <c r="R259" i="1"/>
  <c r="S259" i="1" s="1"/>
  <c r="Q259" i="1"/>
  <c r="J259" i="1"/>
  <c r="B259" i="1"/>
  <c r="BC258" i="1"/>
  <c r="AZ258" i="1"/>
  <c r="AS258" i="1"/>
  <c r="AR258" i="1"/>
  <c r="AQ258" i="1"/>
  <c r="AP258" i="1"/>
  <c r="AL258" i="1"/>
  <c r="Y258" i="1"/>
  <c r="X258" i="1"/>
  <c r="Z258" i="1" s="1"/>
  <c r="W258" i="1"/>
  <c r="Q258" i="1"/>
  <c r="R258" i="1" s="1"/>
  <c r="J258" i="1"/>
  <c r="B258" i="1"/>
  <c r="BC257" i="1"/>
  <c r="AZ257" i="1"/>
  <c r="AS257" i="1"/>
  <c r="AR257" i="1"/>
  <c r="AQ257" i="1"/>
  <c r="AP257" i="1"/>
  <c r="AL257" i="1"/>
  <c r="X257" i="1"/>
  <c r="W257" i="1"/>
  <c r="T257" i="1"/>
  <c r="R257" i="1"/>
  <c r="S257" i="1" s="1"/>
  <c r="Q257" i="1"/>
  <c r="J257" i="1"/>
  <c r="B257" i="1"/>
  <c r="BC256" i="1"/>
  <c r="AZ256" i="1"/>
  <c r="AV256" i="1"/>
  <c r="AW256" i="1" s="1"/>
  <c r="AU256" i="1"/>
  <c r="AX256" i="1" s="1"/>
  <c r="AS256" i="1"/>
  <c r="AR256" i="1"/>
  <c r="AQ256" i="1"/>
  <c r="AP256" i="1"/>
  <c r="AL256" i="1"/>
  <c r="X256" i="1"/>
  <c r="W256" i="1"/>
  <c r="T256" i="1"/>
  <c r="U256" i="1" s="1"/>
  <c r="AT256" i="1" s="1"/>
  <c r="R256" i="1"/>
  <c r="S256" i="1" s="1"/>
  <c r="Q256" i="1"/>
  <c r="J256" i="1"/>
  <c r="B256" i="1"/>
  <c r="BC255" i="1"/>
  <c r="AZ255" i="1"/>
  <c r="AU255" i="1"/>
  <c r="AX255" i="1" s="1"/>
  <c r="AS255" i="1"/>
  <c r="AR255" i="1"/>
  <c r="AQ255" i="1"/>
  <c r="AP255" i="1"/>
  <c r="AL255" i="1"/>
  <c r="X255" i="1"/>
  <c r="W255" i="1"/>
  <c r="Q255" i="1"/>
  <c r="R255" i="1" s="1"/>
  <c r="J255" i="1"/>
  <c r="B255" i="1"/>
  <c r="BC254" i="1"/>
  <c r="AZ254" i="1"/>
  <c r="AX254" i="1"/>
  <c r="AV254" i="1"/>
  <c r="AW254" i="1" s="1"/>
  <c r="AU254" i="1"/>
  <c r="AS254" i="1"/>
  <c r="AR254" i="1"/>
  <c r="AQ254" i="1"/>
  <c r="AP254" i="1"/>
  <c r="AL254" i="1"/>
  <c r="Z254" i="1"/>
  <c r="X254" i="1"/>
  <c r="Y254" i="1" s="1"/>
  <c r="W254" i="1"/>
  <c r="T254" i="1"/>
  <c r="R254" i="1"/>
  <c r="S254" i="1" s="1"/>
  <c r="Q254" i="1"/>
  <c r="U254" i="1" s="1"/>
  <c r="AT254" i="1" s="1"/>
  <c r="J254" i="1"/>
  <c r="B254" i="1"/>
  <c r="BC253" i="1"/>
  <c r="AZ253" i="1"/>
  <c r="AS253" i="1"/>
  <c r="AR253" i="1"/>
  <c r="AQ253" i="1"/>
  <c r="AP253" i="1"/>
  <c r="AL253" i="1"/>
  <c r="Z253" i="1"/>
  <c r="Y253" i="1"/>
  <c r="X253" i="1"/>
  <c r="W253" i="1"/>
  <c r="T253" i="1"/>
  <c r="U253" i="1" s="1"/>
  <c r="AT253" i="1" s="1"/>
  <c r="AV253" i="1" s="1"/>
  <c r="AW253" i="1" s="1"/>
  <c r="Q253" i="1"/>
  <c r="R253" i="1" s="1"/>
  <c r="J253" i="1"/>
  <c r="AU253" i="1" s="1"/>
  <c r="AX253" i="1" s="1"/>
  <c r="B253" i="1"/>
  <c r="BC252" i="1"/>
  <c r="AZ252" i="1"/>
  <c r="AS252" i="1"/>
  <c r="AR252" i="1"/>
  <c r="AQ252" i="1"/>
  <c r="AP252" i="1"/>
  <c r="AL252" i="1"/>
  <c r="X252" i="1"/>
  <c r="W252" i="1"/>
  <c r="S252" i="1"/>
  <c r="R252" i="1"/>
  <c r="Q252" i="1"/>
  <c r="J252" i="1"/>
  <c r="T252" i="1" s="1"/>
  <c r="B252" i="1"/>
  <c r="BC251" i="1"/>
  <c r="AZ251" i="1"/>
  <c r="AU251" i="1"/>
  <c r="AX251" i="1" s="1"/>
  <c r="AS251" i="1"/>
  <c r="AR251" i="1"/>
  <c r="AQ251" i="1"/>
  <c r="AP251" i="1"/>
  <c r="AL251" i="1"/>
  <c r="Y251" i="1"/>
  <c r="X251" i="1"/>
  <c r="Z251" i="1" s="1"/>
  <c r="W251" i="1"/>
  <c r="U251" i="1"/>
  <c r="AT251" i="1" s="1"/>
  <c r="AV251" i="1" s="1"/>
  <c r="AW251" i="1" s="1"/>
  <c r="T251" i="1"/>
  <c r="R251" i="1"/>
  <c r="S251" i="1" s="1"/>
  <c r="Q251" i="1"/>
  <c r="J251" i="1"/>
  <c r="B251" i="1"/>
  <c r="BC250" i="1"/>
  <c r="AZ250" i="1"/>
  <c r="AU250" i="1"/>
  <c r="AX250" i="1" s="1"/>
  <c r="AS250" i="1"/>
  <c r="AR250" i="1"/>
  <c r="AQ250" i="1"/>
  <c r="AP250" i="1"/>
  <c r="AL250" i="1"/>
  <c r="Z250" i="1"/>
  <c r="Y250" i="1"/>
  <c r="X250" i="1"/>
  <c r="W250" i="1"/>
  <c r="U250" i="1"/>
  <c r="AT250" i="1" s="1"/>
  <c r="AV250" i="1" s="1"/>
  <c r="AW250" i="1" s="1"/>
  <c r="Q250" i="1"/>
  <c r="R250" i="1" s="1"/>
  <c r="S250" i="1" s="1"/>
  <c r="BK250" i="1" s="1"/>
  <c r="J250" i="1"/>
  <c r="T250" i="1" s="1"/>
  <c r="B250" i="1"/>
  <c r="BC249" i="1"/>
  <c r="AZ249" i="1"/>
  <c r="AX249" i="1"/>
  <c r="AU249" i="1"/>
  <c r="AS249" i="1"/>
  <c r="AR249" i="1"/>
  <c r="AQ249" i="1"/>
  <c r="AP249" i="1"/>
  <c r="AL249" i="1"/>
  <c r="X249" i="1"/>
  <c r="W249" i="1"/>
  <c r="R249" i="1"/>
  <c r="S249" i="1" s="1"/>
  <c r="Q249" i="1"/>
  <c r="J249" i="1"/>
  <c r="B249" i="1"/>
  <c r="BC248" i="1"/>
  <c r="AZ248" i="1"/>
  <c r="AU248" i="1"/>
  <c r="AX248" i="1" s="1"/>
  <c r="AS248" i="1"/>
  <c r="AR248" i="1"/>
  <c r="AQ248" i="1"/>
  <c r="AP248" i="1"/>
  <c r="AL248" i="1"/>
  <c r="Z248" i="1"/>
  <c r="Y248" i="1"/>
  <c r="X248" i="1"/>
  <c r="W248" i="1"/>
  <c r="T248" i="1"/>
  <c r="U248" i="1" s="1"/>
  <c r="AT248" i="1" s="1"/>
  <c r="AV248" i="1" s="1"/>
  <c r="AW248" i="1" s="1"/>
  <c r="Q248" i="1"/>
  <c r="R248" i="1" s="1"/>
  <c r="S248" i="1" s="1"/>
  <c r="J248" i="1"/>
  <c r="B248" i="1"/>
  <c r="BC247" i="1"/>
  <c r="AZ247" i="1"/>
  <c r="AV247" i="1"/>
  <c r="AW247" i="1" s="1"/>
  <c r="AS247" i="1"/>
  <c r="AR247" i="1"/>
  <c r="AQ247" i="1"/>
  <c r="AP247" i="1"/>
  <c r="AL247" i="1"/>
  <c r="X247" i="1"/>
  <c r="W247" i="1"/>
  <c r="U247" i="1"/>
  <c r="AT247" i="1" s="1"/>
  <c r="T247" i="1"/>
  <c r="R247" i="1"/>
  <c r="Q247" i="1"/>
  <c r="J247" i="1"/>
  <c r="B247" i="1"/>
  <c r="BC246" i="1"/>
  <c r="AZ246" i="1"/>
  <c r="AX246" i="1"/>
  <c r="AU246" i="1"/>
  <c r="AS246" i="1"/>
  <c r="AR246" i="1"/>
  <c r="AQ246" i="1"/>
  <c r="AP246" i="1"/>
  <c r="AL246" i="1"/>
  <c r="Z246" i="1"/>
  <c r="Y246" i="1"/>
  <c r="X246" i="1"/>
  <c r="W246" i="1"/>
  <c r="T246" i="1"/>
  <c r="Q246" i="1"/>
  <c r="J246" i="1"/>
  <c r="B246" i="1"/>
  <c r="BC245" i="1"/>
  <c r="AZ245" i="1"/>
  <c r="AX245" i="1"/>
  <c r="AU245" i="1"/>
  <c r="AS245" i="1"/>
  <c r="AR245" i="1"/>
  <c r="AQ245" i="1"/>
  <c r="AP245" i="1"/>
  <c r="AL245" i="1"/>
  <c r="Z245" i="1"/>
  <c r="Y245" i="1"/>
  <c r="X245" i="1"/>
  <c r="W245" i="1"/>
  <c r="S245" i="1"/>
  <c r="R245" i="1"/>
  <c r="Q245" i="1"/>
  <c r="U245" i="1" s="1"/>
  <c r="AT245" i="1" s="1"/>
  <c r="AV245" i="1" s="1"/>
  <c r="AW245" i="1" s="1"/>
  <c r="J245" i="1"/>
  <c r="T245" i="1" s="1"/>
  <c r="B245" i="1"/>
  <c r="BC244" i="1"/>
  <c r="AZ244" i="1"/>
  <c r="AS244" i="1"/>
  <c r="AR244" i="1"/>
  <c r="AQ244" i="1"/>
  <c r="AP244" i="1"/>
  <c r="AL244" i="1"/>
  <c r="X244" i="1"/>
  <c r="W244" i="1"/>
  <c r="Q244" i="1"/>
  <c r="R244" i="1" s="1"/>
  <c r="J244" i="1"/>
  <c r="B244" i="1"/>
  <c r="BC243" i="1"/>
  <c r="AZ243" i="1"/>
  <c r="AU243" i="1"/>
  <c r="AX243" i="1" s="1"/>
  <c r="AS243" i="1"/>
  <c r="AR243" i="1"/>
  <c r="AQ243" i="1"/>
  <c r="AP243" i="1"/>
  <c r="AL243" i="1"/>
  <c r="Z243" i="1"/>
  <c r="Y243" i="1"/>
  <c r="X243" i="1"/>
  <c r="W243" i="1"/>
  <c r="T243" i="1"/>
  <c r="U243" i="1" s="1"/>
  <c r="AT243" i="1" s="1"/>
  <c r="AV243" i="1" s="1"/>
  <c r="AW243" i="1" s="1"/>
  <c r="S243" i="1"/>
  <c r="Q243" i="1"/>
  <c r="R243" i="1" s="1"/>
  <c r="J243" i="1"/>
  <c r="B243" i="1"/>
  <c r="BC242" i="1"/>
  <c r="AZ242" i="1"/>
  <c r="AS242" i="1"/>
  <c r="AR242" i="1"/>
  <c r="AQ242" i="1"/>
  <c r="AP242" i="1"/>
  <c r="AL242" i="1"/>
  <c r="Z242" i="1"/>
  <c r="Y242" i="1"/>
  <c r="X242" i="1"/>
  <c r="W242" i="1"/>
  <c r="Q242" i="1"/>
  <c r="R242" i="1" s="1"/>
  <c r="J242" i="1"/>
  <c r="B242" i="1"/>
  <c r="BC241" i="1"/>
  <c r="AZ241" i="1"/>
  <c r="AU241" i="1"/>
  <c r="AX241" i="1" s="1"/>
  <c r="AS241" i="1"/>
  <c r="AR241" i="1"/>
  <c r="AQ241" i="1"/>
  <c r="AP241" i="1"/>
  <c r="AL241" i="1"/>
  <c r="Z241" i="1"/>
  <c r="Y241" i="1"/>
  <c r="X241" i="1"/>
  <c r="W241" i="1"/>
  <c r="T241" i="1"/>
  <c r="U241" i="1" s="1"/>
  <c r="AT241" i="1" s="1"/>
  <c r="AV241" i="1" s="1"/>
  <c r="AW241" i="1" s="1"/>
  <c r="S241" i="1"/>
  <c r="R241" i="1"/>
  <c r="Q241" i="1"/>
  <c r="J241" i="1"/>
  <c r="B241" i="1"/>
  <c r="BC240" i="1"/>
  <c r="AZ240" i="1"/>
  <c r="AW240" i="1"/>
  <c r="AV240" i="1"/>
  <c r="AU240" i="1"/>
  <c r="AX240" i="1" s="1"/>
  <c r="AS240" i="1"/>
  <c r="AR240" i="1"/>
  <c r="AQ240" i="1"/>
  <c r="AP240" i="1"/>
  <c r="AL240" i="1"/>
  <c r="X240" i="1"/>
  <c r="W240" i="1"/>
  <c r="S240" i="1"/>
  <c r="R240" i="1"/>
  <c r="Q240" i="1"/>
  <c r="U240" i="1" s="1"/>
  <c r="AT240" i="1" s="1"/>
  <c r="J240" i="1"/>
  <c r="T240" i="1" s="1"/>
  <c r="B240" i="1"/>
  <c r="BK239" i="1"/>
  <c r="BC239" i="1"/>
  <c r="AZ239" i="1"/>
  <c r="AU239" i="1"/>
  <c r="AX239" i="1" s="1"/>
  <c r="AT239" i="1"/>
  <c r="AV239" i="1" s="1"/>
  <c r="AW239" i="1" s="1"/>
  <c r="AS239" i="1"/>
  <c r="AR239" i="1"/>
  <c r="AQ239" i="1"/>
  <c r="AP239" i="1"/>
  <c r="AL239" i="1"/>
  <c r="Z239" i="1"/>
  <c r="X239" i="1"/>
  <c r="Y239" i="1" s="1"/>
  <c r="W239" i="1"/>
  <c r="T239" i="1"/>
  <c r="U239" i="1" s="1"/>
  <c r="S239" i="1"/>
  <c r="Q239" i="1"/>
  <c r="R239" i="1" s="1"/>
  <c r="J239" i="1"/>
  <c r="B239" i="1"/>
  <c r="BC238" i="1"/>
  <c r="AZ238" i="1"/>
  <c r="AU238" i="1"/>
  <c r="AX238" i="1" s="1"/>
  <c r="AS238" i="1"/>
  <c r="AR238" i="1"/>
  <c r="AQ238" i="1"/>
  <c r="AP238" i="1"/>
  <c r="AL238" i="1"/>
  <c r="Y238" i="1"/>
  <c r="X238" i="1"/>
  <c r="Z238" i="1" s="1"/>
  <c r="W238" i="1"/>
  <c r="T238" i="1"/>
  <c r="Q238" i="1"/>
  <c r="R238" i="1" s="1"/>
  <c r="S238" i="1" s="1"/>
  <c r="BK238" i="1" s="1"/>
  <c r="J238" i="1"/>
  <c r="B238" i="1"/>
  <c r="BC237" i="1"/>
  <c r="AZ237" i="1"/>
  <c r="AX237" i="1"/>
  <c r="AS237" i="1"/>
  <c r="AR237" i="1"/>
  <c r="AQ237" i="1"/>
  <c r="AP237" i="1"/>
  <c r="AL237" i="1"/>
  <c r="Z237" i="1"/>
  <c r="Y237" i="1"/>
  <c r="X237" i="1"/>
  <c r="W237" i="1"/>
  <c r="T237" i="1"/>
  <c r="S237" i="1"/>
  <c r="R237" i="1"/>
  <c r="Q237" i="1"/>
  <c r="J237" i="1"/>
  <c r="AU237" i="1" s="1"/>
  <c r="B237" i="1"/>
  <c r="BC236" i="1"/>
  <c r="AZ236" i="1"/>
  <c r="AU236" i="1"/>
  <c r="AX236" i="1" s="1"/>
  <c r="AS236" i="1"/>
  <c r="AR236" i="1"/>
  <c r="AQ236" i="1"/>
  <c r="AP236" i="1"/>
  <c r="AL236" i="1"/>
  <c r="X236" i="1"/>
  <c r="W236" i="1"/>
  <c r="T236" i="1"/>
  <c r="U236" i="1" s="1"/>
  <c r="AT236" i="1" s="1"/>
  <c r="AV236" i="1" s="1"/>
  <c r="AW236" i="1" s="1"/>
  <c r="S236" i="1"/>
  <c r="R236" i="1"/>
  <c r="Q236" i="1"/>
  <c r="J236" i="1"/>
  <c r="B236" i="1"/>
  <c r="BC235" i="1"/>
  <c r="AZ235" i="1"/>
  <c r="AU235" i="1"/>
  <c r="AX235" i="1" s="1"/>
  <c r="AS235" i="1"/>
  <c r="AR235" i="1"/>
  <c r="AQ235" i="1"/>
  <c r="AP235" i="1"/>
  <c r="AL235" i="1"/>
  <c r="X235" i="1"/>
  <c r="W235" i="1"/>
  <c r="S235" i="1"/>
  <c r="R235" i="1"/>
  <c r="Q235" i="1"/>
  <c r="J235" i="1"/>
  <c r="B235" i="1"/>
  <c r="BC234" i="1"/>
  <c r="AZ234" i="1"/>
  <c r="AU234" i="1"/>
  <c r="AX234" i="1" s="1"/>
  <c r="AS234" i="1"/>
  <c r="AR234" i="1"/>
  <c r="AQ234" i="1"/>
  <c r="AP234" i="1"/>
  <c r="AL234" i="1"/>
  <c r="Z234" i="1"/>
  <c r="X234" i="1"/>
  <c r="Y234" i="1" s="1"/>
  <c r="W234" i="1"/>
  <c r="U234" i="1"/>
  <c r="AT234" i="1" s="1"/>
  <c r="AV234" i="1" s="1"/>
  <c r="AW234" i="1" s="1"/>
  <c r="T234" i="1"/>
  <c r="S234" i="1"/>
  <c r="BK234" i="1" s="1"/>
  <c r="R234" i="1"/>
  <c r="Q234" i="1"/>
  <c r="J234" i="1"/>
  <c r="B234" i="1"/>
  <c r="BC233" i="1"/>
  <c r="AZ233" i="1"/>
  <c r="AU233" i="1"/>
  <c r="AX233" i="1" s="1"/>
  <c r="AS233" i="1"/>
  <c r="AR233" i="1"/>
  <c r="AQ233" i="1"/>
  <c r="AP233" i="1"/>
  <c r="AL233" i="1"/>
  <c r="Y233" i="1"/>
  <c r="X233" i="1"/>
  <c r="Z233" i="1" s="1"/>
  <c r="W233" i="1"/>
  <c r="U233" i="1"/>
  <c r="AT233" i="1" s="1"/>
  <c r="AV233" i="1" s="1"/>
  <c r="AW233" i="1" s="1"/>
  <c r="T233" i="1"/>
  <c r="Q233" i="1"/>
  <c r="R233" i="1" s="1"/>
  <c r="J233" i="1"/>
  <c r="B233" i="1"/>
  <c r="BC232" i="1"/>
  <c r="AZ232" i="1"/>
  <c r="AS232" i="1"/>
  <c r="AR232" i="1"/>
  <c r="AQ232" i="1"/>
  <c r="AP232" i="1"/>
  <c r="AL232" i="1"/>
  <c r="Z232" i="1"/>
  <c r="Y232" i="1"/>
  <c r="X232" i="1"/>
  <c r="W232" i="1"/>
  <c r="T232" i="1"/>
  <c r="S232" i="1"/>
  <c r="R232" i="1"/>
  <c r="Q232" i="1"/>
  <c r="J232" i="1"/>
  <c r="B232" i="1"/>
  <c r="BK231" i="1"/>
  <c r="BC231" i="1"/>
  <c r="AZ231" i="1"/>
  <c r="AU231" i="1"/>
  <c r="AX231" i="1" s="1"/>
  <c r="AS231" i="1"/>
  <c r="AR231" i="1"/>
  <c r="AQ231" i="1"/>
  <c r="AP231" i="1"/>
  <c r="AL231" i="1"/>
  <c r="Y231" i="1"/>
  <c r="X231" i="1"/>
  <c r="Z231" i="1" s="1"/>
  <c r="W231" i="1"/>
  <c r="T231" i="1"/>
  <c r="R231" i="1"/>
  <c r="S231" i="1" s="1"/>
  <c r="Q231" i="1"/>
  <c r="J231" i="1"/>
  <c r="B231" i="1"/>
  <c r="BC230" i="1"/>
  <c r="AZ230" i="1"/>
  <c r="AS230" i="1"/>
  <c r="AR230" i="1"/>
  <c r="AQ230" i="1"/>
  <c r="AP230" i="1"/>
  <c r="AL230" i="1"/>
  <c r="Y230" i="1"/>
  <c r="X230" i="1"/>
  <c r="Z230" i="1" s="1"/>
  <c r="W230" i="1"/>
  <c r="R230" i="1"/>
  <c r="Q230" i="1"/>
  <c r="J230" i="1"/>
  <c r="B230" i="1"/>
  <c r="BC229" i="1"/>
  <c r="AZ229" i="1"/>
  <c r="AX229" i="1"/>
  <c r="AU229" i="1"/>
  <c r="AS229" i="1"/>
  <c r="AR229" i="1"/>
  <c r="AQ229" i="1"/>
  <c r="AP229" i="1"/>
  <c r="AL229" i="1"/>
  <c r="Z229" i="1"/>
  <c r="Y229" i="1"/>
  <c r="X229" i="1"/>
  <c r="W229" i="1"/>
  <c r="Q229" i="1"/>
  <c r="R229" i="1" s="1"/>
  <c r="J229" i="1"/>
  <c r="B229" i="1"/>
  <c r="BC228" i="1"/>
  <c r="AZ228" i="1"/>
  <c r="AX228" i="1"/>
  <c r="AS228" i="1"/>
  <c r="AR228" i="1"/>
  <c r="AQ228" i="1"/>
  <c r="AP228" i="1"/>
  <c r="AL228" i="1"/>
  <c r="Z228" i="1"/>
  <c r="Y228" i="1"/>
  <c r="X228" i="1"/>
  <c r="W228" i="1"/>
  <c r="T228" i="1"/>
  <c r="R228" i="1"/>
  <c r="Q228" i="1"/>
  <c r="J228" i="1"/>
  <c r="AU228" i="1" s="1"/>
  <c r="B228" i="1"/>
  <c r="BC227" i="1"/>
  <c r="AZ227" i="1"/>
  <c r="AS227" i="1"/>
  <c r="AR227" i="1"/>
  <c r="AQ227" i="1"/>
  <c r="AP227" i="1"/>
  <c r="AL227" i="1"/>
  <c r="X227" i="1"/>
  <c r="W227" i="1"/>
  <c r="R227" i="1"/>
  <c r="Q227" i="1"/>
  <c r="J227" i="1"/>
  <c r="B227" i="1"/>
  <c r="BC226" i="1"/>
  <c r="AZ226" i="1"/>
  <c r="AS226" i="1"/>
  <c r="AR226" i="1"/>
  <c r="AQ226" i="1"/>
  <c r="AP226" i="1"/>
  <c r="AL226" i="1"/>
  <c r="X226" i="1"/>
  <c r="W226" i="1"/>
  <c r="R226" i="1"/>
  <c r="Q226" i="1"/>
  <c r="J226" i="1"/>
  <c r="B226" i="1"/>
  <c r="BC225" i="1"/>
  <c r="AZ225" i="1"/>
  <c r="AS225" i="1"/>
  <c r="AR225" i="1"/>
  <c r="AQ225" i="1"/>
  <c r="AP225" i="1"/>
  <c r="AL225" i="1"/>
  <c r="Y225" i="1"/>
  <c r="X225" i="1"/>
  <c r="Z225" i="1" s="1"/>
  <c r="W225" i="1"/>
  <c r="T225" i="1"/>
  <c r="Q225" i="1"/>
  <c r="R225" i="1" s="1"/>
  <c r="J225" i="1"/>
  <c r="AU225" i="1" s="1"/>
  <c r="AX225" i="1" s="1"/>
  <c r="B225" i="1"/>
  <c r="BC224" i="1"/>
  <c r="AZ224" i="1"/>
  <c r="AS224" i="1"/>
  <c r="AR224" i="1"/>
  <c r="AQ224" i="1"/>
  <c r="AP224" i="1"/>
  <c r="AL224" i="1"/>
  <c r="Z224" i="1"/>
  <c r="Y224" i="1"/>
  <c r="X224" i="1"/>
  <c r="W224" i="1"/>
  <c r="R224" i="1"/>
  <c r="Q224" i="1"/>
  <c r="J224" i="1"/>
  <c r="S224" i="1" s="1"/>
  <c r="BK224" i="1" s="1"/>
  <c r="B224" i="1"/>
  <c r="BC223" i="1"/>
  <c r="AZ223" i="1"/>
  <c r="AU223" i="1"/>
  <c r="AX223" i="1" s="1"/>
  <c r="AS223" i="1"/>
  <c r="AR223" i="1"/>
  <c r="AQ223" i="1"/>
  <c r="AP223" i="1"/>
  <c r="AL223" i="1"/>
  <c r="Z223" i="1"/>
  <c r="Y223" i="1"/>
  <c r="X223" i="1"/>
  <c r="W223" i="1"/>
  <c r="R223" i="1"/>
  <c r="S223" i="1" s="1"/>
  <c r="Q223" i="1"/>
  <c r="J223" i="1"/>
  <c r="B223" i="1"/>
  <c r="BC222" i="1"/>
  <c r="AZ222" i="1"/>
  <c r="AU222" i="1"/>
  <c r="AX222" i="1" s="1"/>
  <c r="AS222" i="1"/>
  <c r="AR222" i="1"/>
  <c r="AQ222" i="1"/>
  <c r="AP222" i="1"/>
  <c r="AL222" i="1"/>
  <c r="Z222" i="1"/>
  <c r="Y222" i="1"/>
  <c r="X222" i="1"/>
  <c r="W222" i="1"/>
  <c r="T222" i="1"/>
  <c r="R222" i="1"/>
  <c r="Q222" i="1"/>
  <c r="J222" i="1"/>
  <c r="B222" i="1"/>
  <c r="BC221" i="1"/>
  <c r="AZ221" i="1"/>
  <c r="AS221" i="1"/>
  <c r="AR221" i="1"/>
  <c r="AQ221" i="1"/>
  <c r="AP221" i="1"/>
  <c r="AL221" i="1"/>
  <c r="Y221" i="1"/>
  <c r="X221" i="1"/>
  <c r="Z221" i="1" s="1"/>
  <c r="W221" i="1"/>
  <c r="T221" i="1"/>
  <c r="R221" i="1"/>
  <c r="Q221" i="1"/>
  <c r="J221" i="1"/>
  <c r="B221" i="1"/>
  <c r="BC220" i="1"/>
  <c r="AZ220" i="1"/>
  <c r="AS220" i="1"/>
  <c r="AR220" i="1"/>
  <c r="AQ220" i="1"/>
  <c r="AP220" i="1"/>
  <c r="AL220" i="1"/>
  <c r="X220" i="1"/>
  <c r="W220" i="1"/>
  <c r="Q220" i="1"/>
  <c r="R220" i="1" s="1"/>
  <c r="J220" i="1"/>
  <c r="B220" i="1"/>
  <c r="BC219" i="1"/>
  <c r="AZ219" i="1"/>
  <c r="AX219" i="1"/>
  <c r="AS219" i="1"/>
  <c r="AR219" i="1"/>
  <c r="AQ219" i="1"/>
  <c r="AP219" i="1"/>
  <c r="AL219" i="1"/>
  <c r="Z219" i="1"/>
  <c r="Y219" i="1"/>
  <c r="X219" i="1"/>
  <c r="W219" i="1"/>
  <c r="T219" i="1"/>
  <c r="Q219" i="1"/>
  <c r="R219" i="1" s="1"/>
  <c r="J219" i="1"/>
  <c r="AU219" i="1" s="1"/>
  <c r="B219" i="1"/>
  <c r="BC218" i="1"/>
  <c r="AZ218" i="1"/>
  <c r="AU218" i="1"/>
  <c r="AX218" i="1" s="1"/>
  <c r="AS218" i="1"/>
  <c r="AR218" i="1"/>
  <c r="AQ218" i="1"/>
  <c r="AP218" i="1"/>
  <c r="AL218" i="1"/>
  <c r="Z218" i="1"/>
  <c r="BK218" i="1" s="1"/>
  <c r="Y218" i="1"/>
  <c r="X218" i="1"/>
  <c r="W218" i="1"/>
  <c r="R218" i="1"/>
  <c r="Q218" i="1"/>
  <c r="J218" i="1"/>
  <c r="S218" i="1" s="1"/>
  <c r="B218" i="1"/>
  <c r="BC217" i="1"/>
  <c r="AZ217" i="1"/>
  <c r="AS217" i="1"/>
  <c r="AR217" i="1"/>
  <c r="AQ217" i="1"/>
  <c r="AP217" i="1"/>
  <c r="AL217" i="1"/>
  <c r="X217" i="1"/>
  <c r="Z217" i="1" s="1"/>
  <c r="W217" i="1"/>
  <c r="R217" i="1"/>
  <c r="S217" i="1" s="1"/>
  <c r="Q217" i="1"/>
  <c r="J217" i="1"/>
  <c r="B217" i="1"/>
  <c r="BC216" i="1"/>
  <c r="AZ216" i="1"/>
  <c r="AU216" i="1"/>
  <c r="AX216" i="1" s="1"/>
  <c r="AS216" i="1"/>
  <c r="AR216" i="1"/>
  <c r="AQ216" i="1"/>
  <c r="AP216" i="1"/>
  <c r="AL216" i="1"/>
  <c r="Y216" i="1"/>
  <c r="X216" i="1"/>
  <c r="Z216" i="1" s="1"/>
  <c r="W216" i="1"/>
  <c r="Q216" i="1"/>
  <c r="R216" i="1" s="1"/>
  <c r="S216" i="1" s="1"/>
  <c r="BK216" i="1" s="1"/>
  <c r="J216" i="1"/>
  <c r="B216" i="1"/>
  <c r="BC215" i="1"/>
  <c r="AZ215" i="1"/>
  <c r="AU215" i="1"/>
  <c r="AX215" i="1" s="1"/>
  <c r="AS215" i="1"/>
  <c r="AR215" i="1"/>
  <c r="AQ215" i="1"/>
  <c r="AP215" i="1"/>
  <c r="AL215" i="1"/>
  <c r="Y215" i="1"/>
  <c r="X215" i="1"/>
  <c r="Z215" i="1" s="1"/>
  <c r="W215" i="1"/>
  <c r="T215" i="1"/>
  <c r="U215" i="1" s="1"/>
  <c r="AT215" i="1" s="1"/>
  <c r="AV215" i="1" s="1"/>
  <c r="AW215" i="1" s="1"/>
  <c r="Q215" i="1"/>
  <c r="R215" i="1" s="1"/>
  <c r="J215" i="1"/>
  <c r="B215" i="1"/>
  <c r="BC214" i="1"/>
  <c r="AZ214" i="1"/>
  <c r="AS214" i="1"/>
  <c r="AR214" i="1"/>
  <c r="AQ214" i="1"/>
  <c r="AP214" i="1"/>
  <c r="AL214" i="1"/>
  <c r="Z214" i="1"/>
  <c r="Y214" i="1"/>
  <c r="X214" i="1"/>
  <c r="W214" i="1"/>
  <c r="Q214" i="1"/>
  <c r="R214" i="1" s="1"/>
  <c r="J214" i="1"/>
  <c r="B214" i="1"/>
  <c r="BC213" i="1"/>
  <c r="AZ213" i="1"/>
  <c r="AX213" i="1"/>
  <c r="AU213" i="1"/>
  <c r="AS213" i="1"/>
  <c r="AR213" i="1"/>
  <c r="AQ213" i="1"/>
  <c r="AP213" i="1"/>
  <c r="AL213" i="1"/>
  <c r="Z213" i="1"/>
  <c r="Y213" i="1"/>
  <c r="X213" i="1"/>
  <c r="W213" i="1"/>
  <c r="T213" i="1"/>
  <c r="R213" i="1"/>
  <c r="S213" i="1" s="1"/>
  <c r="BK213" i="1" s="1"/>
  <c r="Q213" i="1"/>
  <c r="J213" i="1"/>
  <c r="B213" i="1"/>
  <c r="BC212" i="1"/>
  <c r="AZ212" i="1"/>
  <c r="AU212" i="1"/>
  <c r="AX212" i="1" s="1"/>
  <c r="AS212" i="1"/>
  <c r="AR212" i="1"/>
  <c r="AQ212" i="1"/>
  <c r="AP212" i="1"/>
  <c r="AL212" i="1"/>
  <c r="X212" i="1"/>
  <c r="W212" i="1"/>
  <c r="T212" i="1"/>
  <c r="S212" i="1"/>
  <c r="R212" i="1"/>
  <c r="Q212" i="1"/>
  <c r="J212" i="1"/>
  <c r="B212" i="1"/>
  <c r="BC211" i="1"/>
  <c r="AZ211" i="1"/>
  <c r="AS211" i="1"/>
  <c r="AR211" i="1"/>
  <c r="AQ211" i="1"/>
  <c r="AP211" i="1"/>
  <c r="AL211" i="1"/>
  <c r="X211" i="1"/>
  <c r="W211" i="1"/>
  <c r="Q211" i="1"/>
  <c r="R211" i="1" s="1"/>
  <c r="J211" i="1"/>
  <c r="B211" i="1"/>
  <c r="BC210" i="1"/>
  <c r="AZ210" i="1"/>
  <c r="AS210" i="1"/>
  <c r="AR210" i="1"/>
  <c r="AQ210" i="1"/>
  <c r="AP210" i="1"/>
  <c r="AL210" i="1"/>
  <c r="Y210" i="1"/>
  <c r="X210" i="1"/>
  <c r="Z210" i="1" s="1"/>
  <c r="W210" i="1"/>
  <c r="Q210" i="1"/>
  <c r="R210" i="1" s="1"/>
  <c r="J210" i="1"/>
  <c r="B210" i="1"/>
  <c r="BC209" i="1"/>
  <c r="AZ209" i="1"/>
  <c r="AX209" i="1"/>
  <c r="AU209" i="1"/>
  <c r="AS209" i="1"/>
  <c r="AR209" i="1"/>
  <c r="AQ209" i="1"/>
  <c r="AP209" i="1"/>
  <c r="AL209" i="1"/>
  <c r="Z209" i="1"/>
  <c r="Y209" i="1"/>
  <c r="X209" i="1"/>
  <c r="W209" i="1"/>
  <c r="U209" i="1"/>
  <c r="AT209" i="1" s="1"/>
  <c r="AV209" i="1" s="1"/>
  <c r="AW209" i="1" s="1"/>
  <c r="T209" i="1"/>
  <c r="Q209" i="1"/>
  <c r="R209" i="1" s="1"/>
  <c r="J209" i="1"/>
  <c r="B209" i="1"/>
  <c r="BC208" i="1"/>
  <c r="AZ208" i="1"/>
  <c r="AS208" i="1"/>
  <c r="AR208" i="1"/>
  <c r="AQ208" i="1"/>
  <c r="AP208" i="1"/>
  <c r="AL208" i="1"/>
  <c r="Z208" i="1"/>
  <c r="Y208" i="1"/>
  <c r="X208" i="1"/>
  <c r="W208" i="1"/>
  <c r="R208" i="1"/>
  <c r="Q208" i="1"/>
  <c r="J208" i="1"/>
  <c r="B208" i="1"/>
  <c r="BC207" i="1"/>
  <c r="AZ207" i="1"/>
  <c r="AX207" i="1"/>
  <c r="AU207" i="1"/>
  <c r="AS207" i="1"/>
  <c r="AR207" i="1"/>
  <c r="AQ207" i="1"/>
  <c r="AP207" i="1"/>
  <c r="AL207" i="1"/>
  <c r="Z207" i="1"/>
  <c r="X207" i="1"/>
  <c r="Y207" i="1" s="1"/>
  <c r="W207" i="1"/>
  <c r="T207" i="1"/>
  <c r="R207" i="1"/>
  <c r="S207" i="1" s="1"/>
  <c r="Q207" i="1"/>
  <c r="J207" i="1"/>
  <c r="B207" i="1"/>
  <c r="BC206" i="1"/>
  <c r="AZ206" i="1"/>
  <c r="AU206" i="1"/>
  <c r="AX206" i="1" s="1"/>
  <c r="AS206" i="1"/>
  <c r="AR206" i="1"/>
  <c r="AQ206" i="1"/>
  <c r="AP206" i="1"/>
  <c r="AL206" i="1"/>
  <c r="Y206" i="1"/>
  <c r="BK206" i="1" s="1"/>
  <c r="X206" i="1"/>
  <c r="Z206" i="1" s="1"/>
  <c r="W206" i="1"/>
  <c r="T206" i="1"/>
  <c r="Q206" i="1"/>
  <c r="R206" i="1" s="1"/>
  <c r="S206" i="1" s="1"/>
  <c r="J206" i="1"/>
  <c r="B206" i="1"/>
  <c r="BC205" i="1"/>
  <c r="AZ205" i="1"/>
  <c r="AU205" i="1"/>
  <c r="AX205" i="1" s="1"/>
  <c r="AS205" i="1"/>
  <c r="AR205" i="1"/>
  <c r="AQ205" i="1"/>
  <c r="AP205" i="1"/>
  <c r="AL205" i="1"/>
  <c r="Y205" i="1"/>
  <c r="BK205" i="1" s="1"/>
  <c r="X205" i="1"/>
  <c r="Z205" i="1" s="1"/>
  <c r="W205" i="1"/>
  <c r="R205" i="1"/>
  <c r="Q205" i="1"/>
  <c r="J205" i="1"/>
  <c r="S205" i="1" s="1"/>
  <c r="B205" i="1"/>
  <c r="BC204" i="1"/>
  <c r="AZ204" i="1"/>
  <c r="AS204" i="1"/>
  <c r="AR204" i="1"/>
  <c r="AQ204" i="1"/>
  <c r="AP204" i="1"/>
  <c r="AL204" i="1"/>
  <c r="Z204" i="1"/>
  <c r="Y204" i="1"/>
  <c r="X204" i="1"/>
  <c r="W204" i="1"/>
  <c r="Q204" i="1"/>
  <c r="R204" i="1" s="1"/>
  <c r="J204" i="1"/>
  <c r="B204" i="1"/>
  <c r="BC203" i="1"/>
  <c r="AZ203" i="1"/>
  <c r="AX203" i="1"/>
  <c r="AS203" i="1"/>
  <c r="AR203" i="1"/>
  <c r="AQ203" i="1"/>
  <c r="AP203" i="1"/>
  <c r="AL203" i="1"/>
  <c r="Z203" i="1"/>
  <c r="Y203" i="1"/>
  <c r="X203" i="1"/>
  <c r="W203" i="1"/>
  <c r="R203" i="1"/>
  <c r="Q203" i="1"/>
  <c r="J203" i="1"/>
  <c r="AU203" i="1" s="1"/>
  <c r="B203" i="1"/>
  <c r="BC202" i="1"/>
  <c r="AZ202" i="1"/>
  <c r="AS202" i="1"/>
  <c r="AR202" i="1"/>
  <c r="AQ202" i="1"/>
  <c r="AP202" i="1"/>
  <c r="AL202" i="1"/>
  <c r="Y202" i="1"/>
  <c r="X202" i="1"/>
  <c r="Z202" i="1" s="1"/>
  <c r="W202" i="1"/>
  <c r="R202" i="1"/>
  <c r="Q202" i="1"/>
  <c r="J202" i="1"/>
  <c r="B202" i="1"/>
  <c r="BC201" i="1"/>
  <c r="AZ201" i="1"/>
  <c r="AS201" i="1"/>
  <c r="AR201" i="1"/>
  <c r="AQ201" i="1"/>
  <c r="AP201" i="1"/>
  <c r="AL201" i="1"/>
  <c r="Y201" i="1"/>
  <c r="X201" i="1"/>
  <c r="Z201" i="1" s="1"/>
  <c r="W201" i="1"/>
  <c r="T201" i="1"/>
  <c r="Q201" i="1"/>
  <c r="R201" i="1" s="1"/>
  <c r="J201" i="1"/>
  <c r="B201" i="1"/>
  <c r="BC200" i="1"/>
  <c r="AZ200" i="1"/>
  <c r="AS200" i="1"/>
  <c r="AR200" i="1"/>
  <c r="AQ200" i="1"/>
  <c r="AP200" i="1"/>
  <c r="AL200" i="1"/>
  <c r="Y200" i="1"/>
  <c r="X200" i="1"/>
  <c r="Z200" i="1" s="1"/>
  <c r="W200" i="1"/>
  <c r="T200" i="1"/>
  <c r="Q200" i="1"/>
  <c r="R200" i="1" s="1"/>
  <c r="J200" i="1"/>
  <c r="B200" i="1"/>
  <c r="BC199" i="1"/>
  <c r="AZ199" i="1"/>
  <c r="AU199" i="1"/>
  <c r="AX199" i="1" s="1"/>
  <c r="AS199" i="1"/>
  <c r="AR199" i="1"/>
  <c r="AQ199" i="1"/>
  <c r="AP199" i="1"/>
  <c r="AL199" i="1"/>
  <c r="Z199" i="1"/>
  <c r="Y199" i="1"/>
  <c r="X199" i="1"/>
  <c r="W199" i="1"/>
  <c r="T199" i="1"/>
  <c r="U199" i="1" s="1"/>
  <c r="AT199" i="1" s="1"/>
  <c r="AV199" i="1" s="1"/>
  <c r="AW199" i="1" s="1"/>
  <c r="R199" i="1"/>
  <c r="Q199" i="1"/>
  <c r="J199" i="1"/>
  <c r="B199" i="1"/>
  <c r="BC198" i="1"/>
  <c r="AZ198" i="1"/>
  <c r="AX198" i="1"/>
  <c r="AU198" i="1"/>
  <c r="AS198" i="1"/>
  <c r="AR198" i="1"/>
  <c r="AQ198" i="1"/>
  <c r="AP198" i="1"/>
  <c r="AL198" i="1"/>
  <c r="Z198" i="1"/>
  <c r="Y198" i="1"/>
  <c r="X198" i="1"/>
  <c r="W198" i="1"/>
  <c r="U198" i="1"/>
  <c r="AT198" i="1" s="1"/>
  <c r="AV198" i="1" s="1"/>
  <c r="AW198" i="1" s="1"/>
  <c r="R198" i="1"/>
  <c r="Q198" i="1"/>
  <c r="J198" i="1"/>
  <c r="T198" i="1" s="1"/>
  <c r="B198" i="1"/>
  <c r="BC197" i="1"/>
  <c r="AZ197" i="1"/>
  <c r="AS197" i="1"/>
  <c r="AR197" i="1"/>
  <c r="AQ197" i="1"/>
  <c r="AP197" i="1"/>
  <c r="AL197" i="1"/>
  <c r="Z197" i="1"/>
  <c r="Y197" i="1"/>
  <c r="X197" i="1"/>
  <c r="W197" i="1"/>
  <c r="R197" i="1"/>
  <c r="Q197" i="1"/>
  <c r="J197" i="1"/>
  <c r="B197" i="1"/>
  <c r="BC196" i="1"/>
  <c r="AZ196" i="1"/>
  <c r="AS196" i="1"/>
  <c r="AR196" i="1"/>
  <c r="AQ196" i="1"/>
  <c r="AP196" i="1"/>
  <c r="AL196" i="1"/>
  <c r="Y196" i="1"/>
  <c r="X196" i="1"/>
  <c r="Z196" i="1" s="1"/>
  <c r="W196" i="1"/>
  <c r="R196" i="1"/>
  <c r="Q196" i="1"/>
  <c r="J196" i="1"/>
  <c r="B196" i="1"/>
  <c r="BC195" i="1"/>
  <c r="AZ195" i="1"/>
  <c r="AS195" i="1"/>
  <c r="AR195" i="1"/>
  <c r="AQ195" i="1"/>
  <c r="AP195" i="1"/>
  <c r="AL195" i="1"/>
  <c r="X195" i="1"/>
  <c r="W195" i="1"/>
  <c r="Q195" i="1"/>
  <c r="R195" i="1" s="1"/>
  <c r="J195" i="1"/>
  <c r="B195" i="1"/>
  <c r="BC194" i="1"/>
  <c r="AZ194" i="1"/>
  <c r="AS194" i="1"/>
  <c r="AR194" i="1"/>
  <c r="AQ194" i="1"/>
  <c r="AP194" i="1"/>
  <c r="AL194" i="1"/>
  <c r="Z194" i="1"/>
  <c r="Y194" i="1"/>
  <c r="X194" i="1"/>
  <c r="W194" i="1"/>
  <c r="Q194" i="1"/>
  <c r="R194" i="1" s="1"/>
  <c r="J194" i="1"/>
  <c r="B194" i="1"/>
  <c r="BC193" i="1"/>
  <c r="AZ193" i="1"/>
  <c r="AS193" i="1"/>
  <c r="AR193" i="1"/>
  <c r="AQ193" i="1"/>
  <c r="AP193" i="1"/>
  <c r="AL193" i="1"/>
  <c r="Z193" i="1"/>
  <c r="Y193" i="1"/>
  <c r="X193" i="1"/>
  <c r="W193" i="1"/>
  <c r="J193" i="1"/>
  <c r="B193" i="1"/>
  <c r="BC192" i="1"/>
  <c r="AZ192" i="1"/>
  <c r="AS192" i="1"/>
  <c r="AR192" i="1"/>
  <c r="AQ192" i="1"/>
  <c r="AP192" i="1"/>
  <c r="AL192" i="1"/>
  <c r="Y192" i="1"/>
  <c r="X192" i="1"/>
  <c r="Z192" i="1" s="1"/>
  <c r="W192" i="1"/>
  <c r="Q192" i="1"/>
  <c r="R192" i="1" s="1"/>
  <c r="J192" i="1"/>
  <c r="B192" i="1"/>
  <c r="BC191" i="1"/>
  <c r="AZ191" i="1"/>
  <c r="AS191" i="1"/>
  <c r="AR191" i="1"/>
  <c r="AQ191" i="1"/>
  <c r="AP191" i="1"/>
  <c r="AL191" i="1"/>
  <c r="Z191" i="1"/>
  <c r="Y191" i="1"/>
  <c r="X191" i="1"/>
  <c r="W191" i="1"/>
  <c r="R191" i="1"/>
  <c r="Q191" i="1"/>
  <c r="J191" i="1"/>
  <c r="B191" i="1"/>
  <c r="BC190" i="1"/>
  <c r="AZ190" i="1"/>
  <c r="AS190" i="1"/>
  <c r="AR190" i="1"/>
  <c r="AQ190" i="1"/>
  <c r="AP190" i="1"/>
  <c r="AL190" i="1"/>
  <c r="Z190" i="1"/>
  <c r="Y190" i="1"/>
  <c r="X190" i="1"/>
  <c r="W190" i="1"/>
  <c r="T190" i="1"/>
  <c r="R190" i="1"/>
  <c r="Q190" i="1"/>
  <c r="J190" i="1"/>
  <c r="AU190" i="1" s="1"/>
  <c r="AX190" i="1" s="1"/>
  <c r="B190" i="1"/>
  <c r="BC189" i="1"/>
  <c r="AZ189" i="1"/>
  <c r="AU189" i="1"/>
  <c r="AX189" i="1" s="1"/>
  <c r="AS189" i="1"/>
  <c r="AR189" i="1"/>
  <c r="AQ189" i="1"/>
  <c r="AP189" i="1"/>
  <c r="AL189" i="1"/>
  <c r="X189" i="1"/>
  <c r="W189" i="1"/>
  <c r="T189" i="1"/>
  <c r="R189" i="1"/>
  <c r="S189" i="1" s="1"/>
  <c r="Q189" i="1"/>
  <c r="J189" i="1"/>
  <c r="B189" i="1"/>
  <c r="BC188" i="1"/>
  <c r="AZ188" i="1"/>
  <c r="AU188" i="1"/>
  <c r="AX188" i="1" s="1"/>
  <c r="AS188" i="1"/>
  <c r="AR188" i="1"/>
  <c r="AQ188" i="1"/>
  <c r="AP188" i="1"/>
  <c r="AL188" i="1"/>
  <c r="X188" i="1"/>
  <c r="W188" i="1"/>
  <c r="T188" i="1"/>
  <c r="Q188" i="1"/>
  <c r="R188" i="1" s="1"/>
  <c r="S188" i="1" s="1"/>
  <c r="J188" i="1"/>
  <c r="B188" i="1"/>
  <c r="BC187" i="1"/>
  <c r="AZ187" i="1"/>
  <c r="AU187" i="1"/>
  <c r="AX187" i="1" s="1"/>
  <c r="AS187" i="1"/>
  <c r="AR187" i="1"/>
  <c r="AQ187" i="1"/>
  <c r="AP187" i="1"/>
  <c r="AL187" i="1"/>
  <c r="Y187" i="1"/>
  <c r="X187" i="1"/>
  <c r="Z187" i="1" s="1"/>
  <c r="W187" i="1"/>
  <c r="T187" i="1"/>
  <c r="U187" i="1" s="1"/>
  <c r="AT187" i="1" s="1"/>
  <c r="AV187" i="1" s="1"/>
  <c r="AW187" i="1" s="1"/>
  <c r="R187" i="1"/>
  <c r="Q187" i="1"/>
  <c r="J187" i="1"/>
  <c r="B187" i="1"/>
  <c r="BC186" i="1"/>
  <c r="AZ186" i="1"/>
  <c r="AX186" i="1"/>
  <c r="AU186" i="1"/>
  <c r="AS186" i="1"/>
  <c r="AR186" i="1"/>
  <c r="AQ186" i="1"/>
  <c r="AP186" i="1"/>
  <c r="AL186" i="1"/>
  <c r="Z186" i="1"/>
  <c r="Y186" i="1"/>
  <c r="X186" i="1"/>
  <c r="W186" i="1"/>
  <c r="Q186" i="1"/>
  <c r="R186" i="1" s="1"/>
  <c r="J186" i="1"/>
  <c r="B186" i="1"/>
  <c r="BC185" i="1"/>
  <c r="AZ185" i="1"/>
  <c r="AS185" i="1"/>
  <c r="AR185" i="1"/>
  <c r="AQ185" i="1"/>
  <c r="AP185" i="1"/>
  <c r="AL185" i="1"/>
  <c r="Z185" i="1"/>
  <c r="Y185" i="1"/>
  <c r="X185" i="1"/>
  <c r="W185" i="1"/>
  <c r="R185" i="1"/>
  <c r="Q185" i="1"/>
  <c r="J185" i="1"/>
  <c r="B185" i="1"/>
  <c r="BC184" i="1"/>
  <c r="AZ184" i="1"/>
  <c r="AU184" i="1"/>
  <c r="AX184" i="1" s="1"/>
  <c r="AS184" i="1"/>
  <c r="AR184" i="1"/>
  <c r="AQ184" i="1"/>
  <c r="AP184" i="1"/>
  <c r="AL184" i="1"/>
  <c r="X184" i="1"/>
  <c r="Z184" i="1" s="1"/>
  <c r="W184" i="1"/>
  <c r="T184" i="1"/>
  <c r="R184" i="1"/>
  <c r="Q184" i="1"/>
  <c r="J184" i="1"/>
  <c r="B184" i="1"/>
  <c r="BC183" i="1"/>
  <c r="AZ183" i="1"/>
  <c r="AS183" i="1"/>
  <c r="AR183" i="1"/>
  <c r="AQ183" i="1"/>
  <c r="AP183" i="1"/>
  <c r="AL183" i="1"/>
  <c r="X183" i="1"/>
  <c r="Z183" i="1" s="1"/>
  <c r="W183" i="1"/>
  <c r="R183" i="1"/>
  <c r="Q183" i="1"/>
  <c r="J183" i="1"/>
  <c r="B183" i="1"/>
  <c r="BC182" i="1"/>
  <c r="AZ182" i="1"/>
  <c r="AS182" i="1"/>
  <c r="AR182" i="1"/>
  <c r="AQ182" i="1"/>
  <c r="AP182" i="1"/>
  <c r="AL182" i="1"/>
  <c r="X182" i="1"/>
  <c r="Z182" i="1" s="1"/>
  <c r="W182" i="1"/>
  <c r="T182" i="1"/>
  <c r="Q182" i="1"/>
  <c r="R182" i="1" s="1"/>
  <c r="J182" i="1"/>
  <c r="B182" i="1"/>
  <c r="BC181" i="1"/>
  <c r="AZ181" i="1"/>
  <c r="AU181" i="1"/>
  <c r="AX181" i="1" s="1"/>
  <c r="AS181" i="1"/>
  <c r="AR181" i="1"/>
  <c r="AQ181" i="1"/>
  <c r="AP181" i="1"/>
  <c r="AL181" i="1"/>
  <c r="Z181" i="1"/>
  <c r="Y181" i="1"/>
  <c r="X181" i="1"/>
  <c r="W181" i="1"/>
  <c r="T181" i="1"/>
  <c r="U181" i="1" s="1"/>
  <c r="AT181" i="1" s="1"/>
  <c r="AV181" i="1" s="1"/>
  <c r="AW181" i="1" s="1"/>
  <c r="R181" i="1"/>
  <c r="Q181" i="1"/>
  <c r="J181" i="1"/>
  <c r="B181" i="1"/>
  <c r="BC180" i="1"/>
  <c r="AZ180" i="1"/>
  <c r="AS180" i="1"/>
  <c r="AR180" i="1"/>
  <c r="AQ180" i="1"/>
  <c r="AP180" i="1"/>
  <c r="AL180" i="1"/>
  <c r="Z180" i="1"/>
  <c r="Y180" i="1"/>
  <c r="X180" i="1"/>
  <c r="W180" i="1"/>
  <c r="R180" i="1"/>
  <c r="Q180" i="1"/>
  <c r="J180" i="1"/>
  <c r="AU180" i="1" s="1"/>
  <c r="AX180" i="1" s="1"/>
  <c r="B180" i="1"/>
  <c r="BC179" i="1"/>
  <c r="AZ179" i="1"/>
  <c r="AS179" i="1"/>
  <c r="AR179" i="1"/>
  <c r="AQ179" i="1"/>
  <c r="AP179" i="1"/>
  <c r="AL179" i="1"/>
  <c r="Z179" i="1"/>
  <c r="Y179" i="1"/>
  <c r="X179" i="1"/>
  <c r="W179" i="1"/>
  <c r="R179" i="1"/>
  <c r="Q179" i="1"/>
  <c r="J179" i="1"/>
  <c r="B179" i="1"/>
  <c r="BC178" i="1"/>
  <c r="AZ178" i="1"/>
  <c r="AS178" i="1"/>
  <c r="AR178" i="1"/>
  <c r="AQ178" i="1"/>
  <c r="AP178" i="1"/>
  <c r="AL178" i="1"/>
  <c r="Y178" i="1"/>
  <c r="X178" i="1"/>
  <c r="Z178" i="1" s="1"/>
  <c r="W178" i="1"/>
  <c r="R178" i="1"/>
  <c r="Q178" i="1"/>
  <c r="J178" i="1"/>
  <c r="B178" i="1"/>
  <c r="BC177" i="1"/>
  <c r="AZ177" i="1"/>
  <c r="AU177" i="1"/>
  <c r="AX177" i="1" s="1"/>
  <c r="AS177" i="1"/>
  <c r="AR177" i="1"/>
  <c r="AQ177" i="1"/>
  <c r="AP177" i="1"/>
  <c r="AL177" i="1"/>
  <c r="Y177" i="1"/>
  <c r="X177" i="1"/>
  <c r="Z177" i="1" s="1"/>
  <c r="W177" i="1"/>
  <c r="T177" i="1"/>
  <c r="Q177" i="1"/>
  <c r="R177" i="1" s="1"/>
  <c r="J177" i="1"/>
  <c r="B177" i="1"/>
  <c r="BC176" i="1"/>
  <c r="AZ176" i="1"/>
  <c r="AU176" i="1"/>
  <c r="AX176" i="1" s="1"/>
  <c r="AS176" i="1"/>
  <c r="AR176" i="1"/>
  <c r="AQ176" i="1"/>
  <c r="AP176" i="1"/>
  <c r="AL176" i="1"/>
  <c r="Z176" i="1"/>
  <c r="Y176" i="1"/>
  <c r="X176" i="1"/>
  <c r="W176" i="1"/>
  <c r="T176" i="1"/>
  <c r="Q176" i="1"/>
  <c r="R176" i="1" s="1"/>
  <c r="J176" i="1"/>
  <c r="B176" i="1"/>
  <c r="BC175" i="1"/>
  <c r="AZ175" i="1"/>
  <c r="AX175" i="1"/>
  <c r="AU175" i="1"/>
  <c r="AS175" i="1"/>
  <c r="AR175" i="1"/>
  <c r="AQ175" i="1"/>
  <c r="AP175" i="1"/>
  <c r="AL175" i="1"/>
  <c r="Z175" i="1"/>
  <c r="Y175" i="1"/>
  <c r="X175" i="1"/>
  <c r="W175" i="1"/>
  <c r="T175" i="1"/>
  <c r="S175" i="1"/>
  <c r="R175" i="1"/>
  <c r="Q175" i="1"/>
  <c r="J175" i="1"/>
  <c r="B175" i="1"/>
  <c r="BC174" i="1"/>
  <c r="AZ174" i="1"/>
  <c r="AS174" i="1"/>
  <c r="AR174" i="1"/>
  <c r="AQ174" i="1"/>
  <c r="AP174" i="1"/>
  <c r="AL174" i="1"/>
  <c r="Z174" i="1"/>
  <c r="X174" i="1"/>
  <c r="Y174" i="1" s="1"/>
  <c r="W174" i="1"/>
  <c r="R174" i="1"/>
  <c r="Q174" i="1"/>
  <c r="J174" i="1"/>
  <c r="B174" i="1"/>
  <c r="BC173" i="1"/>
  <c r="AZ173" i="1"/>
  <c r="AS173" i="1"/>
  <c r="AR173" i="1"/>
  <c r="AQ173" i="1"/>
  <c r="AP173" i="1"/>
  <c r="AL173" i="1"/>
  <c r="X173" i="1"/>
  <c r="W173" i="1"/>
  <c r="R173" i="1"/>
  <c r="Q173" i="1"/>
  <c r="J173" i="1"/>
  <c r="B173" i="1"/>
  <c r="BC172" i="1"/>
  <c r="AZ172" i="1"/>
  <c r="AS172" i="1"/>
  <c r="AR172" i="1"/>
  <c r="AQ172" i="1"/>
  <c r="AP172" i="1"/>
  <c r="AL172" i="1"/>
  <c r="Y172" i="1"/>
  <c r="X172" i="1"/>
  <c r="Z172" i="1" s="1"/>
  <c r="W172" i="1"/>
  <c r="T172" i="1"/>
  <c r="Q172" i="1"/>
  <c r="R172" i="1" s="1"/>
  <c r="J172" i="1"/>
  <c r="B172" i="1"/>
  <c r="BC171" i="1"/>
  <c r="AZ171" i="1"/>
  <c r="AU171" i="1"/>
  <c r="AX171" i="1" s="1"/>
  <c r="AS171" i="1"/>
  <c r="AR171" i="1"/>
  <c r="AQ171" i="1"/>
  <c r="AP171" i="1"/>
  <c r="AL171" i="1"/>
  <c r="Z171" i="1"/>
  <c r="Y171" i="1"/>
  <c r="X171" i="1"/>
  <c r="W171" i="1"/>
  <c r="T171" i="1"/>
  <c r="Q171" i="1"/>
  <c r="R171" i="1" s="1"/>
  <c r="J171" i="1"/>
  <c r="B171" i="1"/>
  <c r="BC170" i="1"/>
  <c r="AZ170" i="1"/>
  <c r="AU170" i="1"/>
  <c r="AX170" i="1" s="1"/>
  <c r="AS170" i="1"/>
  <c r="AR170" i="1"/>
  <c r="AQ170" i="1"/>
  <c r="AP170" i="1"/>
  <c r="AL170" i="1"/>
  <c r="Z170" i="1"/>
  <c r="Y170" i="1"/>
  <c r="X170" i="1"/>
  <c r="W170" i="1"/>
  <c r="T170" i="1"/>
  <c r="U170" i="1" s="1"/>
  <c r="AT170" i="1" s="1"/>
  <c r="AV170" i="1" s="1"/>
  <c r="AW170" i="1" s="1"/>
  <c r="R170" i="1"/>
  <c r="S170" i="1" s="1"/>
  <c r="BK170" i="1" s="1"/>
  <c r="Q170" i="1"/>
  <c r="J170" i="1"/>
  <c r="B170" i="1"/>
  <c r="BC169" i="1"/>
  <c r="AZ169" i="1"/>
  <c r="AU169" i="1"/>
  <c r="AX169" i="1" s="1"/>
  <c r="AS169" i="1"/>
  <c r="AR169" i="1"/>
  <c r="AQ169" i="1"/>
  <c r="AP169" i="1"/>
  <c r="AL169" i="1"/>
  <c r="Z169" i="1"/>
  <c r="X169" i="1"/>
  <c r="Y169" i="1" s="1"/>
  <c r="W169" i="1"/>
  <c r="T169" i="1"/>
  <c r="S169" i="1"/>
  <c r="R169" i="1"/>
  <c r="Q169" i="1"/>
  <c r="J169" i="1"/>
  <c r="B169" i="1"/>
  <c r="BC168" i="1"/>
  <c r="AZ168" i="1"/>
  <c r="AU168" i="1"/>
  <c r="AX168" i="1" s="1"/>
  <c r="AS168" i="1"/>
  <c r="AR168" i="1"/>
  <c r="AQ168" i="1"/>
  <c r="AP168" i="1"/>
  <c r="AL168" i="1"/>
  <c r="X168" i="1"/>
  <c r="W168" i="1"/>
  <c r="T168" i="1"/>
  <c r="S168" i="1"/>
  <c r="Q168" i="1"/>
  <c r="R168" i="1" s="1"/>
  <c r="J168" i="1"/>
  <c r="B168" i="1"/>
  <c r="BC167" i="1"/>
  <c r="AZ167" i="1"/>
  <c r="AU167" i="1"/>
  <c r="AX167" i="1" s="1"/>
  <c r="AS167" i="1"/>
  <c r="AR167" i="1"/>
  <c r="AQ167" i="1"/>
  <c r="AP167" i="1"/>
  <c r="AL167" i="1"/>
  <c r="Y167" i="1"/>
  <c r="X167" i="1"/>
  <c r="Z167" i="1" s="1"/>
  <c r="W167" i="1"/>
  <c r="Q167" i="1"/>
  <c r="R167" i="1" s="1"/>
  <c r="J167" i="1"/>
  <c r="B167" i="1"/>
  <c r="BC166" i="1"/>
  <c r="AZ166" i="1"/>
  <c r="AS166" i="1"/>
  <c r="AR166" i="1"/>
  <c r="AQ166" i="1"/>
  <c r="AP166" i="1"/>
  <c r="AL166" i="1"/>
  <c r="Z166" i="1"/>
  <c r="Y166" i="1"/>
  <c r="X166" i="1"/>
  <c r="W166" i="1"/>
  <c r="T166" i="1"/>
  <c r="Q166" i="1"/>
  <c r="R166" i="1" s="1"/>
  <c r="J166" i="1"/>
  <c r="B166" i="1"/>
  <c r="BC165" i="1"/>
  <c r="AZ165" i="1"/>
  <c r="AS165" i="1"/>
  <c r="AR165" i="1"/>
  <c r="AQ165" i="1"/>
  <c r="AP165" i="1"/>
  <c r="AL165" i="1"/>
  <c r="Z165" i="1"/>
  <c r="Y165" i="1"/>
  <c r="X165" i="1"/>
  <c r="W165" i="1"/>
  <c r="R165" i="1"/>
  <c r="Q165" i="1"/>
  <c r="J165" i="1"/>
  <c r="B165" i="1"/>
  <c r="BC164" i="1"/>
  <c r="AZ164" i="1"/>
  <c r="AU164" i="1"/>
  <c r="AX164" i="1" s="1"/>
  <c r="AS164" i="1"/>
  <c r="AR164" i="1"/>
  <c r="AQ164" i="1"/>
  <c r="AP164" i="1"/>
  <c r="AL164" i="1"/>
  <c r="X164" i="1"/>
  <c r="W164" i="1"/>
  <c r="T164" i="1"/>
  <c r="R164" i="1"/>
  <c r="S164" i="1" s="1"/>
  <c r="Q164" i="1"/>
  <c r="J164" i="1"/>
  <c r="B164" i="1"/>
  <c r="BC163" i="1"/>
  <c r="AZ163" i="1"/>
  <c r="AU163" i="1"/>
  <c r="AX163" i="1" s="1"/>
  <c r="AS163" i="1"/>
  <c r="AR163" i="1"/>
  <c r="AQ163" i="1"/>
  <c r="AP163" i="1"/>
  <c r="AL163" i="1"/>
  <c r="X163" i="1"/>
  <c r="W163" i="1"/>
  <c r="T163" i="1"/>
  <c r="R163" i="1"/>
  <c r="S163" i="1" s="1"/>
  <c r="Q163" i="1"/>
  <c r="J163" i="1"/>
  <c r="B163" i="1"/>
  <c r="BC162" i="1"/>
  <c r="AZ162" i="1"/>
  <c r="AS162" i="1"/>
  <c r="AR162" i="1"/>
  <c r="AQ162" i="1"/>
  <c r="AP162" i="1"/>
  <c r="AL162" i="1"/>
  <c r="Y162" i="1"/>
  <c r="X162" i="1"/>
  <c r="Z162" i="1" s="1"/>
  <c r="W162" i="1"/>
  <c r="T162" i="1"/>
  <c r="R162" i="1"/>
  <c r="Q162" i="1"/>
  <c r="J162" i="1"/>
  <c r="AU162" i="1" s="1"/>
  <c r="AX162" i="1" s="1"/>
  <c r="B162" i="1"/>
  <c r="BC161" i="1"/>
  <c r="AZ161" i="1"/>
  <c r="AX161" i="1"/>
  <c r="AU161" i="1"/>
  <c r="AS161" i="1"/>
  <c r="AR161" i="1"/>
  <c r="AQ161" i="1"/>
  <c r="AP161" i="1"/>
  <c r="AL161" i="1"/>
  <c r="Z161" i="1"/>
  <c r="Y161" i="1"/>
  <c r="X161" i="1"/>
  <c r="W161" i="1"/>
  <c r="Q161" i="1"/>
  <c r="R161" i="1" s="1"/>
  <c r="J161" i="1"/>
  <c r="B161" i="1"/>
  <c r="BC160" i="1"/>
  <c r="AZ160" i="1"/>
  <c r="AS160" i="1"/>
  <c r="AR160" i="1"/>
  <c r="AQ160" i="1"/>
  <c r="AP160" i="1"/>
  <c r="AL160" i="1"/>
  <c r="Z160" i="1"/>
  <c r="Y160" i="1"/>
  <c r="X160" i="1"/>
  <c r="W160" i="1"/>
  <c r="R160" i="1"/>
  <c r="Q160" i="1"/>
  <c r="J160" i="1"/>
  <c r="B160" i="1"/>
  <c r="BC159" i="1"/>
  <c r="AZ159" i="1"/>
  <c r="AS159" i="1"/>
  <c r="AR159" i="1"/>
  <c r="AQ159" i="1"/>
  <c r="AP159" i="1"/>
  <c r="AL159" i="1"/>
  <c r="X159" i="1"/>
  <c r="Z159" i="1" s="1"/>
  <c r="W159" i="1"/>
  <c r="R159" i="1"/>
  <c r="Q159" i="1"/>
  <c r="J159" i="1"/>
  <c r="B159" i="1"/>
  <c r="BC158" i="1"/>
  <c r="AZ158" i="1"/>
  <c r="AS158" i="1"/>
  <c r="AR158" i="1"/>
  <c r="AQ158" i="1"/>
  <c r="AP158" i="1"/>
  <c r="AL158" i="1"/>
  <c r="X158" i="1"/>
  <c r="Z158" i="1" s="1"/>
  <c r="W158" i="1"/>
  <c r="R158" i="1"/>
  <c r="Q158" i="1"/>
  <c r="J158" i="1"/>
  <c r="B158" i="1"/>
  <c r="BC157" i="1"/>
  <c r="AZ157" i="1"/>
  <c r="AS157" i="1"/>
  <c r="AR157" i="1"/>
  <c r="AQ157" i="1"/>
  <c r="AP157" i="1"/>
  <c r="AL157" i="1"/>
  <c r="Y157" i="1"/>
  <c r="X157" i="1"/>
  <c r="Z157" i="1" s="1"/>
  <c r="W157" i="1"/>
  <c r="T157" i="1"/>
  <c r="Q157" i="1"/>
  <c r="R157" i="1" s="1"/>
  <c r="J157" i="1"/>
  <c r="B157" i="1"/>
  <c r="BC156" i="1"/>
  <c r="AZ156" i="1"/>
  <c r="AU156" i="1"/>
  <c r="AX156" i="1" s="1"/>
  <c r="AS156" i="1"/>
  <c r="AR156" i="1"/>
  <c r="AQ156" i="1"/>
  <c r="AP156" i="1"/>
  <c r="AL156" i="1"/>
  <c r="Z156" i="1"/>
  <c r="Y156" i="1"/>
  <c r="X156" i="1"/>
  <c r="W156" i="1"/>
  <c r="T156" i="1"/>
  <c r="R156" i="1"/>
  <c r="Q156" i="1"/>
  <c r="J156" i="1"/>
  <c r="B156" i="1"/>
  <c r="BC155" i="1"/>
  <c r="AZ155" i="1"/>
  <c r="AS155" i="1"/>
  <c r="AR155" i="1"/>
  <c r="AQ155" i="1"/>
  <c r="AP155" i="1"/>
  <c r="AL155" i="1"/>
  <c r="Z155" i="1"/>
  <c r="Y155" i="1"/>
  <c r="X155" i="1"/>
  <c r="W155" i="1"/>
  <c r="R155" i="1"/>
  <c r="Q155" i="1"/>
  <c r="J155" i="1"/>
  <c r="AU155" i="1" s="1"/>
  <c r="AX155" i="1" s="1"/>
  <c r="B155" i="1"/>
  <c r="BC154" i="1"/>
  <c r="AZ154" i="1"/>
  <c r="AS154" i="1"/>
  <c r="AR154" i="1"/>
  <c r="AQ154" i="1"/>
  <c r="AP154" i="1"/>
  <c r="AL154" i="1"/>
  <c r="Z154" i="1"/>
  <c r="Y154" i="1"/>
  <c r="X154" i="1"/>
  <c r="W154" i="1"/>
  <c r="R154" i="1"/>
  <c r="Q154" i="1"/>
  <c r="J154" i="1"/>
  <c r="AU154" i="1" s="1"/>
  <c r="AX154" i="1" s="1"/>
  <c r="B154" i="1"/>
  <c r="BC153" i="1"/>
  <c r="AZ153" i="1"/>
  <c r="AS153" i="1"/>
  <c r="AR153" i="1"/>
  <c r="AQ153" i="1"/>
  <c r="AP153" i="1"/>
  <c r="AL153" i="1"/>
  <c r="Y153" i="1"/>
  <c r="X153" i="1"/>
  <c r="Z153" i="1" s="1"/>
  <c r="W153" i="1"/>
  <c r="R153" i="1"/>
  <c r="Q153" i="1"/>
  <c r="J153" i="1"/>
  <c r="B153" i="1"/>
  <c r="BC152" i="1"/>
  <c r="AZ152" i="1"/>
  <c r="AU152" i="1"/>
  <c r="AX152" i="1" s="1"/>
  <c r="AS152" i="1"/>
  <c r="AR152" i="1"/>
  <c r="AQ152" i="1"/>
  <c r="AP152" i="1"/>
  <c r="AL152" i="1"/>
  <c r="X152" i="1"/>
  <c r="Z152" i="1" s="1"/>
  <c r="W152" i="1"/>
  <c r="T152" i="1"/>
  <c r="Q152" i="1"/>
  <c r="R152" i="1" s="1"/>
  <c r="J152" i="1"/>
  <c r="B152" i="1"/>
  <c r="BC151" i="1"/>
  <c r="AZ151" i="1"/>
  <c r="AX151" i="1"/>
  <c r="AU151" i="1"/>
  <c r="AS151" i="1"/>
  <c r="AR151" i="1"/>
  <c r="AQ151" i="1"/>
  <c r="AP151" i="1"/>
  <c r="AL151" i="1"/>
  <c r="Z151" i="1"/>
  <c r="Y151" i="1"/>
  <c r="X151" i="1"/>
  <c r="W151" i="1"/>
  <c r="T151" i="1"/>
  <c r="Q151" i="1"/>
  <c r="R151" i="1" s="1"/>
  <c r="J151" i="1"/>
  <c r="B151" i="1"/>
  <c r="BC150" i="1"/>
  <c r="AZ150" i="1"/>
  <c r="AS150" i="1"/>
  <c r="AR150" i="1"/>
  <c r="AQ150" i="1"/>
  <c r="AP150" i="1"/>
  <c r="AL150" i="1"/>
  <c r="Z150" i="1"/>
  <c r="Y150" i="1"/>
  <c r="X150" i="1"/>
  <c r="W150" i="1"/>
  <c r="S150" i="1"/>
  <c r="BK150" i="1" s="1"/>
  <c r="R150" i="1"/>
  <c r="Q150" i="1"/>
  <c r="J150" i="1"/>
  <c r="AU150" i="1" s="1"/>
  <c r="AX150" i="1" s="1"/>
  <c r="B150" i="1"/>
  <c r="BC149" i="1"/>
  <c r="AZ149" i="1"/>
  <c r="AS149" i="1"/>
  <c r="AR149" i="1"/>
  <c r="AQ149" i="1"/>
  <c r="AP149" i="1"/>
  <c r="AL149" i="1"/>
  <c r="Z149" i="1"/>
  <c r="X149" i="1"/>
  <c r="Y149" i="1" s="1"/>
  <c r="W149" i="1"/>
  <c r="R149" i="1"/>
  <c r="Q149" i="1"/>
  <c r="J149" i="1"/>
  <c r="B149" i="1"/>
  <c r="BC148" i="1"/>
  <c r="AZ148" i="1"/>
  <c r="AS148" i="1"/>
  <c r="AR148" i="1"/>
  <c r="AQ148" i="1"/>
  <c r="AP148" i="1"/>
  <c r="AL148" i="1"/>
  <c r="X148" i="1"/>
  <c r="W148" i="1"/>
  <c r="R148" i="1"/>
  <c r="Q148" i="1"/>
  <c r="J148" i="1"/>
  <c r="B148" i="1"/>
  <c r="BC147" i="1"/>
  <c r="AZ147" i="1"/>
  <c r="AU147" i="1"/>
  <c r="AX147" i="1" s="1"/>
  <c r="AS147" i="1"/>
  <c r="AR147" i="1"/>
  <c r="AQ147" i="1"/>
  <c r="AP147" i="1"/>
  <c r="AL147" i="1"/>
  <c r="Y147" i="1"/>
  <c r="X147" i="1"/>
  <c r="Z147" i="1" s="1"/>
  <c r="W147" i="1"/>
  <c r="T147" i="1"/>
  <c r="U147" i="1" s="1"/>
  <c r="AT147" i="1" s="1"/>
  <c r="AV147" i="1" s="1"/>
  <c r="AW147" i="1" s="1"/>
  <c r="Q147" i="1"/>
  <c r="R147" i="1" s="1"/>
  <c r="J147" i="1"/>
  <c r="B147" i="1"/>
  <c r="BC146" i="1"/>
  <c r="AZ146" i="1"/>
  <c r="AU146" i="1"/>
  <c r="AX146" i="1" s="1"/>
  <c r="AS146" i="1"/>
  <c r="AR146" i="1"/>
  <c r="AQ146" i="1"/>
  <c r="AP146" i="1"/>
  <c r="AL146" i="1"/>
  <c r="Z146" i="1"/>
  <c r="Y146" i="1"/>
  <c r="X146" i="1"/>
  <c r="W146" i="1"/>
  <c r="T146" i="1"/>
  <c r="Q146" i="1"/>
  <c r="R146" i="1" s="1"/>
  <c r="J146" i="1"/>
  <c r="B146" i="1"/>
  <c r="BK145" i="1"/>
  <c r="BC145" i="1"/>
  <c r="AZ145" i="1"/>
  <c r="AU145" i="1"/>
  <c r="AX145" i="1" s="1"/>
  <c r="AS145" i="1"/>
  <c r="AR145" i="1"/>
  <c r="AQ145" i="1"/>
  <c r="AP145" i="1"/>
  <c r="AL145" i="1"/>
  <c r="Z145" i="1"/>
  <c r="Y145" i="1"/>
  <c r="X145" i="1"/>
  <c r="W145" i="1"/>
  <c r="T145" i="1"/>
  <c r="U145" i="1" s="1"/>
  <c r="AT145" i="1" s="1"/>
  <c r="AV145" i="1" s="1"/>
  <c r="AW145" i="1" s="1"/>
  <c r="R145" i="1"/>
  <c r="S145" i="1" s="1"/>
  <c r="Q145" i="1"/>
  <c r="J145" i="1"/>
  <c r="B145" i="1"/>
  <c r="BC144" i="1"/>
  <c r="AZ144" i="1"/>
  <c r="AS144" i="1"/>
  <c r="AR144" i="1"/>
  <c r="AQ144" i="1"/>
  <c r="AP144" i="1"/>
  <c r="AL144" i="1"/>
  <c r="Z144" i="1"/>
  <c r="X144" i="1"/>
  <c r="Y144" i="1" s="1"/>
  <c r="W144" i="1"/>
  <c r="R144" i="1"/>
  <c r="Q144" i="1"/>
  <c r="J144" i="1"/>
  <c r="B144" i="1"/>
  <c r="BC143" i="1"/>
  <c r="AZ143" i="1"/>
  <c r="AU143" i="1"/>
  <c r="AX143" i="1" s="1"/>
  <c r="AS143" i="1"/>
  <c r="AR143" i="1"/>
  <c r="AQ143" i="1"/>
  <c r="AP143" i="1"/>
  <c r="AL143" i="1"/>
  <c r="X143" i="1"/>
  <c r="W143" i="1"/>
  <c r="T143" i="1"/>
  <c r="S143" i="1"/>
  <c r="Q143" i="1"/>
  <c r="R143" i="1" s="1"/>
  <c r="J143" i="1"/>
  <c r="B143" i="1"/>
  <c r="BC142" i="1"/>
  <c r="AZ142" i="1"/>
  <c r="AU142" i="1"/>
  <c r="AX142" i="1" s="1"/>
  <c r="AS142" i="1"/>
  <c r="AR142" i="1"/>
  <c r="AQ142" i="1"/>
  <c r="AP142" i="1"/>
  <c r="AL142" i="1"/>
  <c r="Y142" i="1"/>
  <c r="X142" i="1"/>
  <c r="Z142" i="1" s="1"/>
  <c r="W142" i="1"/>
  <c r="Q142" i="1"/>
  <c r="R142" i="1" s="1"/>
  <c r="J142" i="1"/>
  <c r="B142" i="1"/>
  <c r="BC141" i="1"/>
  <c r="AZ141" i="1"/>
  <c r="AS141" i="1"/>
  <c r="AR141" i="1"/>
  <c r="AQ141" i="1"/>
  <c r="AP141" i="1"/>
  <c r="AL141" i="1"/>
  <c r="Z141" i="1"/>
  <c r="Y141" i="1"/>
  <c r="X141" i="1"/>
  <c r="W141" i="1"/>
  <c r="T141" i="1"/>
  <c r="Q141" i="1"/>
  <c r="R141" i="1" s="1"/>
  <c r="J141" i="1"/>
  <c r="B141" i="1"/>
  <c r="BC140" i="1"/>
  <c r="AZ140" i="1"/>
  <c r="AS140" i="1"/>
  <c r="AR140" i="1"/>
  <c r="AQ140" i="1"/>
  <c r="AP140" i="1"/>
  <c r="AL140" i="1"/>
  <c r="Z140" i="1"/>
  <c r="Y140" i="1"/>
  <c r="X140" i="1"/>
  <c r="W140" i="1"/>
  <c r="R140" i="1"/>
  <c r="Q140" i="1"/>
  <c r="J140" i="1"/>
  <c r="B140" i="1"/>
  <c r="BC139" i="1"/>
  <c r="AZ139" i="1"/>
  <c r="AU139" i="1"/>
  <c r="AX139" i="1" s="1"/>
  <c r="AS139" i="1"/>
  <c r="AR139" i="1"/>
  <c r="AQ139" i="1"/>
  <c r="AP139" i="1"/>
  <c r="AL139" i="1"/>
  <c r="X139" i="1"/>
  <c r="Y139" i="1" s="1"/>
  <c r="W139" i="1"/>
  <c r="T139" i="1"/>
  <c r="R139" i="1"/>
  <c r="S139" i="1" s="1"/>
  <c r="Q139" i="1"/>
  <c r="J139" i="1"/>
  <c r="B139" i="1"/>
  <c r="BC138" i="1"/>
  <c r="AZ138" i="1"/>
  <c r="AU138" i="1"/>
  <c r="AX138" i="1" s="1"/>
  <c r="AS138" i="1"/>
  <c r="AR138" i="1"/>
  <c r="AQ138" i="1"/>
  <c r="AP138" i="1"/>
  <c r="AL138" i="1"/>
  <c r="X138" i="1"/>
  <c r="W138" i="1"/>
  <c r="T138" i="1"/>
  <c r="Q138" i="1"/>
  <c r="R138" i="1" s="1"/>
  <c r="S138" i="1" s="1"/>
  <c r="J138" i="1"/>
  <c r="B138" i="1"/>
  <c r="BC137" i="1"/>
  <c r="AZ137" i="1"/>
  <c r="AS137" i="1"/>
  <c r="AR137" i="1"/>
  <c r="AQ137" i="1"/>
  <c r="AP137" i="1"/>
  <c r="AL137" i="1"/>
  <c r="Y137" i="1"/>
  <c r="X137" i="1"/>
  <c r="Z137" i="1" s="1"/>
  <c r="W137" i="1"/>
  <c r="T137" i="1"/>
  <c r="R137" i="1"/>
  <c r="Q137" i="1"/>
  <c r="J137" i="1"/>
  <c r="AU137" i="1" s="1"/>
  <c r="AX137" i="1" s="1"/>
  <c r="B137" i="1"/>
  <c r="BC136" i="1"/>
  <c r="AZ136" i="1"/>
  <c r="AS136" i="1"/>
  <c r="AR136" i="1"/>
  <c r="AQ136" i="1"/>
  <c r="AP136" i="1"/>
  <c r="AL136" i="1"/>
  <c r="Z136" i="1"/>
  <c r="Y136" i="1"/>
  <c r="X136" i="1"/>
  <c r="W136" i="1"/>
  <c r="Q136" i="1"/>
  <c r="R136" i="1" s="1"/>
  <c r="J136" i="1"/>
  <c r="B136" i="1"/>
  <c r="BC135" i="1"/>
  <c r="AZ135" i="1"/>
  <c r="AS135" i="1"/>
  <c r="AR135" i="1"/>
  <c r="AQ135" i="1"/>
  <c r="AP135" i="1"/>
  <c r="AL135" i="1"/>
  <c r="Z135" i="1"/>
  <c r="Y135" i="1"/>
  <c r="X135" i="1"/>
  <c r="W135" i="1"/>
  <c r="T135" i="1"/>
  <c r="S135" i="1"/>
  <c r="R135" i="1"/>
  <c r="Q135" i="1"/>
  <c r="J135" i="1"/>
  <c r="B135" i="1"/>
  <c r="BC134" i="1"/>
  <c r="AZ134" i="1"/>
  <c r="AU134" i="1"/>
  <c r="AX134" i="1" s="1"/>
  <c r="AS134" i="1"/>
  <c r="AR134" i="1"/>
  <c r="AQ134" i="1"/>
  <c r="AP134" i="1"/>
  <c r="AL134" i="1"/>
  <c r="X134" i="1"/>
  <c r="W134" i="1"/>
  <c r="R134" i="1"/>
  <c r="Q134" i="1"/>
  <c r="J134" i="1"/>
  <c r="T134" i="1" s="1"/>
  <c r="B134" i="1"/>
  <c r="BC133" i="1"/>
  <c r="AZ133" i="1"/>
  <c r="AS133" i="1"/>
  <c r="AR133" i="1"/>
  <c r="AQ133" i="1"/>
  <c r="AP133" i="1"/>
  <c r="AL133" i="1"/>
  <c r="X133" i="1"/>
  <c r="W133" i="1"/>
  <c r="T133" i="1"/>
  <c r="R133" i="1"/>
  <c r="Q133" i="1"/>
  <c r="J133" i="1"/>
  <c r="B133" i="1"/>
  <c r="BC132" i="1"/>
  <c r="AZ132" i="1"/>
  <c r="AS132" i="1"/>
  <c r="AR132" i="1"/>
  <c r="AQ132" i="1"/>
  <c r="AP132" i="1"/>
  <c r="AL132" i="1"/>
  <c r="X132" i="1"/>
  <c r="Z132" i="1" s="1"/>
  <c r="W132" i="1"/>
  <c r="Q132" i="1"/>
  <c r="R132" i="1" s="1"/>
  <c r="J132" i="1"/>
  <c r="B132" i="1"/>
  <c r="BC131" i="1"/>
  <c r="AZ131" i="1"/>
  <c r="AU131" i="1"/>
  <c r="AX131" i="1" s="1"/>
  <c r="AS131" i="1"/>
  <c r="AR131" i="1"/>
  <c r="AQ131" i="1"/>
  <c r="AP131" i="1"/>
  <c r="AL131" i="1"/>
  <c r="Z131" i="1"/>
  <c r="Y131" i="1"/>
  <c r="X131" i="1"/>
  <c r="W131" i="1"/>
  <c r="T131" i="1"/>
  <c r="R131" i="1"/>
  <c r="Q131" i="1"/>
  <c r="J131" i="1"/>
  <c r="B131" i="1"/>
  <c r="BC130" i="1"/>
  <c r="AZ130" i="1"/>
  <c r="AU130" i="1"/>
  <c r="AX130" i="1" s="1"/>
  <c r="AS130" i="1"/>
  <c r="AR130" i="1"/>
  <c r="AQ130" i="1"/>
  <c r="AP130" i="1"/>
  <c r="AL130" i="1"/>
  <c r="Z130" i="1"/>
  <c r="Y130" i="1"/>
  <c r="X130" i="1"/>
  <c r="W130" i="1"/>
  <c r="R130" i="1"/>
  <c r="Q130" i="1"/>
  <c r="J130" i="1"/>
  <c r="B130" i="1"/>
  <c r="BC129" i="1"/>
  <c r="AZ129" i="1"/>
  <c r="AX129" i="1"/>
  <c r="AU129" i="1"/>
  <c r="AS129" i="1"/>
  <c r="AR129" i="1"/>
  <c r="AQ129" i="1"/>
  <c r="AP129" i="1"/>
  <c r="AL129" i="1"/>
  <c r="Z129" i="1"/>
  <c r="BK129" i="1" s="1"/>
  <c r="Y129" i="1"/>
  <c r="X129" i="1"/>
  <c r="W129" i="1"/>
  <c r="T129" i="1"/>
  <c r="S129" i="1"/>
  <c r="R129" i="1"/>
  <c r="Q129" i="1"/>
  <c r="J129" i="1"/>
  <c r="B129" i="1"/>
  <c r="BK128" i="1"/>
  <c r="BC128" i="1"/>
  <c r="AZ128" i="1"/>
  <c r="AU128" i="1"/>
  <c r="AX128" i="1" s="1"/>
  <c r="AS128" i="1"/>
  <c r="AR128" i="1"/>
  <c r="AQ128" i="1"/>
  <c r="AP128" i="1"/>
  <c r="AL128" i="1"/>
  <c r="Y128" i="1"/>
  <c r="X128" i="1"/>
  <c r="Z128" i="1" s="1"/>
  <c r="W128" i="1"/>
  <c r="T128" i="1"/>
  <c r="S128" i="1"/>
  <c r="R128" i="1"/>
  <c r="Q128" i="1"/>
  <c r="J128" i="1"/>
  <c r="B128" i="1"/>
  <c r="BC127" i="1"/>
  <c r="AZ127" i="1"/>
  <c r="AU127" i="1"/>
  <c r="AX127" i="1" s="1"/>
  <c r="AS127" i="1"/>
  <c r="AR127" i="1"/>
  <c r="AQ127" i="1"/>
  <c r="AP127" i="1"/>
  <c r="AL127" i="1"/>
  <c r="X127" i="1"/>
  <c r="W127" i="1"/>
  <c r="U127" i="1"/>
  <c r="AT127" i="1" s="1"/>
  <c r="AV127" i="1" s="1"/>
  <c r="AW127" i="1" s="1"/>
  <c r="T127" i="1"/>
  <c r="Q127" i="1"/>
  <c r="R127" i="1" s="1"/>
  <c r="J127" i="1"/>
  <c r="B127" i="1"/>
  <c r="BC126" i="1"/>
  <c r="AZ126" i="1"/>
  <c r="AX126" i="1"/>
  <c r="AU126" i="1"/>
  <c r="AS126" i="1"/>
  <c r="AR126" i="1"/>
  <c r="AQ126" i="1"/>
  <c r="AP126" i="1"/>
  <c r="AL126" i="1"/>
  <c r="Z126" i="1"/>
  <c r="Y126" i="1"/>
  <c r="X126" i="1"/>
  <c r="W126" i="1"/>
  <c r="T126" i="1"/>
  <c r="Q126" i="1"/>
  <c r="R126" i="1" s="1"/>
  <c r="J126" i="1"/>
  <c r="B126" i="1"/>
  <c r="BC125" i="1"/>
  <c r="AZ125" i="1"/>
  <c r="AU125" i="1"/>
  <c r="AX125" i="1" s="1"/>
  <c r="AS125" i="1"/>
  <c r="AR125" i="1"/>
  <c r="AQ125" i="1"/>
  <c r="AP125" i="1"/>
  <c r="AL125" i="1"/>
  <c r="Z125" i="1"/>
  <c r="Y125" i="1"/>
  <c r="X125" i="1"/>
  <c r="W125" i="1"/>
  <c r="T125" i="1"/>
  <c r="S125" i="1"/>
  <c r="R125" i="1"/>
  <c r="Q125" i="1"/>
  <c r="J125" i="1"/>
  <c r="B125" i="1"/>
  <c r="BC124" i="1"/>
  <c r="AZ124" i="1"/>
  <c r="AS124" i="1"/>
  <c r="AR124" i="1"/>
  <c r="AQ124" i="1"/>
  <c r="AP124" i="1"/>
  <c r="AL124" i="1"/>
  <c r="X124" i="1"/>
  <c r="Y124" i="1" s="1"/>
  <c r="W124" i="1"/>
  <c r="R124" i="1"/>
  <c r="S124" i="1" s="1"/>
  <c r="Q124" i="1"/>
  <c r="J124" i="1"/>
  <c r="B124" i="1"/>
  <c r="BC123" i="1"/>
  <c r="AZ123" i="1"/>
  <c r="AU123" i="1"/>
  <c r="AX123" i="1" s="1"/>
  <c r="AS123" i="1"/>
  <c r="AR123" i="1"/>
  <c r="AQ123" i="1"/>
  <c r="AP123" i="1"/>
  <c r="AL123" i="1"/>
  <c r="X123" i="1"/>
  <c r="W123" i="1"/>
  <c r="Q123" i="1"/>
  <c r="R123" i="1" s="1"/>
  <c r="J123" i="1"/>
  <c r="B123" i="1"/>
  <c r="BC122" i="1"/>
  <c r="AZ122" i="1"/>
  <c r="AU122" i="1"/>
  <c r="AX122" i="1" s="1"/>
  <c r="AS122" i="1"/>
  <c r="AR122" i="1"/>
  <c r="AQ122" i="1"/>
  <c r="AP122" i="1"/>
  <c r="AL122" i="1"/>
  <c r="Y122" i="1"/>
  <c r="X122" i="1"/>
  <c r="Z122" i="1" s="1"/>
  <c r="W122" i="1"/>
  <c r="U122" i="1"/>
  <c r="AT122" i="1" s="1"/>
  <c r="AV122" i="1" s="1"/>
  <c r="AW122" i="1" s="1"/>
  <c r="T122" i="1"/>
  <c r="Q122" i="1"/>
  <c r="R122" i="1" s="1"/>
  <c r="J122" i="1"/>
  <c r="B122" i="1"/>
  <c r="BC121" i="1"/>
  <c r="AZ121" i="1"/>
  <c r="AU121" i="1"/>
  <c r="AX121" i="1" s="1"/>
  <c r="AS121" i="1"/>
  <c r="AR121" i="1"/>
  <c r="AQ121" i="1"/>
  <c r="AP121" i="1"/>
  <c r="AL121" i="1"/>
  <c r="Z121" i="1"/>
  <c r="Y121" i="1"/>
  <c r="X121" i="1"/>
  <c r="W121" i="1"/>
  <c r="U121" i="1"/>
  <c r="AT121" i="1" s="1"/>
  <c r="AV121" i="1" s="1"/>
  <c r="AW121" i="1" s="1"/>
  <c r="T121" i="1"/>
  <c r="Q121" i="1"/>
  <c r="R121" i="1" s="1"/>
  <c r="J121" i="1"/>
  <c r="B121" i="1"/>
  <c r="BC120" i="1"/>
  <c r="AZ120" i="1"/>
  <c r="AU120" i="1"/>
  <c r="AX120" i="1" s="1"/>
  <c r="AS120" i="1"/>
  <c r="AR120" i="1"/>
  <c r="AQ120" i="1"/>
  <c r="AP120" i="1"/>
  <c r="AL120" i="1"/>
  <c r="Z120" i="1"/>
  <c r="Y120" i="1"/>
  <c r="X120" i="1"/>
  <c r="W120" i="1"/>
  <c r="T120" i="1"/>
  <c r="U120" i="1" s="1"/>
  <c r="AT120" i="1" s="1"/>
  <c r="AV120" i="1" s="1"/>
  <c r="AW120" i="1" s="1"/>
  <c r="R120" i="1"/>
  <c r="Q120" i="1"/>
  <c r="J120" i="1"/>
  <c r="S120" i="1" s="1"/>
  <c r="BK120" i="1" s="1"/>
  <c r="B120" i="1"/>
  <c r="BC119" i="1"/>
  <c r="AZ119" i="1"/>
  <c r="AS119" i="1"/>
  <c r="AR119" i="1"/>
  <c r="AQ119" i="1"/>
  <c r="AP119" i="1"/>
  <c r="AL119" i="1"/>
  <c r="X119" i="1"/>
  <c r="W119" i="1"/>
  <c r="S119" i="1"/>
  <c r="R119" i="1"/>
  <c r="Q119" i="1"/>
  <c r="J119" i="1"/>
  <c r="B119" i="1"/>
  <c r="BC118" i="1"/>
  <c r="AZ118" i="1"/>
  <c r="AU118" i="1"/>
  <c r="AX118" i="1" s="1"/>
  <c r="AS118" i="1"/>
  <c r="AR118" i="1"/>
  <c r="AQ118" i="1"/>
  <c r="AP118" i="1"/>
  <c r="AL118" i="1"/>
  <c r="Y118" i="1"/>
  <c r="X118" i="1"/>
  <c r="Z118" i="1" s="1"/>
  <c r="W118" i="1"/>
  <c r="Q118" i="1"/>
  <c r="R118" i="1" s="1"/>
  <c r="S118" i="1" s="1"/>
  <c r="J118" i="1"/>
  <c r="B118" i="1"/>
  <c r="BC117" i="1"/>
  <c r="AZ117" i="1"/>
  <c r="AU117" i="1"/>
  <c r="AX117" i="1" s="1"/>
  <c r="AS117" i="1"/>
  <c r="AR117" i="1"/>
  <c r="AQ117" i="1"/>
  <c r="AP117" i="1"/>
  <c r="AL117" i="1"/>
  <c r="Y117" i="1"/>
  <c r="X117" i="1"/>
  <c r="Z117" i="1" s="1"/>
  <c r="W117" i="1"/>
  <c r="R117" i="1"/>
  <c r="Q117" i="1"/>
  <c r="J117" i="1"/>
  <c r="B117" i="1"/>
  <c r="BC116" i="1"/>
  <c r="AZ116" i="1"/>
  <c r="AS116" i="1"/>
  <c r="AR116" i="1"/>
  <c r="AQ116" i="1"/>
  <c r="AP116" i="1"/>
  <c r="AL116" i="1"/>
  <c r="Z116" i="1"/>
  <c r="Y116" i="1"/>
  <c r="X116" i="1"/>
  <c r="W116" i="1"/>
  <c r="Q116" i="1"/>
  <c r="R116" i="1" s="1"/>
  <c r="J116" i="1"/>
  <c r="B116" i="1"/>
  <c r="BC115" i="1"/>
  <c r="AZ115" i="1"/>
  <c r="AS115" i="1"/>
  <c r="AR115" i="1"/>
  <c r="AQ115" i="1"/>
  <c r="AP115" i="1"/>
  <c r="AL115" i="1"/>
  <c r="Z115" i="1"/>
  <c r="Y115" i="1"/>
  <c r="X115" i="1"/>
  <c r="W115" i="1"/>
  <c r="T115" i="1"/>
  <c r="R115" i="1"/>
  <c r="Q115" i="1"/>
  <c r="J115" i="1"/>
  <c r="B115" i="1"/>
  <c r="BC114" i="1"/>
  <c r="AZ114" i="1"/>
  <c r="AX114" i="1"/>
  <c r="AU114" i="1"/>
  <c r="AS114" i="1"/>
  <c r="AR114" i="1"/>
  <c r="AQ114" i="1"/>
  <c r="AP114" i="1"/>
  <c r="AL114" i="1"/>
  <c r="Z114" i="1"/>
  <c r="Y114" i="1"/>
  <c r="X114" i="1"/>
  <c r="W114" i="1"/>
  <c r="T114" i="1"/>
  <c r="R114" i="1"/>
  <c r="Q114" i="1"/>
  <c r="J114" i="1"/>
  <c r="B114" i="1"/>
  <c r="BC113" i="1"/>
  <c r="AZ113" i="1"/>
  <c r="AS113" i="1"/>
  <c r="AR113" i="1"/>
  <c r="AQ113" i="1"/>
  <c r="AP113" i="1"/>
  <c r="AL113" i="1"/>
  <c r="X113" i="1"/>
  <c r="Z113" i="1" s="1"/>
  <c r="W113" i="1"/>
  <c r="T113" i="1"/>
  <c r="R113" i="1"/>
  <c r="Q113" i="1"/>
  <c r="J113" i="1"/>
  <c r="AU113" i="1" s="1"/>
  <c r="AX113" i="1" s="1"/>
  <c r="B113" i="1"/>
  <c r="BC112" i="1"/>
  <c r="AZ112" i="1"/>
  <c r="AS112" i="1"/>
  <c r="AR112" i="1"/>
  <c r="AQ112" i="1"/>
  <c r="AP112" i="1"/>
  <c r="AL112" i="1"/>
  <c r="X112" i="1"/>
  <c r="Z112" i="1" s="1"/>
  <c r="W112" i="1"/>
  <c r="T112" i="1"/>
  <c r="R112" i="1"/>
  <c r="Q112" i="1"/>
  <c r="J112" i="1"/>
  <c r="B112" i="1"/>
  <c r="BC111" i="1"/>
  <c r="AZ111" i="1"/>
  <c r="AX111" i="1"/>
  <c r="AU111" i="1"/>
  <c r="AS111" i="1"/>
  <c r="AR111" i="1"/>
  <c r="AQ111" i="1"/>
  <c r="AP111" i="1"/>
  <c r="AL111" i="1"/>
  <c r="Z111" i="1"/>
  <c r="Y111" i="1"/>
  <c r="X111" i="1"/>
  <c r="W111" i="1"/>
  <c r="Q111" i="1"/>
  <c r="R111" i="1" s="1"/>
  <c r="J111" i="1"/>
  <c r="B111" i="1"/>
  <c r="BK110" i="1"/>
  <c r="BC110" i="1"/>
  <c r="AZ110" i="1"/>
  <c r="AS110" i="1"/>
  <c r="AR110" i="1"/>
  <c r="AQ110" i="1"/>
  <c r="AP110" i="1"/>
  <c r="AL110" i="1"/>
  <c r="Z110" i="1"/>
  <c r="Y110" i="1"/>
  <c r="X110" i="1"/>
  <c r="W110" i="1"/>
  <c r="S110" i="1"/>
  <c r="R110" i="1"/>
  <c r="Q110" i="1"/>
  <c r="J110" i="1"/>
  <c r="B110" i="1"/>
  <c r="BC109" i="1"/>
  <c r="AZ109" i="1"/>
  <c r="AS109" i="1"/>
  <c r="AR109" i="1"/>
  <c r="AQ109" i="1"/>
  <c r="AP109" i="1"/>
  <c r="AL109" i="1"/>
  <c r="Y109" i="1"/>
  <c r="X109" i="1"/>
  <c r="Z109" i="1" s="1"/>
  <c r="W109" i="1"/>
  <c r="T109" i="1"/>
  <c r="R109" i="1"/>
  <c r="Q109" i="1"/>
  <c r="J109" i="1"/>
  <c r="B109" i="1"/>
  <c r="BC108" i="1"/>
  <c r="AZ108" i="1"/>
  <c r="AS108" i="1"/>
  <c r="AR108" i="1"/>
  <c r="AQ108" i="1"/>
  <c r="AP108" i="1"/>
  <c r="AL108" i="1"/>
  <c r="Y108" i="1"/>
  <c r="X108" i="1"/>
  <c r="Z108" i="1" s="1"/>
  <c r="W108" i="1"/>
  <c r="R108" i="1"/>
  <c r="Q108" i="1"/>
  <c r="J108" i="1"/>
  <c r="B108" i="1"/>
  <c r="BC107" i="1"/>
  <c r="AZ107" i="1"/>
  <c r="AS107" i="1"/>
  <c r="AR107" i="1"/>
  <c r="AQ107" i="1"/>
  <c r="AP107" i="1"/>
  <c r="AL107" i="1"/>
  <c r="X107" i="1"/>
  <c r="Z107" i="1" s="1"/>
  <c r="W107" i="1"/>
  <c r="T107" i="1"/>
  <c r="Q107" i="1"/>
  <c r="R107" i="1" s="1"/>
  <c r="J107" i="1"/>
  <c r="S107" i="1" s="1"/>
  <c r="B107" i="1"/>
  <c r="BC106" i="1"/>
  <c r="AZ106" i="1"/>
  <c r="AS106" i="1"/>
  <c r="AR106" i="1"/>
  <c r="AQ106" i="1"/>
  <c r="AP106" i="1"/>
  <c r="AL106" i="1"/>
  <c r="Z106" i="1"/>
  <c r="Y106" i="1"/>
  <c r="X106" i="1"/>
  <c r="W106" i="1"/>
  <c r="R106" i="1"/>
  <c r="Q106" i="1"/>
  <c r="J106" i="1"/>
  <c r="B106" i="1"/>
  <c r="BC105" i="1"/>
  <c r="AZ105" i="1"/>
  <c r="AS105" i="1"/>
  <c r="AR105" i="1"/>
  <c r="AQ105" i="1"/>
  <c r="AP105" i="1"/>
  <c r="AL105" i="1"/>
  <c r="Z105" i="1"/>
  <c r="Y105" i="1"/>
  <c r="X105" i="1"/>
  <c r="W105" i="1"/>
  <c r="R105" i="1"/>
  <c r="Q105" i="1"/>
  <c r="J105" i="1"/>
  <c r="B105" i="1"/>
  <c r="BC104" i="1"/>
  <c r="AZ104" i="1"/>
  <c r="AU104" i="1"/>
  <c r="AX104" i="1" s="1"/>
  <c r="AS104" i="1"/>
  <c r="AR104" i="1"/>
  <c r="AQ104" i="1"/>
  <c r="AP104" i="1"/>
  <c r="AL104" i="1"/>
  <c r="Z104" i="1"/>
  <c r="Y104" i="1"/>
  <c r="X104" i="1"/>
  <c r="W104" i="1"/>
  <c r="T104" i="1"/>
  <c r="R104" i="1"/>
  <c r="Q104" i="1"/>
  <c r="J104" i="1"/>
  <c r="B104" i="1"/>
  <c r="BC103" i="1"/>
  <c r="AZ103" i="1"/>
  <c r="AS103" i="1"/>
  <c r="AR103" i="1"/>
  <c r="AQ103" i="1"/>
  <c r="AP103" i="1"/>
  <c r="AL103" i="1"/>
  <c r="Y103" i="1"/>
  <c r="X103" i="1"/>
  <c r="Z103" i="1" s="1"/>
  <c r="W103" i="1"/>
  <c r="T103" i="1"/>
  <c r="Q103" i="1"/>
  <c r="R103" i="1" s="1"/>
  <c r="J103" i="1"/>
  <c r="B103" i="1"/>
  <c r="BC102" i="1"/>
  <c r="AZ102" i="1"/>
  <c r="AU102" i="1"/>
  <c r="AX102" i="1" s="1"/>
  <c r="AS102" i="1"/>
  <c r="AR102" i="1"/>
  <c r="AQ102" i="1"/>
  <c r="AP102" i="1"/>
  <c r="AL102" i="1"/>
  <c r="Y102" i="1"/>
  <c r="X102" i="1"/>
  <c r="Z102" i="1" s="1"/>
  <c r="W102" i="1"/>
  <c r="T102" i="1"/>
  <c r="U102" i="1" s="1"/>
  <c r="AT102" i="1" s="1"/>
  <c r="AV102" i="1" s="1"/>
  <c r="AW102" i="1" s="1"/>
  <c r="R102" i="1"/>
  <c r="Q102" i="1"/>
  <c r="J102" i="1"/>
  <c r="B102" i="1"/>
  <c r="BC101" i="1"/>
  <c r="AZ101" i="1"/>
  <c r="AS101" i="1"/>
  <c r="AR101" i="1"/>
  <c r="AQ101" i="1"/>
  <c r="AP101" i="1"/>
  <c r="AL101" i="1"/>
  <c r="Z101" i="1"/>
  <c r="Y101" i="1"/>
  <c r="X101" i="1"/>
  <c r="W101" i="1"/>
  <c r="Q101" i="1"/>
  <c r="R101" i="1" s="1"/>
  <c r="J101" i="1"/>
  <c r="B101" i="1"/>
  <c r="BC100" i="1"/>
  <c r="AZ100" i="1"/>
  <c r="AU100" i="1"/>
  <c r="AX100" i="1" s="1"/>
  <c r="AS100" i="1"/>
  <c r="AR100" i="1"/>
  <c r="AQ100" i="1"/>
  <c r="AP100" i="1"/>
  <c r="AL100" i="1"/>
  <c r="Z100" i="1"/>
  <c r="Y100" i="1"/>
  <c r="X100" i="1"/>
  <c r="W100" i="1"/>
  <c r="T100" i="1"/>
  <c r="R100" i="1"/>
  <c r="Q100" i="1"/>
  <c r="J100" i="1"/>
  <c r="B100" i="1"/>
  <c r="BC99" i="1"/>
  <c r="AZ99" i="1"/>
  <c r="AS99" i="1"/>
  <c r="AR99" i="1"/>
  <c r="AQ99" i="1"/>
  <c r="AP99" i="1"/>
  <c r="AL99" i="1"/>
  <c r="Z99" i="1"/>
  <c r="X99" i="1"/>
  <c r="Y99" i="1" s="1"/>
  <c r="W99" i="1"/>
  <c r="T99" i="1"/>
  <c r="R99" i="1"/>
  <c r="Q99" i="1"/>
  <c r="J99" i="1"/>
  <c r="B99" i="1"/>
  <c r="BC98" i="1"/>
  <c r="AZ98" i="1"/>
  <c r="AS98" i="1"/>
  <c r="AR98" i="1"/>
  <c r="AQ98" i="1"/>
  <c r="AP98" i="1"/>
  <c r="AL98" i="1"/>
  <c r="X98" i="1"/>
  <c r="W98" i="1"/>
  <c r="Q98" i="1"/>
  <c r="R98" i="1" s="1"/>
  <c r="J98" i="1"/>
  <c r="B98" i="1"/>
  <c r="BC97" i="1"/>
  <c r="AZ97" i="1"/>
  <c r="AS97" i="1"/>
  <c r="AR97" i="1"/>
  <c r="AQ97" i="1"/>
  <c r="AP97" i="1"/>
  <c r="AL97" i="1"/>
  <c r="Y97" i="1"/>
  <c r="X97" i="1"/>
  <c r="Z97" i="1" s="1"/>
  <c r="W97" i="1"/>
  <c r="R97" i="1"/>
  <c r="Q97" i="1"/>
  <c r="J97" i="1"/>
  <c r="B97" i="1"/>
  <c r="BC96" i="1"/>
  <c r="AZ96" i="1"/>
  <c r="AU96" i="1"/>
  <c r="AX96" i="1" s="1"/>
  <c r="AS96" i="1"/>
  <c r="AR96" i="1"/>
  <c r="AQ96" i="1"/>
  <c r="AP96" i="1"/>
  <c r="AL96" i="1"/>
  <c r="Z96" i="1"/>
  <c r="Y96" i="1"/>
  <c r="X96" i="1"/>
  <c r="W96" i="1"/>
  <c r="T96" i="1"/>
  <c r="R96" i="1"/>
  <c r="Q96" i="1"/>
  <c r="J96" i="1"/>
  <c r="B96" i="1"/>
  <c r="BC95" i="1"/>
  <c r="AZ95" i="1"/>
  <c r="AS95" i="1"/>
  <c r="AR95" i="1"/>
  <c r="AQ95" i="1"/>
  <c r="AP95" i="1"/>
  <c r="AL95" i="1"/>
  <c r="Z95" i="1"/>
  <c r="Y95" i="1"/>
  <c r="X95" i="1"/>
  <c r="W95" i="1"/>
  <c r="T95" i="1"/>
  <c r="R95" i="1"/>
  <c r="Q95" i="1"/>
  <c r="J95" i="1"/>
  <c r="AU95" i="1" s="1"/>
  <c r="AX95" i="1" s="1"/>
  <c r="B95" i="1"/>
  <c r="BC94" i="1"/>
  <c r="AZ94" i="1"/>
  <c r="AX94" i="1"/>
  <c r="AU94" i="1"/>
  <c r="AS94" i="1"/>
  <c r="AR94" i="1"/>
  <c r="AQ94" i="1"/>
  <c r="AP94" i="1"/>
  <c r="AL94" i="1"/>
  <c r="Z94" i="1"/>
  <c r="X94" i="1"/>
  <c r="Y94" i="1" s="1"/>
  <c r="W94" i="1"/>
  <c r="T94" i="1"/>
  <c r="S94" i="1"/>
  <c r="R94" i="1"/>
  <c r="Q94" i="1"/>
  <c r="J94" i="1"/>
  <c r="B94" i="1"/>
  <c r="BC93" i="1"/>
  <c r="AZ93" i="1"/>
  <c r="AS93" i="1"/>
  <c r="AR93" i="1"/>
  <c r="AQ93" i="1"/>
  <c r="AP93" i="1"/>
  <c r="AL93" i="1"/>
  <c r="Y93" i="1"/>
  <c r="X93" i="1"/>
  <c r="Z93" i="1" s="1"/>
  <c r="W93" i="1"/>
  <c r="R93" i="1"/>
  <c r="Q93" i="1"/>
  <c r="J93" i="1"/>
  <c r="B93" i="1"/>
  <c r="BC92" i="1"/>
  <c r="AZ92" i="1"/>
  <c r="AS92" i="1"/>
  <c r="AR92" i="1"/>
  <c r="AQ92" i="1"/>
  <c r="AP92" i="1"/>
  <c r="AL92" i="1"/>
  <c r="Y92" i="1"/>
  <c r="X92" i="1"/>
  <c r="Z92" i="1" s="1"/>
  <c r="W92" i="1"/>
  <c r="R92" i="1"/>
  <c r="Q92" i="1"/>
  <c r="J92" i="1"/>
  <c r="B92" i="1"/>
  <c r="BC91" i="1"/>
  <c r="AZ91" i="1"/>
  <c r="AX91" i="1"/>
  <c r="AU91" i="1"/>
  <c r="AS91" i="1"/>
  <c r="AR91" i="1"/>
  <c r="AQ91" i="1"/>
  <c r="AP91" i="1"/>
  <c r="AL91" i="1"/>
  <c r="Z91" i="1"/>
  <c r="Y91" i="1"/>
  <c r="X91" i="1"/>
  <c r="W91" i="1"/>
  <c r="R91" i="1"/>
  <c r="Q91" i="1"/>
  <c r="J91" i="1"/>
  <c r="B91" i="1"/>
  <c r="BC90" i="1"/>
  <c r="AZ90" i="1"/>
  <c r="AS90" i="1"/>
  <c r="AR90" i="1"/>
  <c r="AQ90" i="1"/>
  <c r="AP90" i="1"/>
  <c r="AL90" i="1"/>
  <c r="Z90" i="1"/>
  <c r="Y90" i="1"/>
  <c r="X90" i="1"/>
  <c r="W90" i="1"/>
  <c r="R90" i="1"/>
  <c r="Q90" i="1"/>
  <c r="J90" i="1"/>
  <c r="B90" i="1"/>
  <c r="BC89" i="1"/>
  <c r="AZ89" i="1"/>
  <c r="AX89" i="1"/>
  <c r="AU89" i="1"/>
  <c r="AS89" i="1"/>
  <c r="AR89" i="1"/>
  <c r="AQ89" i="1"/>
  <c r="AP89" i="1"/>
  <c r="AL89" i="1"/>
  <c r="Y89" i="1"/>
  <c r="X89" i="1"/>
  <c r="Z89" i="1" s="1"/>
  <c r="W89" i="1"/>
  <c r="T89" i="1"/>
  <c r="R89" i="1"/>
  <c r="S89" i="1" s="1"/>
  <c r="BK89" i="1" s="1"/>
  <c r="Q89" i="1"/>
  <c r="J89" i="1"/>
  <c r="B89" i="1"/>
  <c r="BC88" i="1"/>
  <c r="AZ88" i="1"/>
  <c r="AU88" i="1"/>
  <c r="AX88" i="1" s="1"/>
  <c r="AS88" i="1"/>
  <c r="AR88" i="1"/>
  <c r="AQ88" i="1"/>
  <c r="AP88" i="1"/>
  <c r="AL88" i="1"/>
  <c r="Y88" i="1"/>
  <c r="X88" i="1"/>
  <c r="Z88" i="1" s="1"/>
  <c r="W88" i="1"/>
  <c r="T88" i="1"/>
  <c r="S88" i="1"/>
  <c r="R88" i="1"/>
  <c r="Q88" i="1"/>
  <c r="J88" i="1"/>
  <c r="B88" i="1"/>
  <c r="BC87" i="1"/>
  <c r="AZ87" i="1"/>
  <c r="AS87" i="1"/>
  <c r="AR87" i="1"/>
  <c r="AQ87" i="1"/>
  <c r="AP87" i="1"/>
  <c r="AL87" i="1"/>
  <c r="X87" i="1"/>
  <c r="Z87" i="1" s="1"/>
  <c r="W87" i="1"/>
  <c r="Q87" i="1"/>
  <c r="R87" i="1" s="1"/>
  <c r="J87" i="1"/>
  <c r="B87" i="1"/>
  <c r="BC86" i="1"/>
  <c r="AZ86" i="1"/>
  <c r="AX86" i="1"/>
  <c r="AU86" i="1"/>
  <c r="AS86" i="1"/>
  <c r="AR86" i="1"/>
  <c r="AQ86" i="1"/>
  <c r="AP86" i="1"/>
  <c r="AL86" i="1"/>
  <c r="Z86" i="1"/>
  <c r="Y86" i="1"/>
  <c r="X86" i="1"/>
  <c r="W86" i="1"/>
  <c r="T86" i="1"/>
  <c r="U86" i="1" s="1"/>
  <c r="AT86" i="1" s="1"/>
  <c r="AV86" i="1" s="1"/>
  <c r="AW86" i="1" s="1"/>
  <c r="R86" i="1"/>
  <c r="Q86" i="1"/>
  <c r="J86" i="1"/>
  <c r="B86" i="1"/>
  <c r="BC85" i="1"/>
  <c r="AZ85" i="1"/>
  <c r="AX85" i="1"/>
  <c r="AU85" i="1"/>
  <c r="AS85" i="1"/>
  <c r="AR85" i="1"/>
  <c r="AQ85" i="1"/>
  <c r="AP85" i="1"/>
  <c r="AL85" i="1"/>
  <c r="Z85" i="1"/>
  <c r="Y85" i="1"/>
  <c r="X85" i="1"/>
  <c r="W85" i="1"/>
  <c r="S85" i="1"/>
  <c r="R85" i="1"/>
  <c r="Q85" i="1"/>
  <c r="J85" i="1"/>
  <c r="B85" i="1"/>
  <c r="BC84" i="1"/>
  <c r="AZ84" i="1"/>
  <c r="AS84" i="1"/>
  <c r="AR84" i="1"/>
  <c r="AQ84" i="1"/>
  <c r="AP84" i="1"/>
  <c r="AL84" i="1"/>
  <c r="Z84" i="1"/>
  <c r="Y84" i="1"/>
  <c r="X84" i="1"/>
  <c r="W84" i="1"/>
  <c r="R84" i="1"/>
  <c r="Q84" i="1"/>
  <c r="J84" i="1"/>
  <c r="B84" i="1"/>
  <c r="BC83" i="1"/>
  <c r="AZ83" i="1"/>
  <c r="AS83" i="1"/>
  <c r="AR83" i="1"/>
  <c r="AQ83" i="1"/>
  <c r="AP83" i="1"/>
  <c r="AL83" i="1"/>
  <c r="Y83" i="1"/>
  <c r="X83" i="1"/>
  <c r="Z83" i="1" s="1"/>
  <c r="W83" i="1"/>
  <c r="Q83" i="1"/>
  <c r="R83" i="1" s="1"/>
  <c r="J83" i="1"/>
  <c r="B83" i="1"/>
  <c r="BC82" i="1"/>
  <c r="AZ82" i="1"/>
  <c r="AS82" i="1"/>
  <c r="AR82" i="1"/>
  <c r="AQ82" i="1"/>
  <c r="AP82" i="1"/>
  <c r="AL82" i="1"/>
  <c r="X82" i="1"/>
  <c r="W82" i="1"/>
  <c r="T82" i="1"/>
  <c r="Q82" i="1"/>
  <c r="R82" i="1" s="1"/>
  <c r="J82" i="1"/>
  <c r="B82" i="1"/>
  <c r="BC81" i="1"/>
  <c r="AZ81" i="1"/>
  <c r="AU81" i="1"/>
  <c r="AX81" i="1" s="1"/>
  <c r="AS81" i="1"/>
  <c r="AR81" i="1"/>
  <c r="AQ81" i="1"/>
  <c r="AP81" i="1"/>
  <c r="AL81" i="1"/>
  <c r="Z81" i="1"/>
  <c r="Y81" i="1"/>
  <c r="X81" i="1"/>
  <c r="W81" i="1"/>
  <c r="U81" i="1"/>
  <c r="AT81" i="1" s="1"/>
  <c r="AV81" i="1" s="1"/>
  <c r="AW81" i="1" s="1"/>
  <c r="T81" i="1"/>
  <c r="Q81" i="1"/>
  <c r="R81" i="1" s="1"/>
  <c r="J81" i="1"/>
  <c r="B81" i="1"/>
  <c r="BC80" i="1"/>
  <c r="AZ80" i="1"/>
  <c r="AX80" i="1"/>
  <c r="AW80" i="1"/>
  <c r="AU80" i="1"/>
  <c r="AS80" i="1"/>
  <c r="AR80" i="1"/>
  <c r="AQ80" i="1"/>
  <c r="AP80" i="1"/>
  <c r="AL80" i="1"/>
  <c r="Z80" i="1"/>
  <c r="Y80" i="1"/>
  <c r="BK80" i="1" s="1"/>
  <c r="X80" i="1"/>
  <c r="W80" i="1"/>
  <c r="T80" i="1"/>
  <c r="U80" i="1" s="1"/>
  <c r="AT80" i="1" s="1"/>
  <c r="AV80" i="1" s="1"/>
  <c r="S80" i="1"/>
  <c r="R80" i="1"/>
  <c r="Q80" i="1"/>
  <c r="J80" i="1"/>
  <c r="B80" i="1"/>
  <c r="BC79" i="1"/>
  <c r="AZ79" i="1"/>
  <c r="AS79" i="1"/>
  <c r="AR79" i="1"/>
  <c r="AQ79" i="1"/>
  <c r="AP79" i="1"/>
  <c r="AL79" i="1"/>
  <c r="Z79" i="1"/>
  <c r="X79" i="1"/>
  <c r="Y79" i="1" s="1"/>
  <c r="W79" i="1"/>
  <c r="R79" i="1"/>
  <c r="Q79" i="1"/>
  <c r="J79" i="1"/>
  <c r="S79" i="1" s="1"/>
  <c r="BK79" i="1" s="1"/>
  <c r="B79" i="1"/>
  <c r="BC78" i="1"/>
  <c r="AZ78" i="1"/>
  <c r="AU78" i="1"/>
  <c r="AX78" i="1" s="1"/>
  <c r="AS78" i="1"/>
  <c r="AR78" i="1"/>
  <c r="AQ78" i="1"/>
  <c r="AP78" i="1"/>
  <c r="AL78" i="1"/>
  <c r="Y78" i="1"/>
  <c r="BK78" i="1" s="1"/>
  <c r="X78" i="1"/>
  <c r="Z78" i="1" s="1"/>
  <c r="W78" i="1"/>
  <c r="Q78" i="1"/>
  <c r="R78" i="1" s="1"/>
  <c r="S78" i="1" s="1"/>
  <c r="J78" i="1"/>
  <c r="B78" i="1"/>
  <c r="BC77" i="1"/>
  <c r="AZ77" i="1"/>
  <c r="AU77" i="1"/>
  <c r="AX77" i="1" s="1"/>
  <c r="AS77" i="1"/>
  <c r="AR77" i="1"/>
  <c r="AQ77" i="1"/>
  <c r="AP77" i="1"/>
  <c r="AL77" i="1"/>
  <c r="Y77" i="1"/>
  <c r="X77" i="1"/>
  <c r="Z77" i="1" s="1"/>
  <c r="W77" i="1"/>
  <c r="Q77" i="1"/>
  <c r="R77" i="1" s="1"/>
  <c r="J77" i="1"/>
  <c r="B77" i="1"/>
  <c r="BC76" i="1"/>
  <c r="AZ76" i="1"/>
  <c r="AS76" i="1"/>
  <c r="AR76" i="1"/>
  <c r="AQ76" i="1"/>
  <c r="AP76" i="1"/>
  <c r="AL76" i="1"/>
  <c r="Z76" i="1"/>
  <c r="Y76" i="1"/>
  <c r="X76" i="1"/>
  <c r="W76" i="1"/>
  <c r="Q76" i="1"/>
  <c r="R76" i="1" s="1"/>
  <c r="J76" i="1"/>
  <c r="T76" i="1" s="1"/>
  <c r="B76" i="1"/>
  <c r="BC75" i="1"/>
  <c r="AZ75" i="1"/>
  <c r="AU75" i="1"/>
  <c r="AX75" i="1" s="1"/>
  <c r="AS75" i="1"/>
  <c r="AR75" i="1"/>
  <c r="AQ75" i="1"/>
  <c r="AP75" i="1"/>
  <c r="AL75" i="1"/>
  <c r="Z75" i="1"/>
  <c r="Y75" i="1"/>
  <c r="X75" i="1"/>
  <c r="W75" i="1"/>
  <c r="U75" i="1"/>
  <c r="AT75" i="1" s="1"/>
  <c r="AV75" i="1" s="1"/>
  <c r="AW75" i="1" s="1"/>
  <c r="T75" i="1"/>
  <c r="R75" i="1"/>
  <c r="S75" i="1" s="1"/>
  <c r="BK75" i="1" s="1"/>
  <c r="Q75" i="1"/>
  <c r="J75" i="1"/>
  <c r="B75" i="1"/>
  <c r="BC74" i="1"/>
  <c r="AZ74" i="1"/>
  <c r="AU74" i="1"/>
  <c r="AX74" i="1" s="1"/>
  <c r="AS74" i="1"/>
  <c r="AR74" i="1"/>
  <c r="AQ74" i="1"/>
  <c r="AP74" i="1"/>
  <c r="AL74" i="1"/>
  <c r="X74" i="1"/>
  <c r="Z74" i="1" s="1"/>
  <c r="W74" i="1"/>
  <c r="U74" i="1"/>
  <c r="AT74" i="1" s="1"/>
  <c r="AV74" i="1" s="1"/>
  <c r="AW74" i="1" s="1"/>
  <c r="S74" i="1"/>
  <c r="R74" i="1"/>
  <c r="Q74" i="1"/>
  <c r="J74" i="1"/>
  <c r="T74" i="1" s="1"/>
  <c r="B74" i="1"/>
  <c r="BC73" i="1"/>
  <c r="AZ73" i="1"/>
  <c r="AS73" i="1"/>
  <c r="AR73" i="1"/>
  <c r="AQ73" i="1"/>
  <c r="AP73" i="1"/>
  <c r="AL73" i="1"/>
  <c r="Z73" i="1"/>
  <c r="Y73" i="1"/>
  <c r="X73" i="1"/>
  <c r="W73" i="1"/>
  <c r="Q73" i="1"/>
  <c r="R73" i="1" s="1"/>
  <c r="J73" i="1"/>
  <c r="B73" i="1"/>
  <c r="BC72" i="1"/>
  <c r="AZ72" i="1"/>
  <c r="AS72" i="1"/>
  <c r="AR72" i="1"/>
  <c r="AQ72" i="1"/>
  <c r="AP72" i="1"/>
  <c r="AL72" i="1"/>
  <c r="X72" i="1"/>
  <c r="W72" i="1"/>
  <c r="S72" i="1"/>
  <c r="R72" i="1"/>
  <c r="Q72" i="1"/>
  <c r="J72" i="1"/>
  <c r="T72" i="1" s="1"/>
  <c r="B72" i="1"/>
  <c r="BC71" i="1"/>
  <c r="AZ71" i="1"/>
  <c r="AU71" i="1"/>
  <c r="AX71" i="1" s="1"/>
  <c r="AS71" i="1"/>
  <c r="AR71" i="1"/>
  <c r="AQ71" i="1"/>
  <c r="AP71" i="1"/>
  <c r="AL71" i="1"/>
  <c r="Y71" i="1"/>
  <c r="X71" i="1"/>
  <c r="Z71" i="1" s="1"/>
  <c r="W71" i="1"/>
  <c r="R71" i="1"/>
  <c r="Q71" i="1"/>
  <c r="J71" i="1"/>
  <c r="B71" i="1"/>
  <c r="BC70" i="1"/>
  <c r="AZ70" i="1"/>
  <c r="AS70" i="1"/>
  <c r="AR70" i="1"/>
  <c r="AQ70" i="1"/>
  <c r="AP70" i="1"/>
  <c r="AL70" i="1"/>
  <c r="Z70" i="1"/>
  <c r="Y70" i="1"/>
  <c r="X70" i="1"/>
  <c r="W70" i="1"/>
  <c r="Q70" i="1"/>
  <c r="R70" i="1" s="1"/>
  <c r="J70" i="1"/>
  <c r="B70" i="1"/>
  <c r="BC69" i="1"/>
  <c r="AZ69" i="1"/>
  <c r="AX69" i="1"/>
  <c r="AS69" i="1"/>
  <c r="AR69" i="1"/>
  <c r="AQ69" i="1"/>
  <c r="AP69" i="1"/>
  <c r="AL69" i="1"/>
  <c r="X69" i="1"/>
  <c r="W69" i="1"/>
  <c r="T69" i="1"/>
  <c r="U69" i="1" s="1"/>
  <c r="AT69" i="1" s="1"/>
  <c r="AV69" i="1" s="1"/>
  <c r="AW69" i="1" s="1"/>
  <c r="S69" i="1"/>
  <c r="R69" i="1"/>
  <c r="Q69" i="1"/>
  <c r="J69" i="1"/>
  <c r="AU69" i="1" s="1"/>
  <c r="B69" i="1"/>
  <c r="BC68" i="1"/>
  <c r="AZ68" i="1"/>
  <c r="AX68" i="1"/>
  <c r="AU68" i="1"/>
  <c r="AS68" i="1"/>
  <c r="AR68" i="1"/>
  <c r="AQ68" i="1"/>
  <c r="AP68" i="1"/>
  <c r="AL68" i="1"/>
  <c r="X68" i="1"/>
  <c r="Z68" i="1" s="1"/>
  <c r="W68" i="1"/>
  <c r="T68" i="1"/>
  <c r="S68" i="1"/>
  <c r="R68" i="1"/>
  <c r="Q68" i="1"/>
  <c r="J68" i="1"/>
  <c r="B68" i="1"/>
  <c r="BC67" i="1"/>
  <c r="AZ67" i="1"/>
  <c r="AU67" i="1"/>
  <c r="AX67" i="1" s="1"/>
  <c r="AT67" i="1"/>
  <c r="AV67" i="1" s="1"/>
  <c r="AW67" i="1" s="1"/>
  <c r="AS67" i="1"/>
  <c r="AR67" i="1"/>
  <c r="AQ67" i="1"/>
  <c r="AP67" i="1"/>
  <c r="AL67" i="1"/>
  <c r="X67" i="1"/>
  <c r="Z67" i="1" s="1"/>
  <c r="W67" i="1"/>
  <c r="T67" i="1"/>
  <c r="U67" i="1" s="1"/>
  <c r="S67" i="1"/>
  <c r="Q67" i="1"/>
  <c r="R67" i="1" s="1"/>
  <c r="J67" i="1"/>
  <c r="B67" i="1"/>
  <c r="BC66" i="1"/>
  <c r="AZ66" i="1"/>
  <c r="AS66" i="1"/>
  <c r="AR66" i="1"/>
  <c r="AQ66" i="1"/>
  <c r="AP66" i="1"/>
  <c r="AL66" i="1"/>
  <c r="Z66" i="1"/>
  <c r="X66" i="1"/>
  <c r="Y66" i="1" s="1"/>
  <c r="W66" i="1"/>
  <c r="R66" i="1"/>
  <c r="Q66" i="1"/>
  <c r="J66" i="1"/>
  <c r="B66" i="1"/>
  <c r="BC65" i="1"/>
  <c r="AZ65" i="1"/>
  <c r="AS65" i="1"/>
  <c r="AR65" i="1"/>
  <c r="AQ65" i="1"/>
  <c r="AP65" i="1"/>
  <c r="AL65" i="1"/>
  <c r="Z65" i="1"/>
  <c r="Y65" i="1"/>
  <c r="X65" i="1"/>
  <c r="W65" i="1"/>
  <c r="T65" i="1"/>
  <c r="U65" i="1" s="1"/>
  <c r="AT65" i="1" s="1"/>
  <c r="AV65" i="1" s="1"/>
  <c r="AW65" i="1" s="1"/>
  <c r="Q65" i="1"/>
  <c r="R65" i="1" s="1"/>
  <c r="S65" i="1" s="1"/>
  <c r="BK65" i="1" s="1"/>
  <c r="J65" i="1"/>
  <c r="AU65" i="1" s="1"/>
  <c r="AX65" i="1" s="1"/>
  <c r="B65" i="1"/>
  <c r="BC64" i="1"/>
  <c r="AZ64" i="1"/>
  <c r="AU64" i="1"/>
  <c r="AX64" i="1" s="1"/>
  <c r="AS64" i="1"/>
  <c r="AR64" i="1"/>
  <c r="AQ64" i="1"/>
  <c r="AP64" i="1"/>
  <c r="AL64" i="1"/>
  <c r="Y64" i="1"/>
  <c r="X64" i="1"/>
  <c r="Z64" i="1" s="1"/>
  <c r="W64" i="1"/>
  <c r="T64" i="1"/>
  <c r="U64" i="1" s="1"/>
  <c r="AT64" i="1" s="1"/>
  <c r="AV64" i="1" s="1"/>
  <c r="AW64" i="1" s="1"/>
  <c r="S64" i="1"/>
  <c r="R64" i="1"/>
  <c r="Q64" i="1"/>
  <c r="J64" i="1"/>
  <c r="B64" i="1"/>
  <c r="BC63" i="1"/>
  <c r="AZ63" i="1"/>
  <c r="AS63" i="1"/>
  <c r="AR63" i="1"/>
  <c r="AQ63" i="1"/>
  <c r="AP63" i="1"/>
  <c r="AL63" i="1"/>
  <c r="Z63" i="1"/>
  <c r="Y63" i="1"/>
  <c r="X63" i="1"/>
  <c r="W63" i="1"/>
  <c r="Q63" i="1"/>
  <c r="R63" i="1" s="1"/>
  <c r="J63" i="1"/>
  <c r="B63" i="1"/>
  <c r="BC62" i="1"/>
  <c r="AZ62" i="1"/>
  <c r="AS62" i="1"/>
  <c r="AR62" i="1"/>
  <c r="AQ62" i="1"/>
  <c r="AP62" i="1"/>
  <c r="AL62" i="1"/>
  <c r="X62" i="1"/>
  <c r="W62" i="1"/>
  <c r="Q62" i="1"/>
  <c r="R62" i="1" s="1"/>
  <c r="J62" i="1"/>
  <c r="B62" i="1"/>
  <c r="BC61" i="1"/>
  <c r="AZ61" i="1"/>
  <c r="AS61" i="1"/>
  <c r="AR61" i="1"/>
  <c r="AQ61" i="1"/>
  <c r="AP61" i="1"/>
  <c r="AL61" i="1"/>
  <c r="X61" i="1"/>
  <c r="Y61" i="1" s="1"/>
  <c r="W61" i="1"/>
  <c r="Q61" i="1"/>
  <c r="R61" i="1" s="1"/>
  <c r="J61" i="1"/>
  <c r="B61" i="1"/>
  <c r="BC60" i="1"/>
  <c r="AZ60" i="1"/>
  <c r="AX60" i="1"/>
  <c r="AU60" i="1"/>
  <c r="AS60" i="1"/>
  <c r="AR60" i="1"/>
  <c r="AQ60" i="1"/>
  <c r="AP60" i="1"/>
  <c r="AL60" i="1"/>
  <c r="Z60" i="1"/>
  <c r="Y60" i="1"/>
  <c r="X60" i="1"/>
  <c r="W60" i="1"/>
  <c r="T60" i="1"/>
  <c r="U60" i="1" s="1"/>
  <c r="AT60" i="1" s="1"/>
  <c r="AV60" i="1" s="1"/>
  <c r="AW60" i="1" s="1"/>
  <c r="S60" i="1"/>
  <c r="Q60" i="1"/>
  <c r="R60" i="1" s="1"/>
  <c r="J60" i="1"/>
  <c r="B60" i="1"/>
  <c r="BC59" i="1"/>
  <c r="AZ59" i="1"/>
  <c r="AS59" i="1"/>
  <c r="AR59" i="1"/>
  <c r="AQ59" i="1"/>
  <c r="AP59" i="1"/>
  <c r="AL59" i="1"/>
  <c r="X59" i="1"/>
  <c r="Z59" i="1" s="1"/>
  <c r="W59" i="1"/>
  <c r="R59" i="1"/>
  <c r="Q59" i="1"/>
  <c r="J59" i="1"/>
  <c r="B59" i="1"/>
  <c r="BC58" i="1"/>
  <c r="AZ58" i="1"/>
  <c r="AS58" i="1"/>
  <c r="AR58" i="1"/>
  <c r="AQ58" i="1"/>
  <c r="AP58" i="1"/>
  <c r="AL58" i="1"/>
  <c r="Y58" i="1"/>
  <c r="X58" i="1"/>
  <c r="Z58" i="1" s="1"/>
  <c r="W58" i="1"/>
  <c r="T58" i="1"/>
  <c r="Q58" i="1"/>
  <c r="R58" i="1" s="1"/>
  <c r="J58" i="1"/>
  <c r="B58" i="1"/>
  <c r="BC57" i="1"/>
  <c r="AZ57" i="1"/>
  <c r="AU57" i="1"/>
  <c r="AX57" i="1" s="1"/>
  <c r="AS57" i="1"/>
  <c r="AR57" i="1"/>
  <c r="AQ57" i="1"/>
  <c r="AP57" i="1"/>
  <c r="AL57" i="1"/>
  <c r="X57" i="1"/>
  <c r="W57" i="1"/>
  <c r="T57" i="1"/>
  <c r="Q57" i="1"/>
  <c r="R57" i="1" s="1"/>
  <c r="S57" i="1" s="1"/>
  <c r="J57" i="1"/>
  <c r="B57" i="1"/>
  <c r="BC56" i="1"/>
  <c r="AZ56" i="1"/>
  <c r="AS56" i="1"/>
  <c r="AR56" i="1"/>
  <c r="AQ56" i="1"/>
  <c r="AP56" i="1"/>
  <c r="AL56" i="1"/>
  <c r="X56" i="1"/>
  <c r="Z56" i="1" s="1"/>
  <c r="W56" i="1"/>
  <c r="R56" i="1"/>
  <c r="Q56" i="1"/>
  <c r="J56" i="1"/>
  <c r="B56" i="1"/>
  <c r="BC55" i="1"/>
  <c r="AZ55" i="1"/>
  <c r="AS55" i="1"/>
  <c r="AR55" i="1"/>
  <c r="AQ55" i="1"/>
  <c r="AP55" i="1"/>
  <c r="AL55" i="1"/>
  <c r="X55" i="1"/>
  <c r="Z55" i="1" s="1"/>
  <c r="W55" i="1"/>
  <c r="Q55" i="1"/>
  <c r="R55" i="1" s="1"/>
  <c r="S55" i="1" s="1"/>
  <c r="J55" i="1"/>
  <c r="B55" i="1"/>
  <c r="BC54" i="1"/>
  <c r="AZ54" i="1"/>
  <c r="AU54" i="1"/>
  <c r="AX54" i="1" s="1"/>
  <c r="AS54" i="1"/>
  <c r="AR54" i="1"/>
  <c r="AQ54" i="1"/>
  <c r="AP54" i="1"/>
  <c r="AL54" i="1"/>
  <c r="Z54" i="1"/>
  <c r="X54" i="1"/>
  <c r="Y54" i="1" s="1"/>
  <c r="W54" i="1"/>
  <c r="T54" i="1"/>
  <c r="U54" i="1" s="1"/>
  <c r="AT54" i="1" s="1"/>
  <c r="AV54" i="1" s="1"/>
  <c r="AW54" i="1" s="1"/>
  <c r="Q54" i="1"/>
  <c r="R54" i="1" s="1"/>
  <c r="S54" i="1" s="1"/>
  <c r="BK54" i="1" s="1"/>
  <c r="J54" i="1"/>
  <c r="B54" i="1"/>
  <c r="BC53" i="1"/>
  <c r="AZ53" i="1"/>
  <c r="AS53" i="1"/>
  <c r="AR53" i="1"/>
  <c r="AQ53" i="1"/>
  <c r="AP53" i="1"/>
  <c r="AL53" i="1"/>
  <c r="Y53" i="1"/>
  <c r="X53" i="1"/>
  <c r="Z53" i="1" s="1"/>
  <c r="W53" i="1"/>
  <c r="Q53" i="1"/>
  <c r="R53" i="1" s="1"/>
  <c r="J53" i="1"/>
  <c r="B53" i="1"/>
  <c r="BC52" i="1"/>
  <c r="AZ52" i="1"/>
  <c r="AS52" i="1"/>
  <c r="AR52" i="1"/>
  <c r="AQ52" i="1"/>
  <c r="AP52" i="1"/>
  <c r="AL52" i="1"/>
  <c r="X52" i="1"/>
  <c r="W52" i="1"/>
  <c r="Q52" i="1"/>
  <c r="R52" i="1" s="1"/>
  <c r="J52" i="1"/>
  <c r="B52" i="1"/>
  <c r="BC51" i="1"/>
  <c r="AZ51" i="1"/>
  <c r="AX51" i="1"/>
  <c r="AU51" i="1"/>
  <c r="AS51" i="1"/>
  <c r="AR51" i="1"/>
  <c r="AQ51" i="1"/>
  <c r="AP51" i="1"/>
  <c r="AL51" i="1"/>
  <c r="Z51" i="1"/>
  <c r="Y51" i="1"/>
  <c r="X51" i="1"/>
  <c r="W51" i="1"/>
  <c r="T51" i="1"/>
  <c r="U51" i="1" s="1"/>
  <c r="AT51" i="1" s="1"/>
  <c r="AV51" i="1" s="1"/>
  <c r="AW51" i="1" s="1"/>
  <c r="S51" i="1"/>
  <c r="Q51" i="1"/>
  <c r="R51" i="1" s="1"/>
  <c r="J51" i="1"/>
  <c r="B51" i="1"/>
  <c r="BC50" i="1"/>
  <c r="AZ50" i="1"/>
  <c r="AS50" i="1"/>
  <c r="AR50" i="1"/>
  <c r="AQ50" i="1"/>
  <c r="AP50" i="1"/>
  <c r="AL50" i="1"/>
  <c r="X50" i="1"/>
  <c r="W50" i="1"/>
  <c r="Q50" i="1"/>
  <c r="R50" i="1" s="1"/>
  <c r="J50" i="1"/>
  <c r="B50" i="1"/>
  <c r="BC49" i="1"/>
  <c r="AZ49" i="1"/>
  <c r="AX49" i="1"/>
  <c r="AU49" i="1"/>
  <c r="AS49" i="1"/>
  <c r="AR49" i="1"/>
  <c r="AQ49" i="1"/>
  <c r="AP49" i="1"/>
  <c r="AL49" i="1"/>
  <c r="X49" i="1"/>
  <c r="Y49" i="1" s="1"/>
  <c r="W49" i="1"/>
  <c r="T49" i="1"/>
  <c r="U49" i="1" s="1"/>
  <c r="AT49" i="1" s="1"/>
  <c r="AV49" i="1" s="1"/>
  <c r="AW49" i="1" s="1"/>
  <c r="S49" i="1"/>
  <c r="R49" i="1"/>
  <c r="Q49" i="1"/>
  <c r="J49" i="1"/>
  <c r="B49" i="1"/>
  <c r="BC48" i="1"/>
  <c r="AZ48" i="1"/>
  <c r="AU48" i="1"/>
  <c r="AX48" i="1" s="1"/>
  <c r="AS48" i="1"/>
  <c r="AR48" i="1"/>
  <c r="AQ48" i="1"/>
  <c r="AP48" i="1"/>
  <c r="AL48" i="1"/>
  <c r="Z48" i="1"/>
  <c r="X48" i="1"/>
  <c r="Y48" i="1" s="1"/>
  <c r="W48" i="1"/>
  <c r="S48" i="1"/>
  <c r="Q48" i="1"/>
  <c r="R48" i="1" s="1"/>
  <c r="J48" i="1"/>
  <c r="B48" i="1"/>
  <c r="BC47" i="1"/>
  <c r="AZ47" i="1"/>
  <c r="AS47" i="1"/>
  <c r="AR47" i="1"/>
  <c r="AQ47" i="1"/>
  <c r="AP47" i="1"/>
  <c r="AL47" i="1"/>
  <c r="Z47" i="1"/>
  <c r="X47" i="1"/>
  <c r="Y47" i="1" s="1"/>
  <c r="W47" i="1"/>
  <c r="Q47" i="1"/>
  <c r="R47" i="1" s="1"/>
  <c r="J47" i="1"/>
  <c r="AU47" i="1" s="1"/>
  <c r="AX47" i="1" s="1"/>
  <c r="B47" i="1"/>
  <c r="BC46" i="1"/>
  <c r="AZ46" i="1"/>
  <c r="AU46" i="1"/>
  <c r="AX46" i="1" s="1"/>
  <c r="AS46" i="1"/>
  <c r="AR46" i="1"/>
  <c r="AQ46" i="1"/>
  <c r="AP46" i="1"/>
  <c r="AL46" i="1"/>
  <c r="Y46" i="1"/>
  <c r="X46" i="1"/>
  <c r="Z46" i="1" s="1"/>
  <c r="W46" i="1"/>
  <c r="T46" i="1"/>
  <c r="Q46" i="1"/>
  <c r="R46" i="1" s="1"/>
  <c r="S46" i="1" s="1"/>
  <c r="BK46" i="1" s="1"/>
  <c r="J46" i="1"/>
  <c r="B46" i="1"/>
  <c r="BC45" i="1"/>
  <c r="AZ45" i="1"/>
  <c r="AS45" i="1"/>
  <c r="AR45" i="1"/>
  <c r="AQ45" i="1"/>
  <c r="AP45" i="1"/>
  <c r="AL45" i="1"/>
  <c r="Z45" i="1"/>
  <c r="Y45" i="1"/>
  <c r="X45" i="1"/>
  <c r="W45" i="1"/>
  <c r="S45" i="1"/>
  <c r="R45" i="1"/>
  <c r="Q45" i="1"/>
  <c r="J45" i="1"/>
  <c r="B45" i="1"/>
  <c r="BC44" i="1"/>
  <c r="AZ44" i="1"/>
  <c r="AU44" i="1"/>
  <c r="AX44" i="1" s="1"/>
  <c r="AT44" i="1"/>
  <c r="AV44" i="1" s="1"/>
  <c r="AW44" i="1" s="1"/>
  <c r="AS44" i="1"/>
  <c r="AR44" i="1"/>
  <c r="AQ44" i="1"/>
  <c r="AP44" i="1"/>
  <c r="AL44" i="1"/>
  <c r="X44" i="1"/>
  <c r="Y44" i="1" s="1"/>
  <c r="W44" i="1"/>
  <c r="U44" i="1"/>
  <c r="T44" i="1"/>
  <c r="Q44" i="1"/>
  <c r="R44" i="1" s="1"/>
  <c r="S44" i="1" s="1"/>
  <c r="J44" i="1"/>
  <c r="B44" i="1"/>
  <c r="BC43" i="1"/>
  <c r="AZ43" i="1"/>
  <c r="AS43" i="1"/>
  <c r="AR43" i="1"/>
  <c r="AQ43" i="1"/>
  <c r="AP43" i="1"/>
  <c r="AL43" i="1"/>
  <c r="X43" i="1"/>
  <c r="Z43" i="1" s="1"/>
  <c r="W43" i="1"/>
  <c r="S43" i="1"/>
  <c r="Q43" i="1"/>
  <c r="R43" i="1" s="1"/>
  <c r="J43" i="1"/>
  <c r="B43" i="1"/>
  <c r="BC42" i="1"/>
  <c r="AZ42" i="1"/>
  <c r="AX42" i="1"/>
  <c r="AS42" i="1"/>
  <c r="AR42" i="1"/>
  <c r="AQ42" i="1"/>
  <c r="AP42" i="1"/>
  <c r="AL42" i="1"/>
  <c r="X42" i="1"/>
  <c r="Y42" i="1" s="1"/>
  <c r="W42" i="1"/>
  <c r="T42" i="1"/>
  <c r="Q42" i="1"/>
  <c r="R42" i="1" s="1"/>
  <c r="S42" i="1" s="1"/>
  <c r="J42" i="1"/>
  <c r="AU42" i="1" s="1"/>
  <c r="B42" i="1"/>
  <c r="BC41" i="1"/>
  <c r="AZ41" i="1"/>
  <c r="AX41" i="1"/>
  <c r="AU41" i="1"/>
  <c r="AS41" i="1"/>
  <c r="AR41" i="1"/>
  <c r="AQ41" i="1"/>
  <c r="AP41" i="1"/>
  <c r="AL41" i="1"/>
  <c r="Z41" i="1"/>
  <c r="X41" i="1"/>
  <c r="Y41" i="1" s="1"/>
  <c r="W41" i="1"/>
  <c r="T41" i="1"/>
  <c r="U41" i="1" s="1"/>
  <c r="AT41" i="1" s="1"/>
  <c r="AV41" i="1" s="1"/>
  <c r="AW41" i="1" s="1"/>
  <c r="Q41" i="1"/>
  <c r="R41" i="1" s="1"/>
  <c r="S41" i="1" s="1"/>
  <c r="J41" i="1"/>
  <c r="B41" i="1"/>
  <c r="BC40" i="1"/>
  <c r="AZ40" i="1"/>
  <c r="AS40" i="1"/>
  <c r="AR40" i="1"/>
  <c r="AQ40" i="1"/>
  <c r="AP40" i="1"/>
  <c r="AL40" i="1"/>
  <c r="Y40" i="1"/>
  <c r="X40" i="1"/>
  <c r="Z40" i="1" s="1"/>
  <c r="W40" i="1"/>
  <c r="R40" i="1"/>
  <c r="Q40" i="1"/>
  <c r="J40" i="1"/>
  <c r="B40" i="1"/>
  <c r="BC39" i="1"/>
  <c r="AZ39" i="1"/>
  <c r="AX39" i="1"/>
  <c r="AU39" i="1"/>
  <c r="AS39" i="1"/>
  <c r="AR39" i="1"/>
  <c r="AQ39" i="1"/>
  <c r="AP39" i="1"/>
  <c r="AL39" i="1"/>
  <c r="X39" i="1"/>
  <c r="Y39" i="1" s="1"/>
  <c r="W39" i="1"/>
  <c r="T39" i="1"/>
  <c r="U39" i="1" s="1"/>
  <c r="AT39" i="1" s="1"/>
  <c r="AV39" i="1" s="1"/>
  <c r="AW39" i="1" s="1"/>
  <c r="S39" i="1"/>
  <c r="R39" i="1"/>
  <c r="Q39" i="1"/>
  <c r="J39" i="1"/>
  <c r="B39" i="1"/>
  <c r="BC38" i="1"/>
  <c r="AZ38" i="1"/>
  <c r="AU38" i="1"/>
  <c r="AX38" i="1" s="1"/>
  <c r="AS38" i="1"/>
  <c r="AR38" i="1"/>
  <c r="AQ38" i="1"/>
  <c r="AP38" i="1"/>
  <c r="AL38" i="1"/>
  <c r="X38" i="1"/>
  <c r="W38" i="1"/>
  <c r="Q38" i="1"/>
  <c r="R38" i="1" s="1"/>
  <c r="J38" i="1"/>
  <c r="B38" i="1"/>
  <c r="BC37" i="1"/>
  <c r="AZ37" i="1"/>
  <c r="AS37" i="1"/>
  <c r="AR37" i="1"/>
  <c r="AQ37" i="1"/>
  <c r="AP37" i="1"/>
  <c r="AL37" i="1"/>
  <c r="X37" i="1"/>
  <c r="Y37" i="1" s="1"/>
  <c r="W37" i="1"/>
  <c r="Q37" i="1"/>
  <c r="R37" i="1" s="1"/>
  <c r="J37" i="1"/>
  <c r="B37" i="1"/>
  <c r="BC36" i="1"/>
  <c r="AZ36" i="1"/>
  <c r="AX36" i="1"/>
  <c r="AU36" i="1"/>
  <c r="AS36" i="1"/>
  <c r="AR36" i="1"/>
  <c r="AQ36" i="1"/>
  <c r="AP36" i="1"/>
  <c r="AL36" i="1"/>
  <c r="Z36" i="1"/>
  <c r="X36" i="1"/>
  <c r="Y36" i="1" s="1"/>
  <c r="W36" i="1"/>
  <c r="T36" i="1"/>
  <c r="Q36" i="1"/>
  <c r="R36" i="1" s="1"/>
  <c r="S36" i="1" s="1"/>
  <c r="J36" i="1"/>
  <c r="B36" i="1"/>
  <c r="BC35" i="1"/>
  <c r="AZ35" i="1"/>
  <c r="AS35" i="1"/>
  <c r="AR35" i="1"/>
  <c r="AQ35" i="1"/>
  <c r="AP35" i="1"/>
  <c r="AL35" i="1"/>
  <c r="Z35" i="1"/>
  <c r="X35" i="1"/>
  <c r="Y35" i="1" s="1"/>
  <c r="W35" i="1"/>
  <c r="Q35" i="1"/>
  <c r="R35" i="1" s="1"/>
  <c r="J35" i="1"/>
  <c r="B35" i="1"/>
  <c r="BC34" i="1"/>
  <c r="AZ34" i="1"/>
  <c r="AX34" i="1"/>
  <c r="AU34" i="1"/>
  <c r="AS34" i="1"/>
  <c r="AR34" i="1"/>
  <c r="AQ34" i="1"/>
  <c r="AP34" i="1"/>
  <c r="AL34" i="1"/>
  <c r="X34" i="1"/>
  <c r="W34" i="1"/>
  <c r="U34" i="1"/>
  <c r="AT34" i="1" s="1"/>
  <c r="AV34" i="1" s="1"/>
  <c r="AW34" i="1" s="1"/>
  <c r="T34" i="1"/>
  <c r="R34" i="1"/>
  <c r="S34" i="1" s="1"/>
  <c r="Q34" i="1"/>
  <c r="J34" i="1"/>
  <c r="B34" i="1"/>
  <c r="BC33" i="1"/>
  <c r="AZ33" i="1"/>
  <c r="AS33" i="1"/>
  <c r="AR33" i="1"/>
  <c r="AQ33" i="1"/>
  <c r="AP33" i="1"/>
  <c r="AL33" i="1"/>
  <c r="Z33" i="1"/>
  <c r="Y33" i="1"/>
  <c r="X33" i="1"/>
  <c r="W33" i="1"/>
  <c r="U33" i="1"/>
  <c r="AT33" i="1" s="1"/>
  <c r="AV33" i="1" s="1"/>
  <c r="AW33" i="1" s="1"/>
  <c r="Q33" i="1"/>
  <c r="R33" i="1" s="1"/>
  <c r="S33" i="1" s="1"/>
  <c r="BK33" i="1" s="1"/>
  <c r="J33" i="1"/>
  <c r="T33" i="1" s="1"/>
  <c r="B33" i="1"/>
  <c r="BC32" i="1"/>
  <c r="AZ32" i="1"/>
  <c r="AS32" i="1"/>
  <c r="AR32" i="1"/>
  <c r="AQ32" i="1"/>
  <c r="AP32" i="1"/>
  <c r="AL32" i="1"/>
  <c r="X32" i="1"/>
  <c r="Y32" i="1" s="1"/>
  <c r="W32" i="1"/>
  <c r="T32" i="1"/>
  <c r="S32" i="1"/>
  <c r="R32" i="1"/>
  <c r="Q32" i="1"/>
  <c r="J32" i="1"/>
  <c r="B32" i="1"/>
  <c r="BC31" i="1"/>
  <c r="AZ31" i="1"/>
  <c r="AU31" i="1"/>
  <c r="AX31" i="1" s="1"/>
  <c r="AS31" i="1"/>
  <c r="AR31" i="1"/>
  <c r="AQ31" i="1"/>
  <c r="AP31" i="1"/>
  <c r="AL31" i="1"/>
  <c r="X31" i="1"/>
  <c r="W31" i="1"/>
  <c r="T31" i="1"/>
  <c r="S31" i="1"/>
  <c r="Q31" i="1"/>
  <c r="R31" i="1" s="1"/>
  <c r="J31" i="1"/>
  <c r="B31" i="1"/>
  <c r="BC30" i="1"/>
  <c r="AZ30" i="1"/>
  <c r="AS30" i="1"/>
  <c r="AR30" i="1"/>
  <c r="AQ30" i="1"/>
  <c r="AP30" i="1"/>
  <c r="AL30" i="1"/>
  <c r="Y30" i="1"/>
  <c r="X30" i="1"/>
  <c r="Z30" i="1" s="1"/>
  <c r="W30" i="1"/>
  <c r="R30" i="1"/>
  <c r="S30" i="1" s="1"/>
  <c r="Q30" i="1"/>
  <c r="J30" i="1"/>
  <c r="B30" i="1"/>
  <c r="BC29" i="1"/>
  <c r="AZ29" i="1"/>
  <c r="AU29" i="1"/>
  <c r="AX29" i="1" s="1"/>
  <c r="AS29" i="1"/>
  <c r="AR29" i="1"/>
  <c r="AQ29" i="1"/>
  <c r="AP29" i="1"/>
  <c r="AL29" i="1"/>
  <c r="Z29" i="1"/>
  <c r="X29" i="1"/>
  <c r="Y29" i="1" s="1"/>
  <c r="W29" i="1"/>
  <c r="T29" i="1"/>
  <c r="U29" i="1" s="1"/>
  <c r="AT29" i="1" s="1"/>
  <c r="AV29" i="1" s="1"/>
  <c r="AW29" i="1" s="1"/>
  <c r="S29" i="1"/>
  <c r="Q29" i="1"/>
  <c r="R29" i="1" s="1"/>
  <c r="J29" i="1"/>
  <c r="B29" i="1"/>
  <c r="BC28" i="1"/>
  <c r="AZ28" i="1"/>
  <c r="AS28" i="1"/>
  <c r="AR28" i="1"/>
  <c r="AQ28" i="1"/>
  <c r="AP28" i="1"/>
  <c r="AL28" i="1"/>
  <c r="X28" i="1"/>
  <c r="Z28" i="1" s="1"/>
  <c r="W28" i="1"/>
  <c r="Q28" i="1"/>
  <c r="R28" i="1" s="1"/>
  <c r="J28" i="1"/>
  <c r="B28" i="1"/>
  <c r="BC27" i="1"/>
  <c r="AZ27" i="1"/>
  <c r="AS27" i="1"/>
  <c r="AR27" i="1"/>
  <c r="AQ27" i="1"/>
  <c r="AP27" i="1"/>
  <c r="AL27" i="1"/>
  <c r="X27" i="1"/>
  <c r="Y27" i="1" s="1"/>
  <c r="W27" i="1"/>
  <c r="Q27" i="1"/>
  <c r="R27" i="1" s="1"/>
  <c r="J27" i="1"/>
  <c r="B27" i="1"/>
  <c r="BC26" i="1"/>
  <c r="AZ26" i="1"/>
  <c r="AX26" i="1"/>
  <c r="AU26" i="1"/>
  <c r="AS26" i="1"/>
  <c r="AR26" i="1"/>
  <c r="AQ26" i="1"/>
  <c r="AP26" i="1"/>
  <c r="AL26" i="1"/>
  <c r="Z26" i="1"/>
  <c r="Y26" i="1"/>
  <c r="X26" i="1"/>
  <c r="W26" i="1"/>
  <c r="T26" i="1"/>
  <c r="Q26" i="1"/>
  <c r="R26" i="1" s="1"/>
  <c r="J26" i="1"/>
  <c r="B26" i="1"/>
  <c r="BC25" i="1"/>
  <c r="AZ25" i="1"/>
  <c r="AS25" i="1"/>
  <c r="AR25" i="1"/>
  <c r="AQ25" i="1"/>
  <c r="AP25" i="1"/>
  <c r="AL25" i="1"/>
  <c r="X25" i="1"/>
  <c r="W25" i="1"/>
  <c r="Q25" i="1"/>
  <c r="R25" i="1" s="1"/>
  <c r="J25" i="1"/>
  <c r="B25" i="1"/>
  <c r="BC24" i="1"/>
  <c r="AZ24" i="1"/>
  <c r="AX24" i="1"/>
  <c r="AU24" i="1"/>
  <c r="AS24" i="1"/>
  <c r="AR24" i="1"/>
  <c r="AQ24" i="1"/>
  <c r="AP24" i="1"/>
  <c r="AL24" i="1"/>
  <c r="Z24" i="1"/>
  <c r="X24" i="1"/>
  <c r="Y24" i="1" s="1"/>
  <c r="W24" i="1"/>
  <c r="T24" i="1"/>
  <c r="U24" i="1" s="1"/>
  <c r="AT24" i="1" s="1"/>
  <c r="AV24" i="1" s="1"/>
  <c r="AW24" i="1" s="1"/>
  <c r="Q24" i="1"/>
  <c r="R24" i="1" s="1"/>
  <c r="S24" i="1" s="1"/>
  <c r="BK24" i="1" s="1"/>
  <c r="J24" i="1"/>
  <c r="B24" i="1"/>
  <c r="BC23" i="1"/>
  <c r="AZ23" i="1"/>
  <c r="AX23" i="1"/>
  <c r="AU23" i="1"/>
  <c r="AS23" i="1"/>
  <c r="AR23" i="1"/>
  <c r="AQ23" i="1"/>
  <c r="AP23" i="1"/>
  <c r="AL23" i="1"/>
  <c r="Z23" i="1"/>
  <c r="X23" i="1"/>
  <c r="Y23" i="1" s="1"/>
  <c r="W23" i="1"/>
  <c r="S23" i="1"/>
  <c r="Q23" i="1"/>
  <c r="R23" i="1" s="1"/>
  <c r="J23" i="1"/>
  <c r="B23" i="1"/>
  <c r="BC22" i="1"/>
  <c r="AZ22" i="1"/>
  <c r="AS22" i="1"/>
  <c r="AR22" i="1"/>
  <c r="AQ22" i="1"/>
  <c r="AP22" i="1"/>
  <c r="AL22" i="1"/>
  <c r="Z22" i="1"/>
  <c r="X22" i="1"/>
  <c r="Y22" i="1" s="1"/>
  <c r="W22" i="1"/>
  <c r="Q22" i="1"/>
  <c r="R22" i="1" s="1"/>
  <c r="J22" i="1"/>
  <c r="B22" i="1"/>
  <c r="BC21" i="1"/>
  <c r="AZ21" i="1"/>
  <c r="AU21" i="1"/>
  <c r="AX21" i="1" s="1"/>
  <c r="AS21" i="1"/>
  <c r="AR21" i="1"/>
  <c r="AQ21" i="1"/>
  <c r="AP21" i="1"/>
  <c r="AL21" i="1"/>
  <c r="Z21" i="1"/>
  <c r="X21" i="1"/>
  <c r="Y21" i="1" s="1"/>
  <c r="W21" i="1"/>
  <c r="T21" i="1"/>
  <c r="U21" i="1" s="1"/>
  <c r="AT21" i="1" s="1"/>
  <c r="AV21" i="1" s="1"/>
  <c r="AW21" i="1" s="1"/>
  <c r="Q21" i="1"/>
  <c r="R21" i="1" s="1"/>
  <c r="S21" i="1" s="1"/>
  <c r="J21" i="1"/>
  <c r="B21" i="1"/>
  <c r="BC20" i="1"/>
  <c r="AZ20" i="1"/>
  <c r="AS20" i="1"/>
  <c r="AR20" i="1"/>
  <c r="AQ20" i="1"/>
  <c r="AP20" i="1"/>
  <c r="AL20" i="1"/>
  <c r="Z20" i="1"/>
  <c r="Y20" i="1"/>
  <c r="X20" i="1"/>
  <c r="W20" i="1"/>
  <c r="Q20" i="1"/>
  <c r="R20" i="1" s="1"/>
  <c r="J20" i="1"/>
  <c r="B20" i="1"/>
  <c r="BC19" i="1"/>
  <c r="AZ19" i="1"/>
  <c r="AU19" i="1"/>
  <c r="AX19" i="1" s="1"/>
  <c r="AS19" i="1"/>
  <c r="AR19" i="1"/>
  <c r="AQ19" i="1"/>
  <c r="AP19" i="1"/>
  <c r="AL19" i="1"/>
  <c r="X19" i="1"/>
  <c r="Y19" i="1" s="1"/>
  <c r="W19" i="1"/>
  <c r="T19" i="1"/>
  <c r="Q19" i="1"/>
  <c r="U19" i="1" s="1"/>
  <c r="AT19" i="1" s="1"/>
  <c r="AV19" i="1" s="1"/>
  <c r="AW19" i="1" s="1"/>
  <c r="J19" i="1"/>
  <c r="B19" i="1"/>
  <c r="BC18" i="1"/>
  <c r="AZ18" i="1"/>
  <c r="AS18" i="1"/>
  <c r="AR18" i="1"/>
  <c r="AQ18" i="1"/>
  <c r="AP18" i="1"/>
  <c r="AL18" i="1"/>
  <c r="Y18" i="1"/>
  <c r="X18" i="1"/>
  <c r="Z18" i="1" s="1"/>
  <c r="W18" i="1"/>
  <c r="Q18" i="1"/>
  <c r="R18" i="1" s="1"/>
  <c r="J18" i="1"/>
  <c r="T18" i="1" s="1"/>
  <c r="B18" i="1"/>
  <c r="BC17" i="1"/>
  <c r="AZ17" i="1"/>
  <c r="AX17" i="1"/>
  <c r="AS17" i="1"/>
  <c r="AR17" i="1"/>
  <c r="AQ17" i="1"/>
  <c r="AP17" i="1"/>
  <c r="AL17" i="1"/>
  <c r="Z17" i="1"/>
  <c r="X17" i="1"/>
  <c r="Y17" i="1" s="1"/>
  <c r="W17" i="1"/>
  <c r="T17" i="1"/>
  <c r="U17" i="1" s="1"/>
  <c r="AT17" i="1" s="1"/>
  <c r="AV17" i="1" s="1"/>
  <c r="AW17" i="1" s="1"/>
  <c r="Q17" i="1"/>
  <c r="R17" i="1" s="1"/>
  <c r="S17" i="1" s="1"/>
  <c r="BK17" i="1" s="1"/>
  <c r="J17" i="1"/>
  <c r="AU17" i="1" s="1"/>
  <c r="B17" i="1"/>
  <c r="BC16" i="1"/>
  <c r="AZ16" i="1"/>
  <c r="AU16" i="1"/>
  <c r="AX16" i="1" s="1"/>
  <c r="AS16" i="1"/>
  <c r="AR16" i="1"/>
  <c r="AQ16" i="1"/>
  <c r="AP16" i="1"/>
  <c r="AL16" i="1"/>
  <c r="X16" i="1"/>
  <c r="Z16" i="1" s="1"/>
  <c r="W16" i="1"/>
  <c r="T16" i="1"/>
  <c r="U16" i="1" s="1"/>
  <c r="AT16" i="1" s="1"/>
  <c r="AV16" i="1" s="1"/>
  <c r="AW16" i="1" s="1"/>
  <c r="Q16" i="1"/>
  <c r="R16" i="1" s="1"/>
  <c r="S16" i="1" s="1"/>
  <c r="J16" i="1"/>
  <c r="B16" i="1"/>
  <c r="BC15" i="1"/>
  <c r="AZ15" i="1"/>
  <c r="AS15" i="1"/>
  <c r="AR15" i="1"/>
  <c r="AQ15" i="1"/>
  <c r="AP15" i="1"/>
  <c r="C101" i="5" s="1"/>
  <c r="AL15" i="1"/>
  <c r="X15" i="1"/>
  <c r="Z15" i="1" s="1"/>
  <c r="W15" i="1"/>
  <c r="Q15" i="1"/>
  <c r="R15" i="1" s="1"/>
  <c r="J15" i="1"/>
  <c r="B15" i="1"/>
  <c r="BC14" i="1"/>
  <c r="AZ14" i="1"/>
  <c r="AX14" i="1"/>
  <c r="AU14" i="1"/>
  <c r="AS14" i="1"/>
  <c r="AR14" i="1"/>
  <c r="AQ14" i="1"/>
  <c r="AP14" i="1"/>
  <c r="AL14" i="1"/>
  <c r="X14" i="1"/>
  <c r="Y14" i="1" s="1"/>
  <c r="W14" i="1"/>
  <c r="T14" i="1"/>
  <c r="Q14" i="1"/>
  <c r="R14" i="1" s="1"/>
  <c r="S14" i="1" s="1"/>
  <c r="J14" i="1"/>
  <c r="B14" i="1"/>
  <c r="BC13" i="1"/>
  <c r="AZ13" i="1"/>
  <c r="AS13" i="1"/>
  <c r="AR13" i="1"/>
  <c r="AQ13" i="1"/>
  <c r="AP13" i="1"/>
  <c r="AL13" i="1"/>
  <c r="X13" i="1"/>
  <c r="W13" i="1"/>
  <c r="Q13" i="1"/>
  <c r="R13" i="1" s="1"/>
  <c r="J13" i="1"/>
  <c r="T13" i="1" s="1"/>
  <c r="B13" i="1"/>
  <c r="BC12" i="1"/>
  <c r="AZ12" i="1"/>
  <c r="AX12" i="1"/>
  <c r="AS12" i="1"/>
  <c r="AR12" i="1"/>
  <c r="AQ12" i="1"/>
  <c r="AP12" i="1"/>
  <c r="AL12" i="1"/>
  <c r="X12" i="1"/>
  <c r="Y12" i="1" s="1"/>
  <c r="W12" i="1"/>
  <c r="Q12" i="1"/>
  <c r="R12" i="1" s="1"/>
  <c r="J12" i="1"/>
  <c r="AU12" i="1" s="1"/>
  <c r="B12" i="1"/>
  <c r="BC11" i="1"/>
  <c r="AZ11" i="1"/>
  <c r="AX11" i="1"/>
  <c r="AU11" i="1"/>
  <c r="AS11" i="1"/>
  <c r="AR11" i="1"/>
  <c r="AQ11" i="1"/>
  <c r="AP11" i="1"/>
  <c r="AL11" i="1"/>
  <c r="Z11" i="1"/>
  <c r="Y11" i="1"/>
  <c r="X11" i="1"/>
  <c r="W11" i="1"/>
  <c r="T11" i="1"/>
  <c r="U11" i="1" s="1"/>
  <c r="AT11" i="1" s="1"/>
  <c r="AV11" i="1" s="1"/>
  <c r="AW11" i="1" s="1"/>
  <c r="Q11" i="1"/>
  <c r="R11" i="1" s="1"/>
  <c r="S11" i="1" s="1"/>
  <c r="J11" i="1"/>
  <c r="B11" i="1"/>
  <c r="BC10" i="1"/>
  <c r="AZ10" i="1"/>
  <c r="AS10" i="1"/>
  <c r="AR10" i="1"/>
  <c r="AQ10" i="1"/>
  <c r="AP10" i="1"/>
  <c r="AL10" i="1"/>
  <c r="Y10" i="1"/>
  <c r="X10" i="1"/>
  <c r="Z10" i="1" s="1"/>
  <c r="W10" i="1"/>
  <c r="Q10" i="1"/>
  <c r="R10" i="1" s="1"/>
  <c r="J10" i="1"/>
  <c r="B10" i="1"/>
  <c r="BC9" i="1"/>
  <c r="AZ9" i="1"/>
  <c r="AU9" i="1"/>
  <c r="AX9" i="1" s="1"/>
  <c r="AS9" i="1"/>
  <c r="AR9" i="1"/>
  <c r="AQ9" i="1"/>
  <c r="AP9" i="1"/>
  <c r="AL9" i="1"/>
  <c r="X9" i="1"/>
  <c r="Y9" i="1" s="1"/>
  <c r="W9" i="1"/>
  <c r="T9" i="1"/>
  <c r="Q9" i="1"/>
  <c r="U9" i="1" s="1"/>
  <c r="AT9" i="1" s="1"/>
  <c r="AV9" i="1" s="1"/>
  <c r="AW9" i="1" s="1"/>
  <c r="J9" i="1"/>
  <c r="B9" i="1"/>
  <c r="BC8" i="1"/>
  <c r="AZ8" i="1"/>
  <c r="AS8" i="1"/>
  <c r="AR8" i="1"/>
  <c r="AQ8" i="1"/>
  <c r="AP8" i="1"/>
  <c r="AL8" i="1"/>
  <c r="Z8" i="1"/>
  <c r="Y8" i="1"/>
  <c r="X8" i="1"/>
  <c r="W8" i="1"/>
  <c r="Q8" i="1"/>
  <c r="R8" i="1" s="1"/>
  <c r="J8" i="1"/>
  <c r="S8" i="1" s="1"/>
  <c r="B8" i="1"/>
  <c r="BC7" i="1"/>
  <c r="AZ7" i="1"/>
  <c r="AS7" i="1"/>
  <c r="AR7" i="1"/>
  <c r="AQ7" i="1"/>
  <c r="AP7" i="1"/>
  <c r="AL7" i="1"/>
  <c r="Z7" i="1"/>
  <c r="X7" i="1"/>
  <c r="Y7" i="1" s="1"/>
  <c r="W7" i="1"/>
  <c r="Q7" i="1"/>
  <c r="R7" i="1" s="1"/>
  <c r="J7" i="1"/>
  <c r="B7" i="1"/>
  <c r="BC6" i="1"/>
  <c r="AZ6" i="1"/>
  <c r="AU6" i="1"/>
  <c r="AX6" i="1" s="1"/>
  <c r="AS6" i="1"/>
  <c r="AR6" i="1"/>
  <c r="AQ6" i="1"/>
  <c r="AP6" i="1"/>
  <c r="AL6" i="1"/>
  <c r="X6" i="1"/>
  <c r="W6" i="1"/>
  <c r="T6" i="1"/>
  <c r="U6" i="1" s="1"/>
  <c r="AT6" i="1" s="1"/>
  <c r="AV6" i="1" s="1"/>
  <c r="AW6" i="1" s="1"/>
  <c r="Q6" i="1"/>
  <c r="R6" i="1" s="1"/>
  <c r="S6" i="1" s="1"/>
  <c r="J6" i="1"/>
  <c r="B6" i="1"/>
  <c r="BC5" i="1"/>
  <c r="AZ5" i="1"/>
  <c r="AS5" i="1"/>
  <c r="AR5" i="1"/>
  <c r="AQ5" i="1"/>
  <c r="AP5" i="1"/>
  <c r="AL5" i="1"/>
  <c r="X5" i="1"/>
  <c r="Y5" i="1" s="1"/>
  <c r="W5" i="1"/>
  <c r="R5" i="1"/>
  <c r="S5" i="1" s="1"/>
  <c r="Q5" i="1"/>
  <c r="J5" i="1"/>
  <c r="B5" i="1"/>
  <c r="BC4" i="1"/>
  <c r="AZ4" i="1"/>
  <c r="AX4" i="1"/>
  <c r="AU4" i="1"/>
  <c r="AS4" i="1"/>
  <c r="AR4" i="1"/>
  <c r="AQ4" i="1"/>
  <c r="AP4" i="1"/>
  <c r="AL4" i="1"/>
  <c r="Z4" i="1"/>
  <c r="X4" i="1"/>
  <c r="Y4" i="1" s="1"/>
  <c r="W4" i="1"/>
  <c r="T4" i="1"/>
  <c r="U4" i="1" s="1"/>
  <c r="AT4" i="1" s="1"/>
  <c r="AV4" i="1" s="1"/>
  <c r="AW4" i="1" s="1"/>
  <c r="Q4" i="1"/>
  <c r="R4" i="1" s="1"/>
  <c r="S4" i="1" s="1"/>
  <c r="J4" i="1"/>
  <c r="B4" i="1"/>
  <c r="BC3" i="1"/>
  <c r="AZ3" i="1"/>
  <c r="AX3" i="1"/>
  <c r="AU3" i="1"/>
  <c r="AS3" i="1"/>
  <c r="AR3" i="1"/>
  <c r="AQ3" i="1"/>
  <c r="AP3" i="1"/>
  <c r="AL3" i="1"/>
  <c r="X3" i="1"/>
  <c r="Z3" i="1" s="1"/>
  <c r="W3" i="1"/>
  <c r="Q3" i="1"/>
  <c r="R3" i="1" s="1"/>
  <c r="J3" i="1"/>
  <c r="B3" i="1"/>
  <c r="BK11" i="1" l="1"/>
  <c r="BK4" i="1"/>
  <c r="U22" i="1"/>
  <c r="AT22" i="1" s="1"/>
  <c r="AV22" i="1" s="1"/>
  <c r="AW22" i="1" s="1"/>
  <c r="BK36" i="1"/>
  <c r="BK8" i="1"/>
  <c r="BK21" i="1"/>
  <c r="BK30" i="1"/>
  <c r="D405" i="3"/>
  <c r="D411" i="3"/>
  <c r="E293" i="3"/>
  <c r="T28" i="1"/>
  <c r="U28" i="1"/>
  <c r="AT28" i="1" s="1"/>
  <c r="AV28" i="1" s="1"/>
  <c r="AW28" i="1" s="1"/>
  <c r="S28" i="1"/>
  <c r="BK28" i="1" s="1"/>
  <c r="C26" i="3"/>
  <c r="B26" i="3"/>
  <c r="D26" i="3" s="1"/>
  <c r="AU37" i="1"/>
  <c r="AX37" i="1" s="1"/>
  <c r="S37" i="1"/>
  <c r="S101" i="1"/>
  <c r="AU101" i="1"/>
  <c r="AX101" i="1" s="1"/>
  <c r="T101" i="1"/>
  <c r="U101" i="1"/>
  <c r="AT101" i="1" s="1"/>
  <c r="Y113" i="1"/>
  <c r="BK125" i="1"/>
  <c r="Y3" i="1"/>
  <c r="M176" i="3"/>
  <c r="N176" i="3" s="1"/>
  <c r="M171" i="3"/>
  <c r="N171" i="3" s="1"/>
  <c r="M169" i="3"/>
  <c r="N169" i="3" s="1"/>
  <c r="M175" i="3"/>
  <c r="N175" i="3" s="1"/>
  <c r="M177" i="3"/>
  <c r="N177" i="3" s="1"/>
  <c r="M178" i="3"/>
  <c r="N178" i="3" s="1"/>
  <c r="M170" i="3"/>
  <c r="N170" i="3" s="1"/>
  <c r="M168" i="3"/>
  <c r="N168" i="3" s="1"/>
  <c r="M172" i="3"/>
  <c r="N172" i="3" s="1"/>
  <c r="M174" i="3"/>
  <c r="N174" i="3" s="1"/>
  <c r="M173" i="3"/>
  <c r="N173" i="3" s="1"/>
  <c r="Z5" i="1"/>
  <c r="BK5" i="1" s="1"/>
  <c r="Z39" i="1"/>
  <c r="Y43" i="1"/>
  <c r="AU52" i="1"/>
  <c r="AX52" i="1" s="1"/>
  <c r="T52" i="1"/>
  <c r="S52" i="1"/>
  <c r="Y74" i="1"/>
  <c r="BK74" i="1" s="1"/>
  <c r="U18" i="1"/>
  <c r="S22" i="1"/>
  <c r="BK23" i="1"/>
  <c r="Z13" i="1"/>
  <c r="Y13" i="1"/>
  <c r="R9" i="1"/>
  <c r="S9" i="1" s="1"/>
  <c r="S10" i="1"/>
  <c r="S18" i="1"/>
  <c r="BK18" i="1" s="1"/>
  <c r="Y68" i="1"/>
  <c r="C83" i="3"/>
  <c r="B83" i="3"/>
  <c r="Y69" i="1"/>
  <c r="Z69" i="1"/>
  <c r="T70" i="1"/>
  <c r="AU70" i="1"/>
  <c r="AX70" i="1" s="1"/>
  <c r="U70" i="1"/>
  <c r="AT70" i="1" s="1"/>
  <c r="AV70" i="1" s="1"/>
  <c r="AW70" i="1" s="1"/>
  <c r="AU73" i="1"/>
  <c r="AX73" i="1" s="1"/>
  <c r="T73" i="1"/>
  <c r="U73" i="1" s="1"/>
  <c r="S73" i="1"/>
  <c r="BK73" i="1" s="1"/>
  <c r="C95" i="5"/>
  <c r="AU28" i="1"/>
  <c r="AX28" i="1" s="1"/>
  <c r="S47" i="1"/>
  <c r="BK47" i="1" s="1"/>
  <c r="Y56" i="1"/>
  <c r="I26" i="15"/>
  <c r="AU7" i="1"/>
  <c r="AX7" i="1" s="1"/>
  <c r="U10" i="1"/>
  <c r="AT10" i="1" s="1"/>
  <c r="AV10" i="1" s="1"/>
  <c r="AW10" i="1" s="1"/>
  <c r="AT18" i="1"/>
  <c r="AV18" i="1" s="1"/>
  <c r="AW18" i="1" s="1"/>
  <c r="R19" i="1"/>
  <c r="S19" i="1" s="1"/>
  <c r="AU25" i="1"/>
  <c r="AX25" i="1" s="1"/>
  <c r="T25" i="1"/>
  <c r="AU27" i="1"/>
  <c r="AX27" i="1" s="1"/>
  <c r="T27" i="1"/>
  <c r="S27" i="1"/>
  <c r="U31" i="1"/>
  <c r="AT31" i="1" s="1"/>
  <c r="AV31" i="1" s="1"/>
  <c r="AW31" i="1" s="1"/>
  <c r="Z38" i="1"/>
  <c r="Y38" i="1"/>
  <c r="C22" i="3"/>
  <c r="B22" i="3"/>
  <c r="D22" i="3" s="1"/>
  <c r="BK41" i="1"/>
  <c r="S92" i="1"/>
  <c r="BK92" i="1" s="1"/>
  <c r="AU92" i="1"/>
  <c r="AX92" i="1" s="1"/>
  <c r="U92" i="1"/>
  <c r="AT92" i="1" s="1"/>
  <c r="AV92" i="1" s="1"/>
  <c r="AW92" i="1" s="1"/>
  <c r="T92" i="1"/>
  <c r="T105" i="1"/>
  <c r="U105" i="1" s="1"/>
  <c r="AT105" i="1" s="1"/>
  <c r="AV105" i="1" s="1"/>
  <c r="AW105" i="1" s="1"/>
  <c r="AU105" i="1"/>
  <c r="AX105" i="1" s="1"/>
  <c r="S105" i="1"/>
  <c r="BK105" i="1" s="1"/>
  <c r="E296" i="3"/>
  <c r="I22" i="15"/>
  <c r="D408" i="3"/>
  <c r="D296" i="3"/>
  <c r="B13" i="5"/>
  <c r="E23" i="15"/>
  <c r="C98" i="5"/>
  <c r="D410" i="3"/>
  <c r="C23" i="15"/>
  <c r="G23" i="15" s="1"/>
  <c r="K9" i="15"/>
  <c r="B23" i="15"/>
  <c r="I10" i="15"/>
  <c r="L8" i="4"/>
  <c r="D297" i="3"/>
  <c r="I9" i="15"/>
  <c r="J9" i="15" s="1"/>
  <c r="L7" i="4"/>
  <c r="D409" i="3"/>
  <c r="F248" i="3"/>
  <c r="K22" i="15"/>
  <c r="L6" i="4"/>
  <c r="E297" i="3"/>
  <c r="E256" i="3"/>
  <c r="B129" i="3"/>
  <c r="T3" i="1"/>
  <c r="AT3" i="1"/>
  <c r="U3" i="1"/>
  <c r="S3" i="1"/>
  <c r="S13" i="1"/>
  <c r="BK13" i="1" s="1"/>
  <c r="AU13" i="1"/>
  <c r="AX13" i="1" s="1"/>
  <c r="Y15" i="1"/>
  <c r="Y16" i="1"/>
  <c r="BK16" i="1" s="1"/>
  <c r="Y28" i="1"/>
  <c r="Z31" i="1"/>
  <c r="Y31" i="1"/>
  <c r="BK31" i="1" s="1"/>
  <c r="S35" i="1"/>
  <c r="U46" i="1"/>
  <c r="AT46" i="1" s="1"/>
  <c r="AV46" i="1" s="1"/>
  <c r="AW46" i="1" s="1"/>
  <c r="BK51" i="1"/>
  <c r="AU59" i="1"/>
  <c r="AX59" i="1" s="1"/>
  <c r="T59" i="1"/>
  <c r="U59" i="1" s="1"/>
  <c r="AT59" i="1" s="1"/>
  <c r="AV59" i="1" s="1"/>
  <c r="AW59" i="1" s="1"/>
  <c r="S59" i="1"/>
  <c r="T62" i="1"/>
  <c r="AU62" i="1"/>
  <c r="AX62" i="1" s="1"/>
  <c r="S62" i="1"/>
  <c r="BK62" i="1" s="1"/>
  <c r="Y67" i="1"/>
  <c r="BK67" i="1" s="1"/>
  <c r="BK85" i="1"/>
  <c r="AU10" i="1"/>
  <c r="AX10" i="1" s="1"/>
  <c r="T10" i="1"/>
  <c r="AU15" i="1"/>
  <c r="AX15" i="1" s="1"/>
  <c r="T15" i="1"/>
  <c r="U15" i="1" s="1"/>
  <c r="S15" i="1"/>
  <c r="BK48" i="1"/>
  <c r="AU35" i="1"/>
  <c r="AX35" i="1" s="1"/>
  <c r="T35" i="1"/>
  <c r="U35" i="1" s="1"/>
  <c r="T37" i="1"/>
  <c r="U37" i="1" s="1"/>
  <c r="AT37" i="1" s="1"/>
  <c r="AV37" i="1" s="1"/>
  <c r="AW37" i="1" s="1"/>
  <c r="T47" i="1"/>
  <c r="S76" i="1"/>
  <c r="BK76" i="1" s="1"/>
  <c r="AU76" i="1"/>
  <c r="AX76" i="1" s="1"/>
  <c r="AT76" i="1"/>
  <c r="AV76" i="1" s="1"/>
  <c r="AW76" i="1" s="1"/>
  <c r="U76" i="1"/>
  <c r="Z49" i="1"/>
  <c r="U52" i="1"/>
  <c r="AT52" i="1" s="1"/>
  <c r="AV52" i="1" s="1"/>
  <c r="AW52" i="1" s="1"/>
  <c r="BK60" i="1"/>
  <c r="Z61" i="1"/>
  <c r="S12" i="1"/>
  <c r="C15" i="15" s="1"/>
  <c r="G15" i="15" s="1"/>
  <c r="U13" i="1"/>
  <c r="AT13" i="1" s="1"/>
  <c r="AV13" i="1" s="1"/>
  <c r="AW13" i="1" s="1"/>
  <c r="S25" i="1"/>
  <c r="U26" i="1"/>
  <c r="AT26" i="1" s="1"/>
  <c r="AV26" i="1" s="1"/>
  <c r="AW26" i="1" s="1"/>
  <c r="U27" i="1"/>
  <c r="AT27" i="1" s="1"/>
  <c r="U57" i="1"/>
  <c r="AT57" i="1" s="1"/>
  <c r="AV57" i="1" s="1"/>
  <c r="AW57" i="1" s="1"/>
  <c r="T173" i="1"/>
  <c r="U173" i="1" s="1"/>
  <c r="AU173" i="1"/>
  <c r="AX173" i="1" s="1"/>
  <c r="S173" i="1"/>
  <c r="M157" i="3"/>
  <c r="N157" i="3" s="1"/>
  <c r="M160" i="3"/>
  <c r="N160" i="3" s="1"/>
  <c r="M159" i="3"/>
  <c r="N159" i="3" s="1"/>
  <c r="M158" i="3"/>
  <c r="N158" i="3" s="1"/>
  <c r="Z6" i="1"/>
  <c r="Y6" i="1"/>
  <c r="BK6" i="1" s="1"/>
  <c r="T8" i="1"/>
  <c r="U8" i="1" s="1"/>
  <c r="AU8" i="1"/>
  <c r="AX8" i="1" s="1"/>
  <c r="D256" i="3"/>
  <c r="D255" i="3"/>
  <c r="AU20" i="1"/>
  <c r="AX20" i="1" s="1"/>
  <c r="T20" i="1"/>
  <c r="U20" i="1" s="1"/>
  <c r="AU22" i="1"/>
  <c r="AX22" i="1" s="1"/>
  <c r="S87" i="1"/>
  <c r="AU87" i="1"/>
  <c r="AX87" i="1" s="1"/>
  <c r="T87" i="1"/>
  <c r="U87" i="1" s="1"/>
  <c r="S70" i="1"/>
  <c r="BK70" i="1" s="1"/>
  <c r="BK135" i="1"/>
  <c r="U159" i="1"/>
  <c r="AT159" i="1" s="1"/>
  <c r="AV159" i="1" s="1"/>
  <c r="AW159" i="1" s="1"/>
  <c r="S159" i="1"/>
  <c r="T159" i="1"/>
  <c r="AU159" i="1"/>
  <c r="AX159" i="1" s="1"/>
  <c r="F256" i="3"/>
  <c r="U14" i="1"/>
  <c r="AT14" i="1" s="1"/>
  <c r="AV14" i="1" s="1"/>
  <c r="AW14" i="1" s="1"/>
  <c r="AU18" i="1"/>
  <c r="AX18" i="1" s="1"/>
  <c r="S20" i="1"/>
  <c r="BK20" i="1" s="1"/>
  <c r="T22" i="1"/>
  <c r="S26" i="1"/>
  <c r="F247" i="3" s="1"/>
  <c r="Z32" i="1"/>
  <c r="BK32" i="1" s="1"/>
  <c r="U36" i="1"/>
  <c r="AT36" i="1" s="1"/>
  <c r="AV36" i="1" s="1"/>
  <c r="AW36" i="1" s="1"/>
  <c r="AU40" i="1"/>
  <c r="AX40" i="1" s="1"/>
  <c r="T40" i="1"/>
  <c r="U40" i="1" s="1"/>
  <c r="S40" i="1"/>
  <c r="BK40" i="1" s="1"/>
  <c r="U42" i="1"/>
  <c r="AT42" i="1" s="1"/>
  <c r="AV42" i="1" s="1"/>
  <c r="AW42" i="1" s="1"/>
  <c r="U47" i="1"/>
  <c r="AT47" i="1" s="1"/>
  <c r="AV47" i="1" s="1"/>
  <c r="AW47" i="1" s="1"/>
  <c r="S7" i="1"/>
  <c r="B28" i="3"/>
  <c r="C28" i="3"/>
  <c r="BK45" i="1"/>
  <c r="AU50" i="1"/>
  <c r="AX50" i="1" s="1"/>
  <c r="T50" i="1"/>
  <c r="S50" i="1"/>
  <c r="AT50" i="1"/>
  <c r="AV50" i="1" s="1"/>
  <c r="AW50" i="1" s="1"/>
  <c r="Y52" i="1"/>
  <c r="Z52" i="1"/>
  <c r="T7" i="1"/>
  <c r="U7" i="1" s="1"/>
  <c r="Z9" i="1"/>
  <c r="D407" i="3"/>
  <c r="E295" i="3"/>
  <c r="D406" i="3"/>
  <c r="E294" i="3"/>
  <c r="T12" i="1"/>
  <c r="U12" i="1" s="1"/>
  <c r="AT12" i="1" s="1"/>
  <c r="AV12" i="1" s="1"/>
  <c r="AW12" i="1" s="1"/>
  <c r="Z14" i="1"/>
  <c r="BK14" i="1" s="1"/>
  <c r="U25" i="1"/>
  <c r="AT25" i="1" s="1"/>
  <c r="AV25" i="1" s="1"/>
  <c r="AW25" i="1" s="1"/>
  <c r="BK29" i="1"/>
  <c r="AU32" i="1"/>
  <c r="AX32" i="1" s="1"/>
  <c r="U32" i="1"/>
  <c r="AT32" i="1" s="1"/>
  <c r="AV32" i="1" s="1"/>
  <c r="AW32" i="1" s="1"/>
  <c r="Z42" i="1"/>
  <c r="BK42" i="1" s="1"/>
  <c r="T43" i="1"/>
  <c r="U43" i="1" s="1"/>
  <c r="AU43" i="1"/>
  <c r="AX43" i="1" s="1"/>
  <c r="T53" i="1"/>
  <c r="AT53" i="1"/>
  <c r="AV53" i="1" s="1"/>
  <c r="AW53" i="1" s="1"/>
  <c r="U53" i="1"/>
  <c r="S53" i="1"/>
  <c r="BK53" i="1" s="1"/>
  <c r="AU53" i="1"/>
  <c r="AX53" i="1" s="1"/>
  <c r="Y55" i="1"/>
  <c r="BK55" i="1" s="1"/>
  <c r="S56" i="1"/>
  <c r="BK56" i="1" s="1"/>
  <c r="T56" i="1"/>
  <c r="U56" i="1" s="1"/>
  <c r="AU56" i="1"/>
  <c r="AX56" i="1" s="1"/>
  <c r="U62" i="1"/>
  <c r="AT62" i="1" s="1"/>
  <c r="AV62" i="1" s="1"/>
  <c r="AW62" i="1" s="1"/>
  <c r="BK39" i="1"/>
  <c r="U50" i="1"/>
  <c r="BK69" i="1"/>
  <c r="S71" i="1"/>
  <c r="T71" i="1"/>
  <c r="U71" i="1" s="1"/>
  <c r="AT71" i="1" s="1"/>
  <c r="AV71" i="1" s="1"/>
  <c r="AW71" i="1" s="1"/>
  <c r="C47" i="3"/>
  <c r="B47" i="3"/>
  <c r="D47" i="3" s="1"/>
  <c r="BK88" i="1"/>
  <c r="T93" i="1"/>
  <c r="U93" i="1" s="1"/>
  <c r="AU93" i="1"/>
  <c r="AX93" i="1" s="1"/>
  <c r="S93" i="1"/>
  <c r="BK93" i="1" s="1"/>
  <c r="U108" i="1"/>
  <c r="AT108" i="1" s="1"/>
  <c r="AV108" i="1" s="1"/>
  <c r="AW108" i="1" s="1"/>
  <c r="T108" i="1"/>
  <c r="S108" i="1"/>
  <c r="BK108" i="1" s="1"/>
  <c r="AU108" i="1"/>
  <c r="AX108" i="1" s="1"/>
  <c r="T148" i="1"/>
  <c r="U148" i="1" s="1"/>
  <c r="AT148" i="1" s="1"/>
  <c r="AV148" i="1" s="1"/>
  <c r="AW148" i="1" s="1"/>
  <c r="AU148" i="1"/>
  <c r="AX148" i="1" s="1"/>
  <c r="S148" i="1"/>
  <c r="C96" i="5"/>
  <c r="C97" i="5" s="1"/>
  <c r="C102" i="5" s="1"/>
  <c r="Z25" i="1"/>
  <c r="Y25" i="1"/>
  <c r="Z27" i="1"/>
  <c r="T38" i="1"/>
  <c r="U38" i="1" s="1"/>
  <c r="S38" i="1"/>
  <c r="AT38" i="1"/>
  <c r="AV38" i="1" s="1"/>
  <c r="AW38" i="1" s="1"/>
  <c r="BK43" i="1"/>
  <c r="U58" i="1"/>
  <c r="AT58" i="1" s="1"/>
  <c r="AV58" i="1" s="1"/>
  <c r="AW58" i="1" s="1"/>
  <c r="AU58" i="1"/>
  <c r="AX58" i="1" s="1"/>
  <c r="S58" i="1"/>
  <c r="BK58" i="1" s="1"/>
  <c r="Z62" i="1"/>
  <c r="Y62" i="1"/>
  <c r="U63" i="1"/>
  <c r="AT63" i="1" s="1"/>
  <c r="AV63" i="1" s="1"/>
  <c r="AW63" i="1" s="1"/>
  <c r="AU63" i="1"/>
  <c r="AX63" i="1" s="1"/>
  <c r="T63" i="1"/>
  <c r="S63" i="1"/>
  <c r="BK63" i="1" s="1"/>
  <c r="AU90" i="1"/>
  <c r="AX90" i="1" s="1"/>
  <c r="T90" i="1"/>
  <c r="U90" i="1" s="1"/>
  <c r="AT90" i="1" s="1"/>
  <c r="AV90" i="1" s="1"/>
  <c r="AW90" i="1" s="1"/>
  <c r="S90" i="1"/>
  <c r="BK90" i="1" s="1"/>
  <c r="C27" i="3"/>
  <c r="B27" i="3"/>
  <c r="D27" i="3" s="1"/>
  <c r="Y34" i="1"/>
  <c r="BK34" i="1" s="1"/>
  <c r="Z34" i="1"/>
  <c r="BK49" i="1"/>
  <c r="Z50" i="1"/>
  <c r="Y50" i="1"/>
  <c r="S61" i="1"/>
  <c r="C10" i="15" s="1"/>
  <c r="G10" i="15" s="1"/>
  <c r="AU61" i="1"/>
  <c r="AX61" i="1" s="1"/>
  <c r="T61" i="1"/>
  <c r="U61" i="1" s="1"/>
  <c r="BK68" i="1"/>
  <c r="Z82" i="1"/>
  <c r="Y82" i="1"/>
  <c r="U78" i="1"/>
  <c r="AT78" i="1" s="1"/>
  <c r="AV78" i="1" s="1"/>
  <c r="AW78" i="1" s="1"/>
  <c r="T78" i="1"/>
  <c r="S81" i="1"/>
  <c r="S82" i="1"/>
  <c r="BK82" i="1" s="1"/>
  <c r="AU82" i="1"/>
  <c r="AX82" i="1" s="1"/>
  <c r="U82" i="1"/>
  <c r="AT82" i="1" s="1"/>
  <c r="AV82" i="1" s="1"/>
  <c r="AW82" i="1" s="1"/>
  <c r="U89" i="1"/>
  <c r="AT89" i="1" s="1"/>
  <c r="AV89" i="1" s="1"/>
  <c r="AW89" i="1" s="1"/>
  <c r="BK94" i="1"/>
  <c r="U95" i="1"/>
  <c r="AT95" i="1" s="1"/>
  <c r="AV95" i="1" s="1"/>
  <c r="AW95" i="1" s="1"/>
  <c r="U96" i="1"/>
  <c r="AT96" i="1" s="1"/>
  <c r="AV96" i="1" s="1"/>
  <c r="AW96" i="1" s="1"/>
  <c r="U119" i="1"/>
  <c r="AT119" i="1" s="1"/>
  <c r="AV119" i="1" s="1"/>
  <c r="AW119" i="1" s="1"/>
  <c r="AU119" i="1"/>
  <c r="AX119" i="1" s="1"/>
  <c r="T119" i="1"/>
  <c r="U100" i="1"/>
  <c r="AT100" i="1" s="1"/>
  <c r="AV100" i="1" s="1"/>
  <c r="AW100" i="1" s="1"/>
  <c r="S100" i="1"/>
  <c r="BK100" i="1" s="1"/>
  <c r="AU110" i="1"/>
  <c r="AX110" i="1" s="1"/>
  <c r="T110" i="1"/>
  <c r="U110" i="1" s="1"/>
  <c r="B55" i="3"/>
  <c r="BK139" i="1"/>
  <c r="U171" i="1"/>
  <c r="AT171" i="1" s="1"/>
  <c r="AV171" i="1" s="1"/>
  <c r="AW171" i="1" s="1"/>
  <c r="BK64" i="1"/>
  <c r="E245" i="3"/>
  <c r="E244" i="3"/>
  <c r="E241" i="3"/>
  <c r="E242" i="3"/>
  <c r="E248" i="3"/>
  <c r="E246" i="3"/>
  <c r="E243" i="3"/>
  <c r="E247" i="3"/>
  <c r="T23" i="1"/>
  <c r="U23" i="1" s="1"/>
  <c r="AT23" i="1" s="1"/>
  <c r="AV23" i="1" s="1"/>
  <c r="AW23" i="1" s="1"/>
  <c r="AU33" i="1"/>
  <c r="AX33" i="1" s="1"/>
  <c r="K30" i="3"/>
  <c r="T48" i="1"/>
  <c r="U48" i="1" s="1"/>
  <c r="AT48" i="1" s="1"/>
  <c r="AV48" i="1" s="1"/>
  <c r="AW48" i="1" s="1"/>
  <c r="Z57" i="1"/>
  <c r="Y57" i="1"/>
  <c r="BK57" i="1" s="1"/>
  <c r="Y59" i="1"/>
  <c r="S66" i="1"/>
  <c r="BK66" i="1" s="1"/>
  <c r="AU66" i="1"/>
  <c r="AX66" i="1" s="1"/>
  <c r="T66" i="1"/>
  <c r="U66" i="1" s="1"/>
  <c r="AT66" i="1" s="1"/>
  <c r="AV66" i="1" s="1"/>
  <c r="AW66" i="1" s="1"/>
  <c r="T85" i="1"/>
  <c r="U85" i="1" s="1"/>
  <c r="AT85" i="1" s="1"/>
  <c r="AV85" i="1" s="1"/>
  <c r="AW85" i="1" s="1"/>
  <c r="T98" i="1"/>
  <c r="U98" i="1" s="1"/>
  <c r="AT98" i="1" s="1"/>
  <c r="AV98" i="1" s="1"/>
  <c r="AW98" i="1" s="1"/>
  <c r="AU98" i="1"/>
  <c r="AX98" i="1" s="1"/>
  <c r="AU5" i="1"/>
  <c r="AX5" i="1" s="1"/>
  <c r="C234" i="3" s="1"/>
  <c r="T5" i="1"/>
  <c r="U5" i="1" s="1"/>
  <c r="AT5" i="1" s="1"/>
  <c r="AV5" i="1" s="1"/>
  <c r="AW5" i="1" s="1"/>
  <c r="Z12" i="1"/>
  <c r="Z19" i="1"/>
  <c r="AU30" i="1"/>
  <c r="AX30" i="1" s="1"/>
  <c r="T30" i="1"/>
  <c r="U30" i="1" s="1"/>
  <c r="AT30" i="1" s="1"/>
  <c r="AV30" i="1" s="1"/>
  <c r="AW30" i="1" s="1"/>
  <c r="Z37" i="1"/>
  <c r="Z44" i="1"/>
  <c r="BK44" i="1" s="1"/>
  <c r="AU55" i="1"/>
  <c r="AX55" i="1" s="1"/>
  <c r="T55" i="1"/>
  <c r="U55" i="1" s="1"/>
  <c r="AT55" i="1" s="1"/>
  <c r="AV55" i="1" s="1"/>
  <c r="AW55" i="1" s="1"/>
  <c r="Z72" i="1"/>
  <c r="Y72" i="1"/>
  <c r="BK72" i="1" s="1"/>
  <c r="S86" i="1"/>
  <c r="BK86" i="1" s="1"/>
  <c r="U88" i="1"/>
  <c r="AT88" i="1" s="1"/>
  <c r="AV88" i="1" s="1"/>
  <c r="AW88" i="1" s="1"/>
  <c r="S77" i="1"/>
  <c r="T77" i="1"/>
  <c r="U77" i="1" s="1"/>
  <c r="AT77" i="1" s="1"/>
  <c r="AV77" i="1" s="1"/>
  <c r="AW77" i="1" s="1"/>
  <c r="U84" i="1"/>
  <c r="AT84" i="1" s="1"/>
  <c r="AV84" i="1" s="1"/>
  <c r="AW84" i="1" s="1"/>
  <c r="AU84" i="1"/>
  <c r="AX84" i="1" s="1"/>
  <c r="T84" i="1"/>
  <c r="S84" i="1"/>
  <c r="BK84" i="1" s="1"/>
  <c r="S98" i="1"/>
  <c r="Y112" i="1"/>
  <c r="S132" i="1"/>
  <c r="BK132" i="1" s="1"/>
  <c r="AU132" i="1"/>
  <c r="AX132" i="1" s="1"/>
  <c r="U132" i="1"/>
  <c r="AT132" i="1" s="1"/>
  <c r="AV132" i="1" s="1"/>
  <c r="AW132" i="1" s="1"/>
  <c r="T132" i="1"/>
  <c r="S136" i="1"/>
  <c r="BK136" i="1" s="1"/>
  <c r="T136" i="1"/>
  <c r="U136" i="1" s="1"/>
  <c r="AU136" i="1"/>
  <c r="AX136" i="1" s="1"/>
  <c r="Z148" i="1"/>
  <c r="Y148" i="1"/>
  <c r="AT149" i="1"/>
  <c r="AV149" i="1" s="1"/>
  <c r="AW149" i="1" s="1"/>
  <c r="U149" i="1"/>
  <c r="AU149" i="1"/>
  <c r="AX149" i="1" s="1"/>
  <c r="T149" i="1"/>
  <c r="S149" i="1"/>
  <c r="BK149" i="1" s="1"/>
  <c r="AU165" i="1"/>
  <c r="AX165" i="1" s="1"/>
  <c r="S165" i="1"/>
  <c r="F241" i="3" s="1"/>
  <c r="T165" i="1"/>
  <c r="U165" i="1" s="1"/>
  <c r="AT179" i="1"/>
  <c r="AV179" i="1" s="1"/>
  <c r="AW179" i="1" s="1"/>
  <c r="U179" i="1"/>
  <c r="L72" i="3" s="1"/>
  <c r="AU179" i="1"/>
  <c r="AX179" i="1" s="1"/>
  <c r="T179" i="1"/>
  <c r="S179" i="1"/>
  <c r="BK179" i="1" s="1"/>
  <c r="S97" i="1"/>
  <c r="BK97" i="1" s="1"/>
  <c r="T97" i="1"/>
  <c r="AT140" i="1"/>
  <c r="AV140" i="1" s="1"/>
  <c r="AW140" i="1" s="1"/>
  <c r="U140" i="1"/>
  <c r="S140" i="1"/>
  <c r="BK140" i="1" s="1"/>
  <c r="AU140" i="1"/>
  <c r="AX140" i="1" s="1"/>
  <c r="T140" i="1"/>
  <c r="Z168" i="1"/>
  <c r="Y168" i="1"/>
  <c r="BK168" i="1" s="1"/>
  <c r="Z98" i="1"/>
  <c r="Y98" i="1"/>
  <c r="AT99" i="1"/>
  <c r="AV99" i="1" s="1"/>
  <c r="AW99" i="1" s="1"/>
  <c r="U99" i="1"/>
  <c r="AU99" i="1"/>
  <c r="AX99" i="1" s="1"/>
  <c r="S99" i="1"/>
  <c r="BK99" i="1" s="1"/>
  <c r="S116" i="1"/>
  <c r="BK116" i="1" s="1"/>
  <c r="AU116" i="1"/>
  <c r="AX116" i="1" s="1"/>
  <c r="U116" i="1"/>
  <c r="L98" i="3" s="1"/>
  <c r="Z119" i="1"/>
  <c r="BK119" i="1" s="1"/>
  <c r="Y119" i="1"/>
  <c r="U177" i="1"/>
  <c r="AT177" i="1" s="1"/>
  <c r="AV177" i="1" s="1"/>
  <c r="AW177" i="1" s="1"/>
  <c r="AU185" i="1"/>
  <c r="AX185" i="1" s="1"/>
  <c r="AT185" i="1"/>
  <c r="AV185" i="1" s="1"/>
  <c r="AW185" i="1" s="1"/>
  <c r="U185" i="1"/>
  <c r="T185" i="1"/>
  <c r="S185" i="1"/>
  <c r="Y259" i="1"/>
  <c r="Z259" i="1"/>
  <c r="AU45" i="1"/>
  <c r="AX45" i="1" s="1"/>
  <c r="T45" i="1"/>
  <c r="U45" i="1" s="1"/>
  <c r="AT45" i="1" s="1"/>
  <c r="AV45" i="1" s="1"/>
  <c r="AW45" i="1" s="1"/>
  <c r="AU72" i="1"/>
  <c r="AX72" i="1" s="1"/>
  <c r="U72" i="1"/>
  <c r="AT72" i="1" s="1"/>
  <c r="AV72" i="1" s="1"/>
  <c r="AW72" i="1" s="1"/>
  <c r="S95" i="1"/>
  <c r="BK95" i="1" s="1"/>
  <c r="AU97" i="1"/>
  <c r="AX97" i="1" s="1"/>
  <c r="Z127" i="1"/>
  <c r="Y127" i="1"/>
  <c r="U133" i="1"/>
  <c r="AT133" i="1" s="1"/>
  <c r="AV133" i="1" s="1"/>
  <c r="AW133" i="1" s="1"/>
  <c r="AU133" i="1"/>
  <c r="AX133" i="1" s="1"/>
  <c r="S133" i="1"/>
  <c r="U158" i="1"/>
  <c r="AT158" i="1" s="1"/>
  <c r="AV158" i="1" s="1"/>
  <c r="AW158" i="1" s="1"/>
  <c r="AU158" i="1"/>
  <c r="AX158" i="1" s="1"/>
  <c r="S158" i="1"/>
  <c r="T158" i="1"/>
  <c r="U183" i="1"/>
  <c r="K91" i="3" s="1"/>
  <c r="AU183" i="1"/>
  <c r="AX183" i="1" s="1"/>
  <c r="S183" i="1"/>
  <c r="T183" i="1"/>
  <c r="AU193" i="1"/>
  <c r="AX193" i="1" s="1"/>
  <c r="AT193" i="1"/>
  <c r="AV193" i="1" s="1"/>
  <c r="AW193" i="1" s="1"/>
  <c r="U193" i="1"/>
  <c r="T193" i="1"/>
  <c r="S193" i="1"/>
  <c r="BK193" i="1" s="1"/>
  <c r="S208" i="1"/>
  <c r="BK208" i="1" s="1"/>
  <c r="AT208" i="1"/>
  <c r="AV208" i="1" s="1"/>
  <c r="AW208" i="1" s="1"/>
  <c r="U208" i="1"/>
  <c r="T208" i="1"/>
  <c r="AU208" i="1"/>
  <c r="AX208" i="1" s="1"/>
  <c r="Z255" i="1"/>
  <c r="Y255" i="1"/>
  <c r="AT276" i="1"/>
  <c r="AV276" i="1" s="1"/>
  <c r="AW276" i="1" s="1"/>
  <c r="T276" i="1"/>
  <c r="U276" i="1"/>
  <c r="S276" i="1"/>
  <c r="BK276" i="1" s="1"/>
  <c r="AU276" i="1"/>
  <c r="AX276" i="1" s="1"/>
  <c r="AU79" i="1"/>
  <c r="AX79" i="1" s="1"/>
  <c r="T79" i="1"/>
  <c r="U79" i="1" s="1"/>
  <c r="AT83" i="1"/>
  <c r="AV83" i="1" s="1"/>
  <c r="AW83" i="1" s="1"/>
  <c r="U83" i="1"/>
  <c r="T83" i="1"/>
  <c r="AU83" i="1"/>
  <c r="AX83" i="1" s="1"/>
  <c r="S83" i="1"/>
  <c r="BK83" i="1" s="1"/>
  <c r="U97" i="1"/>
  <c r="K32" i="3" s="1"/>
  <c r="Y107" i="1"/>
  <c r="BK107" i="1" s="1"/>
  <c r="T116" i="1"/>
  <c r="BK118" i="1"/>
  <c r="T130" i="1"/>
  <c r="U130" i="1" s="1"/>
  <c r="AT130" i="1" s="1"/>
  <c r="AV130" i="1" s="1"/>
  <c r="AW130" i="1" s="1"/>
  <c r="S130" i="1"/>
  <c r="BK130" i="1" s="1"/>
  <c r="Y132" i="1"/>
  <c r="U103" i="1"/>
  <c r="L46" i="3" s="1"/>
  <c r="AT104" i="1"/>
  <c r="AV104" i="1" s="1"/>
  <c r="AW104" i="1" s="1"/>
  <c r="U104" i="1"/>
  <c r="AT109" i="1"/>
  <c r="AV109" i="1" s="1"/>
  <c r="AW109" i="1" s="1"/>
  <c r="U109" i="1"/>
  <c r="S114" i="1"/>
  <c r="BK114" i="1" s="1"/>
  <c r="U123" i="1"/>
  <c r="T123" i="1"/>
  <c r="Z143" i="1"/>
  <c r="Y143" i="1"/>
  <c r="BK143" i="1" s="1"/>
  <c r="T150" i="1"/>
  <c r="U150" i="1" s="1"/>
  <c r="AT153" i="1"/>
  <c r="AV153" i="1" s="1"/>
  <c r="AW153" i="1" s="1"/>
  <c r="U153" i="1"/>
  <c r="AU153" i="1"/>
  <c r="AX153" i="1" s="1"/>
  <c r="S153" i="1"/>
  <c r="BK153" i="1" s="1"/>
  <c r="T154" i="1"/>
  <c r="AU160" i="1"/>
  <c r="AX160" i="1" s="1"/>
  <c r="T160" i="1"/>
  <c r="U160" i="1" s="1"/>
  <c r="AT160" i="1" s="1"/>
  <c r="AV160" i="1" s="1"/>
  <c r="AW160" i="1" s="1"/>
  <c r="S160" i="1"/>
  <c r="BK160" i="1" s="1"/>
  <c r="BK164" i="1"/>
  <c r="S176" i="1"/>
  <c r="BK176" i="1" s="1"/>
  <c r="U176" i="1"/>
  <c r="AT176" i="1" s="1"/>
  <c r="AV176" i="1" s="1"/>
  <c r="AW176" i="1" s="1"/>
  <c r="Z189" i="1"/>
  <c r="Y189" i="1"/>
  <c r="BK189" i="1" s="1"/>
  <c r="L82" i="3"/>
  <c r="S195" i="1"/>
  <c r="AU195" i="1"/>
  <c r="AX195" i="1" s="1"/>
  <c r="U195" i="1"/>
  <c r="K82" i="3" s="1"/>
  <c r="T195" i="1"/>
  <c r="AU197" i="1"/>
  <c r="AX197" i="1" s="1"/>
  <c r="T197" i="1"/>
  <c r="U197" i="1" s="1"/>
  <c r="AT197" i="1" s="1"/>
  <c r="AV197" i="1" s="1"/>
  <c r="AW197" i="1" s="1"/>
  <c r="S197" i="1"/>
  <c r="BK197" i="1" s="1"/>
  <c r="BK254" i="1"/>
  <c r="Z257" i="1"/>
  <c r="Y257" i="1"/>
  <c r="BK257" i="1" s="1"/>
  <c r="Z333" i="1"/>
  <c r="BK333" i="1" s="1"/>
  <c r="Y333" i="1"/>
  <c r="BK232" i="1"/>
  <c r="Z236" i="1"/>
  <c r="BK236" i="1" s="1"/>
  <c r="Y236" i="1"/>
  <c r="AU318" i="1"/>
  <c r="AX318" i="1" s="1"/>
  <c r="T318" i="1"/>
  <c r="U318" i="1" s="1"/>
  <c r="S318" i="1"/>
  <c r="S91" i="1"/>
  <c r="Z134" i="1"/>
  <c r="Y134" i="1"/>
  <c r="U146" i="1"/>
  <c r="AT146" i="1" s="1"/>
  <c r="AV146" i="1" s="1"/>
  <c r="AW146" i="1" s="1"/>
  <c r="Z226" i="1"/>
  <c r="Y226" i="1"/>
  <c r="BK235" i="1"/>
  <c r="C21" i="3"/>
  <c r="B21" i="3"/>
  <c r="D21" i="3" s="1"/>
  <c r="S106" i="1"/>
  <c r="S117" i="1"/>
  <c r="BK117" i="1" s="1"/>
  <c r="T117" i="1"/>
  <c r="I15" i="15"/>
  <c r="I28" i="15"/>
  <c r="Y87" i="1"/>
  <c r="AT94" i="1"/>
  <c r="AV94" i="1" s="1"/>
  <c r="AW94" i="1" s="1"/>
  <c r="U94" i="1"/>
  <c r="S103" i="1"/>
  <c r="BK103" i="1" s="1"/>
  <c r="AU103" i="1"/>
  <c r="AX103" i="1" s="1"/>
  <c r="S104" i="1"/>
  <c r="BK104" i="1" s="1"/>
  <c r="S109" i="1"/>
  <c r="AU109" i="1"/>
  <c r="AX109" i="1" s="1"/>
  <c r="S111" i="1"/>
  <c r="BK111" i="1" s="1"/>
  <c r="T111" i="1"/>
  <c r="U111" i="1" s="1"/>
  <c r="AT111" i="1" s="1"/>
  <c r="AV111" i="1" s="1"/>
  <c r="AW111" i="1" s="1"/>
  <c r="S112" i="1"/>
  <c r="AU112" i="1"/>
  <c r="AX112" i="1" s="1"/>
  <c r="U112" i="1"/>
  <c r="S115" i="1"/>
  <c r="T118" i="1"/>
  <c r="U118" i="1" s="1"/>
  <c r="S123" i="1"/>
  <c r="Z124" i="1"/>
  <c r="BK124" i="1" s="1"/>
  <c r="AT128" i="1"/>
  <c r="AV128" i="1" s="1"/>
  <c r="AW128" i="1" s="1"/>
  <c r="U128" i="1"/>
  <c r="K51" i="3" s="1"/>
  <c r="AT129" i="1"/>
  <c r="AV129" i="1" s="1"/>
  <c r="AW129" i="1" s="1"/>
  <c r="U129" i="1"/>
  <c r="Z139" i="1"/>
  <c r="U141" i="1"/>
  <c r="AT141" i="1" s="1"/>
  <c r="AV141" i="1" s="1"/>
  <c r="AW141" i="1" s="1"/>
  <c r="T153" i="1"/>
  <c r="S157" i="1"/>
  <c r="AU157" i="1"/>
  <c r="AX157" i="1" s="1"/>
  <c r="U157" i="1"/>
  <c r="AT157" i="1" s="1"/>
  <c r="AV157" i="1" s="1"/>
  <c r="AW157" i="1" s="1"/>
  <c r="Z164" i="1"/>
  <c r="Y164" i="1"/>
  <c r="Z173" i="1"/>
  <c r="Y173" i="1"/>
  <c r="S182" i="1"/>
  <c r="AU182" i="1"/>
  <c r="AX182" i="1" s="1"/>
  <c r="U182" i="1"/>
  <c r="AT182" i="1"/>
  <c r="AV182" i="1" s="1"/>
  <c r="AW182" i="1" s="1"/>
  <c r="AT184" i="1"/>
  <c r="AV184" i="1" s="1"/>
  <c r="AW184" i="1" s="1"/>
  <c r="U184" i="1"/>
  <c r="S184" i="1"/>
  <c r="Z195" i="1"/>
  <c r="Y195" i="1"/>
  <c r="S204" i="1"/>
  <c r="BK204" i="1" s="1"/>
  <c r="T204" i="1"/>
  <c r="AU204" i="1"/>
  <c r="AX204" i="1" s="1"/>
  <c r="U204" i="1"/>
  <c r="AT204" i="1" s="1"/>
  <c r="AV204" i="1" s="1"/>
  <c r="AW204" i="1" s="1"/>
  <c r="BK207" i="1"/>
  <c r="Y269" i="1"/>
  <c r="Z269" i="1"/>
  <c r="C93" i="3"/>
  <c r="B93" i="3"/>
  <c r="BK287" i="1"/>
  <c r="Z188" i="1"/>
  <c r="Y188" i="1"/>
  <c r="BK188" i="1" s="1"/>
  <c r="S192" i="1"/>
  <c r="AU192" i="1"/>
  <c r="AX192" i="1" s="1"/>
  <c r="T192" i="1"/>
  <c r="U192" i="1" s="1"/>
  <c r="S194" i="1"/>
  <c r="BK194" i="1" s="1"/>
  <c r="AU194" i="1"/>
  <c r="AX194" i="1" s="1"/>
  <c r="T194" i="1"/>
  <c r="U194" i="1" s="1"/>
  <c r="AT194" i="1" s="1"/>
  <c r="AV194" i="1" s="1"/>
  <c r="AW194" i="1" s="1"/>
  <c r="AT196" i="1"/>
  <c r="AV196" i="1" s="1"/>
  <c r="AW196" i="1" s="1"/>
  <c r="U196" i="1"/>
  <c r="T196" i="1"/>
  <c r="AU196" i="1"/>
  <c r="AX196" i="1" s="1"/>
  <c r="S196" i="1"/>
  <c r="BK196" i="1" s="1"/>
  <c r="BK268" i="1"/>
  <c r="C102" i="3"/>
  <c r="BK169" i="1"/>
  <c r="U174" i="1"/>
  <c r="AT174" i="1" s="1"/>
  <c r="AV174" i="1" s="1"/>
  <c r="AW174" i="1" s="1"/>
  <c r="AU174" i="1"/>
  <c r="AX174" i="1" s="1"/>
  <c r="T174" i="1"/>
  <c r="S174" i="1"/>
  <c r="BK174" i="1" s="1"/>
  <c r="BK175" i="1"/>
  <c r="AT178" i="1"/>
  <c r="AV178" i="1" s="1"/>
  <c r="AW178" i="1" s="1"/>
  <c r="U178" i="1"/>
  <c r="T178" i="1"/>
  <c r="AU178" i="1"/>
  <c r="AX178" i="1" s="1"/>
  <c r="S178" i="1"/>
  <c r="BK178" i="1" s="1"/>
  <c r="BK212" i="1"/>
  <c r="B68" i="3"/>
  <c r="D68" i="3" s="1"/>
  <c r="C68" i="3"/>
  <c r="BK237" i="1"/>
  <c r="Z247" i="1"/>
  <c r="Y247" i="1"/>
  <c r="BK251" i="1"/>
  <c r="G248" i="3"/>
  <c r="H248" i="3"/>
  <c r="E25" i="15"/>
  <c r="C25" i="15"/>
  <c r="G25" i="15" s="1"/>
  <c r="I12" i="15"/>
  <c r="AT68" i="1"/>
  <c r="AV68" i="1" s="1"/>
  <c r="AW68" i="1" s="1"/>
  <c r="U68" i="1"/>
  <c r="L83" i="3" s="1"/>
  <c r="T91" i="1"/>
  <c r="U91" i="1" s="1"/>
  <c r="AT91" i="1" s="1"/>
  <c r="AV91" i="1" s="1"/>
  <c r="AW91" i="1" s="1"/>
  <c r="T106" i="1"/>
  <c r="U106" i="1" s="1"/>
  <c r="AU106" i="1"/>
  <c r="AX106" i="1" s="1"/>
  <c r="U107" i="1"/>
  <c r="AT107" i="1" s="1"/>
  <c r="AV107" i="1" s="1"/>
  <c r="AW107" i="1" s="1"/>
  <c r="AU107" i="1"/>
  <c r="AX107" i="1" s="1"/>
  <c r="AT112" i="1"/>
  <c r="AV112" i="1" s="1"/>
  <c r="AW112" i="1" s="1"/>
  <c r="U115" i="1"/>
  <c r="AT115" i="1"/>
  <c r="AV115" i="1" s="1"/>
  <c r="AW115" i="1" s="1"/>
  <c r="U117" i="1"/>
  <c r="AT117" i="1" s="1"/>
  <c r="AV117" i="1" s="1"/>
  <c r="AW117" i="1" s="1"/>
  <c r="Z123" i="1"/>
  <c r="Y123" i="1"/>
  <c r="K50" i="3"/>
  <c r="U125" i="1"/>
  <c r="AT125" i="1" s="1"/>
  <c r="AV125" i="1" s="1"/>
  <c r="AW125" i="1" s="1"/>
  <c r="S126" i="1"/>
  <c r="BK126" i="1" s="1"/>
  <c r="U126" i="1"/>
  <c r="AT126" i="1" s="1"/>
  <c r="AV126" i="1" s="1"/>
  <c r="AW126" i="1" s="1"/>
  <c r="S131" i="1"/>
  <c r="U131" i="1"/>
  <c r="K53" i="3" s="1"/>
  <c r="AU135" i="1"/>
  <c r="AX135" i="1" s="1"/>
  <c r="U135" i="1"/>
  <c r="AT135" i="1" s="1"/>
  <c r="AV135" i="1" s="1"/>
  <c r="AW135" i="1" s="1"/>
  <c r="Z138" i="1"/>
  <c r="Y138" i="1"/>
  <c r="BK138" i="1" s="1"/>
  <c r="U143" i="1"/>
  <c r="AT143" i="1" s="1"/>
  <c r="AV143" i="1" s="1"/>
  <c r="AW143" i="1" s="1"/>
  <c r="S144" i="1"/>
  <c r="BK144" i="1" s="1"/>
  <c r="AU144" i="1"/>
  <c r="AX144" i="1" s="1"/>
  <c r="S151" i="1"/>
  <c r="BK151" i="1" s="1"/>
  <c r="U151" i="1"/>
  <c r="AT151" i="1" s="1"/>
  <c r="AV151" i="1" s="1"/>
  <c r="AW151" i="1" s="1"/>
  <c r="U152" i="1"/>
  <c r="AT152" i="1" s="1"/>
  <c r="AV152" i="1" s="1"/>
  <c r="AW152" i="1" s="1"/>
  <c r="BK223" i="1"/>
  <c r="Z227" i="1"/>
  <c r="Y227" i="1"/>
  <c r="BK284" i="1"/>
  <c r="AU115" i="1"/>
  <c r="AX115" i="1" s="1"/>
  <c r="C51" i="3"/>
  <c r="B51" i="3"/>
  <c r="Z133" i="1"/>
  <c r="Y133" i="1"/>
  <c r="T144" i="1"/>
  <c r="U144" i="1" s="1"/>
  <c r="T155" i="1"/>
  <c r="U155" i="1" s="1"/>
  <c r="AT155" i="1" s="1"/>
  <c r="AV155" i="1" s="1"/>
  <c r="AW155" i="1" s="1"/>
  <c r="S155" i="1"/>
  <c r="BK155" i="1" s="1"/>
  <c r="T180" i="1"/>
  <c r="U180" i="1" s="1"/>
  <c r="AT180" i="1" s="1"/>
  <c r="AV180" i="1" s="1"/>
  <c r="AW180" i="1" s="1"/>
  <c r="S180" i="1"/>
  <c r="BK180" i="1" s="1"/>
  <c r="S214" i="1"/>
  <c r="AU214" i="1"/>
  <c r="AX214" i="1" s="1"/>
  <c r="U214" i="1"/>
  <c r="AT214" i="1" s="1"/>
  <c r="AV214" i="1" s="1"/>
  <c r="AW214" i="1" s="1"/>
  <c r="T214" i="1"/>
  <c r="BK245" i="1"/>
  <c r="AU124" i="1"/>
  <c r="AX124" i="1" s="1"/>
  <c r="T124" i="1"/>
  <c r="U124" i="1" s="1"/>
  <c r="U134" i="1"/>
  <c r="AT134" i="1" s="1"/>
  <c r="AV134" i="1" s="1"/>
  <c r="AW134" i="1" s="1"/>
  <c r="S134" i="1"/>
  <c r="C56" i="3"/>
  <c r="B56" i="3"/>
  <c r="D56" i="3" s="1"/>
  <c r="AT154" i="1"/>
  <c r="AV154" i="1" s="1"/>
  <c r="AW154" i="1" s="1"/>
  <c r="U154" i="1"/>
  <c r="S154" i="1"/>
  <c r="BK154" i="1" s="1"/>
  <c r="Z163" i="1"/>
  <c r="Y163" i="1"/>
  <c r="BK163" i="1" s="1"/>
  <c r="C90" i="3"/>
  <c r="S191" i="1"/>
  <c r="BK191" i="1" s="1"/>
  <c r="AU191" i="1"/>
  <c r="AX191" i="1" s="1"/>
  <c r="AT191" i="1"/>
  <c r="AV191" i="1" s="1"/>
  <c r="AW191" i="1" s="1"/>
  <c r="U191" i="1"/>
  <c r="T191" i="1"/>
  <c r="Y212" i="1"/>
  <c r="Z212" i="1"/>
  <c r="S230" i="1"/>
  <c r="BK230" i="1" s="1"/>
  <c r="AU230" i="1"/>
  <c r="AX230" i="1" s="1"/>
  <c r="T230" i="1"/>
  <c r="U230" i="1" s="1"/>
  <c r="Z211" i="1"/>
  <c r="Y211" i="1"/>
  <c r="Z220" i="1"/>
  <c r="Y220" i="1"/>
  <c r="T226" i="1"/>
  <c r="U226" i="1" s="1"/>
  <c r="AU226" i="1"/>
  <c r="AX226" i="1" s="1"/>
  <c r="S226" i="1"/>
  <c r="S96" i="1"/>
  <c r="BK96" i="1" s="1"/>
  <c r="S102" i="1"/>
  <c r="S113" i="1"/>
  <c r="BK113" i="1" s="1"/>
  <c r="S121" i="1"/>
  <c r="BK121" i="1" s="1"/>
  <c r="S127" i="1"/>
  <c r="BK127" i="1" s="1"/>
  <c r="U137" i="1"/>
  <c r="AT137" i="1" s="1"/>
  <c r="AV137" i="1" s="1"/>
  <c r="AW137" i="1" s="1"/>
  <c r="S146" i="1"/>
  <c r="BK146" i="1" s="1"/>
  <c r="S152" i="1"/>
  <c r="U156" i="1"/>
  <c r="AT156" i="1" s="1"/>
  <c r="AV156" i="1" s="1"/>
  <c r="AW156" i="1" s="1"/>
  <c r="U162" i="1"/>
  <c r="AT162" i="1" s="1"/>
  <c r="AV162" i="1" s="1"/>
  <c r="AW162" i="1" s="1"/>
  <c r="S171" i="1"/>
  <c r="BK171" i="1" s="1"/>
  <c r="U175" i="1"/>
  <c r="AT175" i="1" s="1"/>
  <c r="AV175" i="1" s="1"/>
  <c r="AW175" i="1" s="1"/>
  <c r="K72" i="3"/>
  <c r="S177" i="1"/>
  <c r="T218" i="1"/>
  <c r="U218" i="1" s="1"/>
  <c r="AT218" i="1" s="1"/>
  <c r="AV218" i="1" s="1"/>
  <c r="AW218" i="1" s="1"/>
  <c r="Z235" i="1"/>
  <c r="Y235" i="1"/>
  <c r="Z240" i="1"/>
  <c r="BK240" i="1" s="1"/>
  <c r="Y240" i="1"/>
  <c r="U246" i="1"/>
  <c r="AT246" i="1" s="1"/>
  <c r="AV246" i="1" s="1"/>
  <c r="AW246" i="1" s="1"/>
  <c r="R246" i="1"/>
  <c r="S246" i="1" s="1"/>
  <c r="BK246" i="1" s="1"/>
  <c r="BK270" i="1"/>
  <c r="AU242" i="1"/>
  <c r="AX242" i="1" s="1"/>
  <c r="S242" i="1"/>
  <c r="BK242" i="1" s="1"/>
  <c r="T242" i="1"/>
  <c r="U242" i="1" s="1"/>
  <c r="AT242" i="1" s="1"/>
  <c r="AV242" i="1" s="1"/>
  <c r="AW242" i="1" s="1"/>
  <c r="Z256" i="1"/>
  <c r="Y256" i="1"/>
  <c r="BK256" i="1" s="1"/>
  <c r="S122" i="1"/>
  <c r="S141" i="1"/>
  <c r="BK141" i="1" s="1"/>
  <c r="S147" i="1"/>
  <c r="BK147" i="1" s="1"/>
  <c r="S166" i="1"/>
  <c r="BK166" i="1" s="1"/>
  <c r="S172" i="1"/>
  <c r="BK172" i="1" s="1"/>
  <c r="S190" i="1"/>
  <c r="BK190" i="1" s="1"/>
  <c r="S202" i="1"/>
  <c r="U212" i="1"/>
  <c r="AT212" i="1" s="1"/>
  <c r="AV212" i="1" s="1"/>
  <c r="AW212" i="1" s="1"/>
  <c r="T216" i="1"/>
  <c r="U216" i="1" s="1"/>
  <c r="AT221" i="1"/>
  <c r="AV221" i="1" s="1"/>
  <c r="AW221" i="1" s="1"/>
  <c r="U221" i="1"/>
  <c r="AT222" i="1"/>
  <c r="AV222" i="1" s="1"/>
  <c r="AW222" i="1" s="1"/>
  <c r="U222" i="1"/>
  <c r="K66" i="3" s="1"/>
  <c r="S229" i="1"/>
  <c r="BK229" i="1" s="1"/>
  <c r="T229" i="1"/>
  <c r="U229" i="1" s="1"/>
  <c r="AT229" i="1" s="1"/>
  <c r="AV229" i="1" s="1"/>
  <c r="AW229" i="1" s="1"/>
  <c r="BK252" i="1"/>
  <c r="AU286" i="1"/>
  <c r="AX286" i="1" s="1"/>
  <c r="T286" i="1"/>
  <c r="U286" i="1" s="1"/>
  <c r="S286" i="1"/>
  <c r="BK286" i="1" s="1"/>
  <c r="S295" i="1"/>
  <c r="AU295" i="1"/>
  <c r="AX295" i="1" s="1"/>
  <c r="T295" i="1"/>
  <c r="U295" i="1"/>
  <c r="AT295" i="1" s="1"/>
  <c r="AV295" i="1" s="1"/>
  <c r="AW295" i="1" s="1"/>
  <c r="AU311" i="1"/>
  <c r="AX311" i="1" s="1"/>
  <c r="U311" i="1"/>
  <c r="K65" i="3" s="1"/>
  <c r="AT311" i="1"/>
  <c r="AV311" i="1" s="1"/>
  <c r="AW311" i="1" s="1"/>
  <c r="T311" i="1"/>
  <c r="S311" i="1"/>
  <c r="S142" i="1"/>
  <c r="BK142" i="1" s="1"/>
  <c r="S161" i="1"/>
  <c r="BK161" i="1" s="1"/>
  <c r="S167" i="1"/>
  <c r="BK167" i="1" s="1"/>
  <c r="S186" i="1"/>
  <c r="BK186" i="1" s="1"/>
  <c r="U190" i="1"/>
  <c r="AT190" i="1" s="1"/>
  <c r="AV190" i="1" s="1"/>
  <c r="AW190" i="1" s="1"/>
  <c r="AU202" i="1"/>
  <c r="AX202" i="1" s="1"/>
  <c r="AU227" i="1"/>
  <c r="AX227" i="1" s="1"/>
  <c r="T227" i="1"/>
  <c r="U227" i="1" s="1"/>
  <c r="AT227" i="1" s="1"/>
  <c r="AV227" i="1" s="1"/>
  <c r="AW227" i="1" s="1"/>
  <c r="S227" i="1"/>
  <c r="Z252" i="1"/>
  <c r="Y252" i="1"/>
  <c r="BK259" i="1"/>
  <c r="BK281" i="1"/>
  <c r="Y300" i="1"/>
  <c r="Z300" i="1"/>
  <c r="AT168" i="1"/>
  <c r="AV168" i="1" s="1"/>
  <c r="AW168" i="1" s="1"/>
  <c r="U168" i="1"/>
  <c r="U169" i="1"/>
  <c r="L102" i="3" s="1"/>
  <c r="Y182" i="1"/>
  <c r="U201" i="1"/>
  <c r="AT201" i="1" s="1"/>
  <c r="AV201" i="1" s="1"/>
  <c r="AW201" i="1" s="1"/>
  <c r="AU201" i="1"/>
  <c r="AX201" i="1" s="1"/>
  <c r="S201" i="1"/>
  <c r="BK201" i="1" s="1"/>
  <c r="T202" i="1"/>
  <c r="U202" i="1" s="1"/>
  <c r="S203" i="1"/>
  <c r="BK203" i="1" s="1"/>
  <c r="S210" i="1"/>
  <c r="AT210" i="1"/>
  <c r="AV210" i="1" s="1"/>
  <c r="AW210" i="1" s="1"/>
  <c r="T210" i="1"/>
  <c r="U210" i="1" s="1"/>
  <c r="K96" i="3" s="1"/>
  <c r="AU211" i="1"/>
  <c r="AX211" i="1" s="1"/>
  <c r="Y217" i="1"/>
  <c r="BK217" i="1" s="1"/>
  <c r="S220" i="1"/>
  <c r="BK220" i="1" s="1"/>
  <c r="AT220" i="1"/>
  <c r="AV220" i="1" s="1"/>
  <c r="AW220" i="1" s="1"/>
  <c r="T220" i="1"/>
  <c r="AU220" i="1"/>
  <c r="AX220" i="1" s="1"/>
  <c r="S221" i="1"/>
  <c r="BK221" i="1" s="1"/>
  <c r="AU221" i="1"/>
  <c r="AX221" i="1" s="1"/>
  <c r="S222" i="1"/>
  <c r="T224" i="1"/>
  <c r="U224" i="1" s="1"/>
  <c r="AT224" i="1" s="1"/>
  <c r="AV224" i="1" s="1"/>
  <c r="AW224" i="1" s="1"/>
  <c r="S228" i="1"/>
  <c r="BK228" i="1" s="1"/>
  <c r="C103" i="3"/>
  <c r="BK241" i="1"/>
  <c r="S244" i="1"/>
  <c r="BK244" i="1" s="1"/>
  <c r="AU244" i="1"/>
  <c r="AX244" i="1" s="1"/>
  <c r="Z278" i="1"/>
  <c r="Y278" i="1"/>
  <c r="BK278" i="1" s="1"/>
  <c r="S137" i="1"/>
  <c r="BK137" i="1" s="1"/>
  <c r="S156" i="1"/>
  <c r="BK156" i="1" s="1"/>
  <c r="Y158" i="1"/>
  <c r="Y159" i="1"/>
  <c r="S162" i="1"/>
  <c r="BK162" i="1" s="1"/>
  <c r="U166" i="1"/>
  <c r="AT166" i="1" s="1"/>
  <c r="U172" i="1"/>
  <c r="AT172" i="1" s="1"/>
  <c r="AV172" i="1" s="1"/>
  <c r="AW172" i="1" s="1"/>
  <c r="AU172" i="1"/>
  <c r="AX172" i="1" s="1"/>
  <c r="S181" i="1"/>
  <c r="Y183" i="1"/>
  <c r="Y184" i="1"/>
  <c r="S187" i="1"/>
  <c r="BK187" i="1" s="1"/>
  <c r="S199" i="1"/>
  <c r="BK199" i="1" s="1"/>
  <c r="T203" i="1"/>
  <c r="S211" i="1"/>
  <c r="U113" i="1"/>
  <c r="L84" i="3" s="1"/>
  <c r="AT114" i="1"/>
  <c r="AV114" i="1" s="1"/>
  <c r="AW114" i="1" s="1"/>
  <c r="U114" i="1"/>
  <c r="U138" i="1"/>
  <c r="AT138" i="1" s="1"/>
  <c r="AV138" i="1" s="1"/>
  <c r="AW138" i="1" s="1"/>
  <c r="L55" i="3"/>
  <c r="U139" i="1"/>
  <c r="AT139" i="1" s="1"/>
  <c r="AV139" i="1" s="1"/>
  <c r="AW139" i="1" s="1"/>
  <c r="AU141" i="1"/>
  <c r="AX141" i="1" s="1"/>
  <c r="T142" i="1"/>
  <c r="U142" i="1" s="1"/>
  <c r="K55" i="3" s="1"/>
  <c r="AT142" i="1"/>
  <c r="AV142" i="1" s="1"/>
  <c r="AW142" i="1" s="1"/>
  <c r="Y152" i="1"/>
  <c r="T161" i="1"/>
  <c r="U161" i="1" s="1"/>
  <c r="AT161" i="1" s="1"/>
  <c r="AV161" i="1" s="1"/>
  <c r="AW161" i="1" s="1"/>
  <c r="U163" i="1"/>
  <c r="AT163" i="1" s="1"/>
  <c r="AV163" i="1" s="1"/>
  <c r="AW163" i="1" s="1"/>
  <c r="AT164" i="1"/>
  <c r="AV164" i="1" s="1"/>
  <c r="AW164" i="1" s="1"/>
  <c r="U164" i="1"/>
  <c r="AU166" i="1"/>
  <c r="AX166" i="1" s="1"/>
  <c r="T167" i="1"/>
  <c r="U167" i="1" s="1"/>
  <c r="AT167" i="1"/>
  <c r="AV167" i="1" s="1"/>
  <c r="AW167" i="1" s="1"/>
  <c r="T186" i="1"/>
  <c r="U186" i="1" s="1"/>
  <c r="AT186" i="1" s="1"/>
  <c r="AV186" i="1" s="1"/>
  <c r="AW186" i="1" s="1"/>
  <c r="AT188" i="1"/>
  <c r="AV188" i="1" s="1"/>
  <c r="AW188" i="1" s="1"/>
  <c r="U188" i="1"/>
  <c r="AT189" i="1"/>
  <c r="AV189" i="1" s="1"/>
  <c r="AW189" i="1" s="1"/>
  <c r="U189" i="1"/>
  <c r="S198" i="1"/>
  <c r="S200" i="1"/>
  <c r="BK200" i="1" s="1"/>
  <c r="AU200" i="1"/>
  <c r="AX200" i="1" s="1"/>
  <c r="U200" i="1"/>
  <c r="AT200" i="1" s="1"/>
  <c r="AV200" i="1" s="1"/>
  <c r="AW200" i="1" s="1"/>
  <c r="U203" i="1"/>
  <c r="AT203" i="1" s="1"/>
  <c r="AV203" i="1" s="1"/>
  <c r="AW203" i="1" s="1"/>
  <c r="T205" i="1"/>
  <c r="U205" i="1" s="1"/>
  <c r="AT205" i="1"/>
  <c r="AV205" i="1" s="1"/>
  <c r="AW205" i="1" s="1"/>
  <c r="AU210" i="1"/>
  <c r="AX210" i="1" s="1"/>
  <c r="T211" i="1"/>
  <c r="U211" i="1" s="1"/>
  <c r="U220" i="1"/>
  <c r="AU224" i="1"/>
  <c r="AX224" i="1" s="1"/>
  <c r="U228" i="1"/>
  <c r="AT228" i="1" s="1"/>
  <c r="AV228" i="1" s="1"/>
  <c r="AW228" i="1" s="1"/>
  <c r="T244" i="1"/>
  <c r="U244" i="1" s="1"/>
  <c r="BK248" i="1"/>
  <c r="R285" i="1"/>
  <c r="Q9" i="3" s="1" a="1"/>
  <c r="Q9" i="3" s="1"/>
  <c r="Y288" i="1"/>
  <c r="T298" i="1"/>
  <c r="AU298" i="1"/>
  <c r="AX298" i="1" s="1"/>
  <c r="U298" i="1"/>
  <c r="K58" i="3" s="1"/>
  <c r="S315" i="1"/>
  <c r="BK315" i="1" s="1"/>
  <c r="AU315" i="1"/>
  <c r="AX315" i="1" s="1"/>
  <c r="T315" i="1"/>
  <c r="AU337" i="1"/>
  <c r="AX337" i="1" s="1"/>
  <c r="U337" i="1"/>
  <c r="AT337" i="1" s="1"/>
  <c r="AV337" i="1" s="1"/>
  <c r="AW337" i="1" s="1"/>
  <c r="T337" i="1"/>
  <c r="S337" i="1"/>
  <c r="BK337" i="1" s="1"/>
  <c r="S209" i="1"/>
  <c r="BK209" i="1" s="1"/>
  <c r="U213" i="1"/>
  <c r="AT213" i="1" s="1"/>
  <c r="AV213" i="1" s="1"/>
  <c r="AW213" i="1" s="1"/>
  <c r="S215" i="1"/>
  <c r="BK215" i="1" s="1"/>
  <c r="U219" i="1"/>
  <c r="AT219" i="1"/>
  <c r="AV219" i="1" s="1"/>
  <c r="AW219" i="1" s="1"/>
  <c r="U225" i="1"/>
  <c r="AT225" i="1" s="1"/>
  <c r="AV225" i="1" s="1"/>
  <c r="AW225" i="1" s="1"/>
  <c r="U237" i="1"/>
  <c r="AT237" i="1" s="1"/>
  <c r="AV237" i="1" s="1"/>
  <c r="AW237" i="1" s="1"/>
  <c r="T260" i="1"/>
  <c r="U260" i="1"/>
  <c r="AT260" i="1" s="1"/>
  <c r="AV260" i="1" s="1"/>
  <c r="AW260" i="1" s="1"/>
  <c r="T273" i="1"/>
  <c r="U273" i="1" s="1"/>
  <c r="AT273" i="1" s="1"/>
  <c r="AV273" i="1" s="1"/>
  <c r="AW273" i="1" s="1"/>
  <c r="S273" i="1"/>
  <c r="S275" i="1"/>
  <c r="BK275" i="1" s="1"/>
  <c r="Y302" i="1"/>
  <c r="AT315" i="1"/>
  <c r="AV315" i="1" s="1"/>
  <c r="AW315" i="1" s="1"/>
  <c r="BK327" i="1"/>
  <c r="Z355" i="1"/>
  <c r="Y355" i="1"/>
  <c r="BK355" i="1" s="1"/>
  <c r="BK363" i="1"/>
  <c r="Z376" i="1"/>
  <c r="Y376" i="1"/>
  <c r="AT217" i="1"/>
  <c r="AV217" i="1" s="1"/>
  <c r="AW217" i="1" s="1"/>
  <c r="U217" i="1"/>
  <c r="BK243" i="1"/>
  <c r="Y249" i="1"/>
  <c r="BK249" i="1" s="1"/>
  <c r="Z249" i="1"/>
  <c r="AT282" i="1"/>
  <c r="AV282" i="1" s="1"/>
  <c r="AW282" i="1" s="1"/>
  <c r="U282" i="1"/>
  <c r="T282" i="1"/>
  <c r="AU291" i="1"/>
  <c r="AX291" i="1" s="1"/>
  <c r="U291" i="1"/>
  <c r="AT291" i="1" s="1"/>
  <c r="AV291" i="1" s="1"/>
  <c r="AW291" i="1" s="1"/>
  <c r="BK312" i="1"/>
  <c r="U315" i="1"/>
  <c r="AU370" i="1"/>
  <c r="AX370" i="1" s="1"/>
  <c r="T370" i="1"/>
  <c r="U370" i="1" s="1"/>
  <c r="S370" i="1"/>
  <c r="E175" i="3" s="1"/>
  <c r="T258" i="1"/>
  <c r="U258" i="1" s="1"/>
  <c r="S258" i="1"/>
  <c r="BK258" i="1" s="1"/>
  <c r="C88" i="3"/>
  <c r="U263" i="1"/>
  <c r="AT263" i="1" s="1"/>
  <c r="AV263" i="1" s="1"/>
  <c r="AW263" i="1" s="1"/>
  <c r="B42" i="3"/>
  <c r="AU267" i="1"/>
  <c r="AX267" i="1" s="1"/>
  <c r="S267" i="1"/>
  <c r="BK267" i="1" s="1"/>
  <c r="BK294" i="1"/>
  <c r="S298" i="1"/>
  <c r="B101" i="3"/>
  <c r="D101" i="3" s="1"/>
  <c r="C101" i="3"/>
  <c r="BK356" i="1"/>
  <c r="BK379" i="1"/>
  <c r="AU247" i="1"/>
  <c r="AX247" i="1" s="1"/>
  <c r="S247" i="1"/>
  <c r="BK247" i="1" s="1"/>
  <c r="AU257" i="1"/>
  <c r="AX257" i="1" s="1"/>
  <c r="U257" i="1"/>
  <c r="AT257" i="1" s="1"/>
  <c r="AV257" i="1" s="1"/>
  <c r="AW257" i="1" s="1"/>
  <c r="S260" i="1"/>
  <c r="BK266" i="1"/>
  <c r="AT272" i="1"/>
  <c r="AV272" i="1" s="1"/>
  <c r="AW272" i="1" s="1"/>
  <c r="U272" i="1"/>
  <c r="L42" i="3" s="1"/>
  <c r="AU272" i="1"/>
  <c r="AX272" i="1" s="1"/>
  <c r="T272" i="1"/>
  <c r="S272" i="1"/>
  <c r="BK272" i="1" s="1"/>
  <c r="AU282" i="1"/>
  <c r="AX282" i="1" s="1"/>
  <c r="AU288" i="1"/>
  <c r="AX288" i="1" s="1"/>
  <c r="U288" i="1"/>
  <c r="AT288" i="1" s="1"/>
  <c r="AV288" i="1" s="1"/>
  <c r="AW288" i="1" s="1"/>
  <c r="T288" i="1"/>
  <c r="S293" i="1"/>
  <c r="BK293" i="1" s="1"/>
  <c r="AU293" i="1"/>
  <c r="AX293" i="1" s="1"/>
  <c r="U293" i="1"/>
  <c r="AT293" i="1" s="1"/>
  <c r="AV293" i="1" s="1"/>
  <c r="AW293" i="1" s="1"/>
  <c r="Z312" i="1"/>
  <c r="Y312" i="1"/>
  <c r="AT314" i="1"/>
  <c r="AV314" i="1" s="1"/>
  <c r="AW314" i="1" s="1"/>
  <c r="BK324" i="1"/>
  <c r="Z327" i="1"/>
  <c r="Y327" i="1"/>
  <c r="AU329" i="1"/>
  <c r="AX329" i="1" s="1"/>
  <c r="T329" i="1"/>
  <c r="U329" i="1" s="1"/>
  <c r="S329" i="1"/>
  <c r="O9" i="3" s="1"/>
  <c r="T358" i="1"/>
  <c r="AT358" i="1"/>
  <c r="AV358" i="1" s="1"/>
  <c r="AW358" i="1" s="1"/>
  <c r="U358" i="1"/>
  <c r="AU358" i="1"/>
  <c r="AX358" i="1" s="1"/>
  <c r="S358" i="1"/>
  <c r="BK358" i="1" s="1"/>
  <c r="T235" i="1"/>
  <c r="U235" i="1" s="1"/>
  <c r="AT235" i="1" s="1"/>
  <c r="T255" i="1"/>
  <c r="U255" i="1" s="1"/>
  <c r="AT255" i="1" s="1"/>
  <c r="AV255" i="1" s="1"/>
  <c r="AW255" i="1" s="1"/>
  <c r="S255" i="1"/>
  <c r="BK255" i="1" s="1"/>
  <c r="AU258" i="1"/>
  <c r="AX258" i="1" s="1"/>
  <c r="S262" i="1"/>
  <c r="BK262" i="1" s="1"/>
  <c r="S263" i="1"/>
  <c r="BK263" i="1" s="1"/>
  <c r="AU263" i="1"/>
  <c r="AX263" i="1" s="1"/>
  <c r="U264" i="1"/>
  <c r="AT264" i="1" s="1"/>
  <c r="AV264" i="1" s="1"/>
  <c r="AW264" i="1" s="1"/>
  <c r="T269" i="1"/>
  <c r="U269" i="1" s="1"/>
  <c r="AT269" i="1" s="1"/>
  <c r="AV269" i="1" s="1"/>
  <c r="AW269" i="1" s="1"/>
  <c r="AU269" i="1"/>
  <c r="AX269" i="1" s="1"/>
  <c r="S282" i="1"/>
  <c r="BK282" i="1" s="1"/>
  <c r="Y285" i="1"/>
  <c r="T289" i="1"/>
  <c r="T291" i="1"/>
  <c r="BK297" i="1"/>
  <c r="Z298" i="1"/>
  <c r="Y298" i="1"/>
  <c r="S300" i="1"/>
  <c r="T300" i="1"/>
  <c r="U300" i="1" s="1"/>
  <c r="AT300" i="1" s="1"/>
  <c r="AV300" i="1" s="1"/>
  <c r="AW300" i="1" s="1"/>
  <c r="Z301" i="1"/>
  <c r="Y301" i="1"/>
  <c r="BK301" i="1" s="1"/>
  <c r="AU304" i="1"/>
  <c r="AX304" i="1" s="1"/>
  <c r="S304" i="1"/>
  <c r="BK304" i="1" s="1"/>
  <c r="U304" i="1"/>
  <c r="AT304" i="1" s="1"/>
  <c r="AV304" i="1" s="1"/>
  <c r="AW304" i="1" s="1"/>
  <c r="AT336" i="1"/>
  <c r="AV336" i="1" s="1"/>
  <c r="AW336" i="1" s="1"/>
  <c r="U336" i="1"/>
  <c r="AU336" i="1"/>
  <c r="AX336" i="1" s="1"/>
  <c r="T336" i="1"/>
  <c r="S336" i="1"/>
  <c r="BK336" i="1" s="1"/>
  <c r="S351" i="1"/>
  <c r="BK351" i="1" s="1"/>
  <c r="AU351" i="1"/>
  <c r="AX351" i="1" s="1"/>
  <c r="T351" i="1"/>
  <c r="U351" i="1" s="1"/>
  <c r="AT351" i="1" s="1"/>
  <c r="AV351" i="1" s="1"/>
  <c r="AW351" i="1" s="1"/>
  <c r="AU375" i="1"/>
  <c r="AX375" i="1" s="1"/>
  <c r="AT375" i="1"/>
  <c r="AV375" i="1" s="1"/>
  <c r="AW375" i="1" s="1"/>
  <c r="U375" i="1"/>
  <c r="S375" i="1"/>
  <c r="T375" i="1"/>
  <c r="U206" i="1"/>
  <c r="L81" i="3" s="1"/>
  <c r="AT207" i="1"/>
  <c r="AV207" i="1" s="1"/>
  <c r="AW207" i="1" s="1"/>
  <c r="U207" i="1"/>
  <c r="T217" i="1"/>
  <c r="AU217" i="1"/>
  <c r="AX217" i="1" s="1"/>
  <c r="T223" i="1"/>
  <c r="U223" i="1" s="1"/>
  <c r="AT231" i="1"/>
  <c r="AV231" i="1" s="1"/>
  <c r="AW231" i="1" s="1"/>
  <c r="U231" i="1"/>
  <c r="AU232" i="1"/>
  <c r="AX232" i="1" s="1"/>
  <c r="U232" i="1"/>
  <c r="AT232" i="1" s="1"/>
  <c r="AV232" i="1" s="1"/>
  <c r="AW232" i="1" s="1"/>
  <c r="S233" i="1"/>
  <c r="BK233" i="1" s="1"/>
  <c r="Y244" i="1"/>
  <c r="Z244" i="1"/>
  <c r="AT249" i="1"/>
  <c r="AV249" i="1" s="1"/>
  <c r="AW249" i="1" s="1"/>
  <c r="T249" i="1"/>
  <c r="U249" i="1" s="1"/>
  <c r="K21" i="3" s="1"/>
  <c r="U277" i="1"/>
  <c r="AT277" i="1" s="1"/>
  <c r="AV277" i="1" s="1"/>
  <c r="AW277" i="1" s="1"/>
  <c r="S280" i="1"/>
  <c r="BK280" i="1" s="1"/>
  <c r="T280" i="1"/>
  <c r="U280" i="1" s="1"/>
  <c r="AT280" i="1" s="1"/>
  <c r="AV280" i="1" s="1"/>
  <c r="AW280" i="1" s="1"/>
  <c r="AU280" i="1"/>
  <c r="AX280" i="1" s="1"/>
  <c r="U289" i="1"/>
  <c r="AT289" i="1"/>
  <c r="AV289" i="1" s="1"/>
  <c r="AW289" i="1" s="1"/>
  <c r="AT296" i="1"/>
  <c r="AV296" i="1" s="1"/>
  <c r="AW296" i="1" s="1"/>
  <c r="Z320" i="1"/>
  <c r="Y320" i="1"/>
  <c r="AT321" i="1"/>
  <c r="AV321" i="1" s="1"/>
  <c r="AW321" i="1" s="1"/>
  <c r="S321" i="1"/>
  <c r="U321" i="1"/>
  <c r="AU321" i="1"/>
  <c r="AX321" i="1" s="1"/>
  <c r="Y325" i="1"/>
  <c r="Z325" i="1"/>
  <c r="Z338" i="1"/>
  <c r="Y338" i="1"/>
  <c r="T353" i="1"/>
  <c r="U353" i="1" s="1"/>
  <c r="AU353" i="1"/>
  <c r="AX353" i="1" s="1"/>
  <c r="S353" i="1"/>
  <c r="BK367" i="1"/>
  <c r="S219" i="1"/>
  <c r="BK219" i="1" s="1"/>
  <c r="S225" i="1"/>
  <c r="BK225" i="1" s="1"/>
  <c r="U238" i="1"/>
  <c r="AT238" i="1" s="1"/>
  <c r="AV238" i="1" s="1"/>
  <c r="AW238" i="1" s="1"/>
  <c r="AU252" i="1"/>
  <c r="AX252" i="1" s="1"/>
  <c r="AT252" i="1"/>
  <c r="AV252" i="1" s="1"/>
  <c r="AW252" i="1" s="1"/>
  <c r="U252" i="1"/>
  <c r="S253" i="1"/>
  <c r="Y260" i="1"/>
  <c r="Y273" i="1"/>
  <c r="AU287" i="1"/>
  <c r="AX287" i="1" s="1"/>
  <c r="T287" i="1"/>
  <c r="U287" i="1" s="1"/>
  <c r="BK288" i="1"/>
  <c r="Z291" i="1"/>
  <c r="Y291" i="1"/>
  <c r="BK291" i="1" s="1"/>
  <c r="R309" i="1"/>
  <c r="S309" i="1" s="1"/>
  <c r="BK309" i="1" s="1"/>
  <c r="U309" i="1"/>
  <c r="AT309" i="1" s="1"/>
  <c r="AV309" i="1" s="1"/>
  <c r="AW309" i="1" s="1"/>
  <c r="L59" i="3"/>
  <c r="T301" i="1"/>
  <c r="U302" i="1"/>
  <c r="AT302" i="1" s="1"/>
  <c r="AV302" i="1" s="1"/>
  <c r="AW302" i="1" s="1"/>
  <c r="U310" i="1"/>
  <c r="L65" i="3" s="1"/>
  <c r="AT310" i="1"/>
  <c r="AV310" i="1" s="1"/>
  <c r="AW310" i="1" s="1"/>
  <c r="AT312" i="1"/>
  <c r="AV312" i="1" s="1"/>
  <c r="AW312" i="1" s="1"/>
  <c r="U312" i="1"/>
  <c r="AU312" i="1"/>
  <c r="AX312" i="1" s="1"/>
  <c r="T312" i="1"/>
  <c r="T322" i="1"/>
  <c r="U322" i="1" s="1"/>
  <c r="Y367" i="1"/>
  <c r="Z367" i="1"/>
  <c r="U386" i="1"/>
  <c r="AT386" i="1" s="1"/>
  <c r="AV386" i="1" s="1"/>
  <c r="AW386" i="1" s="1"/>
  <c r="AU386" i="1"/>
  <c r="AX386" i="1" s="1"/>
  <c r="T386" i="1"/>
  <c r="S386" i="1"/>
  <c r="S290" i="1"/>
  <c r="AU290" i="1"/>
  <c r="AX290" i="1" s="1"/>
  <c r="Y292" i="1"/>
  <c r="BK292" i="1" s="1"/>
  <c r="T319" i="1"/>
  <c r="U319" i="1" s="1"/>
  <c r="AT319" i="1" s="1"/>
  <c r="AV319" i="1" s="1"/>
  <c r="AW319" i="1" s="1"/>
  <c r="Y326" i="1"/>
  <c r="BK326" i="1" s="1"/>
  <c r="S330" i="1"/>
  <c r="T330" i="1"/>
  <c r="Y331" i="1"/>
  <c r="BK331" i="1" s="1"/>
  <c r="T335" i="1"/>
  <c r="U335" i="1" s="1"/>
  <c r="R338" i="1"/>
  <c r="S338" i="1" s="1"/>
  <c r="BK338" i="1" s="1"/>
  <c r="R343" i="1"/>
  <c r="S343" i="1" s="1"/>
  <c r="BK343" i="1" s="1"/>
  <c r="AU350" i="1"/>
  <c r="AX350" i="1" s="1"/>
  <c r="U350" i="1"/>
  <c r="AT350" i="1" s="1"/>
  <c r="AV350" i="1" s="1"/>
  <c r="AW350" i="1" s="1"/>
  <c r="Y353" i="1"/>
  <c r="Y363" i="1"/>
  <c r="Z366" i="1"/>
  <c r="BK366" i="1" s="1"/>
  <c r="AU440" i="1"/>
  <c r="AX440" i="1" s="1"/>
  <c r="AT440" i="1"/>
  <c r="AV440" i="1" s="1"/>
  <c r="AW440" i="1" s="1"/>
  <c r="U440" i="1"/>
  <c r="T440" i="1"/>
  <c r="S440" i="1"/>
  <c r="BK440" i="1" s="1"/>
  <c r="U283" i="1"/>
  <c r="AT283" i="1" s="1"/>
  <c r="AV283" i="1" s="1"/>
  <c r="AW283" i="1" s="1"/>
  <c r="AU294" i="1"/>
  <c r="AX294" i="1" s="1"/>
  <c r="U297" i="1"/>
  <c r="AT297" i="1" s="1"/>
  <c r="AV297" i="1" s="1"/>
  <c r="AW297" i="1" s="1"/>
  <c r="S302" i="1"/>
  <c r="BK302" i="1" s="1"/>
  <c r="Z321" i="1"/>
  <c r="Y321" i="1"/>
  <c r="AU323" i="1"/>
  <c r="AX323" i="1" s="1"/>
  <c r="Z332" i="1"/>
  <c r="BK332" i="1" s="1"/>
  <c r="AU340" i="1"/>
  <c r="AX340" i="1" s="1"/>
  <c r="S340" i="1"/>
  <c r="BK340" i="1" s="1"/>
  <c r="U340" i="1"/>
  <c r="AT340" i="1" s="1"/>
  <c r="AV340" i="1" s="1"/>
  <c r="AW340" i="1" s="1"/>
  <c r="BK341" i="1"/>
  <c r="Y345" i="1"/>
  <c r="BK345" i="1" s="1"/>
  <c r="T347" i="1"/>
  <c r="U347" i="1" s="1"/>
  <c r="AT347" i="1" s="1"/>
  <c r="AV347" i="1" s="1"/>
  <c r="AW347" i="1" s="1"/>
  <c r="T348" i="1"/>
  <c r="U348" i="1" s="1"/>
  <c r="AT348" i="1" s="1"/>
  <c r="AV348" i="1" s="1"/>
  <c r="AW348" i="1" s="1"/>
  <c r="S348" i="1"/>
  <c r="BK377" i="1"/>
  <c r="B60" i="3"/>
  <c r="BK313" i="1"/>
  <c r="S320" i="1"/>
  <c r="S325" i="1"/>
  <c r="Z344" i="1"/>
  <c r="Y344" i="1"/>
  <c r="BK344" i="1" s="1"/>
  <c r="Z375" i="1"/>
  <c r="Y375" i="1"/>
  <c r="AU380" i="1"/>
  <c r="AX380" i="1" s="1"/>
  <c r="S380" i="1"/>
  <c r="BK380" i="1" s="1"/>
  <c r="Z386" i="1"/>
  <c r="Y386" i="1"/>
  <c r="Z388" i="1"/>
  <c r="Y388" i="1"/>
  <c r="BK388" i="1" s="1"/>
  <c r="AU432" i="1"/>
  <c r="AX432" i="1" s="1"/>
  <c r="U432" i="1"/>
  <c r="AT432" i="1" s="1"/>
  <c r="AV432" i="1" s="1"/>
  <c r="AW432" i="1" s="1"/>
  <c r="T432" i="1"/>
  <c r="S432" i="1"/>
  <c r="S296" i="1"/>
  <c r="BK296" i="1" s="1"/>
  <c r="U301" i="1"/>
  <c r="AT301" i="1" s="1"/>
  <c r="AV301" i="1" s="1"/>
  <c r="AW301" i="1" s="1"/>
  <c r="T307" i="1"/>
  <c r="U307" i="1" s="1"/>
  <c r="S308" i="1"/>
  <c r="BK308" i="1" s="1"/>
  <c r="T313" i="1"/>
  <c r="U313" i="1" s="1"/>
  <c r="AT313" i="1" s="1"/>
  <c r="AV313" i="1" s="1"/>
  <c r="AW313" i="1" s="1"/>
  <c r="Y316" i="1"/>
  <c r="BK316" i="1" s="1"/>
  <c r="S319" i="1"/>
  <c r="AT326" i="1"/>
  <c r="AV326" i="1" s="1"/>
  <c r="AW326" i="1" s="1"/>
  <c r="T326" i="1"/>
  <c r="U326" i="1" s="1"/>
  <c r="L100" i="3" s="1"/>
  <c r="U327" i="1"/>
  <c r="AT327" i="1" s="1"/>
  <c r="AV327" i="1" s="1"/>
  <c r="AW327" i="1" s="1"/>
  <c r="U330" i="1"/>
  <c r="AT330" i="1" s="1"/>
  <c r="AV330" i="1" s="1"/>
  <c r="AW330" i="1" s="1"/>
  <c r="T333" i="1"/>
  <c r="AT333" i="1"/>
  <c r="AV333" i="1" s="1"/>
  <c r="AW333" i="1" s="1"/>
  <c r="U333" i="1"/>
  <c r="U341" i="1"/>
  <c r="AT341" i="1" s="1"/>
  <c r="AV341" i="1" s="1"/>
  <c r="AW341" i="1" s="1"/>
  <c r="T346" i="1"/>
  <c r="U346" i="1" s="1"/>
  <c r="AT346" i="1" s="1"/>
  <c r="AV346" i="1" s="1"/>
  <c r="AW346" i="1" s="1"/>
  <c r="S346" i="1"/>
  <c r="BK346" i="1" s="1"/>
  <c r="AU348" i="1"/>
  <c r="AX348" i="1" s="1"/>
  <c r="T350" i="1"/>
  <c r="Z351" i="1"/>
  <c r="Y351" i="1"/>
  <c r="Y370" i="1"/>
  <c r="AT372" i="1"/>
  <c r="AV372" i="1" s="1"/>
  <c r="AW372" i="1" s="1"/>
  <c r="T372" i="1"/>
  <c r="U372" i="1" s="1"/>
  <c r="T373" i="1"/>
  <c r="U373" i="1" s="1"/>
  <c r="S373" i="1"/>
  <c r="AT373" i="1"/>
  <c r="AV373" i="1" s="1"/>
  <c r="AW373" i="1" s="1"/>
  <c r="AT387" i="1"/>
  <c r="AV387" i="1" s="1"/>
  <c r="AW387" i="1" s="1"/>
  <c r="T387" i="1"/>
  <c r="U387" i="1" s="1"/>
  <c r="S387" i="1"/>
  <c r="BK387" i="1" s="1"/>
  <c r="C44" i="3"/>
  <c r="S376" i="1"/>
  <c r="BK376" i="1" s="1"/>
  <c r="AU376" i="1"/>
  <c r="AX376" i="1" s="1"/>
  <c r="T376" i="1"/>
  <c r="U397" i="1"/>
  <c r="AT397" i="1" s="1"/>
  <c r="AV397" i="1" s="1"/>
  <c r="AW397" i="1" s="1"/>
  <c r="AU397" i="1"/>
  <c r="AX397" i="1" s="1"/>
  <c r="T397" i="1"/>
  <c r="S397" i="1"/>
  <c r="U402" i="1"/>
  <c r="AT402" i="1" s="1"/>
  <c r="AV402" i="1" s="1"/>
  <c r="AW402" i="1" s="1"/>
  <c r="R402" i="1"/>
  <c r="S402" i="1" s="1"/>
  <c r="S310" i="1"/>
  <c r="S314" i="1"/>
  <c r="BK314" i="1" s="1"/>
  <c r="Y342" i="1"/>
  <c r="BK342" i="1" s="1"/>
  <c r="Z342" i="1"/>
  <c r="AU345" i="1"/>
  <c r="AX345" i="1" s="1"/>
  <c r="T345" i="1"/>
  <c r="U345" i="1" s="1"/>
  <c r="Z350" i="1"/>
  <c r="Y350" i="1"/>
  <c r="BK350" i="1" s="1"/>
  <c r="AU365" i="1"/>
  <c r="AX365" i="1" s="1"/>
  <c r="S365" i="1"/>
  <c r="BK365" i="1" s="1"/>
  <c r="U365" i="1"/>
  <c r="AT365" i="1" s="1"/>
  <c r="AV365" i="1" s="1"/>
  <c r="AW365" i="1" s="1"/>
  <c r="BK368" i="1"/>
  <c r="Z369" i="1"/>
  <c r="Y369" i="1"/>
  <c r="BK369" i="1" s="1"/>
  <c r="BK404" i="1"/>
  <c r="K42" i="3"/>
  <c r="T265" i="1"/>
  <c r="U265" i="1" s="1"/>
  <c r="AT265" i="1" s="1"/>
  <c r="AV265" i="1" s="1"/>
  <c r="AW265" i="1" s="1"/>
  <c r="S305" i="1"/>
  <c r="BK305" i="1" s="1"/>
  <c r="T305" i="1"/>
  <c r="U305" i="1" s="1"/>
  <c r="AT305" i="1" s="1"/>
  <c r="AV305" i="1" s="1"/>
  <c r="AW305" i="1" s="1"/>
  <c r="Y306" i="1"/>
  <c r="BK306" i="1" s="1"/>
  <c r="Y307" i="1"/>
  <c r="BK307" i="1" s="1"/>
  <c r="Y311" i="1"/>
  <c r="T314" i="1"/>
  <c r="Z318" i="1"/>
  <c r="U320" i="1"/>
  <c r="AT320" i="1" s="1"/>
  <c r="AV320" i="1" s="1"/>
  <c r="AW320" i="1" s="1"/>
  <c r="U325" i="1"/>
  <c r="AT325" i="1" s="1"/>
  <c r="AV325" i="1" s="1"/>
  <c r="AW325" i="1" s="1"/>
  <c r="AU325" i="1"/>
  <c r="AX325" i="1" s="1"/>
  <c r="Y330" i="1"/>
  <c r="Z341" i="1"/>
  <c r="Z348" i="1"/>
  <c r="T362" i="1"/>
  <c r="U362" i="1" s="1"/>
  <c r="AT362" i="1"/>
  <c r="AV362" i="1" s="1"/>
  <c r="AW362" i="1" s="1"/>
  <c r="S372" i="1"/>
  <c r="BK372" i="1" s="1"/>
  <c r="AU372" i="1"/>
  <c r="AX372" i="1" s="1"/>
  <c r="U376" i="1"/>
  <c r="AT376" i="1" s="1"/>
  <c r="AV376" i="1" s="1"/>
  <c r="AW376" i="1" s="1"/>
  <c r="U380" i="1"/>
  <c r="AT380" i="1" s="1"/>
  <c r="AV380" i="1" s="1"/>
  <c r="AW380" i="1" s="1"/>
  <c r="BK414" i="1"/>
  <c r="BK422" i="1"/>
  <c r="Z296" i="1"/>
  <c r="Y296" i="1"/>
  <c r="U314" i="1"/>
  <c r="AU320" i="1"/>
  <c r="AX320" i="1" s="1"/>
  <c r="AU335" i="1"/>
  <c r="AX335" i="1" s="1"/>
  <c r="S335" i="1"/>
  <c r="BK335" i="1" s="1"/>
  <c r="AU360" i="1"/>
  <c r="AX360" i="1" s="1"/>
  <c r="T360" i="1"/>
  <c r="U360" i="1" s="1"/>
  <c r="AT360" i="1" s="1"/>
  <c r="AV360" i="1" s="1"/>
  <c r="AW360" i="1" s="1"/>
  <c r="S360" i="1"/>
  <c r="BK360" i="1" s="1"/>
  <c r="AT361" i="1"/>
  <c r="AV361" i="1" s="1"/>
  <c r="AW361" i="1" s="1"/>
  <c r="U361" i="1"/>
  <c r="S361" i="1"/>
  <c r="BK361" i="1" s="1"/>
  <c r="U366" i="1"/>
  <c r="AT366" i="1" s="1"/>
  <c r="AV366" i="1" s="1"/>
  <c r="AW366" i="1" s="1"/>
  <c r="Z373" i="1"/>
  <c r="Y373" i="1"/>
  <c r="U356" i="1"/>
  <c r="AT356" i="1" s="1"/>
  <c r="AV356" i="1" s="1"/>
  <c r="AW356" i="1" s="1"/>
  <c r="T357" i="1"/>
  <c r="U357" i="1" s="1"/>
  <c r="AT357" i="1" s="1"/>
  <c r="AV357" i="1" s="1"/>
  <c r="AW357" i="1" s="1"/>
  <c r="U381" i="1"/>
  <c r="AT381" i="1" s="1"/>
  <c r="AV381" i="1" s="1"/>
  <c r="AW381" i="1" s="1"/>
  <c r="T382" i="1"/>
  <c r="U382" i="1" s="1"/>
  <c r="AT382" i="1" s="1"/>
  <c r="AV382" i="1" s="1"/>
  <c r="AW382" i="1" s="1"/>
  <c r="S383" i="1"/>
  <c r="BK383" i="1" s="1"/>
  <c r="AU392" i="1"/>
  <c r="AX392" i="1" s="1"/>
  <c r="U392" i="1"/>
  <c r="AT392" i="1" s="1"/>
  <c r="AV392" i="1" s="1"/>
  <c r="AW392" i="1" s="1"/>
  <c r="S392" i="1"/>
  <c r="T408" i="1"/>
  <c r="U408" i="1" s="1"/>
  <c r="AT408" i="1" s="1"/>
  <c r="AV408" i="1" s="1"/>
  <c r="AW408" i="1" s="1"/>
  <c r="AU408" i="1"/>
  <c r="AX408" i="1" s="1"/>
  <c r="Z466" i="1"/>
  <c r="Y466" i="1"/>
  <c r="AT484" i="1"/>
  <c r="AV484" i="1" s="1"/>
  <c r="AW484" i="1" s="1"/>
  <c r="Y381" i="1"/>
  <c r="BK381" i="1" s="1"/>
  <c r="AU390" i="1"/>
  <c r="AX390" i="1" s="1"/>
  <c r="T390" i="1"/>
  <c r="U390" i="1" s="1"/>
  <c r="AT390" i="1" s="1"/>
  <c r="AV390" i="1" s="1"/>
  <c r="AW390" i="1" s="1"/>
  <c r="S390" i="1"/>
  <c r="BK390" i="1" s="1"/>
  <c r="S396" i="1"/>
  <c r="BK396" i="1" s="1"/>
  <c r="U396" i="1"/>
  <c r="AT396" i="1" s="1"/>
  <c r="AV396" i="1" s="1"/>
  <c r="AW396" i="1" s="1"/>
  <c r="T398" i="1"/>
  <c r="U398" i="1" s="1"/>
  <c r="AT398" i="1" s="1"/>
  <c r="AV398" i="1" s="1"/>
  <c r="AW398" i="1" s="1"/>
  <c r="S408" i="1"/>
  <c r="BK408" i="1" s="1"/>
  <c r="Y429" i="1"/>
  <c r="BK429" i="1" s="1"/>
  <c r="Z447" i="1"/>
  <c r="T446" i="1"/>
  <c r="AU446" i="1"/>
  <c r="AX446" i="1" s="1"/>
  <c r="AT446" i="1"/>
  <c r="AV446" i="1" s="1"/>
  <c r="AW446" i="1" s="1"/>
  <c r="U446" i="1"/>
  <c r="S446" i="1"/>
  <c r="BK446" i="1" s="1"/>
  <c r="L88" i="3"/>
  <c r="U292" i="1"/>
  <c r="K95" i="3" s="1"/>
  <c r="AT317" i="1"/>
  <c r="AV317" i="1" s="1"/>
  <c r="AW317" i="1" s="1"/>
  <c r="U317" i="1"/>
  <c r="S371" i="1"/>
  <c r="BK371" i="1" s="1"/>
  <c r="U378" i="1"/>
  <c r="AT378" i="1" s="1"/>
  <c r="AV378" i="1" s="1"/>
  <c r="AW378" i="1" s="1"/>
  <c r="AU378" i="1"/>
  <c r="AX378" i="1" s="1"/>
  <c r="S385" i="1"/>
  <c r="BK385" i="1" s="1"/>
  <c r="Y392" i="1"/>
  <c r="Z392" i="1"/>
  <c r="T396" i="1"/>
  <c r="S398" i="1"/>
  <c r="BK398" i="1" s="1"/>
  <c r="Z498" i="1"/>
  <c r="Y498" i="1"/>
  <c r="T385" i="1"/>
  <c r="U385" i="1" s="1"/>
  <c r="AT385" i="1" s="1"/>
  <c r="AV385" i="1" s="1"/>
  <c r="AW385" i="1" s="1"/>
  <c r="Z404" i="1"/>
  <c r="Y404" i="1"/>
  <c r="T383" i="1"/>
  <c r="U383" i="1"/>
  <c r="AT383" i="1" s="1"/>
  <c r="AV383" i="1" s="1"/>
  <c r="AW383" i="1" s="1"/>
  <c r="Z391" i="1"/>
  <c r="BK391" i="1" s="1"/>
  <c r="Y391" i="1"/>
  <c r="T393" i="1"/>
  <c r="U393" i="1" s="1"/>
  <c r="AT393" i="1" s="1"/>
  <c r="AV393" i="1" s="1"/>
  <c r="AW393" i="1" s="1"/>
  <c r="AU393" i="1"/>
  <c r="AX393" i="1" s="1"/>
  <c r="S393" i="1"/>
  <c r="BK393" i="1" s="1"/>
  <c r="BK395" i="1"/>
  <c r="Z443" i="1"/>
  <c r="Y443" i="1"/>
  <c r="Z467" i="1"/>
  <c r="Y467" i="1"/>
  <c r="AU524" i="1"/>
  <c r="AX524" i="1" s="1"/>
  <c r="U524" i="1"/>
  <c r="AT524" i="1" s="1"/>
  <c r="AV524" i="1" s="1"/>
  <c r="AW524" i="1" s="1"/>
  <c r="T524" i="1"/>
  <c r="S524" i="1"/>
  <c r="BK524" i="1" s="1"/>
  <c r="R410" i="1"/>
  <c r="S410" i="1" s="1"/>
  <c r="BK410" i="1" s="1"/>
  <c r="Y441" i="1"/>
  <c r="Z476" i="1"/>
  <c r="Y476" i="1"/>
  <c r="BK476" i="1" s="1"/>
  <c r="T438" i="1"/>
  <c r="AU438" i="1"/>
  <c r="AX438" i="1" s="1"/>
  <c r="U438" i="1"/>
  <c r="AT438" i="1" s="1"/>
  <c r="AV438" i="1" s="1"/>
  <c r="AW438" i="1" s="1"/>
  <c r="S438" i="1"/>
  <c r="BK438" i="1" s="1"/>
  <c r="Z444" i="1"/>
  <c r="Y444" i="1"/>
  <c r="AU450" i="1"/>
  <c r="AX450" i="1" s="1"/>
  <c r="AT450" i="1"/>
  <c r="AV450" i="1" s="1"/>
  <c r="AW450" i="1" s="1"/>
  <c r="U450" i="1"/>
  <c r="T450" i="1"/>
  <c r="S450" i="1"/>
  <c r="Z453" i="1"/>
  <c r="Y453" i="1"/>
  <c r="BK453" i="1" s="1"/>
  <c r="BK482" i="1"/>
  <c r="AT507" i="1"/>
  <c r="AV507" i="1" s="1"/>
  <c r="AW507" i="1" s="1"/>
  <c r="U507" i="1"/>
  <c r="AU507" i="1"/>
  <c r="AX507" i="1" s="1"/>
  <c r="T507" i="1"/>
  <c r="S507" i="1"/>
  <c r="BK507" i="1" s="1"/>
  <c r="Z407" i="1"/>
  <c r="Y407" i="1"/>
  <c r="BK407" i="1" s="1"/>
  <c r="Y413" i="1"/>
  <c r="BK413" i="1" s="1"/>
  <c r="BK419" i="1"/>
  <c r="T433" i="1"/>
  <c r="AT433" i="1"/>
  <c r="AV433" i="1" s="1"/>
  <c r="AW433" i="1" s="1"/>
  <c r="U433" i="1"/>
  <c r="AU433" i="1"/>
  <c r="AX433" i="1" s="1"/>
  <c r="S433" i="1"/>
  <c r="BK433" i="1" s="1"/>
  <c r="Y461" i="1"/>
  <c r="U477" i="1"/>
  <c r="AT477" i="1" s="1"/>
  <c r="AV477" i="1" s="1"/>
  <c r="AW477" i="1" s="1"/>
  <c r="T477" i="1"/>
  <c r="AU477" i="1"/>
  <c r="AX477" i="1" s="1"/>
  <c r="S477" i="1"/>
  <c r="BK477" i="1" s="1"/>
  <c r="U504" i="1"/>
  <c r="AT504" i="1" s="1"/>
  <c r="AV504" i="1" s="1"/>
  <c r="AW504" i="1" s="1"/>
  <c r="S504" i="1"/>
  <c r="BK504" i="1" s="1"/>
  <c r="Z506" i="1"/>
  <c r="BK506" i="1" s="1"/>
  <c r="Y506" i="1"/>
  <c r="J255" i="3"/>
  <c r="J256" i="3"/>
  <c r="Y403" i="1"/>
  <c r="BK403" i="1" s="1"/>
  <c r="Z412" i="1"/>
  <c r="AU431" i="1"/>
  <c r="AX431" i="1" s="1"/>
  <c r="U431" i="1"/>
  <c r="AT431" i="1"/>
  <c r="AV431" i="1" s="1"/>
  <c r="AW431" i="1" s="1"/>
  <c r="T431" i="1"/>
  <c r="AU445" i="1"/>
  <c r="AX445" i="1" s="1"/>
  <c r="U445" i="1"/>
  <c r="AT445" i="1" s="1"/>
  <c r="AV445" i="1" s="1"/>
  <c r="AW445" i="1" s="1"/>
  <c r="T445" i="1"/>
  <c r="BK470" i="1"/>
  <c r="Y482" i="1"/>
  <c r="Z482" i="1"/>
  <c r="Y497" i="1"/>
  <c r="BK497" i="1" s="1"/>
  <c r="Z402" i="1"/>
  <c r="Y402" i="1"/>
  <c r="S406" i="1"/>
  <c r="BK406" i="1" s="1"/>
  <c r="Z410" i="1"/>
  <c r="Y410" i="1"/>
  <c r="Z414" i="1"/>
  <c r="Y414" i="1"/>
  <c r="S416" i="1"/>
  <c r="U416" i="1"/>
  <c r="AT416" i="1" s="1"/>
  <c r="AV416" i="1" s="1"/>
  <c r="AW416" i="1" s="1"/>
  <c r="AU441" i="1"/>
  <c r="AX441" i="1" s="1"/>
  <c r="U441" i="1"/>
  <c r="AT441" i="1" s="1"/>
  <c r="AV441" i="1" s="1"/>
  <c r="AW441" i="1" s="1"/>
  <c r="T441" i="1"/>
  <c r="S441" i="1"/>
  <c r="BK441" i="1" s="1"/>
  <c r="Z451" i="1"/>
  <c r="Y451" i="1"/>
  <c r="BK451" i="1" s="1"/>
  <c r="AU455" i="1"/>
  <c r="AX455" i="1" s="1"/>
  <c r="U455" i="1"/>
  <c r="AT455" i="1" s="1"/>
  <c r="AV455" i="1" s="1"/>
  <c r="AW455" i="1" s="1"/>
  <c r="T455" i="1"/>
  <c r="S455" i="1"/>
  <c r="BK455" i="1" s="1"/>
  <c r="U491" i="1"/>
  <c r="AT491" i="1" s="1"/>
  <c r="AV491" i="1" s="1"/>
  <c r="AW491" i="1" s="1"/>
  <c r="AU491" i="1"/>
  <c r="AX491" i="1" s="1"/>
  <c r="T491" i="1"/>
  <c r="S491" i="1"/>
  <c r="AU511" i="1"/>
  <c r="AX511" i="1" s="1"/>
  <c r="U511" i="1"/>
  <c r="AT511" i="1" s="1"/>
  <c r="AV511" i="1" s="1"/>
  <c r="AW511" i="1" s="1"/>
  <c r="T511" i="1"/>
  <c r="AT517" i="1"/>
  <c r="AV517" i="1" s="1"/>
  <c r="AW517" i="1" s="1"/>
  <c r="U517" i="1"/>
  <c r="AU517" i="1"/>
  <c r="AX517" i="1" s="1"/>
  <c r="T517" i="1"/>
  <c r="T428" i="1"/>
  <c r="AU428" i="1"/>
  <c r="AX428" i="1" s="1"/>
  <c r="AT428" i="1"/>
  <c r="AV428" i="1" s="1"/>
  <c r="AW428" i="1" s="1"/>
  <c r="U428" i="1"/>
  <c r="Y434" i="1"/>
  <c r="BK434" i="1" s="1"/>
  <c r="Z439" i="1"/>
  <c r="Y439" i="1"/>
  <c r="Z460" i="1"/>
  <c r="Y460" i="1"/>
  <c r="T504" i="1"/>
  <c r="AU504" i="1"/>
  <c r="AX504" i="1" s="1"/>
  <c r="Z512" i="1"/>
  <c r="Y512" i="1"/>
  <c r="E96" i="5"/>
  <c r="D96" i="5"/>
  <c r="E95" i="5"/>
  <c r="D95" i="5"/>
  <c r="E99" i="5"/>
  <c r="D99" i="5"/>
  <c r="T388" i="1"/>
  <c r="U388" i="1" s="1"/>
  <c r="AT388" i="1" s="1"/>
  <c r="AV388" i="1" s="1"/>
  <c r="AW388" i="1" s="1"/>
  <c r="Z397" i="1"/>
  <c r="Y397" i="1"/>
  <c r="S401" i="1"/>
  <c r="BK401" i="1" s="1"/>
  <c r="T405" i="1"/>
  <c r="U405" i="1" s="1"/>
  <c r="AT405" i="1" s="1"/>
  <c r="AV405" i="1" s="1"/>
  <c r="AW405" i="1" s="1"/>
  <c r="T406" i="1"/>
  <c r="T416" i="1"/>
  <c r="T418" i="1"/>
  <c r="AU418" i="1"/>
  <c r="AX418" i="1" s="1"/>
  <c r="U418" i="1"/>
  <c r="AT418" i="1"/>
  <c r="AV418" i="1" s="1"/>
  <c r="AW418" i="1" s="1"/>
  <c r="S418" i="1"/>
  <c r="BK418" i="1" s="1"/>
  <c r="Y419" i="1"/>
  <c r="Z420" i="1"/>
  <c r="Y450" i="1"/>
  <c r="BK459" i="1"/>
  <c r="I256" i="3"/>
  <c r="I255" i="3"/>
  <c r="K255" i="3"/>
  <c r="G255" i="3"/>
  <c r="H255" i="3" s="1"/>
  <c r="G256" i="3"/>
  <c r="H256" i="3" s="1"/>
  <c r="K256" i="3"/>
  <c r="S400" i="1"/>
  <c r="BK400" i="1" s="1"/>
  <c r="AT403" i="1"/>
  <c r="AV403" i="1" s="1"/>
  <c r="AW403" i="1" s="1"/>
  <c r="U403" i="1"/>
  <c r="T403" i="1"/>
  <c r="U406" i="1"/>
  <c r="AT406" i="1"/>
  <c r="AV406" i="1" s="1"/>
  <c r="AW406" i="1" s="1"/>
  <c r="BK409" i="1"/>
  <c r="AT412" i="1"/>
  <c r="AV412" i="1" s="1"/>
  <c r="AW412" i="1" s="1"/>
  <c r="T412" i="1"/>
  <c r="U412" i="1" s="1"/>
  <c r="K107" i="3" s="1"/>
  <c r="S412" i="1"/>
  <c r="AU415" i="1"/>
  <c r="AX415" i="1" s="1"/>
  <c r="T415" i="1"/>
  <c r="U415" i="1" s="1"/>
  <c r="AT415" i="1" s="1"/>
  <c r="AV415" i="1" s="1"/>
  <c r="AW415" i="1" s="1"/>
  <c r="BK430" i="1"/>
  <c r="AU437" i="1"/>
  <c r="AX437" i="1" s="1"/>
  <c r="U437" i="1"/>
  <c r="AT437" i="1"/>
  <c r="AV437" i="1" s="1"/>
  <c r="AW437" i="1" s="1"/>
  <c r="T437" i="1"/>
  <c r="S437" i="1"/>
  <c r="Z480" i="1"/>
  <c r="Y480" i="1"/>
  <c r="BK480" i="1" s="1"/>
  <c r="U492" i="1"/>
  <c r="AT492" i="1" s="1"/>
  <c r="AV492" i="1" s="1"/>
  <c r="AW492" i="1" s="1"/>
  <c r="AU492" i="1"/>
  <c r="AX492" i="1" s="1"/>
  <c r="T492" i="1"/>
  <c r="S492" i="1"/>
  <c r="BK492" i="1" s="1"/>
  <c r="Y495" i="1"/>
  <c r="BK495" i="1" s="1"/>
  <c r="Z495" i="1"/>
  <c r="S511" i="1"/>
  <c r="BK511" i="1" s="1"/>
  <c r="S517" i="1"/>
  <c r="BK517" i="1" s="1"/>
  <c r="D271" i="3"/>
  <c r="L179" i="3"/>
  <c r="D268" i="3"/>
  <c r="D110" i="5"/>
  <c r="D219" i="3"/>
  <c r="D264" i="3"/>
  <c r="D109" i="5"/>
  <c r="D231" i="3"/>
  <c r="D263" i="3"/>
  <c r="D218" i="3"/>
  <c r="D230" i="3"/>
  <c r="D265" i="3"/>
  <c r="D220" i="3"/>
  <c r="L161" i="3"/>
  <c r="AO3" i="2"/>
  <c r="AT483" i="1"/>
  <c r="AV483" i="1" s="1"/>
  <c r="AW483" i="1" s="1"/>
  <c r="U483" i="1"/>
  <c r="S510" i="1"/>
  <c r="BK510" i="1" s="1"/>
  <c r="AU510" i="1"/>
  <c r="AX510" i="1" s="1"/>
  <c r="U510" i="1"/>
  <c r="S515" i="1"/>
  <c r="BK515" i="1" s="1"/>
  <c r="AT515" i="1"/>
  <c r="AV515" i="1" s="1"/>
  <c r="AW515" i="1" s="1"/>
  <c r="U515" i="1"/>
  <c r="Y423" i="1"/>
  <c r="BK423" i="1" s="1"/>
  <c r="Y430" i="1"/>
  <c r="T443" i="1"/>
  <c r="AT443" i="1"/>
  <c r="AV443" i="1" s="1"/>
  <c r="AW443" i="1" s="1"/>
  <c r="U443" i="1"/>
  <c r="Z452" i="1"/>
  <c r="BK452" i="1" s="1"/>
  <c r="Z457" i="1"/>
  <c r="BK457" i="1" s="1"/>
  <c r="AU465" i="1"/>
  <c r="AX465" i="1" s="1"/>
  <c r="T465" i="1"/>
  <c r="S465" i="1"/>
  <c r="BK465" i="1" s="1"/>
  <c r="AU468" i="1"/>
  <c r="AX468" i="1" s="1"/>
  <c r="U468" i="1"/>
  <c r="AT468" i="1" s="1"/>
  <c r="AV468" i="1" s="1"/>
  <c r="AW468" i="1" s="1"/>
  <c r="S469" i="1"/>
  <c r="BK469" i="1" s="1"/>
  <c r="T469" i="1"/>
  <c r="S475" i="1"/>
  <c r="BK475" i="1" s="1"/>
  <c r="T475" i="1"/>
  <c r="AU475" i="1"/>
  <c r="AX475" i="1" s="1"/>
  <c r="S490" i="1"/>
  <c r="BK490" i="1" s="1"/>
  <c r="U490" i="1"/>
  <c r="AT490" i="1" s="1"/>
  <c r="AV490" i="1" s="1"/>
  <c r="AW490" i="1" s="1"/>
  <c r="Z505" i="1"/>
  <c r="Y505" i="1"/>
  <c r="BK505" i="1" s="1"/>
  <c r="T514" i="1"/>
  <c r="AU514" i="1"/>
  <c r="AX514" i="1" s="1"/>
  <c r="Z422" i="1"/>
  <c r="Z427" i="1"/>
  <c r="BK427" i="1" s="1"/>
  <c r="Y436" i="1"/>
  <c r="BK436" i="1" s="1"/>
  <c r="Y458" i="1"/>
  <c r="BK458" i="1" s="1"/>
  <c r="AU461" i="1"/>
  <c r="AX461" i="1" s="1"/>
  <c r="U461" i="1"/>
  <c r="AT461" i="1" s="1"/>
  <c r="AV461" i="1" s="1"/>
  <c r="AW461" i="1" s="1"/>
  <c r="AT467" i="1"/>
  <c r="AV467" i="1" s="1"/>
  <c r="AW467" i="1" s="1"/>
  <c r="U467" i="1"/>
  <c r="Y478" i="1"/>
  <c r="BK501" i="1"/>
  <c r="BK503" i="1"/>
  <c r="AT510" i="1"/>
  <c r="AV510" i="1" s="1"/>
  <c r="AW510" i="1" s="1"/>
  <c r="K177" i="3"/>
  <c r="K174" i="3"/>
  <c r="K175" i="3"/>
  <c r="K171" i="3"/>
  <c r="K176" i="3"/>
  <c r="K170" i="3"/>
  <c r="K178" i="3"/>
  <c r="K169" i="3"/>
  <c r="K168" i="3"/>
  <c r="K172" i="3"/>
  <c r="K173" i="3"/>
  <c r="S425" i="1"/>
  <c r="BK425" i="1" s="1"/>
  <c r="S442" i="1"/>
  <c r="BK442" i="1" s="1"/>
  <c r="S447" i="1"/>
  <c r="BK447" i="1" s="1"/>
  <c r="T462" i="1"/>
  <c r="BK463" i="1"/>
  <c r="Z477" i="1"/>
  <c r="Y477" i="1"/>
  <c r="S483" i="1"/>
  <c r="BK483" i="1" s="1"/>
  <c r="AU483" i="1"/>
  <c r="AX483" i="1" s="1"/>
  <c r="S484" i="1"/>
  <c r="BK484" i="1" s="1"/>
  <c r="Z487" i="1"/>
  <c r="Y487" i="1"/>
  <c r="S500" i="1"/>
  <c r="BK500" i="1" s="1"/>
  <c r="T500" i="1"/>
  <c r="AU506" i="1"/>
  <c r="AX506" i="1" s="1"/>
  <c r="U506" i="1"/>
  <c r="AT506" i="1"/>
  <c r="AV506" i="1" s="1"/>
  <c r="AW506" i="1" s="1"/>
  <c r="T506" i="1"/>
  <c r="AU509" i="1"/>
  <c r="AX509" i="1" s="1"/>
  <c r="AT509" i="1"/>
  <c r="AV509" i="1" s="1"/>
  <c r="AW509" i="1" s="1"/>
  <c r="U509" i="1"/>
  <c r="T510" i="1"/>
  <c r="T515" i="1"/>
  <c r="AU515" i="1"/>
  <c r="AX515" i="1" s="1"/>
  <c r="AT521" i="1"/>
  <c r="AV521" i="1" s="1"/>
  <c r="AW521" i="1" s="1"/>
  <c r="T521" i="1"/>
  <c r="T425" i="1"/>
  <c r="T442" i="1"/>
  <c r="AT442" i="1"/>
  <c r="AV442" i="1" s="1"/>
  <c r="AW442" i="1" s="1"/>
  <c r="T447" i="1"/>
  <c r="T453" i="1"/>
  <c r="AT453" i="1"/>
  <c r="AV453" i="1" s="1"/>
  <c r="AW453" i="1" s="1"/>
  <c r="U453" i="1"/>
  <c r="BK456" i="1"/>
  <c r="U462" i="1"/>
  <c r="AT462" i="1" s="1"/>
  <c r="AV462" i="1" s="1"/>
  <c r="AW462" i="1" s="1"/>
  <c r="AU462" i="1"/>
  <c r="AX462" i="1" s="1"/>
  <c r="BK466" i="1"/>
  <c r="BK474" i="1"/>
  <c r="U475" i="1"/>
  <c r="AT475" i="1" s="1"/>
  <c r="AV475" i="1" s="1"/>
  <c r="AW475" i="1" s="1"/>
  <c r="AT479" i="1"/>
  <c r="AV479" i="1" s="1"/>
  <c r="AW479" i="1" s="1"/>
  <c r="U479" i="1"/>
  <c r="T483" i="1"/>
  <c r="T484" i="1"/>
  <c r="T489" i="1"/>
  <c r="AU489" i="1"/>
  <c r="AX489" i="1" s="1"/>
  <c r="U489" i="1"/>
  <c r="AT489" i="1" s="1"/>
  <c r="AV489" i="1" s="1"/>
  <c r="AW489" i="1" s="1"/>
  <c r="Z491" i="1"/>
  <c r="Y491" i="1"/>
  <c r="T493" i="1"/>
  <c r="S493" i="1"/>
  <c r="BK493" i="1" s="1"/>
  <c r="S514" i="1"/>
  <c r="BK514" i="1" s="1"/>
  <c r="BK522" i="1"/>
  <c r="I178" i="3"/>
  <c r="J178" i="3" s="1"/>
  <c r="P177" i="3"/>
  <c r="Q177" i="3" s="1"/>
  <c r="P178" i="3"/>
  <c r="Q178" i="3" s="1"/>
  <c r="L175" i="3"/>
  <c r="R174" i="3"/>
  <c r="L173" i="3"/>
  <c r="R172" i="3"/>
  <c r="H172" i="3"/>
  <c r="L170" i="3"/>
  <c r="I169" i="3"/>
  <c r="P168" i="3"/>
  <c r="Q168" i="3" s="1"/>
  <c r="I177" i="3"/>
  <c r="J177" i="3" s="1"/>
  <c r="I175" i="3"/>
  <c r="P172" i="3"/>
  <c r="Q172" i="3" s="1"/>
  <c r="P175" i="3"/>
  <c r="Q175" i="3" s="1"/>
  <c r="L172" i="3"/>
  <c r="I171" i="3"/>
  <c r="P170" i="3"/>
  <c r="Q170" i="3" s="1"/>
  <c r="H178" i="3"/>
  <c r="I176" i="3"/>
  <c r="P173" i="3"/>
  <c r="Q173" i="3" s="1"/>
  <c r="L174" i="3"/>
  <c r="I173" i="3"/>
  <c r="J173" i="3" s="1"/>
  <c r="L171" i="3"/>
  <c r="R169" i="3"/>
  <c r="L176" i="3"/>
  <c r="I174" i="3"/>
  <c r="J174" i="3" s="1"/>
  <c r="H173" i="3"/>
  <c r="I172" i="3"/>
  <c r="J172" i="3" s="1"/>
  <c r="P169" i="3"/>
  <c r="Q169" i="3" s="1"/>
  <c r="L177" i="3"/>
  <c r="H175" i="3"/>
  <c r="H174" i="3"/>
  <c r="R168" i="3"/>
  <c r="L178" i="3"/>
  <c r="H176" i="3"/>
  <c r="H171" i="3"/>
  <c r="H177" i="3"/>
  <c r="I170" i="3"/>
  <c r="L169" i="3"/>
  <c r="H170" i="3"/>
  <c r="R173" i="3"/>
  <c r="R171" i="3"/>
  <c r="L168" i="3"/>
  <c r="R175" i="3"/>
  <c r="P174" i="3"/>
  <c r="Q174" i="3" s="1"/>
  <c r="H169" i="3"/>
  <c r="I168" i="3"/>
  <c r="R177" i="3"/>
  <c r="H168" i="3"/>
  <c r="R176" i="3"/>
  <c r="P171" i="3"/>
  <c r="Q171" i="3" s="1"/>
  <c r="P176" i="3"/>
  <c r="Q176" i="3" s="1"/>
  <c r="R170" i="3"/>
  <c r="R178" i="3"/>
  <c r="S420" i="1"/>
  <c r="BK420" i="1" s="1"/>
  <c r="T423" i="1"/>
  <c r="U423" i="1"/>
  <c r="AT423" i="1" s="1"/>
  <c r="AV423" i="1" s="1"/>
  <c r="AW423" i="1" s="1"/>
  <c r="U425" i="1"/>
  <c r="AT425" i="1"/>
  <c r="AV425" i="1" s="1"/>
  <c r="AW425" i="1" s="1"/>
  <c r="S426" i="1"/>
  <c r="BK426" i="1" s="1"/>
  <c r="Z432" i="1"/>
  <c r="Z437" i="1"/>
  <c r="U442" i="1"/>
  <c r="U447" i="1"/>
  <c r="AT447" i="1" s="1"/>
  <c r="AV447" i="1" s="1"/>
  <c r="AW447" i="1" s="1"/>
  <c r="S448" i="1"/>
  <c r="BK448" i="1" s="1"/>
  <c r="U456" i="1"/>
  <c r="AT456" i="1"/>
  <c r="AV456" i="1" s="1"/>
  <c r="AW456" i="1" s="1"/>
  <c r="S460" i="1"/>
  <c r="BK460" i="1" s="1"/>
  <c r="AT460" i="1"/>
  <c r="AV460" i="1" s="1"/>
  <c r="AW460" i="1" s="1"/>
  <c r="S461" i="1"/>
  <c r="BK461" i="1" s="1"/>
  <c r="S467" i="1"/>
  <c r="T468" i="1"/>
  <c r="AU469" i="1"/>
  <c r="AX469" i="1" s="1"/>
  <c r="AU478" i="1"/>
  <c r="AX478" i="1" s="1"/>
  <c r="S478" i="1"/>
  <c r="BK478" i="1" s="1"/>
  <c r="U484" i="1"/>
  <c r="S499" i="1"/>
  <c r="BK499" i="1" s="1"/>
  <c r="U514" i="1"/>
  <c r="AT514" i="1"/>
  <c r="AV514" i="1" s="1"/>
  <c r="AW514" i="1" s="1"/>
  <c r="E101" i="5"/>
  <c r="D101" i="5"/>
  <c r="E98" i="5"/>
  <c r="D98" i="5"/>
  <c r="U472" i="1"/>
  <c r="AT472" i="1" s="1"/>
  <c r="AV472" i="1" s="1"/>
  <c r="AW472" i="1" s="1"/>
  <c r="U497" i="1"/>
  <c r="AT497" i="1" s="1"/>
  <c r="AV497" i="1" s="1"/>
  <c r="AW497" i="1" s="1"/>
  <c r="Z516" i="1"/>
  <c r="Y516" i="1"/>
  <c r="BK516" i="1" s="1"/>
  <c r="AT471" i="1"/>
  <c r="AV471" i="1" s="1"/>
  <c r="AW471" i="1" s="1"/>
  <c r="T471" i="1"/>
  <c r="Y481" i="1"/>
  <c r="BK481" i="1" s="1"/>
  <c r="Y485" i="1"/>
  <c r="Y486" i="1"/>
  <c r="BK486" i="1" s="1"/>
  <c r="AT496" i="1"/>
  <c r="AV496" i="1" s="1"/>
  <c r="AW496" i="1" s="1"/>
  <c r="T496" i="1"/>
  <c r="BK498" i="1"/>
  <c r="Y502" i="1"/>
  <c r="BK502" i="1" s="1"/>
  <c r="Y503" i="1"/>
  <c r="Y513" i="1"/>
  <c r="BK513" i="1" s="1"/>
  <c r="Z513" i="1"/>
  <c r="BK520" i="1"/>
  <c r="Y523" i="1"/>
  <c r="BK523" i="1" s="1"/>
  <c r="T518" i="1"/>
  <c r="S518" i="1"/>
  <c r="BK518" i="1" s="1"/>
  <c r="E232" i="3"/>
  <c r="U463" i="1"/>
  <c r="AT463" i="1"/>
  <c r="AV463" i="1" s="1"/>
  <c r="AW463" i="1" s="1"/>
  <c r="S471" i="1"/>
  <c r="BK471" i="1" s="1"/>
  <c r="AU471" i="1"/>
  <c r="AX471" i="1" s="1"/>
  <c r="T472" i="1"/>
  <c r="AU472" i="1"/>
  <c r="AX472" i="1" s="1"/>
  <c r="U480" i="1"/>
  <c r="AT480" i="1" s="1"/>
  <c r="AV480" i="1" s="1"/>
  <c r="AW480" i="1" s="1"/>
  <c r="U482" i="1"/>
  <c r="AT482" i="1" s="1"/>
  <c r="AV482" i="1" s="1"/>
  <c r="AW482" i="1" s="1"/>
  <c r="AU482" i="1"/>
  <c r="AX482" i="1" s="1"/>
  <c r="T482" i="1"/>
  <c r="S485" i="1"/>
  <c r="AU485" i="1"/>
  <c r="AX485" i="1" s="1"/>
  <c r="AU486" i="1"/>
  <c r="AX486" i="1" s="1"/>
  <c r="U486" i="1"/>
  <c r="AT486" i="1" s="1"/>
  <c r="AV486" i="1" s="1"/>
  <c r="AW486" i="1" s="1"/>
  <c r="S496" i="1"/>
  <c r="BK496" i="1" s="1"/>
  <c r="AU496" i="1"/>
  <c r="AX496" i="1" s="1"/>
  <c r="T497" i="1"/>
  <c r="AU497" i="1"/>
  <c r="AX497" i="1" s="1"/>
  <c r="U502" i="1"/>
  <c r="AT502" i="1" s="1"/>
  <c r="AV502" i="1" s="1"/>
  <c r="AW502" i="1" s="1"/>
  <c r="AU503" i="1"/>
  <c r="AX503" i="1" s="1"/>
  <c r="AT503" i="1"/>
  <c r="AV503" i="1" s="1"/>
  <c r="AW503" i="1" s="1"/>
  <c r="T503" i="1"/>
  <c r="AT522" i="1"/>
  <c r="AV522" i="1" s="1"/>
  <c r="AW522" i="1" s="1"/>
  <c r="U522" i="1"/>
  <c r="R158" i="3"/>
  <c r="H158" i="3"/>
  <c r="L160" i="3"/>
  <c r="I159" i="3"/>
  <c r="P158" i="3"/>
  <c r="Q158" i="3" s="1"/>
  <c r="R160" i="3"/>
  <c r="H160" i="3"/>
  <c r="L158" i="3"/>
  <c r="I157" i="3"/>
  <c r="J157" i="3" s="1"/>
  <c r="I158" i="3"/>
  <c r="J158" i="3" s="1"/>
  <c r="P160" i="3"/>
  <c r="Q160" i="3" s="1"/>
  <c r="R159" i="3"/>
  <c r="H157" i="3"/>
  <c r="H162" i="3" s="1"/>
  <c r="P159" i="3"/>
  <c r="Q159" i="3" s="1"/>
  <c r="R157" i="3"/>
  <c r="I160" i="3"/>
  <c r="L159" i="3"/>
  <c r="P157" i="3"/>
  <c r="Q157" i="3" s="1"/>
  <c r="H159" i="3"/>
  <c r="L157" i="3"/>
  <c r="K159" i="3"/>
  <c r="K157" i="3"/>
  <c r="K160" i="3"/>
  <c r="K158" i="3"/>
  <c r="AT508" i="1"/>
  <c r="AV508" i="1" s="1"/>
  <c r="AW508" i="1" s="1"/>
  <c r="U508" i="1"/>
  <c r="R9" i="3" a="1"/>
  <c r="R9" i="3" s="1"/>
  <c r="O19" i="3"/>
  <c r="N19" i="3"/>
  <c r="K37" i="3"/>
  <c r="N37" i="3"/>
  <c r="L37" i="3"/>
  <c r="G11" i="3"/>
  <c r="G13" i="3" s="1"/>
  <c r="F11" i="3"/>
  <c r="F13" i="3" s="1"/>
  <c r="C13" i="3"/>
  <c r="L11" i="3"/>
  <c r="L13" i="3" s="1"/>
  <c r="G18" i="3"/>
  <c r="K27" i="3"/>
  <c r="N27" i="3"/>
  <c r="L27" i="3"/>
  <c r="M34" i="3"/>
  <c r="O34" i="3"/>
  <c r="M37" i="3"/>
  <c r="G85" i="3"/>
  <c r="P7" i="3" a="1"/>
  <c r="P7" i="3" s="1"/>
  <c r="M19" i="3"/>
  <c r="G29" i="3"/>
  <c r="O37" i="3"/>
  <c r="O39" i="3"/>
  <c r="N39" i="3"/>
  <c r="M74" i="3"/>
  <c r="L74" i="3"/>
  <c r="O74" i="3"/>
  <c r="N74" i="3"/>
  <c r="K74" i="3"/>
  <c r="O18" i="3"/>
  <c r="N26" i="3"/>
  <c r="L26" i="3"/>
  <c r="K26" i="3"/>
  <c r="M18" i="3"/>
  <c r="O29" i="3"/>
  <c r="N29" i="3"/>
  <c r="M39" i="3"/>
  <c r="U487" i="1"/>
  <c r="AT487" i="1" s="1"/>
  <c r="AV487" i="1" s="1"/>
  <c r="AW487" i="1" s="1"/>
  <c r="U512" i="1"/>
  <c r="AT512" i="1" s="1"/>
  <c r="AV512" i="1" s="1"/>
  <c r="AW512" i="1" s="1"/>
  <c r="N18" i="3"/>
  <c r="G21" i="3"/>
  <c r="N25" i="3"/>
  <c r="M25" i="3"/>
  <c r="M26" i="3"/>
  <c r="O75" i="3"/>
  <c r="K75" i="3"/>
  <c r="N75" i="3"/>
  <c r="M75" i="3"/>
  <c r="M24" i="3"/>
  <c r="O24" i="3"/>
  <c r="O26" i="3"/>
  <c r="K38" i="3"/>
  <c r="L38" i="3"/>
  <c r="O38" i="3"/>
  <c r="G71" i="3"/>
  <c r="L75" i="3"/>
  <c r="M23" i="3"/>
  <c r="O23" i="3"/>
  <c r="L25" i="3"/>
  <c r="M38" i="3"/>
  <c r="L107" i="3"/>
  <c r="S487" i="1"/>
  <c r="S512" i="1"/>
  <c r="E234" i="3"/>
  <c r="E235" i="3"/>
  <c r="O7" i="3"/>
  <c r="G19" i="3"/>
  <c r="O25" i="3"/>
  <c r="K28" i="3"/>
  <c r="L28" i="3"/>
  <c r="O28" i="3"/>
  <c r="N38" i="3"/>
  <c r="E218" i="3"/>
  <c r="E268" i="3"/>
  <c r="E110" i="5"/>
  <c r="E264" i="3"/>
  <c r="E109" i="5"/>
  <c r="E231" i="3"/>
  <c r="E219" i="3"/>
  <c r="E263" i="3"/>
  <c r="E230" i="3"/>
  <c r="E265" i="3"/>
  <c r="E220" i="3"/>
  <c r="E271" i="3"/>
  <c r="R161" i="3"/>
  <c r="N49" i="3"/>
  <c r="N59" i="3"/>
  <c r="G84" i="3"/>
  <c r="O69" i="3"/>
  <c r="N69" i="3"/>
  <c r="O70" i="3"/>
  <c r="K73" i="3"/>
  <c r="O73" i="3"/>
  <c r="N73" i="3"/>
  <c r="O85" i="3"/>
  <c r="N85" i="3"/>
  <c r="O91" i="3"/>
  <c r="M91" i="3"/>
  <c r="M44" i="3"/>
  <c r="M54" i="3"/>
  <c r="M64" i="3"/>
  <c r="K68" i="3"/>
  <c r="M84" i="3"/>
  <c r="O95" i="3"/>
  <c r="N95" i="3"/>
  <c r="B131" i="3"/>
  <c r="K33" i="3"/>
  <c r="G38" i="3"/>
  <c r="G39" i="3"/>
  <c r="G48" i="3"/>
  <c r="G49" i="3"/>
  <c r="G58" i="3"/>
  <c r="G59" i="3"/>
  <c r="N66" i="3"/>
  <c r="M66" i="3"/>
  <c r="N67" i="3"/>
  <c r="M70" i="3"/>
  <c r="L73" i="3"/>
  <c r="M85" i="3"/>
  <c r="L91" i="3"/>
  <c r="L33" i="3"/>
  <c r="L53" i="3"/>
  <c r="L67" i="3"/>
  <c r="L68" i="3"/>
  <c r="N70" i="3"/>
  <c r="M73" i="3"/>
  <c r="K81" i="3"/>
  <c r="K83" i="3"/>
  <c r="O83" i="3"/>
  <c r="N83" i="3"/>
  <c r="N91" i="3"/>
  <c r="M95" i="3"/>
  <c r="N44" i="3"/>
  <c r="N47" i="3"/>
  <c r="N54" i="3"/>
  <c r="K57" i="3"/>
  <c r="N57" i="3"/>
  <c r="N64" i="3"/>
  <c r="M68" i="3"/>
  <c r="N84" i="3"/>
  <c r="M94" i="3"/>
  <c r="L94" i="3"/>
  <c r="Q161" i="3"/>
  <c r="R179" i="3"/>
  <c r="Q8" i="3" a="1"/>
  <c r="Q8" i="3" s="1"/>
  <c r="O20" i="3"/>
  <c r="L30" i="3"/>
  <c r="O30" i="3"/>
  <c r="O33" i="3"/>
  <c r="M35" i="3"/>
  <c r="K36" i="3"/>
  <c r="O40" i="3"/>
  <c r="O43" i="3"/>
  <c r="O44" i="3"/>
  <c r="M45" i="3"/>
  <c r="L50" i="3"/>
  <c r="O50" i="3"/>
  <c r="O53" i="3"/>
  <c r="O54" i="3"/>
  <c r="M55" i="3"/>
  <c r="O60" i="3"/>
  <c r="O63" i="3"/>
  <c r="O64" i="3"/>
  <c r="M65" i="3"/>
  <c r="O67" i="3"/>
  <c r="N68" i="3"/>
  <c r="M79" i="3"/>
  <c r="O84" i="3"/>
  <c r="K94" i="3"/>
  <c r="N11" i="3" a="1"/>
  <c r="N11" i="3" s="1"/>
  <c r="N13" i="3" s="1"/>
  <c r="P11" i="3" a="1"/>
  <c r="P11" i="3" s="1"/>
  <c r="P13" i="3" s="1"/>
  <c r="L21" i="3"/>
  <c r="N35" i="3"/>
  <c r="L36" i="3"/>
  <c r="N45" i="3"/>
  <c r="L51" i="3"/>
  <c r="N55" i="3"/>
  <c r="L57" i="3"/>
  <c r="L58" i="3"/>
  <c r="N65" i="3"/>
  <c r="O66" i="3"/>
  <c r="O68" i="3"/>
  <c r="G74" i="3"/>
  <c r="N78" i="3"/>
  <c r="M78" i="3"/>
  <c r="M81" i="3"/>
  <c r="M83" i="3"/>
  <c r="N94" i="3"/>
  <c r="O101" i="3"/>
  <c r="M101" i="3"/>
  <c r="M76" i="3"/>
  <c r="M86" i="3"/>
  <c r="H212" i="3"/>
  <c r="O105" i="3"/>
  <c r="G207" i="3"/>
  <c r="F212" i="3"/>
  <c r="K88" i="3"/>
  <c r="K98" i="3"/>
  <c r="M180" i="3"/>
  <c r="N179" i="3"/>
  <c r="M88" i="3"/>
  <c r="N93" i="3"/>
  <c r="M98" i="3"/>
  <c r="N103" i="3"/>
  <c r="M104" i="3"/>
  <c r="M105" i="3"/>
  <c r="M106" i="3"/>
  <c r="L108" i="3"/>
  <c r="O93" i="3"/>
  <c r="K100" i="3"/>
  <c r="O103" i="3"/>
  <c r="O104" i="3"/>
  <c r="N105" i="3"/>
  <c r="N106" i="3"/>
  <c r="K108" i="3"/>
  <c r="M162" i="3"/>
  <c r="Q179" i="3"/>
  <c r="E133" i="5"/>
  <c r="E11" i="15"/>
  <c r="E27" i="15"/>
  <c r="D212" i="3"/>
  <c r="K12" i="15"/>
  <c r="C132" i="5"/>
  <c r="B18" i="5"/>
  <c r="D17" i="5"/>
  <c r="D33" i="15"/>
  <c r="H8" i="15"/>
  <c r="K15" i="15"/>
  <c r="C8" i="4"/>
  <c r="J16" i="15"/>
  <c r="I23" i="15"/>
  <c r="J23" i="15" s="1"/>
  <c r="E24" i="15"/>
  <c r="K25" i="15"/>
  <c r="E10" i="15"/>
  <c r="C14" i="5"/>
  <c r="E126" i="5"/>
  <c r="E132" i="5"/>
  <c r="E12" i="15"/>
  <c r="K16" i="15"/>
  <c r="I24" i="15"/>
  <c r="E13" i="15"/>
  <c r="K23" i="15"/>
  <c r="I25" i="15"/>
  <c r="E29" i="15"/>
  <c r="B125" i="5"/>
  <c r="D125" i="5" s="1"/>
  <c r="B127" i="5"/>
  <c r="D127" i="5" s="1"/>
  <c r="B129" i="5"/>
  <c r="D129" i="5" s="1"/>
  <c r="B131" i="5"/>
  <c r="D131" i="5" s="1"/>
  <c r="B133" i="5"/>
  <c r="D133" i="5" s="1"/>
  <c r="K24" i="15"/>
  <c r="C129" i="5"/>
  <c r="C131" i="5"/>
  <c r="C133" i="5"/>
  <c r="I11" i="15"/>
  <c r="J11" i="15" s="1"/>
  <c r="D16" i="15"/>
  <c r="B24" i="15"/>
  <c r="I27" i="15"/>
  <c r="J27" i="15" s="1"/>
  <c r="K10" i="15"/>
  <c r="C24" i="15"/>
  <c r="G24" i="15" s="1"/>
  <c r="K26" i="15"/>
  <c r="D69" i="15"/>
  <c r="B11" i="4"/>
  <c r="E129" i="5"/>
  <c r="E131" i="5"/>
  <c r="K11" i="15"/>
  <c r="I13" i="15"/>
  <c r="J13" i="15" s="1"/>
  <c r="K27" i="15"/>
  <c r="I29" i="15"/>
  <c r="C16" i="5"/>
  <c r="J74" i="5" s="1"/>
  <c r="D8" i="15"/>
  <c r="B33" i="15" s="1"/>
  <c r="I14" i="15"/>
  <c r="C26" i="15"/>
  <c r="G26" i="15" s="1"/>
  <c r="B27" i="15"/>
  <c r="K28" i="15"/>
  <c r="D74" i="15"/>
  <c r="B126" i="5"/>
  <c r="D126" i="5" s="1"/>
  <c r="B128" i="5"/>
  <c r="D128" i="5" s="1"/>
  <c r="B130" i="5"/>
  <c r="D130" i="5" s="1"/>
  <c r="B132" i="5"/>
  <c r="D132" i="5" s="1"/>
  <c r="K13" i="15"/>
  <c r="K29" i="15"/>
  <c r="C126" i="5"/>
  <c r="K14" i="15"/>
  <c r="B29" i="15"/>
  <c r="AT230" i="1" l="1"/>
  <c r="AV230" i="1" s="1"/>
  <c r="AW230" i="1" s="1"/>
  <c r="K90" i="3"/>
  <c r="L99" i="3"/>
  <c r="AT15" i="1"/>
  <c r="K99" i="3"/>
  <c r="M9" i="3"/>
  <c r="K70" i="3"/>
  <c r="AT110" i="1"/>
  <c r="AV110" i="1" s="1"/>
  <c r="AW110" i="1" s="1"/>
  <c r="L70" i="3"/>
  <c r="L23" i="3"/>
  <c r="K23" i="3"/>
  <c r="AT61" i="1"/>
  <c r="AT56" i="1"/>
  <c r="AV56" i="1" s="1"/>
  <c r="AW56" i="1" s="1"/>
  <c r="K19" i="3"/>
  <c r="L19" i="3"/>
  <c r="AT43" i="1"/>
  <c r="AV43" i="1" s="1"/>
  <c r="AW43" i="1" s="1"/>
  <c r="B20" i="4"/>
  <c r="L22" i="3"/>
  <c r="M6" i="3"/>
  <c r="N6" i="3" a="1"/>
  <c r="N6" i="3" s="1"/>
  <c r="J37" i="3"/>
  <c r="K7" i="3"/>
  <c r="J75" i="3"/>
  <c r="J38" i="3"/>
  <c r="J23" i="3"/>
  <c r="J80" i="3"/>
  <c r="J65" i="3"/>
  <c r="J84" i="3"/>
  <c r="J27" i="3"/>
  <c r="K9" i="3"/>
  <c r="J34" i="3"/>
  <c r="J74" i="3"/>
  <c r="J26" i="3"/>
  <c r="J44" i="3"/>
  <c r="J45" i="3"/>
  <c r="N8" i="3" a="1"/>
  <c r="N8" i="3" s="1"/>
  <c r="J40" i="3"/>
  <c r="B22" i="4"/>
  <c r="L18" i="3"/>
  <c r="J25" i="3"/>
  <c r="J24" i="3"/>
  <c r="J54" i="3"/>
  <c r="J79" i="3"/>
  <c r="J90" i="3"/>
  <c r="J108" i="3"/>
  <c r="J95" i="3"/>
  <c r="AT7" i="1"/>
  <c r="AV7" i="1" s="1"/>
  <c r="AW7" i="1" s="1"/>
  <c r="J67" i="3"/>
  <c r="J60" i="3"/>
  <c r="N5" i="3" a="1"/>
  <c r="N5" i="3" s="1"/>
  <c r="J55" i="3"/>
  <c r="J58" i="3"/>
  <c r="K5" i="3"/>
  <c r="J64" i="3"/>
  <c r="J57" i="3"/>
  <c r="J20" i="3"/>
  <c r="J106" i="3"/>
  <c r="J35" i="3"/>
  <c r="J47" i="3"/>
  <c r="J94" i="3"/>
  <c r="J48" i="3"/>
  <c r="J30" i="3"/>
  <c r="J50" i="3"/>
  <c r="K6" i="3"/>
  <c r="J85" i="3"/>
  <c r="J68" i="3"/>
  <c r="J59" i="3"/>
  <c r="J100" i="3"/>
  <c r="J49" i="3"/>
  <c r="K18" i="3"/>
  <c r="M8" i="3"/>
  <c r="B31" i="5"/>
  <c r="C297" i="3"/>
  <c r="J76" i="3"/>
  <c r="J46" i="3"/>
  <c r="J78" i="3"/>
  <c r="J61" i="3"/>
  <c r="K10" i="3"/>
  <c r="AV235" i="1"/>
  <c r="AW235" i="1" s="1"/>
  <c r="F178" i="3"/>
  <c r="F160" i="3"/>
  <c r="AT73" i="1"/>
  <c r="AV73" i="1" s="1"/>
  <c r="AW73" i="1" s="1"/>
  <c r="L47" i="3"/>
  <c r="K47" i="3"/>
  <c r="K43" i="3"/>
  <c r="AT353" i="1"/>
  <c r="AV353" i="1" s="1"/>
  <c r="AW353" i="1" s="1"/>
  <c r="L43" i="3"/>
  <c r="AT322" i="1"/>
  <c r="AV322" i="1" s="1"/>
  <c r="AW322" i="1" s="1"/>
  <c r="K101" i="3"/>
  <c r="L101" i="3"/>
  <c r="AT192" i="1"/>
  <c r="L79" i="3"/>
  <c r="K79" i="3"/>
  <c r="AT118" i="1"/>
  <c r="AV118" i="1" s="1"/>
  <c r="AW118" i="1" s="1"/>
  <c r="K48" i="3"/>
  <c r="L48" i="3"/>
  <c r="K85" i="3"/>
  <c r="L85" i="3"/>
  <c r="AT318" i="1"/>
  <c r="AV318" i="1" s="1"/>
  <c r="AW318" i="1" s="1"/>
  <c r="D67" i="5"/>
  <c r="AT8" i="1"/>
  <c r="AV8" i="1" s="1"/>
  <c r="AW8" i="1" s="1"/>
  <c r="K60" i="3"/>
  <c r="AT345" i="1"/>
  <c r="AV345" i="1" s="1"/>
  <c r="AW345" i="1" s="1"/>
  <c r="L60" i="3"/>
  <c r="K103" i="3"/>
  <c r="L103" i="3"/>
  <c r="AT244" i="1"/>
  <c r="AV244" i="1" s="1"/>
  <c r="AW244" i="1" s="1"/>
  <c r="K34" i="3"/>
  <c r="AT150" i="1"/>
  <c r="AV150" i="1" s="1"/>
  <c r="AW150" i="1" s="1"/>
  <c r="L34" i="3"/>
  <c r="L40" i="3"/>
  <c r="AT87" i="1"/>
  <c r="AV87" i="1" s="1"/>
  <c r="AW87" i="1" s="1"/>
  <c r="AV27" i="1"/>
  <c r="AW27" i="1" s="1"/>
  <c r="G247" i="3"/>
  <c r="K97" i="3"/>
  <c r="AT258" i="1"/>
  <c r="AV258" i="1" s="1"/>
  <c r="AW258" i="1" s="1"/>
  <c r="L97" i="3"/>
  <c r="L62" i="3"/>
  <c r="K62" i="3"/>
  <c r="AT202" i="1"/>
  <c r="AV202" i="1" s="1"/>
  <c r="AW202" i="1" s="1"/>
  <c r="L69" i="3"/>
  <c r="AT226" i="1"/>
  <c r="AV226" i="1" s="1"/>
  <c r="AW226" i="1" s="1"/>
  <c r="K69" i="3"/>
  <c r="B30" i="5"/>
  <c r="L87" i="3"/>
  <c r="K87" i="3"/>
  <c r="AT307" i="1"/>
  <c r="AV307" i="1" s="1"/>
  <c r="AW307" i="1" s="1"/>
  <c r="L20" i="3"/>
  <c r="AT335" i="1"/>
  <c r="AV335" i="1" s="1"/>
  <c r="AW335" i="1" s="1"/>
  <c r="K20" i="3"/>
  <c r="K44" i="3"/>
  <c r="AT370" i="1"/>
  <c r="AV370" i="1" s="1"/>
  <c r="AW370" i="1" s="1"/>
  <c r="L44" i="3"/>
  <c r="L66" i="3"/>
  <c r="AT223" i="1"/>
  <c r="AV223" i="1" s="1"/>
  <c r="AW223" i="1" s="1"/>
  <c r="L96" i="3"/>
  <c r="AT211" i="1"/>
  <c r="AV211" i="1" s="1"/>
  <c r="AW211" i="1" s="1"/>
  <c r="AV166" i="1"/>
  <c r="AW166" i="1" s="1"/>
  <c r="K64" i="3"/>
  <c r="L64" i="3"/>
  <c r="AT286" i="1"/>
  <c r="AV286" i="1" s="1"/>
  <c r="AW286" i="1" s="1"/>
  <c r="L49" i="3"/>
  <c r="K89" i="3"/>
  <c r="L89" i="3"/>
  <c r="AT165" i="1"/>
  <c r="K29" i="3"/>
  <c r="L29" i="3"/>
  <c r="AT40" i="1"/>
  <c r="AV40" i="1" s="1"/>
  <c r="AW40" i="1" s="1"/>
  <c r="AT20" i="1"/>
  <c r="L24" i="3"/>
  <c r="D64" i="5"/>
  <c r="B21" i="4"/>
  <c r="K24" i="3"/>
  <c r="M7" i="3"/>
  <c r="AT124" i="1"/>
  <c r="AV124" i="1" s="1"/>
  <c r="AW124" i="1" s="1"/>
  <c r="K49" i="3"/>
  <c r="L56" i="3"/>
  <c r="AT144" i="1"/>
  <c r="AV144" i="1" s="1"/>
  <c r="AW144" i="1" s="1"/>
  <c r="K56" i="3"/>
  <c r="L41" i="3"/>
  <c r="AT93" i="1"/>
  <c r="AV93" i="1" s="1"/>
  <c r="AW93" i="1" s="1"/>
  <c r="K78" i="3"/>
  <c r="AT173" i="1"/>
  <c r="AV173" i="1" s="1"/>
  <c r="AW173" i="1" s="1"/>
  <c r="L78" i="3"/>
  <c r="K71" i="3"/>
  <c r="L71" i="3"/>
  <c r="AT106" i="1"/>
  <c r="AV106" i="1" s="1"/>
  <c r="AW106" i="1" s="1"/>
  <c r="L93" i="3"/>
  <c r="AT287" i="1"/>
  <c r="AV287" i="1" s="1"/>
  <c r="AW287" i="1" s="1"/>
  <c r="K93" i="3"/>
  <c r="AT329" i="1"/>
  <c r="AV329" i="1" s="1"/>
  <c r="AW329" i="1" s="1"/>
  <c r="K77" i="3"/>
  <c r="L77" i="3"/>
  <c r="L90" i="3"/>
  <c r="AT216" i="1"/>
  <c r="AV216" i="1" s="1"/>
  <c r="AW216" i="1" s="1"/>
  <c r="K61" i="3"/>
  <c r="L61" i="3"/>
  <c r="K39" i="3"/>
  <c r="L39" i="3"/>
  <c r="AT79" i="1"/>
  <c r="AV79" i="1" s="1"/>
  <c r="AW79" i="1" s="1"/>
  <c r="L54" i="3"/>
  <c r="K54" i="3"/>
  <c r="AT136" i="1"/>
  <c r="AV136" i="1" s="1"/>
  <c r="AW136" i="1" s="1"/>
  <c r="K31" i="3"/>
  <c r="L31" i="3"/>
  <c r="AT35" i="1"/>
  <c r="AV35" i="1" s="1"/>
  <c r="AW35" i="1" s="1"/>
  <c r="AV101" i="1"/>
  <c r="AW101" i="1" s="1"/>
  <c r="F29" i="15"/>
  <c r="H29" i="15" s="1"/>
  <c r="D29" i="15"/>
  <c r="F133" i="5"/>
  <c r="D60" i="3"/>
  <c r="C66" i="3"/>
  <c r="B66" i="3"/>
  <c r="BK222" i="1"/>
  <c r="C94" i="3"/>
  <c r="L80" i="3"/>
  <c r="C72" i="3"/>
  <c r="B72" i="3"/>
  <c r="D72" i="3" s="1"/>
  <c r="BK177" i="1"/>
  <c r="H242" i="3"/>
  <c r="C70" i="3"/>
  <c r="B70" i="3"/>
  <c r="D70" i="3" s="1"/>
  <c r="BK109" i="1"/>
  <c r="BK318" i="1"/>
  <c r="AT97" i="1"/>
  <c r="AV97" i="1" s="1"/>
  <c r="AW97" i="1" s="1"/>
  <c r="B39" i="3"/>
  <c r="BK77" i="1"/>
  <c r="C39" i="3"/>
  <c r="L32" i="3"/>
  <c r="C218" i="3"/>
  <c r="B188" i="3"/>
  <c r="C31" i="4"/>
  <c r="BK87" i="1"/>
  <c r="O159" i="3"/>
  <c r="C30" i="3"/>
  <c r="D66" i="5"/>
  <c r="F243" i="3"/>
  <c r="E171" i="3"/>
  <c r="G8" i="4"/>
  <c r="O169" i="3"/>
  <c r="B29" i="3"/>
  <c r="C29" i="3"/>
  <c r="BK38" i="1"/>
  <c r="C263" i="3"/>
  <c r="B186" i="3"/>
  <c r="C14" i="4"/>
  <c r="B30" i="3"/>
  <c r="D30" i="3" s="1"/>
  <c r="P8" i="3" a="1"/>
  <c r="P8" i="3" s="1"/>
  <c r="R8" i="3" a="1"/>
  <c r="R8" i="3" s="1"/>
  <c r="J22" i="3"/>
  <c r="J43" i="3"/>
  <c r="J56" i="3"/>
  <c r="J89" i="3"/>
  <c r="J103" i="3"/>
  <c r="E178" i="3"/>
  <c r="J10" i="15"/>
  <c r="B296" i="3"/>
  <c r="B66" i="5"/>
  <c r="C66" i="5" s="1"/>
  <c r="BK10" i="1"/>
  <c r="O177" i="3"/>
  <c r="E270" i="3"/>
  <c r="E272" i="3" s="1"/>
  <c r="E269" i="3"/>
  <c r="BK491" i="1"/>
  <c r="B10" i="4"/>
  <c r="C33" i="5"/>
  <c r="C25" i="5"/>
  <c r="D14" i="5"/>
  <c r="K106" i="3"/>
  <c r="L106" i="3"/>
  <c r="J159" i="3"/>
  <c r="D266" i="3"/>
  <c r="D267" i="3"/>
  <c r="B90" i="3"/>
  <c r="D90" i="3" s="1"/>
  <c r="E28" i="15"/>
  <c r="H180" i="3"/>
  <c r="J176" i="3"/>
  <c r="J169" i="3"/>
  <c r="L104" i="3"/>
  <c r="C105" i="3"/>
  <c r="AT292" i="1"/>
  <c r="AV292" i="1" s="1"/>
  <c r="AW292" i="1" s="1"/>
  <c r="BK392" i="1"/>
  <c r="B65" i="3"/>
  <c r="C65" i="3"/>
  <c r="BK310" i="1"/>
  <c r="BK373" i="1"/>
  <c r="BK432" i="1"/>
  <c r="C74" i="3"/>
  <c r="AT206" i="1"/>
  <c r="AV206" i="1" s="1"/>
  <c r="AW206" i="1" s="1"/>
  <c r="C42" i="3"/>
  <c r="D42" i="3" s="1"/>
  <c r="AT298" i="1"/>
  <c r="AV298" i="1" s="1"/>
  <c r="AW298" i="1" s="1"/>
  <c r="AT113" i="1"/>
  <c r="AV113" i="1" s="1"/>
  <c r="AW113" i="1" s="1"/>
  <c r="K102" i="3"/>
  <c r="B198" i="3"/>
  <c r="C198" i="3" s="1"/>
  <c r="B53" i="3"/>
  <c r="C53" i="3"/>
  <c r="BK131" i="1"/>
  <c r="H245" i="3"/>
  <c r="M10" i="3"/>
  <c r="AT123" i="1"/>
  <c r="AV123" i="1" s="1"/>
  <c r="AW123" i="1" s="1"/>
  <c r="AT103" i="1"/>
  <c r="AV103" i="1" s="1"/>
  <c r="AW103" i="1" s="1"/>
  <c r="AT183" i="1"/>
  <c r="AV183" i="1" s="1"/>
  <c r="AW183" i="1" s="1"/>
  <c r="AT116" i="1"/>
  <c r="AV116" i="1" s="1"/>
  <c r="AW116" i="1" s="1"/>
  <c r="BK98" i="1"/>
  <c r="K40" i="3"/>
  <c r="C52" i="3"/>
  <c r="B52" i="3"/>
  <c r="D52" i="3" s="1"/>
  <c r="BK81" i="1"/>
  <c r="O161" i="3"/>
  <c r="C117" i="3"/>
  <c r="B101" i="5"/>
  <c r="D63" i="5"/>
  <c r="C23" i="3"/>
  <c r="C40" i="3"/>
  <c r="M5" i="3"/>
  <c r="Q5" i="3" a="1"/>
  <c r="Q5" i="3" s="1"/>
  <c r="J32" i="3"/>
  <c r="J53" i="3"/>
  <c r="J81" i="3"/>
  <c r="K12" i="3"/>
  <c r="J104" i="3"/>
  <c r="F246" i="3"/>
  <c r="C22" i="15"/>
  <c r="G22" i="15" s="1"/>
  <c r="B408" i="3"/>
  <c r="C73" i="15"/>
  <c r="BK27" i="1"/>
  <c r="BK9" i="1"/>
  <c r="BK52" i="1"/>
  <c r="C235" i="3"/>
  <c r="B67" i="5"/>
  <c r="C67" i="5" s="1"/>
  <c r="C128" i="5"/>
  <c r="F27" i="15"/>
  <c r="H27" i="15" s="1"/>
  <c r="C125" i="5"/>
  <c r="F125" i="5" s="1"/>
  <c r="D270" i="3"/>
  <c r="D272" i="3" s="1"/>
  <c r="D269" i="3"/>
  <c r="C11" i="4"/>
  <c r="K104" i="3"/>
  <c r="B105" i="3"/>
  <c r="D105" i="3" s="1"/>
  <c r="C60" i="3"/>
  <c r="C96" i="3"/>
  <c r="B96" i="3"/>
  <c r="D96" i="3" s="1"/>
  <c r="BK210" i="1"/>
  <c r="AT169" i="1"/>
  <c r="AV169" i="1" s="1"/>
  <c r="AW169" i="1" s="1"/>
  <c r="E267" i="3"/>
  <c r="E266" i="3"/>
  <c r="K105" i="3"/>
  <c r="K46" i="3"/>
  <c r="J170" i="3"/>
  <c r="C62" i="3"/>
  <c r="B62" i="3"/>
  <c r="D62" i="3" s="1"/>
  <c r="BK202" i="1"/>
  <c r="C49" i="3"/>
  <c r="B49" i="3"/>
  <c r="D49" i="3" s="1"/>
  <c r="BK122" i="1"/>
  <c r="C61" i="3"/>
  <c r="B61" i="3"/>
  <c r="D61" i="3" s="1"/>
  <c r="BK214" i="1"/>
  <c r="J12" i="15"/>
  <c r="H247" i="3"/>
  <c r="C98" i="3"/>
  <c r="B98" i="3"/>
  <c r="D98" i="3" s="1"/>
  <c r="BK115" i="1"/>
  <c r="B24" i="4"/>
  <c r="B63" i="3"/>
  <c r="D63" i="3" s="1"/>
  <c r="C63" i="3"/>
  <c r="BK185" i="1"/>
  <c r="K25" i="3"/>
  <c r="K52" i="3"/>
  <c r="D28" i="3"/>
  <c r="C264" i="3"/>
  <c r="P7" i="4"/>
  <c r="E9" i="15"/>
  <c r="C54" i="3"/>
  <c r="O157" i="3"/>
  <c r="B23" i="3"/>
  <c r="B99" i="3"/>
  <c r="C99" i="3"/>
  <c r="BK15" i="1"/>
  <c r="B40" i="3"/>
  <c r="O5" i="3"/>
  <c r="J98" i="3"/>
  <c r="J42" i="3"/>
  <c r="J63" i="3"/>
  <c r="J82" i="3"/>
  <c r="J77" i="3"/>
  <c r="J107" i="3"/>
  <c r="I8" i="4"/>
  <c r="F23" i="15"/>
  <c r="H23" i="15" s="1"/>
  <c r="D23" i="15"/>
  <c r="D13" i="5"/>
  <c r="B16" i="5"/>
  <c r="G7" i="4"/>
  <c r="O173" i="3"/>
  <c r="F172" i="3"/>
  <c r="C232" i="3"/>
  <c r="B64" i="5"/>
  <c r="C64" i="5" s="1"/>
  <c r="B74" i="3"/>
  <c r="D74" i="3" s="1"/>
  <c r="AT131" i="1"/>
  <c r="AV131" i="1" s="1"/>
  <c r="AW131" i="1" s="1"/>
  <c r="H241" i="3"/>
  <c r="B79" i="3"/>
  <c r="C79" i="3"/>
  <c r="BK192" i="1"/>
  <c r="C36" i="3"/>
  <c r="B36" i="3"/>
  <c r="D36" i="3" s="1"/>
  <c r="BK157" i="1"/>
  <c r="BK123" i="1"/>
  <c r="J14" i="15"/>
  <c r="E26" i="15"/>
  <c r="C28" i="15"/>
  <c r="G28" i="15" s="1"/>
  <c r="L105" i="3"/>
  <c r="E233" i="3"/>
  <c r="B11" i="15"/>
  <c r="F24" i="15"/>
  <c r="H24" i="15" s="1"/>
  <c r="D24" i="15"/>
  <c r="J24" i="15"/>
  <c r="K80" i="3"/>
  <c r="R6" i="3" a="1"/>
  <c r="R6" i="3" s="1"/>
  <c r="D100" i="5"/>
  <c r="BK450" i="1"/>
  <c r="L92" i="3"/>
  <c r="B87" i="3"/>
  <c r="C75" i="3"/>
  <c r="E127" i="5"/>
  <c r="P180" i="3"/>
  <c r="J105" i="3"/>
  <c r="K59" i="3"/>
  <c r="L95" i="3"/>
  <c r="K67" i="3"/>
  <c r="J28" i="3"/>
  <c r="R5" i="3" a="1"/>
  <c r="R5" i="3" s="1"/>
  <c r="J29" i="3"/>
  <c r="J18" i="3"/>
  <c r="J39" i="3"/>
  <c r="J19" i="3"/>
  <c r="J168" i="3"/>
  <c r="BK437" i="1"/>
  <c r="BK412" i="1"/>
  <c r="E100" i="5"/>
  <c r="S285" i="1"/>
  <c r="E255" i="3" s="1"/>
  <c r="B104" i="3"/>
  <c r="K92" i="3"/>
  <c r="C100" i="3"/>
  <c r="C87" i="3"/>
  <c r="B45" i="3"/>
  <c r="D45" i="3" s="1"/>
  <c r="C45" i="3"/>
  <c r="BK375" i="1"/>
  <c r="BK260" i="1"/>
  <c r="B75" i="3"/>
  <c r="C57" i="3"/>
  <c r="B57" i="3"/>
  <c r="D57" i="3" s="1"/>
  <c r="BK198" i="1"/>
  <c r="BK227" i="1"/>
  <c r="D51" i="3"/>
  <c r="B81" i="3"/>
  <c r="D81" i="3" s="1"/>
  <c r="B25" i="15"/>
  <c r="H243" i="3"/>
  <c r="H246" i="3"/>
  <c r="B102" i="3"/>
  <c r="D102" i="3" s="1"/>
  <c r="BK182" i="1"/>
  <c r="C27" i="15"/>
  <c r="G27" i="15" s="1"/>
  <c r="BK158" i="1"/>
  <c r="D68" i="5"/>
  <c r="B38" i="3"/>
  <c r="D38" i="3" s="1"/>
  <c r="L52" i="3"/>
  <c r="C219" i="3"/>
  <c r="B187" i="3"/>
  <c r="F31" i="4"/>
  <c r="B54" i="3"/>
  <c r="O158" i="3"/>
  <c r="C78" i="3"/>
  <c r="B78" i="3"/>
  <c r="D78" i="3" s="1"/>
  <c r="BK173" i="1"/>
  <c r="B31" i="3"/>
  <c r="C31" i="3"/>
  <c r="BK35" i="1"/>
  <c r="C147" i="5"/>
  <c r="B42" i="5"/>
  <c r="C42" i="5" s="1"/>
  <c r="C294" i="3"/>
  <c r="B244" i="3"/>
  <c r="C241" i="3"/>
  <c r="B179" i="3"/>
  <c r="C176" i="3"/>
  <c r="D176" i="3" s="1"/>
  <c r="B147" i="5"/>
  <c r="B65" i="5"/>
  <c r="C65" i="5" s="1"/>
  <c r="C405" i="3"/>
  <c r="B294" i="3"/>
  <c r="C68" i="15"/>
  <c r="B41" i="5"/>
  <c r="B405" i="3"/>
  <c r="B304" i="3"/>
  <c r="B68" i="15"/>
  <c r="B96" i="5"/>
  <c r="B97" i="5" s="1"/>
  <c r="B102" i="5" s="1"/>
  <c r="D31" i="4"/>
  <c r="E31" i="4" s="1"/>
  <c r="C411" i="3"/>
  <c r="B10" i="15"/>
  <c r="C9" i="15"/>
  <c r="G9" i="15" s="1"/>
  <c r="C150" i="5"/>
  <c r="B40" i="5"/>
  <c r="B411" i="3"/>
  <c r="C293" i="3"/>
  <c r="B278" i="3"/>
  <c r="B9" i="15"/>
  <c r="B150" i="5"/>
  <c r="B103" i="5"/>
  <c r="B22" i="5"/>
  <c r="C407" i="3"/>
  <c r="B301" i="3"/>
  <c r="C149" i="5"/>
  <c r="B39" i="5"/>
  <c r="B149" i="5"/>
  <c r="B95" i="5"/>
  <c r="B13" i="4"/>
  <c r="B295" i="3"/>
  <c r="B243" i="3"/>
  <c r="C148" i="5"/>
  <c r="B43" i="5"/>
  <c r="B38" i="5"/>
  <c r="C38" i="5" s="1"/>
  <c r="C406" i="3"/>
  <c r="C247" i="3"/>
  <c r="B148" i="5"/>
  <c r="B210" i="3"/>
  <c r="C210" i="3" s="1"/>
  <c r="B407" i="3"/>
  <c r="B200" i="3"/>
  <c r="C200" i="3" s="1"/>
  <c r="B170" i="3"/>
  <c r="B406" i="3"/>
  <c r="B256" i="3"/>
  <c r="C256" i="3" s="1"/>
  <c r="C13" i="4"/>
  <c r="C248" i="3"/>
  <c r="C244" i="3"/>
  <c r="D244" i="3" s="1"/>
  <c r="C242" i="3"/>
  <c r="D242" i="3" s="1"/>
  <c r="B208" i="3"/>
  <c r="C208" i="3" s="1"/>
  <c r="C178" i="3"/>
  <c r="D178" i="3" s="1"/>
  <c r="C171" i="3"/>
  <c r="D171" i="3" s="1"/>
  <c r="B160" i="3"/>
  <c r="C157" i="3"/>
  <c r="C295" i="3"/>
  <c r="B248" i="3"/>
  <c r="C246" i="3"/>
  <c r="B242" i="3"/>
  <c r="B211" i="3"/>
  <c r="C211" i="3" s="1"/>
  <c r="B246" i="3"/>
  <c r="B293" i="3"/>
  <c r="B199" i="3"/>
  <c r="C199" i="3" s="1"/>
  <c r="B172" i="3"/>
  <c r="C169" i="3"/>
  <c r="B158" i="3"/>
  <c r="B117" i="3"/>
  <c r="D117" i="3" s="1"/>
  <c r="C245" i="3"/>
  <c r="B241" i="3"/>
  <c r="C179" i="3"/>
  <c r="D179" i="3" s="1"/>
  <c r="C177" i="3"/>
  <c r="D177" i="3" s="1"/>
  <c r="B255" i="3"/>
  <c r="C255" i="3" s="1"/>
  <c r="B191" i="3"/>
  <c r="C160" i="3"/>
  <c r="D160" i="3" s="1"/>
  <c r="B169" i="3"/>
  <c r="B247" i="3"/>
  <c r="B201" i="3"/>
  <c r="C201" i="3" s="1"/>
  <c r="C168" i="3"/>
  <c r="C159" i="3"/>
  <c r="C173" i="3"/>
  <c r="D173" i="3" s="1"/>
  <c r="B168" i="3"/>
  <c r="B159" i="3"/>
  <c r="B245" i="3"/>
  <c r="C174" i="3"/>
  <c r="D174" i="3" s="1"/>
  <c r="B173" i="3"/>
  <c r="C158" i="3"/>
  <c r="D158" i="3" s="1"/>
  <c r="C175" i="3"/>
  <c r="B174" i="3"/>
  <c r="C172" i="3"/>
  <c r="C243" i="3"/>
  <c r="B176" i="3"/>
  <c r="B175" i="3"/>
  <c r="B157" i="3"/>
  <c r="B207" i="3"/>
  <c r="B177" i="3"/>
  <c r="B171" i="3"/>
  <c r="B209" i="3"/>
  <c r="C209" i="3" s="1"/>
  <c r="B178" i="3"/>
  <c r="C170" i="3"/>
  <c r="B18" i="3"/>
  <c r="D18" i="3" s="1"/>
  <c r="C5" i="3"/>
  <c r="C161" i="3"/>
  <c r="B161" i="3"/>
  <c r="D5" i="3"/>
  <c r="D12" i="3" s="1"/>
  <c r="C18" i="3"/>
  <c r="BK3" i="1"/>
  <c r="Q7" i="3" a="1"/>
  <c r="Q7" i="3" s="1"/>
  <c r="P10" i="3" a="1"/>
  <c r="P10" i="3" s="1"/>
  <c r="J52" i="3"/>
  <c r="J69" i="3"/>
  <c r="J83" i="3"/>
  <c r="J87" i="3"/>
  <c r="E172" i="3"/>
  <c r="C409" i="3"/>
  <c r="J22" i="15"/>
  <c r="D6" i="3"/>
  <c r="C99" i="5"/>
  <c r="C100" i="5" s="1"/>
  <c r="O172" i="3"/>
  <c r="O178" i="3"/>
  <c r="O174" i="3"/>
  <c r="B33" i="3"/>
  <c r="C33" i="3"/>
  <c r="BK101" i="1"/>
  <c r="E125" i="5"/>
  <c r="C14" i="15"/>
  <c r="G14" i="15" s="1"/>
  <c r="B14" i="15"/>
  <c r="E223" i="3"/>
  <c r="E221" i="3"/>
  <c r="E222" i="3"/>
  <c r="R7" i="3" a="1"/>
  <c r="R7" i="3" s="1"/>
  <c r="J171" i="3"/>
  <c r="BK439" i="1"/>
  <c r="C106" i="3"/>
  <c r="B106" i="3"/>
  <c r="D106" i="3" s="1"/>
  <c r="BK402" i="1"/>
  <c r="C92" i="3"/>
  <c r="B92" i="3"/>
  <c r="D92" i="3" s="1"/>
  <c r="BK319" i="1"/>
  <c r="B43" i="3"/>
  <c r="C43" i="3"/>
  <c r="BK348" i="1"/>
  <c r="C104" i="3"/>
  <c r="B100" i="3"/>
  <c r="D100" i="3" s="1"/>
  <c r="B88" i="3"/>
  <c r="D88" i="3" s="1"/>
  <c r="B91" i="3"/>
  <c r="D91" i="3" s="1"/>
  <c r="C91" i="3"/>
  <c r="BK181" i="1"/>
  <c r="B103" i="3"/>
  <c r="D103" i="3" s="1"/>
  <c r="C46" i="3"/>
  <c r="B46" i="3"/>
  <c r="D46" i="3" s="1"/>
  <c r="BK102" i="1"/>
  <c r="C81" i="3"/>
  <c r="G244" i="3"/>
  <c r="D93" i="3"/>
  <c r="B23" i="4"/>
  <c r="C71" i="3"/>
  <c r="B71" i="3"/>
  <c r="D71" i="3" s="1"/>
  <c r="BK106" i="1"/>
  <c r="AT195" i="1"/>
  <c r="C38" i="3"/>
  <c r="BK61" i="1"/>
  <c r="B9" i="4"/>
  <c r="D8" i="3"/>
  <c r="C8" i="3"/>
  <c r="BK7" i="1"/>
  <c r="C110" i="5"/>
  <c r="B190" i="3"/>
  <c r="E68" i="15"/>
  <c r="B37" i="3"/>
  <c r="D37" i="3" s="1"/>
  <c r="N7" i="3" a="1"/>
  <c r="N7" i="3" s="1"/>
  <c r="J51" i="3"/>
  <c r="J33" i="3"/>
  <c r="J36" i="3"/>
  <c r="J93" i="3"/>
  <c r="J31" i="3"/>
  <c r="R10" i="3" a="1"/>
  <c r="R10" i="3" s="1"/>
  <c r="J41" i="3"/>
  <c r="J62" i="3"/>
  <c r="J70" i="3"/>
  <c r="J102" i="3"/>
  <c r="J97" i="3"/>
  <c r="E174" i="3"/>
  <c r="B22" i="15"/>
  <c r="B151" i="5"/>
  <c r="B73" i="15"/>
  <c r="O170" i="3"/>
  <c r="O176" i="3"/>
  <c r="BK37" i="1"/>
  <c r="C9" i="3"/>
  <c r="C84" i="3"/>
  <c r="B84" i="3"/>
  <c r="D84" i="3" s="1"/>
  <c r="BK112" i="1"/>
  <c r="J28" i="15"/>
  <c r="C85" i="3"/>
  <c r="C220" i="3"/>
  <c r="C268" i="3"/>
  <c r="P6" i="4"/>
  <c r="D10" i="3"/>
  <c r="C10" i="3"/>
  <c r="BK26" i="1"/>
  <c r="E15" i="15"/>
  <c r="BK25" i="1"/>
  <c r="C37" i="3"/>
  <c r="AV3" i="1"/>
  <c r="J101" i="3"/>
  <c r="E179" i="3"/>
  <c r="J86" i="3"/>
  <c r="J72" i="3"/>
  <c r="N10" i="3" a="1"/>
  <c r="N10" i="3" s="1"/>
  <c r="F245" i="3"/>
  <c r="E161" i="3"/>
  <c r="I7" i="4"/>
  <c r="E73" i="15"/>
  <c r="C296" i="3"/>
  <c r="F242" i="3"/>
  <c r="E14" i="15"/>
  <c r="J26" i="15"/>
  <c r="C25" i="3"/>
  <c r="D9" i="3"/>
  <c r="C77" i="3"/>
  <c r="B77" i="3"/>
  <c r="D77" i="3" s="1"/>
  <c r="BK329" i="1"/>
  <c r="B59" i="3"/>
  <c r="B8" i="4"/>
  <c r="K84" i="3"/>
  <c r="BK512" i="1"/>
  <c r="O6" i="3"/>
  <c r="D97" i="5"/>
  <c r="D102" i="5" s="1"/>
  <c r="BK397" i="1"/>
  <c r="B44" i="3"/>
  <c r="D44" i="3" s="1"/>
  <c r="C73" i="3"/>
  <c r="B73" i="3"/>
  <c r="BK325" i="1"/>
  <c r="B95" i="3"/>
  <c r="D95" i="3" s="1"/>
  <c r="C95" i="3"/>
  <c r="BK290" i="1"/>
  <c r="C67" i="3"/>
  <c r="B67" i="3"/>
  <c r="D67" i="3" s="1"/>
  <c r="BK253" i="1"/>
  <c r="BK298" i="1"/>
  <c r="C59" i="3"/>
  <c r="B35" i="3"/>
  <c r="D35" i="3" s="1"/>
  <c r="C35" i="3"/>
  <c r="BK152" i="1"/>
  <c r="B58" i="3"/>
  <c r="J15" i="15"/>
  <c r="B85" i="3"/>
  <c r="D85" i="3" s="1"/>
  <c r="B48" i="3"/>
  <c r="C265" i="3"/>
  <c r="C271" i="3"/>
  <c r="P8" i="4"/>
  <c r="E169" i="3"/>
  <c r="K8" i="3"/>
  <c r="J92" i="3"/>
  <c r="J73" i="3"/>
  <c r="N12" i="3" a="1"/>
  <c r="N12" i="3" s="1"/>
  <c r="E170" i="3"/>
  <c r="J99" i="3"/>
  <c r="F244" i="3"/>
  <c r="D65" i="5"/>
  <c r="B98" i="5"/>
  <c r="C408" i="3"/>
  <c r="C6" i="3"/>
  <c r="B26" i="15"/>
  <c r="D83" i="3"/>
  <c r="B25" i="3"/>
  <c r="O175" i="3"/>
  <c r="O171" i="3"/>
  <c r="B50" i="3"/>
  <c r="B15" i="15"/>
  <c r="O10" i="3"/>
  <c r="P9" i="3" a="1"/>
  <c r="P9" i="3" s="1"/>
  <c r="P6" i="3" a="1"/>
  <c r="P6" i="3" s="1"/>
  <c r="D234" i="3"/>
  <c r="D235" i="3"/>
  <c r="AP3" i="2"/>
  <c r="D232" i="3" s="1"/>
  <c r="D233" i="3" s="1"/>
  <c r="D222" i="3"/>
  <c r="D224" i="3" s="1"/>
  <c r="D221" i="3"/>
  <c r="D223" i="3"/>
  <c r="C107" i="3"/>
  <c r="E97" i="5"/>
  <c r="E102" i="5" s="1"/>
  <c r="BK444" i="1"/>
  <c r="BK443" i="1"/>
  <c r="BK320" i="1"/>
  <c r="BK386" i="1"/>
  <c r="BK353" i="1"/>
  <c r="K45" i="3"/>
  <c r="B97" i="3"/>
  <c r="D97" i="3" s="1"/>
  <c r="BK311" i="1"/>
  <c r="L35" i="3"/>
  <c r="C69" i="3"/>
  <c r="B69" i="3"/>
  <c r="D69" i="3" s="1"/>
  <c r="BK226" i="1"/>
  <c r="C58" i="3"/>
  <c r="H244" i="3"/>
  <c r="BK269" i="1"/>
  <c r="BK184" i="1"/>
  <c r="B28" i="15"/>
  <c r="B41" i="3"/>
  <c r="C41" i="3"/>
  <c r="BK91" i="1"/>
  <c r="C82" i="3"/>
  <c r="B82" i="3"/>
  <c r="D82" i="3" s="1"/>
  <c r="BK195" i="1"/>
  <c r="C48" i="3"/>
  <c r="B89" i="3"/>
  <c r="C89" i="3"/>
  <c r="BK165" i="1"/>
  <c r="B34" i="3"/>
  <c r="C34" i="3"/>
  <c r="BK148" i="1"/>
  <c r="C19" i="3"/>
  <c r="B19" i="3"/>
  <c r="D19" i="3" s="1"/>
  <c r="BK50" i="1"/>
  <c r="O179" i="3"/>
  <c r="C231" i="3"/>
  <c r="B31" i="4"/>
  <c r="O160" i="3"/>
  <c r="N9" i="3" a="1"/>
  <c r="N9" i="3" s="1"/>
  <c r="J88" i="3"/>
  <c r="M12" i="3"/>
  <c r="J96" i="3"/>
  <c r="J91" i="3"/>
  <c r="E160" i="3"/>
  <c r="E177" i="3"/>
  <c r="E158" i="3"/>
  <c r="B297" i="3"/>
  <c r="E22" i="15"/>
  <c r="G6" i="4"/>
  <c r="B409" i="3"/>
  <c r="C11" i="15"/>
  <c r="G11" i="15" s="1"/>
  <c r="B68" i="5"/>
  <c r="C68" i="5" s="1"/>
  <c r="O168" i="3"/>
  <c r="F174" i="3"/>
  <c r="C50" i="3"/>
  <c r="B7" i="4"/>
  <c r="F131" i="5"/>
  <c r="B13" i="15"/>
  <c r="J29" i="15"/>
  <c r="F129" i="5"/>
  <c r="J25" i="15"/>
  <c r="E130" i="5"/>
  <c r="B6" i="4"/>
  <c r="B55" i="5"/>
  <c r="D18" i="5"/>
  <c r="I75" i="5"/>
  <c r="C10" i="4"/>
  <c r="L63" i="3"/>
  <c r="Q10" i="3" a="1"/>
  <c r="Q10" i="3" s="1"/>
  <c r="BK487" i="1"/>
  <c r="C130" i="5"/>
  <c r="F130" i="5" s="1"/>
  <c r="C127" i="5"/>
  <c r="F127" i="5" s="1"/>
  <c r="E128" i="5"/>
  <c r="C6" i="4"/>
  <c r="C13" i="15"/>
  <c r="G13" i="15" s="1"/>
  <c r="C7" i="4"/>
  <c r="P162" i="3"/>
  <c r="K63" i="3"/>
  <c r="E116" i="5"/>
  <c r="E119" i="5" s="1"/>
  <c r="E111" i="5"/>
  <c r="E118" i="5"/>
  <c r="E113" i="5"/>
  <c r="E115" i="5"/>
  <c r="E117" i="5"/>
  <c r="E112" i="5"/>
  <c r="E114" i="5"/>
  <c r="J160" i="3"/>
  <c r="BK485" i="1"/>
  <c r="BK467" i="1"/>
  <c r="J175" i="3"/>
  <c r="D116" i="5"/>
  <c r="D119" i="5" s="1"/>
  <c r="D111" i="5"/>
  <c r="D118" i="5"/>
  <c r="D113" i="5"/>
  <c r="D115" i="5"/>
  <c r="D117" i="5"/>
  <c r="D112" i="5"/>
  <c r="D114" i="5"/>
  <c r="B107" i="3"/>
  <c r="C108" i="3"/>
  <c r="B108" i="3"/>
  <c r="D108" i="3" s="1"/>
  <c r="BK416" i="1"/>
  <c r="C20" i="3"/>
  <c r="B20" i="3"/>
  <c r="D20" i="3" s="1"/>
  <c r="BK330" i="1"/>
  <c r="BK321" i="1"/>
  <c r="L45" i="3"/>
  <c r="BK300" i="1"/>
  <c r="BK370" i="1"/>
  <c r="BK273" i="1"/>
  <c r="BK211" i="1"/>
  <c r="C97" i="3"/>
  <c r="B94" i="3"/>
  <c r="D94" i="3" s="1"/>
  <c r="B80" i="3"/>
  <c r="C80" i="3"/>
  <c r="BK295" i="1"/>
  <c r="K35" i="3"/>
  <c r="BK134" i="1"/>
  <c r="G241" i="3"/>
  <c r="G246" i="3"/>
  <c r="K22" i="3"/>
  <c r="K41" i="3"/>
  <c r="BK183" i="1"/>
  <c r="BK133" i="1"/>
  <c r="C55" i="3"/>
  <c r="D55" i="3" s="1"/>
  <c r="C32" i="3"/>
  <c r="B32" i="3"/>
  <c r="D32" i="3" s="1"/>
  <c r="BK71" i="1"/>
  <c r="C230" i="3"/>
  <c r="C109" i="5"/>
  <c r="B14" i="4"/>
  <c r="BK159" i="1"/>
  <c r="BK12" i="1"/>
  <c r="BK59" i="1"/>
  <c r="Q6" i="3" a="1"/>
  <c r="Q6" i="3" s="1"/>
  <c r="P5" i="3" a="1"/>
  <c r="P5" i="3" s="1"/>
  <c r="P12" i="3" s="1"/>
  <c r="J21" i="3"/>
  <c r="J71" i="3"/>
  <c r="J66" i="3"/>
  <c r="O12" i="3"/>
  <c r="E176" i="3"/>
  <c r="E168" i="3"/>
  <c r="E157" i="3"/>
  <c r="B410" i="3"/>
  <c r="B19" i="4"/>
  <c r="I6" i="4"/>
  <c r="C12" i="15"/>
  <c r="G12" i="15" s="1"/>
  <c r="B12" i="15"/>
  <c r="B24" i="3"/>
  <c r="C7" i="3"/>
  <c r="C24" i="3"/>
  <c r="D7" i="3"/>
  <c r="BK19" i="1"/>
  <c r="B63" i="5"/>
  <c r="C63" i="5" s="1"/>
  <c r="BK22" i="1"/>
  <c r="F169" i="3"/>
  <c r="F175" i="3"/>
  <c r="F170" i="3" l="1"/>
  <c r="D12" i="15"/>
  <c r="F12" i="15"/>
  <c r="H12" i="15" s="1"/>
  <c r="F13" i="15"/>
  <c r="H13" i="15" s="1"/>
  <c r="D13" i="15"/>
  <c r="D28" i="15"/>
  <c r="F28" i="15"/>
  <c r="H28" i="15" s="1"/>
  <c r="D48" i="3"/>
  <c r="B263" i="3"/>
  <c r="D169" i="3"/>
  <c r="D157" i="3"/>
  <c r="B23" i="5"/>
  <c r="D22" i="5"/>
  <c r="B25" i="5"/>
  <c r="D25" i="5" s="1"/>
  <c r="B24" i="5"/>
  <c r="F10" i="15"/>
  <c r="H10" i="15" s="1"/>
  <c r="D10" i="15"/>
  <c r="C221" i="3"/>
  <c r="C223" i="3"/>
  <c r="C222" i="3"/>
  <c r="F25" i="15"/>
  <c r="H25" i="15" s="1"/>
  <c r="D25" i="15"/>
  <c r="C233" i="3"/>
  <c r="D23" i="3"/>
  <c r="F173" i="3"/>
  <c r="D66" i="3"/>
  <c r="AV165" i="1"/>
  <c r="AW165" i="1" s="1"/>
  <c r="F158" i="3"/>
  <c r="G158" i="3" s="1"/>
  <c r="E159" i="3"/>
  <c r="F8" i="3"/>
  <c r="L8" i="3"/>
  <c r="E8" i="3"/>
  <c r="G8" i="3" s="1"/>
  <c r="G169" i="3"/>
  <c r="Q12" i="3"/>
  <c r="C34" i="5"/>
  <c r="I82" i="5"/>
  <c r="B56" i="5"/>
  <c r="B57" i="5" s="1"/>
  <c r="D30" i="5"/>
  <c r="B231" i="3"/>
  <c r="D31" i="3"/>
  <c r="G242" i="3"/>
  <c r="B220" i="3"/>
  <c r="D161" i="3"/>
  <c r="F9" i="15"/>
  <c r="D9" i="15"/>
  <c r="B34" i="15" s="1"/>
  <c r="D11" i="15"/>
  <c r="F11" i="15"/>
  <c r="H11" i="15" s="1"/>
  <c r="D53" i="3"/>
  <c r="F22" i="15"/>
  <c r="D22" i="15"/>
  <c r="C34" i="15" s="1"/>
  <c r="D89" i="3"/>
  <c r="D25" i="3"/>
  <c r="D80" i="3"/>
  <c r="F26" i="15"/>
  <c r="H26" i="15" s="1"/>
  <c r="D26" i="15"/>
  <c r="D58" i="3"/>
  <c r="B265" i="3"/>
  <c r="D33" i="3"/>
  <c r="L5" i="3"/>
  <c r="F5" i="3"/>
  <c r="E5" i="3"/>
  <c r="G5" i="3" s="1"/>
  <c r="C12" i="3"/>
  <c r="D68" i="15"/>
  <c r="F68" i="15"/>
  <c r="B180" i="3"/>
  <c r="D87" i="3"/>
  <c r="B134" i="5"/>
  <c r="D16" i="5"/>
  <c r="I74" i="5"/>
  <c r="F126" i="5"/>
  <c r="D9" i="4"/>
  <c r="D8" i="4"/>
  <c r="D11" i="4"/>
  <c r="D7" i="4"/>
  <c r="D6" i="4"/>
  <c r="D13" i="4"/>
  <c r="D12" i="4"/>
  <c r="D10" i="4"/>
  <c r="G175" i="3"/>
  <c r="D241" i="3"/>
  <c r="D104" i="3"/>
  <c r="R12" i="3"/>
  <c r="D79" i="3"/>
  <c r="D27" i="15"/>
  <c r="D65" i="3"/>
  <c r="C410" i="3"/>
  <c r="B189" i="3"/>
  <c r="B192" i="3" s="1"/>
  <c r="D243" i="3"/>
  <c r="D59" i="3"/>
  <c r="G73" i="15"/>
  <c r="F179" i="3"/>
  <c r="G179" i="3" s="1"/>
  <c r="B268" i="3"/>
  <c r="F255" i="3"/>
  <c r="AV195" i="1"/>
  <c r="AW195" i="1" s="1"/>
  <c r="F177" i="3"/>
  <c r="D43" i="3"/>
  <c r="E224" i="3"/>
  <c r="D170" i="3"/>
  <c r="D172" i="3"/>
  <c r="D159" i="3"/>
  <c r="B249" i="3"/>
  <c r="D247" i="3"/>
  <c r="C39" i="5"/>
  <c r="B47" i="5"/>
  <c r="BK285" i="1"/>
  <c r="B64" i="3"/>
  <c r="C64" i="3"/>
  <c r="D40" i="3"/>
  <c r="F128" i="5"/>
  <c r="E173" i="3"/>
  <c r="F171" i="3"/>
  <c r="G171" i="3" s="1"/>
  <c r="AV20" i="1"/>
  <c r="AW20" i="1" s="1"/>
  <c r="F176" i="3"/>
  <c r="G176" i="3" s="1"/>
  <c r="O8" i="3"/>
  <c r="AV192" i="1"/>
  <c r="AW192" i="1" s="1"/>
  <c r="G245" i="3"/>
  <c r="G160" i="3"/>
  <c r="AV15" i="1"/>
  <c r="AW15" i="1" s="1"/>
  <c r="F168" i="3"/>
  <c r="G168" i="3" s="1"/>
  <c r="D73" i="3"/>
  <c r="F161" i="3"/>
  <c r="G161" i="3" s="1"/>
  <c r="B271" i="3"/>
  <c r="G68" i="15"/>
  <c r="D168" i="3"/>
  <c r="D245" i="3"/>
  <c r="D246" i="3"/>
  <c r="D248" i="3"/>
  <c r="C40" i="5"/>
  <c r="C41" i="5"/>
  <c r="D54" i="3"/>
  <c r="D75" i="3"/>
  <c r="D39" i="3"/>
  <c r="C9" i="4"/>
  <c r="G243" i="3"/>
  <c r="C151" i="5"/>
  <c r="B162" i="3"/>
  <c r="F15" i="15"/>
  <c r="H15" i="15" s="1"/>
  <c r="D15" i="15"/>
  <c r="B230" i="3"/>
  <c r="B109" i="5"/>
  <c r="C269" i="3"/>
  <c r="C270" i="3"/>
  <c r="C272" i="3" s="1"/>
  <c r="D175" i="3"/>
  <c r="F132" i="5"/>
  <c r="B33" i="5"/>
  <c r="B32" i="5"/>
  <c r="D32" i="5" s="1"/>
  <c r="D31" i="5"/>
  <c r="AV61" i="1"/>
  <c r="AW61" i="1" s="1"/>
  <c r="F159" i="3"/>
  <c r="B219" i="3"/>
  <c r="B212" i="3"/>
  <c r="C207" i="3"/>
  <c r="F157" i="3"/>
  <c r="G157" i="3" s="1"/>
  <c r="F6" i="3"/>
  <c r="E6" i="3"/>
  <c r="G6" i="3" s="1"/>
  <c r="L6" i="3"/>
  <c r="AW3" i="1"/>
  <c r="B110" i="5"/>
  <c r="F10" i="3"/>
  <c r="L10" i="3"/>
  <c r="E10" i="3"/>
  <c r="G10" i="3" s="1"/>
  <c r="E9" i="3"/>
  <c r="G9" i="3" s="1"/>
  <c r="L9" i="3"/>
  <c r="F9" i="3"/>
  <c r="F7" i="3"/>
  <c r="E7" i="3"/>
  <c r="L7" i="3"/>
  <c r="G7" i="3"/>
  <c r="D24" i="3"/>
  <c r="D107" i="3"/>
  <c r="D34" i="3"/>
  <c r="D41" i="3"/>
  <c r="D50" i="3"/>
  <c r="C267" i="3"/>
  <c r="C266" i="3"/>
  <c r="B218" i="3"/>
  <c r="B264" i="3"/>
  <c r="F73" i="15"/>
  <c r="D73" i="15"/>
  <c r="C114" i="5"/>
  <c r="C116" i="5"/>
  <c r="C119" i="5" s="1"/>
  <c r="C111" i="5"/>
  <c r="C118" i="5"/>
  <c r="C113" i="5"/>
  <c r="C115" i="5"/>
  <c r="C117" i="5"/>
  <c r="C112" i="5"/>
  <c r="F14" i="15"/>
  <c r="H14" i="15" s="1"/>
  <c r="D14" i="15"/>
  <c r="B305" i="3"/>
  <c r="B303" i="3"/>
  <c r="B302" i="3"/>
  <c r="B48" i="5"/>
  <c r="C43" i="5"/>
  <c r="D99" i="3"/>
  <c r="D29" i="3"/>
  <c r="B99" i="5"/>
  <c r="B100" i="5" s="1"/>
  <c r="B50" i="5" l="1"/>
  <c r="B49" i="5"/>
  <c r="B114" i="5"/>
  <c r="B116" i="5"/>
  <c r="B119" i="5" s="1"/>
  <c r="B111" i="5"/>
  <c r="B118" i="5"/>
  <c r="B113" i="5"/>
  <c r="B115" i="5"/>
  <c r="B117" i="5"/>
  <c r="B112" i="5"/>
  <c r="B269" i="3"/>
  <c r="B270" i="3"/>
  <c r="B272" i="3" s="1"/>
  <c r="G174" i="3"/>
  <c r="B222" i="3"/>
  <c r="B223" i="3"/>
  <c r="B221" i="3"/>
  <c r="L12" i="3"/>
  <c r="G12" i="3"/>
  <c r="F12" i="3"/>
  <c r="D34" i="15"/>
  <c r="H9" i="15"/>
  <c r="B234" i="3"/>
  <c r="G159" i="3"/>
  <c r="E12" i="3"/>
  <c r="G173" i="3"/>
  <c r="I76" i="5"/>
  <c r="D24" i="5"/>
  <c r="B232" i="3"/>
  <c r="B233" i="3" s="1"/>
  <c r="B235" i="3"/>
  <c r="D23" i="5"/>
  <c r="B58" i="5"/>
  <c r="B59" i="5" s="1"/>
  <c r="B34" i="5"/>
  <c r="D34" i="5" s="1"/>
  <c r="D33" i="5"/>
  <c r="I81" i="5"/>
  <c r="G170" i="3"/>
  <c r="D64" i="3"/>
  <c r="B267" i="3"/>
  <c r="B266" i="3"/>
  <c r="H22" i="15"/>
  <c r="E34" i="15"/>
  <c r="G178" i="3"/>
  <c r="G177" i="3"/>
  <c r="C224" i="3"/>
  <c r="G172" i="3"/>
  <c r="B224" i="3" l="1"/>
</calcChain>
</file>

<file path=xl/sharedStrings.xml><?xml version="1.0" encoding="utf-8"?>
<sst xmlns="http://schemas.openxmlformats.org/spreadsheetml/2006/main" count="25154" uniqueCount="4377">
  <si>
    <t>metric_name</t>
  </si>
  <si>
    <t>value</t>
  </si>
  <si>
    <t>unit</t>
  </si>
  <si>
    <t>n</t>
  </si>
  <si>
    <t>denominator_definition</t>
  </si>
  <si>
    <t>event_set</t>
  </si>
  <si>
    <t>convention</t>
  </si>
  <si>
    <t>ci_low</t>
  </si>
  <si>
    <t>ci_high</t>
  </si>
  <si>
    <t>ci_level</t>
  </si>
  <si>
    <t>p_value</t>
  </si>
  <si>
    <t>mde</t>
  </si>
  <si>
    <t>test_used</t>
  </si>
  <si>
    <t>threshold_dependent</t>
  </si>
  <si>
    <t>source_file</t>
  </si>
  <si>
    <t>notes</t>
  </si>
  <si>
    <t>total_events_scored</t>
  </si>
  <si>
    <t>268</t>
  </si>
  <si>
    <t>events</t>
  </si>
  <si>
    <t>N=268 phase2 scored events</t>
  </si>
  <si>
    <t>FALSE</t>
  </si>
  <si>
    <t>effective_sample_funnel.md</t>
  </si>
  <si>
    <t>excluded_worksheet</t>
  </si>
  <si>
    <t>25</t>
  </si>
  <si>
    <t>N=268</t>
  </si>
  <si>
    <t>worksheet_leak_flags.csv</t>
  </si>
  <si>
    <t>LLM input included human rater worksheet</t>
  </si>
  <si>
    <t>excluded_spot</t>
  </si>
  <si>
    <t>1</t>
  </si>
  <si>
    <t>SPOT_FQ1_2026 misattribution</t>
  </si>
  <si>
    <t>excluded_timing</t>
  </si>
  <si>
    <t>9</t>
  </si>
  <si>
    <t>9 non-US issuers, timing unresolved</t>
  </si>
  <si>
    <t>clean_universe</t>
  </si>
  <si>
    <t>233</t>
  </si>
  <si>
    <t>N=233 clean universe</t>
  </si>
  <si>
    <t>traded_events</t>
  </si>
  <si>
    <t>146</t>
  </si>
  <si>
    <t>Model called BUY or SELL</t>
  </si>
  <si>
    <t>TRUE</t>
  </si>
  <si>
    <t>ext2_holding_curve.csv</t>
  </si>
  <si>
    <t>graded_events</t>
  </si>
  <si>
    <t>95</t>
  </si>
  <si>
    <t>|ret_overnight| &gt; 2% AND traded</t>
  </si>
  <si>
    <t>pre-registered ±2% overnight band</t>
  </si>
  <si>
    <t>selectivity_accuracy</t>
  </si>
  <si>
    <t>65.3%</t>
  </si>
  <si>
    <t>percent</t>
  </si>
  <si>
    <t>model traded AND |ret_overnight|&gt;2%</t>
  </si>
  <si>
    <t>HOLD-excluded, pre-registered ±2% band</t>
  </si>
  <si>
    <t>0.024</t>
  </si>
  <si>
    <t>±10.8pp</t>
  </si>
  <si>
    <t>binomial vs always-DOWN floor 54.7%</t>
  </si>
  <si>
    <t>62/95; margin +10.5pp vs floor 54.7% (52/95 always-DOWN)</t>
  </si>
  <si>
    <t>selectivity_accuracy_numerator</t>
  </si>
  <si>
    <t>62/95</t>
  </si>
  <si>
    <t>selectivity_floor_always_down</t>
  </si>
  <si>
    <t>54.7%</t>
  </si>
  <si>
    <t>always-DOWN (predict SELL every event) on graded set</t>
  </si>
  <si>
    <t>52/95 graded events have negative return</t>
  </si>
  <si>
    <t>selectivity_margin_vs_floor</t>
  </si>
  <si>
    <t>+10.5pp</t>
  </si>
  <si>
    <t>pp</t>
  </si>
  <si>
    <t>binomial one-sided greater vs always-DOWN 52/95</t>
  </si>
  <si>
    <t>coverage_accuracy</t>
  </si>
  <si>
    <t>42.2%</t>
  </si>
  <si>
    <t>147</t>
  </si>
  <si>
    <t>all events with |ret_overnight|&gt;2% (model traded or not)</t>
  </si>
  <si>
    <t>HOLD=wrong, pre-registered ±2% band</t>
  </si>
  <si>
    <t>62/147; floor=54.4% (80/147 always-DOWN); margin -12.2pp. Model missed 52 events that moved.</t>
  </si>
  <si>
    <t>coverage_floor_always_down</t>
  </si>
  <si>
    <t>54.4%</t>
  </si>
  <si>
    <t>all events with |ret_overnight|&gt;2%</t>
  </si>
  <si>
    <t>80/147 events have negative return</t>
  </si>
  <si>
    <t>mean_net_per_trade_overnight</t>
  </si>
  <si>
    <t>1.8617%</t>
  </si>
  <si>
    <t>traded events</t>
  </si>
  <si>
    <t>overnight, 10bps round-trip cost, 0bps short borrow</t>
  </si>
  <si>
    <t>0.98%</t>
  </si>
  <si>
    <t>2.76%</t>
  </si>
  <si>
    <t>90%</t>
  </si>
  <si>
    <t>+1.862% per trade</t>
  </si>
  <si>
    <t>summed_total_return</t>
  </si>
  <si>
    <t>+271.81%</t>
  </si>
  <si>
    <t>percent (order-dependent)</t>
  </si>
  <si>
    <t>N=233 clean universe — N=268 OLD ANCHOR</t>
  </si>
  <si>
    <t>item_e_handoff.md</t>
  </si>
  <si>
    <t>Order-dependent compounded equity curve, not an achievable balance. Mean net per trade is the primary P&amp;L metric. Value from item_e_handoff.md (+271.81% on N=233).</t>
  </si>
  <si>
    <t>t_statistic_per_trade</t>
  </si>
  <si>
    <t>3.43</t>
  </si>
  <si>
    <t>mean_net/pstdev(nets)*sqrt(N_traded) — NOT a time-series Sharpe</t>
  </si>
  <si>
    <t>Grows mechanically with sample size. Do not label as Sharpe.</t>
  </si>
  <si>
    <t>info_ratio_per_trade</t>
  </si>
  <si>
    <t>0.284</t>
  </si>
  <si>
    <t>mean_net / pstdev(nets), unscaled by sqrt(N)</t>
  </si>
  <si>
    <t>spearman_rho_overnight</t>
  </si>
  <si>
    <t>0.2360</t>
  </si>
  <si>
    <t>overnight return, 0.02 band (pre-registered)</t>
  </si>
  <si>
    <t>0.0003</t>
  </si>
  <si>
    <t>Spearman rank correlation, blended score vs ret_overnight</t>
  </si>
  <si>
    <t>0.9832%</t>
  </si>
  <si>
    <t>2.7558%</t>
  </si>
  <si>
    <t>accuracy_overnight</t>
  </si>
  <si>
    <t>|ret_overnight|&gt;band</t>
  </si>
  <si>
    <t>spearman_rho_1d</t>
  </si>
  <si>
    <t>0.1587</t>
  </si>
  <si>
    <t>1d return, 0.022462 band (recalibrated)</t>
  </si>
  <si>
    <t>0.0153</t>
  </si>
  <si>
    <t>mean_net_per_trade_1d</t>
  </si>
  <si>
    <t>1.2505%</t>
  </si>
  <si>
    <t>0.3257%</t>
  </si>
  <si>
    <t>2.2098%</t>
  </si>
  <si>
    <t>accuracy_1d</t>
  </si>
  <si>
    <t>60.2%</t>
  </si>
  <si>
    <t>98</t>
  </si>
  <si>
    <t>|ret_1d|&gt;band</t>
  </si>
  <si>
    <t>spearman_rho_3d</t>
  </si>
  <si>
    <t>0.1115</t>
  </si>
  <si>
    <t>3d return, 0.023096 band (recalibrated)</t>
  </si>
  <si>
    <t>0.0895</t>
  </si>
  <si>
    <t>mean_net_per_trade_3d</t>
  </si>
  <si>
    <t>1.0264%</t>
  </si>
  <si>
    <t>0.0293%</t>
  </si>
  <si>
    <t>2.0508%</t>
  </si>
  <si>
    <t>accuracy_3d</t>
  </si>
  <si>
    <t>56.2%</t>
  </si>
  <si>
    <t>96</t>
  </si>
  <si>
    <t>|ret_3d|&gt;band</t>
  </si>
  <si>
    <t>spearman_rho_5d</t>
  </si>
  <si>
    <t>0.0717</t>
  </si>
  <si>
    <t>5d return, 0.026177 band (recalibrated)</t>
  </si>
  <si>
    <t>0.2760</t>
  </si>
  <si>
    <t>mean_net_per_trade_5d</t>
  </si>
  <si>
    <t>0.8458%</t>
  </si>
  <si>
    <t>-0.2701%</t>
  </si>
  <si>
    <t>1.9507%</t>
  </si>
  <si>
    <t>accuracy_5d</t>
  </si>
  <si>
    <t>52.1%</t>
  </si>
  <si>
    <t>94</t>
  </si>
  <si>
    <t>|ret_5d|&gt;band</t>
  </si>
  <si>
    <t>spearman_rho_10d</t>
  </si>
  <si>
    <t>0.0578</t>
  </si>
  <si>
    <t>10d return, 0.035159 band (recalibrated)</t>
  </si>
  <si>
    <t>0.3799</t>
  </si>
  <si>
    <t>mean_net_per_trade_10d</t>
  </si>
  <si>
    <t>0.6860%</t>
  </si>
  <si>
    <t>-0.6347%</t>
  </si>
  <si>
    <t>2.0263%</t>
  </si>
  <si>
    <t>accuracy_10d</t>
  </si>
  <si>
    <t>53.4%</t>
  </si>
  <si>
    <t>103</t>
  </si>
  <si>
    <t>|ret_10d|&gt;band</t>
  </si>
  <si>
    <t>majority_direction_floor_full_sample</t>
  </si>
  <si>
    <t>always-DOWN on graded events (|ret_overnight|&gt;2%, traded)</t>
  </si>
  <si>
    <t>N=233 clean universe, graded events only</t>
  </si>
  <si>
    <t>cohens_kappa_human_vs_llm</t>
  </si>
  <si>
    <t>0.1092</t>
  </si>
  <si>
    <t>171</t>
  </si>
  <si>
    <t>paired events with both human and LLM BUY/HOLD/SELL call</t>
  </si>
  <si>
    <t>N=171 paired events (section=All, first_rater=YES, in_llm=YES, exclusions applied)</t>
  </si>
  <si>
    <t>3x3 BUY/HOLD/SELL vs BUY/HOLD/SELL, no return grading</t>
  </si>
  <si>
    <t>0.030</t>
  </si>
  <si>
    <t>0.190</t>
  </si>
  <si>
    <t>bootstrap 10000 resamples, seed 20260709</t>
  </si>
  <si>
    <t>kappa_near_independence.csv</t>
  </si>
  <si>
    <t>call_count_human_buy</t>
  </si>
  <si>
    <t>count</t>
  </si>
  <si>
    <t>N=171 paired events</t>
  </si>
  <si>
    <t>human_vs_llm_statistics.csv</t>
  </si>
  <si>
    <t>call_frac_human_buy</t>
  </si>
  <si>
    <t>0.5614</t>
  </si>
  <si>
    <t>fraction</t>
  </si>
  <si>
    <t>call_count_human_hold</t>
  </si>
  <si>
    <t>40</t>
  </si>
  <si>
    <t>call_frac_human_hold</t>
  </si>
  <si>
    <t>0.2339</t>
  </si>
  <si>
    <t>call_count_human_sell</t>
  </si>
  <si>
    <t>35</t>
  </si>
  <si>
    <t>call_frac_human_sell</t>
  </si>
  <si>
    <t>0.2047</t>
  </si>
  <si>
    <t>call_count_llm_buy</t>
  </si>
  <si>
    <t>42</t>
  </si>
  <si>
    <t>call_frac_llm_buy</t>
  </si>
  <si>
    <t>0.2456</t>
  </si>
  <si>
    <t>call_count_llm_hold</t>
  </si>
  <si>
    <t>69</t>
  </si>
  <si>
    <t>call_frac_llm_hold</t>
  </si>
  <si>
    <t>0.4035</t>
  </si>
  <si>
    <t>call_count_llm_sell</t>
  </si>
  <si>
    <t>60</t>
  </si>
  <si>
    <t>call_frac_llm_sell</t>
  </si>
  <si>
    <t>0.3509</t>
  </si>
  <si>
    <t>direction_only_n</t>
  </si>
  <si>
    <t>76</t>
  </si>
  <si>
    <t>N=76 events where both arms called BUY or SELL</t>
  </si>
  <si>
    <t>direction_human_sign_accuracy</t>
  </si>
  <si>
    <t>0.5789</t>
  </si>
  <si>
    <t>N=76 direction-only</t>
  </si>
  <si>
    <t>sign accuracy, no band filter</t>
  </si>
  <si>
    <t>44/76</t>
  </si>
  <si>
    <t>direction_llm_sign_accuracy</t>
  </si>
  <si>
    <t>0.6053</t>
  </si>
  <si>
    <t>46/76</t>
  </si>
  <si>
    <t>direction_llm_minus_human_pp</t>
  </si>
  <si>
    <t>2.6</t>
  </si>
  <si>
    <t>-7.9</t>
  </si>
  <si>
    <t>13.2</t>
  </si>
  <si>
    <t>0.750</t>
  </si>
  <si>
    <t>bootstrap paired 10000 resamples seed 20260709</t>
  </si>
  <si>
    <t>direction_floor_always_down_strict</t>
  </si>
  <si>
    <t>55.3%</t>
  </si>
  <si>
    <t>42/76 events with ret_overnight &lt; 0 (strict negative)</t>
  </si>
  <si>
    <t>ret &lt; 0 strictly; excludes PUM.DE_FQ4_2025 (ret=0)</t>
  </si>
  <si>
    <t>direction_floor_always_down_incl_zero</t>
  </si>
  <si>
    <t>56.6%</t>
  </si>
  <si>
    <t>43/76 events with ret_overnight &lt;= 0 (includes zero-return PUM.DE_FQ4_2025)</t>
  </si>
  <si>
    <t>ret &lt;= 0; used for per-direction base-rate in finding #7</t>
  </si>
  <si>
    <t>PUM.DE_FQ4_2025 has ret_overnight=0.0 exactly</t>
  </si>
  <si>
    <t>direction_human_vs_always_down_p</t>
  </si>
  <si>
    <t>0.366</t>
  </si>
  <si>
    <t>binomial one-sided greater vs 42/76=55.3%</t>
  </si>
  <si>
    <t>direction_llm_vs_always_down_p</t>
  </si>
  <si>
    <t>0.210</t>
  </si>
  <si>
    <t>direction_human_buy_accuracy</t>
  </si>
  <si>
    <t>50.9%</t>
  </si>
  <si>
    <t>53</t>
  </si>
  <si>
    <t>human BUY calls among N=76 direction-only events</t>
  </si>
  <si>
    <t>sign accuracy, no band</t>
  </si>
  <si>
    <t>0.5000</t>
  </si>
  <si>
    <t>binomial one-sided greater vs 50%; vs base-rate p=0.1669 (base_rate=0.4342)</t>
  </si>
  <si>
    <t>human_vs_llm_direction_decomposition.csv</t>
  </si>
  <si>
    <t>27/53, vs_50pct_margin=0.9pp</t>
  </si>
  <si>
    <t>direction_human_sell_accuracy</t>
  </si>
  <si>
    <t>73.9%</t>
  </si>
  <si>
    <t>23</t>
  </si>
  <si>
    <t>human SELL calls among N=76 direction-only events</t>
  </si>
  <si>
    <t>0.0173</t>
  </si>
  <si>
    <t>binomial one-sided greater vs 50%; vs base-rate p=0.0688 (base_rate=0.5658)</t>
  </si>
  <si>
    <t>17/23, vs_50pct_margin=23.9pp</t>
  </si>
  <si>
    <t>direction_llm_buy_accuracy</t>
  </si>
  <si>
    <t>55.6%</t>
  </si>
  <si>
    <t>36</t>
  </si>
  <si>
    <t>llm BUY calls among N=76 direction-only events</t>
  </si>
  <si>
    <t>0.3089</t>
  </si>
  <si>
    <t>binomial one-sided greater vs 50%; vs base-rate p=0.0972 (base_rate=0.4342)</t>
  </si>
  <si>
    <t>20/36, vs_50pct_margin=5.6pp</t>
  </si>
  <si>
    <t>direction_llm_sell_accuracy</t>
  </si>
  <si>
    <t>65.0%</t>
  </si>
  <si>
    <t>llm SELL calls among N=76 direction-only events</t>
  </si>
  <si>
    <t>0.0403</t>
  </si>
  <si>
    <t>binomial one-sided greater vs 50%; vs base-rate p=0.1805 (base_rate=0.5658)</t>
  </si>
  <si>
    <t>26/40, vs_50pct_margin=15.0pp</t>
  </si>
  <si>
    <t>item_c_four_arm_n119_full_bundle_accuracy</t>
  </si>
  <si>
    <t>68.1%</t>
  </si>
  <si>
    <t>47</t>
  </si>
  <si>
    <t>graded events (|ret|&gt;2%) in four_arm_n119</t>
  </si>
  <si>
    <t>four_arm_n119</t>
  </si>
  <si>
    <t>HOLD-excluded, ±2% overnight band</t>
  </si>
  <si>
    <t>section_ablation_cost_per_correct.csv</t>
  </si>
  <si>
    <t>32/47; calls=119; mean_tokens=30096</t>
  </si>
  <si>
    <t>item_c_four_arm_n119_full_bundle_cost_per_correct</t>
  </si>
  <si>
    <t>$0.0358</t>
  </si>
  <si>
    <t>USD per correct call</t>
  </si>
  <si>
    <t>32</t>
  </si>
  <si>
    <t>total_cost=$1.1441; total_tokens=3581446</t>
  </si>
  <si>
    <t>item_c_four_arm_n119_full_bundle_mean_tokens</t>
  </si>
  <si>
    <t>30096</t>
  </si>
  <si>
    <t>tokens per call</t>
  </si>
  <si>
    <t>item_c_four_arm_n119_press_release_accuracy</t>
  </si>
  <si>
    <t>64.9%</t>
  </si>
  <si>
    <t>37</t>
  </si>
  <si>
    <t>24/37; calls=119; mean_tokens=13030</t>
  </si>
  <si>
    <t>item_c_four_arm_n119_press_release_cost_per_correct</t>
  </si>
  <si>
    <t>$0.0225</t>
  </si>
  <si>
    <t>24</t>
  </si>
  <si>
    <t>total_cost=$0.5394; total_tokens=1550583</t>
  </si>
  <si>
    <t>item_c_four_arm_n119_press_release_mean_tokens</t>
  </si>
  <si>
    <t>13030</t>
  </si>
  <si>
    <t>item_c_four_arm_n119_prepared_remarks_accuracy</t>
  </si>
  <si>
    <t>63.4%</t>
  </si>
  <si>
    <t>41</t>
  </si>
  <si>
    <t>26/41; calls=119; mean_tokens=10287</t>
  </si>
  <si>
    <t>item_c_four_arm_n119_prepared_remarks_cost_per_correct</t>
  </si>
  <si>
    <t>$0.0208</t>
  </si>
  <si>
    <t>26</t>
  </si>
  <si>
    <t>total_cost=$0.5412; total_tokens=1224173</t>
  </si>
  <si>
    <t>item_c_four_arm_n119_prepared_remarks_mean_tokens</t>
  </si>
  <si>
    <t>10287</t>
  </si>
  <si>
    <t>item_c_four_arm_n119_qa_only_accuracy</t>
  </si>
  <si>
    <t>68.4%</t>
  </si>
  <si>
    <t>38</t>
  </si>
  <si>
    <t>26/38; calls=119; mean_tokens=13163</t>
  </si>
  <si>
    <t>item_c_four_arm_n119_qa_only_cost_per_correct</t>
  </si>
  <si>
    <t>$0.0229</t>
  </si>
  <si>
    <t>total_cost=$0.5952; total_tokens=1566442</t>
  </si>
  <si>
    <t>item_c_four_arm_n119_qa_only_mean_tokens</t>
  </si>
  <si>
    <t>13163</t>
  </si>
  <si>
    <t>item_c_all_n200_full_bundle_accuracy</t>
  </si>
  <si>
    <t>65.7%</t>
  </si>
  <si>
    <t>70</t>
  </si>
  <si>
    <t>graded events (|ret|&gt;2%) in all_n200</t>
  </si>
  <si>
    <t>all_n200</t>
  </si>
  <si>
    <t>46/70; calls=200; mean_tokens=33130</t>
  </si>
  <si>
    <t>item_c_all_n200_full_bundle_cost_per_correct</t>
  </si>
  <si>
    <t>$0.0460</t>
  </si>
  <si>
    <t>46</t>
  </si>
  <si>
    <t>total_cost=$2.1166; total_tokens=6626021</t>
  </si>
  <si>
    <t>item_c_all_n200_full_bundle_mean_tokens</t>
  </si>
  <si>
    <t>33130</t>
  </si>
  <si>
    <t>item_c_all_n200_press_release_accuracy</t>
  </si>
  <si>
    <t>62.5%</t>
  </si>
  <si>
    <t>56</t>
  </si>
  <si>
    <t>35/56; calls=200; mean_tokens=15298</t>
  </si>
  <si>
    <t>item_c_all_n200_press_release_cost_per_correct</t>
  </si>
  <si>
    <t>$0.0290</t>
  </si>
  <si>
    <t>total_cost=$1.0149; total_tokens=3059630</t>
  </si>
  <si>
    <t>item_c_all_n200_press_release_mean_tokens</t>
  </si>
  <si>
    <t>15298</t>
  </si>
  <si>
    <t>item_c_all_n200_prepared_remarks_accuracy</t>
  </si>
  <si>
    <t>item_c_all_n200_prepared_remarks_cost_per_correct</t>
  </si>
  <si>
    <t>item_c_all_n200_prepared_remarks_mean_tokens</t>
  </si>
  <si>
    <t>item_c_all_n200_qa_only_accuracy</t>
  </si>
  <si>
    <t>item_c_all_n200_qa_only_cost_per_correct</t>
  </si>
  <si>
    <t>item_c_all_n200_qa_only_mean_tokens</t>
  </si>
  <si>
    <t>item_c_paired_press_release_vs_full_bundle_strict_(both_graded)</t>
  </si>
  <si>
    <t>0.0</t>
  </si>
  <si>
    <t>fraction diff</t>
  </si>
  <si>
    <t>45</t>
  </si>
  <si>
    <t>four_arm</t>
  </si>
  <si>
    <t>strict (both graded)</t>
  </si>
  <si>
    <t>1.0</t>
  </si>
  <si>
    <t>section_ablation_paired_diffs.csv</t>
  </si>
  <si>
    <t>All 45 events where both arms breach ±2% have identical signals — zero information</t>
  </si>
  <si>
    <t>item_c_paired_press_release_vs_full_bundle_inclusive_(either_graded_ungraded=0.5)</t>
  </si>
  <si>
    <t>-0.0682</t>
  </si>
  <si>
    <t>66</t>
  </si>
  <si>
    <t>inclusive (either graded, ungraded=0.5)</t>
  </si>
  <si>
    <t>-0.1212</t>
  </si>
  <si>
    <t>-0.0152</t>
  </si>
  <si>
    <t>0.0548</t>
  </si>
  <si>
    <t>Full bundle outperforms by 6.8pp when ungraded events scored at 0.5</t>
  </si>
  <si>
    <t>item_c_paired_prepared_remarks_vs_full_bundle_strict_(both_graded)</t>
  </si>
  <si>
    <t>-0.0189</t>
  </si>
  <si>
    <t>-0.0566</t>
  </si>
  <si>
    <t>0.7284</t>
  </si>
  <si>
    <t>item_c_paired_prepared_remarks_vs_full_bundle_inclusive_(either_graded_ungraded=0.5)</t>
  </si>
  <si>
    <t>-0.0403</t>
  </si>
  <si>
    <t>62</t>
  </si>
  <si>
    <t>-0.0887</t>
  </si>
  <si>
    <t>0.0081</t>
  </si>
  <si>
    <t>0.201</t>
  </si>
  <si>
    <t>item_c_paired_qa_only_vs_full_bundle_strict_(both_graded)</t>
  </si>
  <si>
    <t>-0.0233</t>
  </si>
  <si>
    <t>43</t>
  </si>
  <si>
    <t>-0.093</t>
  </si>
  <si>
    <t>0.0465</t>
  </si>
  <si>
    <t>0.7934</t>
  </si>
  <si>
    <t>item_c_paired_qa_only_vs_full_bundle_inclusive_(either_graded_ungraded=0.5)</t>
  </si>
  <si>
    <t>-0.053</t>
  </si>
  <si>
    <t>-0.1288</t>
  </si>
  <si>
    <t>0.0227</t>
  </si>
  <si>
    <t>0.2686</t>
  </si>
  <si>
    <t>frontier_Majority-class_HOLD_accuracy_flat_excluded</t>
  </si>
  <si>
    <t>54.6%</t>
  </si>
  <si>
    <t>119</t>
  </si>
  <si>
    <t>graded events, FLAT-excluded</t>
  </si>
  <si>
    <t>eval split (186 events, 119 graded)</t>
  </si>
  <si>
    <t>0.471</t>
  </si>
  <si>
    <t xml:space="preserve"> 0.622</t>
  </si>
  <si>
    <t>frontier_table.csv</t>
  </si>
  <si>
    <t>Always predicts HOLD; 0 trades. FLAT-excluded: always-DOWN = 65/119.</t>
  </si>
  <si>
    <t>frontier_Majority-class_HOLD_accuracy_flat_wrong</t>
  </si>
  <si>
    <t>36.0%</t>
  </si>
  <si>
    <t>186</t>
  </si>
  <si>
    <t>all eval events, HOLD=wrong</t>
  </si>
  <si>
    <t>eval split (186 events)</t>
  </si>
  <si>
    <t>frontier_Loughran-McDonald_(LM)_accuracy_flat_excluded</t>
  </si>
  <si>
    <t>15.1%</t>
  </si>
  <si>
    <t>0.101</t>
  </si>
  <si>
    <t xml:space="preserve"> 0.210</t>
  </si>
  <si>
    <t>pysentiment2 word-count score, no API cost. FLAT-excluded: 18/119.</t>
  </si>
  <si>
    <t>frontier_Loughran-McDonald_(LM)_accuracy_flat_wrong</t>
  </si>
  <si>
    <t>34.9%</t>
  </si>
  <si>
    <t>frontier_FinBERT_(ProsusAI_finbert)_accuracy_flat_excluded</t>
  </si>
  <si>
    <t>34.4%</t>
  </si>
  <si>
    <t>0.277</t>
  </si>
  <si>
    <t xml:space="preserve"> 0.420</t>
  </si>
  <si>
    <t>512-token chunks, token-weighted avg; local compute only. FLAT-excluded: 41/119.</t>
  </si>
  <si>
    <t>frontier_FinBERT_(ProsusAI_finbert)_accuracy_flat_wrong</t>
  </si>
  <si>
    <t>32.3%</t>
  </si>
  <si>
    <t>frontier_Deployed_model_(DeepSeek_0.55_0.45_micro_macro)_accuracy_flat_excluded</t>
  </si>
  <si>
    <t>42.9%</t>
  </si>
  <si>
    <t>0.353</t>
  </si>
  <si>
    <t xml:space="preserve"> 0.504</t>
  </si>
  <si>
    <t>Structured output with evidence quotes; API cost per document. FLAT-excluded: 51/119.</t>
  </si>
  <si>
    <t>frontier_Deployed_model_(DeepSeek_0.55_0.45_micro_macro)_accuracy_flat_wrong</t>
  </si>
  <si>
    <t>44.1%</t>
  </si>
  <si>
    <t>walkforward_n_windows</t>
  </si>
  <si>
    <t>4</t>
  </si>
  <si>
    <t>item_e_walkforward.json</t>
  </si>
  <si>
    <t>walkforward_degeneracy_finding</t>
  </si>
  <si>
    <t>{'mean_net_degenerate': 3, 'accuracy_degenerate': 2, 'total_windows': 4, 'both_degenerate': True}</t>
  </si>
  <si>
    <t>Both mean-net and accuracy objectives tried; both degenerate</t>
  </si>
  <si>
    <t>walkforward_mean_net_objective_degenerate_windows</t>
  </si>
  <si>
    <t>walk-forward mean_net_objective</t>
  </si>
  <si>
    <t>walkforward_accuracy_objective_degenerate_windows</t>
  </si>
  <si>
    <t>walk-forward accuracy_objective</t>
  </si>
  <si>
    <t>in_sample_deployed_accuracy</t>
  </si>
  <si>
    <t>graded events, deployed thresholds, full N=233</t>
  </si>
  <si>
    <t>62/95; trades=146</t>
  </si>
  <si>
    <t>eval_split_always_down_floor</t>
  </si>
  <si>
    <t>65/119 graded eval events have negative return</t>
  </si>
  <si>
    <t>eval split (latest 80% by release_date, 186 events, 119 graded)</t>
  </si>
  <si>
    <t>eval_split_accuracy</t>
  </si>
  <si>
    <t>68.0%</t>
  </si>
  <si>
    <t>75</t>
  </si>
  <si>
    <t>traded+graded events in eval split</t>
  </si>
  <si>
    <t>eval split, N=186</t>
  </si>
  <si>
    <t>0.013</t>
  </si>
  <si>
    <t>±14.4pp</t>
  </si>
  <si>
    <t>binomial vs always-DOWN floor 54.6%</t>
  </si>
  <si>
    <t>surviving_findings.md</t>
  </si>
  <si>
    <t>51/75; margin +13.4pp; sorted by release_date, latest 80%</t>
  </si>
  <si>
    <t>dev_split_accuracy</t>
  </si>
  <si>
    <t>55.0%</t>
  </si>
  <si>
    <t>20</t>
  </si>
  <si>
    <t>traded+graded events in dev split</t>
  </si>
  <si>
    <t>dev split, N=47 (earliest 20% by release_date)</t>
  </si>
  <si>
    <t>±27.8pp</t>
  </si>
  <si>
    <t>11/20; margin +1.4pp vs floor 53.6% — not significant, underpowered</t>
  </si>
  <si>
    <t>cross_issuer_accuracy</t>
  </si>
  <si>
    <t>63.5%</t>
  </si>
  <si>
    <t>52</t>
  </si>
  <si>
    <t>graded events in 29 post-sweep issuers</t>
  </si>
  <si>
    <t>N=101 post-sweep events, 29 issuers (2 further timing-excluded)</t>
  </si>
  <si>
    <t>0.0627</t>
  </si>
  <si>
    <t>±20.8pp</t>
  </si>
  <si>
    <t>binomial vs always-DOWN floor</t>
  </si>
  <si>
    <t>33/52; floor=51.9%; RECONSTRUCTED subset — sweep membership inferred from issuer order; cross-issuer test only, NOT temporal generalisation; dates overlap with in-sweep events (both span 2023-2026)</t>
  </si>
  <si>
    <t>--- THREE-FIGURE RECONCILIATION (deployed model, same run_id 20260812_183842) ---</t>
  </si>
  <si>
    <t>numerator</t>
  </si>
  <si>
    <t>denominator</t>
  </si>
  <si>
    <t>accuracy_full_n233_coverage</t>
  </si>
  <si>
    <t>N=233 clean universe (all events with |ret|&gt;2%)</t>
  </si>
  <si>
    <t>Coverage: HOLD=wrong. Denominator = all N=233 events where |ret_overnight|&gt;2%</t>
  </si>
  <si>
    <t>ext2_holding_curve.csv / item_e_walkforward.json</t>
  </si>
  <si>
    <t>PRIMARY full-sample figure. Floor: 54.4% (80/147 always-DOWN). Margin: -12.2pp below floor.</t>
  </si>
  <si>
    <t>accuracy_eval_flat_excluded</t>
  </si>
  <si>
    <t>51</t>
  </si>
  <si>
    <t>Eval split (latest 80% of N=233 = 186 events; 119 graded)</t>
  </si>
  <si>
    <t>FLAT-excluded: denominator = 119 graded events in eval split; model HOLD on moved event excluded</t>
  </si>
  <si>
    <t>Subset stability check. Floor: 54.6% (65/119 always-DOWN). Margin: -11.7pp below floor.</t>
  </si>
  <si>
    <t>accuracy_eval_flat_as_wrong</t>
  </si>
  <si>
    <t>82</t>
  </si>
  <si>
    <t>Eval split (latest 80% of N=233 = 186 events)</t>
  </si>
  <si>
    <t>FLAT-as-wrong: denominator = 186 all eval events; model HOLD on moved event = wrong</t>
  </si>
  <si>
    <t>Subset stability check. Floor: 36.0% (67/186 majority-class HOLD baseline).</t>
  </si>
  <si>
    <t>reconciliation_note</t>
  </si>
  <si>
    <t>42.2% &lt; 42.9% &lt; 44.1%. These are NOT contradictory: different event sets (full N=233 vs eval split only) and different conventions (Coverage/FLAT-excluded/FLAT-as-wrong). Primary figure is 42.2% (62/147, full N=233, coverage). Eval-split figures test subset stability.</t>
  </si>
  <si>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</si>
  <si>
    <t>Derived from Time (mins). Do not type here.</t>
  </si>
  <si>
    <t>HELPER KEY | DO NOT EDIT HERE</t>
  </si>
  <si>
    <t>SECTION C — re-priced on the declared basis. Values, not formulas. Nothing to the left of here has been changed.</t>
  </si>
  <si>
    <t>SECTION D - provenance and classification. Phase is looked up from Company_List column G. Source File is blank where no document matched the event both uniquely and strongly enough to cite, and Source Basis says which. Nothing to the left of here was changed.</t>
  </si>
  <si>
    <t>Company</t>
  </si>
  <si>
    <t>Ticker</t>
  </si>
  <si>
    <t>Year</t>
  </si>
  <si>
    <t>Quarter</t>
  </si>
  <si>
    <t>Document</t>
  </si>
  <si>
    <t>Section</t>
  </si>
  <si>
    <t>Rater</t>
  </si>
  <si>
    <t>Type (Human/LLM)</t>
  </si>
  <si>
    <t>Sentiment Score (−1 to +1)</t>
  </si>
  <si>
    <t>Decision (BUY/HOLD/SELL)</t>
  </si>
  <si>
    <t xml:space="preserve">Time (mins)
</t>
  </si>
  <si>
    <t>Document Date</t>
  </si>
  <si>
    <t>Prior Closing Date</t>
  </si>
  <si>
    <t>Prior
Close ($)</t>
  </si>
  <si>
    <t>Next Opening Date</t>
  </si>
  <si>
    <t>Next Day
Open ($)</t>
  </si>
  <si>
    <t>Actual % Change</t>
  </si>
  <si>
    <t>Actual Direction</t>
  </si>
  <si>
    <t>Prediction Correct?</t>
  </si>
  <si>
    <t>Position</t>
  </si>
  <si>
    <t>Net P&amp;L</t>
  </si>
  <si>
    <t>Notes / Risks Flagged</t>
  </si>
  <si>
    <t>Time (sec)</t>
  </si>
  <si>
    <t>Event Key</t>
  </si>
  <si>
    <t>LLM Decision</t>
  </si>
  <si>
    <t>LLM Correct?</t>
  </si>
  <si>
    <t>Helper columns for the Efficiency sheet. Do not type here.</t>
  </si>
  <si>
    <t>Re-priced basis</t>
  </si>
  <si>
    <t>Re-priced listing</t>
  </si>
  <si>
    <t>Re-priced prior close date</t>
  </si>
  <si>
    <t>Re-priced prior close</t>
  </si>
  <si>
    <t>Re-priced next open date</t>
  </si>
  <si>
    <t>Re-priced next open</t>
  </si>
  <si>
    <t>Re-priced % change</t>
  </si>
  <si>
    <t>Re-priced direction</t>
  </si>
  <si>
    <t>Re-priced correct?</t>
  </si>
  <si>
    <t>Re-priced net P&amp;L</t>
  </si>
  <si>
    <t>Phase</t>
  </si>
  <si>
    <t>Source File</t>
  </si>
  <si>
    <t>Source URL</t>
  </si>
  <si>
    <t>Source Basis</t>
  </si>
  <si>
    <t>In LLM Universe</t>
  </si>
  <si>
    <t>First Rater for Event</t>
  </si>
  <si>
    <t>In Window</t>
  </si>
  <si>
    <t>Information Set</t>
  </si>
  <si>
    <t>Net P&amp;L on trades (helper)</t>
  </si>
  <si>
    <t>Net P&amp;L on trades, re-priced (helper)</t>
  </si>
  <si>
    <t>Conviction weight (helper)</t>
  </si>
  <si>
    <t>Conviction-weighted P&amp;L (helper)</t>
  </si>
  <si>
    <t>Conviction weight, re-priced (helper)</t>
  </si>
  <si>
    <t>Event Set</t>
  </si>
  <si>
    <t>Sector</t>
  </si>
  <si>
    <t>Pass</t>
  </si>
  <si>
    <t>Passes Recorded</t>
  </si>
  <si>
    <t>First Reading for Rater-Event</t>
  </si>
  <si>
    <t>Pass 1 Minutes</t>
  </si>
  <si>
    <t>Pass 2 Minutes</t>
  </si>
  <si>
    <t>Pass 1 Score</t>
  </si>
  <si>
    <t>Peeked</t>
  </si>
  <si>
    <t>AI Declared</t>
  </si>
  <si>
    <t>Expectation (written before reading)</t>
  </si>
  <si>
    <t>Rater Record</t>
  </si>
  <si>
    <t>Decisions Agree</t>
  </si>
  <si>
    <t>Peeked - Basis</t>
  </si>
  <si>
    <t>Source Documents Cited</t>
  </si>
  <si>
    <t>Source Publisher</t>
  </si>
  <si>
    <t>Source Licence Class</t>
  </si>
  <si>
    <t>Source Is SEC Periodic Filing</t>
  </si>
  <si>
    <t>Source In Provenance Manifest</t>
  </si>
  <si>
    <t>Document Date - Basis</t>
  </si>
  <si>
    <t>Price Basis Corrected</t>
  </si>
  <si>
    <t>Not Corrected Reason</t>
  </si>
  <si>
    <t>Netflix</t>
  </si>
  <si>
    <t>Q1</t>
  </si>
  <si>
    <t>All</t>
  </si>
  <si>
    <t>Anna</t>
  </si>
  <si>
    <t>Human</t>
  </si>
  <si>
    <t>price signal — only this window shows an abnormal move</t>
  </si>
  <si>
    <t>NFLX</t>
  </si>
  <si>
    <t>2026-04-16</t>
  </si>
  <si>
    <t>2026-04-17</t>
  </si>
  <si>
    <t>DOWN</t>
  </si>
  <si>
    <t>NO</t>
  </si>
  <si>
    <t>Phase 2/Netflix/Netflix-Inc-_Earnings-Call_2026-04-16T00_00_00_English-1.pdf</t>
  </si>
  <si>
    <t>unique filename match</t>
  </si>
  <si>
    <t>FROZEN</t>
  </si>
  <si>
    <t>no</t>
  </si>
  <si>
    <t>assumed - no rater record</t>
  </si>
  <si>
    <t>S&amp;P Global Market Intelligence (Capital IQ)</t>
  </si>
  <si>
    <t>licensed vendor</t>
  </si>
  <si>
    <t>YES</t>
  </si>
  <si>
    <t>Q2</t>
  </si>
  <si>
    <t>2025-07-17</t>
  </si>
  <si>
    <t>2025-07-18</t>
  </si>
  <si>
    <t>Phase 2/Netflix/2025-Q2/NFLX-2025-Q2-press-release-SEC-EX-99-1.htm</t>
  </si>
  <si>
    <t>https://www.sec.gov/Archives/edgar/data/1065280/000106528025000322/ex991_q225.htm</t>
  </si>
  <si>
    <t>manifest</t>
  </si>
  <si>
    <t>not publisher-identified</t>
  </si>
  <si>
    <t>yes</t>
  </si>
  <si>
    <t>Q3</t>
  </si>
  <si>
    <t>release date + stated time in the document (rater worksheet)</t>
  </si>
  <si>
    <t>2025-10-21</t>
  </si>
  <si>
    <t>2025-10-22</t>
  </si>
  <si>
    <t>Phase 2/Netflix/2025-Q3/NFLX-2025-Q3-press-release-SEC-EX-99-1.htm</t>
  </si>
  <si>
    <t>https://www.sec.gov/Archives/edgar/data/1065280/000106528025000404/ex991_q325.htm</t>
  </si>
  <si>
    <t>Q4</t>
  </si>
  <si>
    <t>2026-01-20</t>
  </si>
  <si>
    <t>2026-01-21</t>
  </si>
  <si>
    <t>Phase 2/Netflix/2025-Q4/NFLX-2025-Q4-press-release-SEC-EX-99-1.htm</t>
  </si>
  <si>
    <t>https://www.sec.gov/Archives/edgar/data/1065280/000106528026000033/ex991_q425.htm</t>
  </si>
  <si>
    <t>Meriem</t>
  </si>
  <si>
    <t>Dragos</t>
  </si>
  <si>
    <t>CORRECTION: replaces my existing row currently mislabeled '2025 Q4' (it holds this Q1 data). Clean beat, margin expansion, guide tracking above midpoint; valuation full. Sealed 29 Jun, ±1% band (correct under my sealed band).</t>
  </si>
  <si>
    <t>2025-04-17</t>
  </si>
  <si>
    <t>2025-04-21</t>
  </si>
  <si>
    <t>FLAT</t>
  </si>
  <si>
    <t>Phase 2/Netflix/2025-Q1/NFLX-2025-Q1-press-release-SEC-EX-99-1.htm</t>
  </si>
  <si>
    <t>https://www.sec.gov/Archives/edgar/data/1065280/000106528025000175/ex991_q125.htm</t>
  </si>
  <si>
    <t>Beat-and-raise but raise mostly FX; H2 margin step-down guided; stock priced for perfection. NOTE: my sealed next-day open is 124.20 (-2.53%); sheet's existing Q2 rows show 129.92 - flag to Anna/Ben.</t>
  </si>
  <si>
    <t>attested - the note states the score was sealed</t>
  </si>
  <si>
    <t>Headline EPS miss (Brazil CIDE tax charge), guidance vacuum until January, rich valuation - sold first, reasoned later.</t>
  </si>
  <si>
    <t>Clean beat + $51B 2026 guide, but growth decelerating 16%-&gt;14% and WBD deal overhang; I under-weighted the forward risk.</t>
  </si>
  <si>
    <t>Nvidia</t>
  </si>
  <si>
    <t>NVIDIA fiscal Q4 FY25, released 26 Feb 2025 (calendar label by release date). Beat on every line but margin-trough guide (71%), growth 262%-&gt;65%, tariffs unknown. Opened +2.8% then closed -8.5% - overnight window called it BUY.</t>
  </si>
  <si>
    <t>NVDA</t>
  </si>
  <si>
    <t>2025-02-26</t>
  </si>
  <si>
    <t>2025-02-27</t>
  </si>
  <si>
    <t>UP</t>
  </si>
  <si>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</si>
  <si>
    <t>whole bundle (Document = All)</t>
  </si>
  <si>
    <t>assumed - blind unless stated otherwise; the note names the realised move (query E-a, settled 10 Aug 2026)</t>
  </si>
  <si>
    <t>The Motley Fool</t>
  </si>
  <si>
    <t>free to read, copyright asserted</t>
  </si>
  <si>
    <t>NVIDIA fiscal Q1 FY26, released 28 May 2025. Ugly headline (China/H20 charge) but underlying demand intact; market looked through it.</t>
  </si>
  <si>
    <t>2025-05-28</t>
  </si>
  <si>
    <t>2025-05-29</t>
  </si>
  <si>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</si>
  <si>
    <t>NVIDIA fiscal Q2 FY26, released 27 Aug 2025. Strong records but reaction flat (-0.43%) - correct call was HOLD.</t>
  </si>
  <si>
    <t>2025-08-27</t>
  </si>
  <si>
    <t>2025-08-28</t>
  </si>
  <si>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</si>
  <si>
    <t>NVIDIA fiscal Q3 FY26, released 19 Nov 2025. Strongest print of the four; +5.1% overnight.</t>
  </si>
  <si>
    <t>2025-11-19</t>
  </si>
  <si>
    <t>2025-11-20</t>
  </si>
  <si>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</si>
  <si>
    <t>Boeing</t>
  </si>
  <si>
    <t>Nigel</t>
  </si>
  <si>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</si>
  <si>
    <t>price signal</t>
  </si>
  <si>
    <t>BA</t>
  </si>
  <si>
    <t>2025-04-22</t>
  </si>
  <si>
    <t>2025-04-23</t>
  </si>
  <si>
    <t>Phase 2/Boeing/Q1/Transcript-Q1-2025-Earnings-Call.pdf</t>
  </si>
  <si>
    <t>FactSet CallStreet</t>
  </si>
  <si>
    <t>Demand growing and finances healthier with stronger revenues; production plan improving as intended; contract wins in defence and space; tariff worries easing and geopolitical risk stabilising; 737 deliveries below last year but in line with the action plan. Improving tone.</t>
  </si>
  <si>
    <t>2025-07-28</t>
  </si>
  <si>
    <t>2025-07-29</t>
  </si>
  <si>
    <t>Phase 2/Boeing/2025-Q2/BA-2025-Q2-press-release-SEC-EX-99-1.htm</t>
  </si>
  <si>
    <t>https://www.sec.gov/Archives/edgar/data/12927/000001292725000058/a202506jun308kprex991.htm</t>
  </si>
  <si>
    <t>Good progress on the 737 programme though 777X production delayed; US Space Force contract secured; KPIs being met and demand still strong; finances healthier; supply chain still tough but stable. Steady tone.</t>
  </si>
  <si>
    <t>release time published by the issuer</t>
  </si>
  <si>
    <t>2025-10-28</t>
  </si>
  <si>
    <t>2025-10-29</t>
  </si>
  <si>
    <t>Phase 2/Boeing/2025-Q3/BA-2025-Q3-press-release-SEC-EX-99-1.htm</t>
  </si>
  <si>
    <t>https://www.sec.gov/Archives/edgar/data/12927/000162828025046915/a202509sep308kprex991.htm</t>
  </si>
  <si>
    <t>Highest order totals and good progress on delivery plans; leaner production and supply chain; KPIs being met; further defence deals secured; Jeppesen sale completed; finances healthy. Confident tone.</t>
  </si>
  <si>
    <t>recorded price identified against every pulled series</t>
  </si>
  <si>
    <t>2026-01-26</t>
  </si>
  <si>
    <t>2026-01-27</t>
  </si>
  <si>
    <t>Phase 2/Boeing/2025-Q4/BA-2025-Q4-press-release-SEC-EX-99-1.htm</t>
  </si>
  <si>
    <t>https://www.sec.gov/Archives/edgar/data/12927/000162828026003518/a202512dec318kprex991.htm</t>
  </si>
  <si>
    <t>Disney</t>
  </si>
  <si>
    <t>release date + stated time</t>
  </si>
  <si>
    <t>DIS</t>
  </si>
  <si>
    <t>2025-02-04</t>
  </si>
  <si>
    <t>2025-02-05</t>
  </si>
  <si>
    <t>Phase 2/Disney/q1-fy25-earnings-transcriptpdf.pdf</t>
  </si>
  <si>
    <t>2025-08-05</t>
  </si>
  <si>
    <t>2025-08-06</t>
  </si>
  <si>
    <t>Phase 2/Disney/q3-fy25-earnings-transcript.pdf</t>
  </si>
  <si>
    <t>2025-11-12</t>
  </si>
  <si>
    <t>2025-11-13</t>
  </si>
  <si>
    <t>Phase 2/Disney/q4-fy25-earnings-transcript.pdf</t>
  </si>
  <si>
    <t>Transcript</t>
  </si>
  <si>
    <t>David</t>
  </si>
  <si>
    <t>filled 11 Aug 2026 from the corpus manifest: the company-quarter holds exactly one document and the manifest carries its release date</t>
  </si>
  <si>
    <t>2025-01-21</t>
  </si>
  <si>
    <t>2025-01-22</t>
  </si>
  <si>
    <t>Phase 2/Netflix/2024-Q4/NFLX-2024-Q4-press-release-SEC-EX-99-1.htm</t>
  </si>
  <si>
    <t>https://www.sec.gov/Archives/edgar/data/1065280/000106528025000033/ex991_q424.htm</t>
  </si>
  <si>
    <t>Amazon</t>
  </si>
  <si>
    <t>AMZN</t>
  </si>
  <si>
    <t>2026-04-29</t>
  </si>
  <si>
    <t>2026-04-30</t>
  </si>
  <si>
    <t>Phase 2/Amazon/2026-Q1/AMZN-2026-Q1-press-release-SEC-EX-99-1.htm</t>
  </si>
  <si>
    <t>https://www.sec.gov/Archives/edgar/data/1018724/000101872426000012/amzn-20260331xex991.htm</t>
  </si>
  <si>
    <t>2025-10-30</t>
  </si>
  <si>
    <t>2025-10-31</t>
  </si>
  <si>
    <t>Phase 2/Amazon/2025-Q3/AMZN-2025-Q3-press-release-SEC-EX-99-1.htm</t>
  </si>
  <si>
    <t>https://www.sec.gov/Archives/edgar/data/1018724/000101872425000121/amzn-20250930xex991.htm</t>
  </si>
  <si>
    <t>2026-02-05</t>
  </si>
  <si>
    <t>2026-02-06</t>
  </si>
  <si>
    <t>Phase 2/Amazon/2025-Q4/AMZN-2025-Q4-press-release-SEC-EX-99-1.htm</t>
  </si>
  <si>
    <t>https://www.sec.gov/Archives/edgar/data/1018724/000101872426000002/amzn-20251231xex991.htm</t>
  </si>
  <si>
    <t>McDonald's</t>
  </si>
  <si>
    <t>sales went down; revenue asw; EPS diluted down; net income and Current +total assets down; long term debt up. No guidance</t>
  </si>
  <si>
    <t>MCD</t>
  </si>
  <si>
    <t>2025-02-07</t>
  </si>
  <si>
    <t>2025-02-10</t>
  </si>
  <si>
    <t>Phase 2/McDonald's/Q4 2024-numbers.pdf; Phase 2/McDonald's/Q4 2024 Earnings Call Transcript.pdf</t>
  </si>
  <si>
    <t>good numbers but guidance isn’t great and tone is not as optimistic as needed but still good</t>
  </si>
  <si>
    <t>EDGAR acceptance timestamp on the Item 2.02 8-K</t>
  </si>
  <si>
    <t>2026-02-11</t>
  </si>
  <si>
    <t>2026-02-12</t>
  </si>
  <si>
    <t>Phase 2/McDonald's/Q4 2025 Earnings Call Transcript.pdf; Phase 2/McDonald's/Q4 2025 - numbers.pdf</t>
  </si>
  <si>
    <t>slight increase in sales and revenue and EPS but challenging environment so unsure about future. too many concerns</t>
  </si>
  <si>
    <t>2026-05-06</t>
  </si>
  <si>
    <t>2026-05-07</t>
  </si>
  <si>
    <t>Phase 2/McDonald's/Q1 2026- numbers.pdf; Phase 2/McDonald's/Q1 2026 Earnings Transcript.pdf</t>
  </si>
  <si>
    <t>Apple</t>
  </si>
  <si>
    <t>tariffs costs; revenue and EPS are up but gross profit margin is down and expenses up. selling bcs tariffs</t>
  </si>
  <si>
    <t>price signal — both moved; this one dominates</t>
  </si>
  <si>
    <t>AAPL</t>
  </si>
  <si>
    <t>2025-07-31</t>
  </si>
  <si>
    <t>2025-08-01</t>
  </si>
  <si>
    <t>Phase 2/Apple/Q3 2025 Earnings Call Transcript.pdf; Phase 2/Apple/FY25_Q3_Consolidated_Financial_Statements.pdf</t>
  </si>
  <si>
    <t>revenue up; guidance is good and seems more certain than previous quarter. numbers look better</t>
  </si>
  <si>
    <t>earnings calendar, seconded independently (section C)</t>
  </si>
  <si>
    <t>Phase 2/Apple/Q4 2025 Earnings Call Transcript.pdf; Phase 2/Apple/FY25_Q4_Consolidated_Financial_Statements.pdf</t>
  </si>
  <si>
    <t>revenue is up; numbers are great (better than two previous quarters)</t>
  </si>
  <si>
    <t>2026-01-29</t>
  </si>
  <si>
    <t>2026-01-30</t>
  </si>
  <si>
    <t>Phase 2/Apple/Q1 2026 Earnings Call Transcript.pdf; Phase 2/Apple/FY26_Q1_Consolidated_Financial_Statements.pdf</t>
  </si>
  <si>
    <t>Coca-Cola</t>
  </si>
  <si>
    <t>adverse weather conditions not great so recovery might not be good right now; growth expanded but Asia’s volume is down. so hold</t>
  </si>
  <si>
    <t>KO</t>
  </si>
  <si>
    <t>2025-07-21</t>
  </si>
  <si>
    <t>2025-07-22</t>
  </si>
  <si>
    <t>Phase 2/Coca-Cola/Q2 2025 Earnings Call Transcript.pdf</t>
  </si>
  <si>
    <t>leadership transition so added risk; Asia’s volume and revenue still down and uncertainty so sell.</t>
  </si>
  <si>
    <t>2026-02-09</t>
  </si>
  <si>
    <t>2026-02-10</t>
  </si>
  <si>
    <t>Phase 2/Coca-Cola/Q4 2025 Earnings Call Transcript.pdf</t>
  </si>
  <si>
    <t>Asia’s volume and revenue finally up; revenue up as well and EPS up 18%; optimistic tone so buy</t>
  </si>
  <si>
    <t>2026-04-27</t>
  </si>
  <si>
    <t>2026-04-28</t>
  </si>
  <si>
    <t>Phase 2/Coca-Cola/Q1 2026 Earnings Transcript.pdf</t>
  </si>
  <si>
    <t>Bank of America</t>
  </si>
  <si>
    <t>Abdul</t>
  </si>
  <si>
    <t>BAC</t>
  </si>
  <si>
    <t>2025-04-14</t>
  </si>
  <si>
    <t>2025-04-15</t>
  </si>
  <si>
    <t>Phase 2/bank of america/2025-Q1/BAC-2025-Q1-earnings-call-transcript-roic-ai.html</t>
  </si>
  <si>
    <t>roic.ai API /v2/company/earnings-calls/transcript/BAC?year=2025&amp;quarter=1</t>
  </si>
  <si>
    <t>2025-07-14</t>
  </si>
  <si>
    <t>2025-07-15</t>
  </si>
  <si>
    <t>Phase 2/bank of america/2025-Q2/BAC-2025-Q2-earnings-call-transcript-news-alphastreet-com.html</t>
  </si>
  <si>
    <t>https://news.alphastreet.com/bank-of-america-corporation-bac-q2-2025-earnings-call-transcript/</t>
  </si>
  <si>
    <t>2025-10-14</t>
  </si>
  <si>
    <t>2025-10-15</t>
  </si>
  <si>
    <t>Phase 2/bank of america/2025-Q3/BAC-2025-Q3-earnings-call-transcript-news-alphastreet-com.html</t>
  </si>
  <si>
    <t>https://news.alphastreet.com/bank-of-america-corporation-bac-q3-2025-earnings-call-transcript/</t>
  </si>
  <si>
    <t>2026-01-13</t>
  </si>
  <si>
    <t>2026-01-14</t>
  </si>
  <si>
    <t>Phase 2/bank of america/2025-Q4/BAC-2025-Q4-earnings-call-transcript-news-alphastreet-com.html</t>
  </si>
  <si>
    <t>https://news.alphastreet.com/bank-of-america-corporation-bac-q4-2025-earnings-call-transcript/</t>
  </si>
  <si>
    <t>AMD</t>
  </si>
  <si>
    <t>2026-05-05</t>
  </si>
  <si>
    <t>Phase 2/AMD/2026-Q1/AMD-2026-Q1-press-release-SEC-EX-99-1.htm</t>
  </si>
  <si>
    <t>https://www.sec.gov/Archives/edgar/data/2488/000000248826000072/q12026991.htm</t>
  </si>
  <si>
    <t>Phase 2/AMD/2025-Q2/AMD-2025-Q2-press-release-SEC-EX-99-1.htm</t>
  </si>
  <si>
    <t>https://www.sec.gov/Archives/edgar/data/2488/000000248825000106/q22025991.htm</t>
  </si>
  <si>
    <t>2026-02-03</t>
  </si>
  <si>
    <t>2026-02-04</t>
  </si>
  <si>
    <t>Phase 2/AMD/2025-Q4/AMD-2025-Q4-press-release-SEC-EX-99-1.htm</t>
  </si>
  <si>
    <t>https://www.sec.gov/Archives/edgar/data/2488/000000248826000014/q42025991.htm</t>
  </si>
  <si>
    <t>Airbnb</t>
  </si>
  <si>
    <t>ABNB</t>
  </si>
  <si>
    <t>2025-08-07</t>
  </si>
  <si>
    <t>Phase 2/Airbnb/Airbnb-Q2-25-Earnings-Call-Transcript.pdf</t>
  </si>
  <si>
    <t>2025-11-06</t>
  </si>
  <si>
    <t>2025-11-07</t>
  </si>
  <si>
    <t>Phase 2/Airbnb/Airbnb-Q3-2025-Earnings-Call-6-November-2025-5_00-PM-ET.pdf</t>
  </si>
  <si>
    <t>JPMorgan</t>
  </si>
  <si>
    <t>document date + price signal</t>
  </si>
  <si>
    <t>JPM</t>
  </si>
  <si>
    <t>2025-03-31</t>
  </si>
  <si>
    <t>2025-04-01</t>
  </si>
  <si>
    <t>Phase 2/JPMC Documents/2025-Q1/JPM-2025-Q1-press-release-SEC-EX-99-1.htm; Phase 2/JPMC Documents/2025-Q1/JPM-2025-Q1-earnings-call-transcript-jpmorganchase-com.pdf</t>
  </si>
  <si>
    <t>https://www.jpmorganchase.com/content/dam/jpmc/jpmorgan-chase-and-co/investor-relations/documents/quarterly-earnings/2025/1st-quarter/1q25-earnings-transcript.pdf; https://www.sec.gov/Archives/edgar/data/19617/000001961725000332/a1q25erfexhibit991narrative.htm</t>
  </si>
  <si>
    <t>manifest (whole bundle)</t>
  </si>
  <si>
    <t>Phase 2/JPMC Documents/Q2/corp-q2-2025.pdf</t>
  </si>
  <si>
    <t>sole source</t>
  </si>
  <si>
    <t>2025-10-13</t>
  </si>
  <si>
    <t>Phase 2/JPMC Documents/2025-Q3/JPM-2025-Q3-press-release-SEC-EX-99-1.htm; Phase 2/JPMC Documents/2025-Q3/JPM-2025-Q3-earnings-call-transcript-jpmorganchase-com.pdf</t>
  </si>
  <si>
    <t>https://www.jpmorganchase.com/content/dam/jpmc/jpmorgan-chase-and-co/investor-relations/documents/quarterly-earnings/2025/3rd-quarter/jpm-3q25-earnings-call-transcript.pdf; https://www.sec.gov/Archives/edgar/data/19617/000162828025044845/a3q25erfexhibit991narrative.htm</t>
  </si>
  <si>
    <t>2026-01-12</t>
  </si>
  <si>
    <t>Phase 2/JPMC Documents/Q4/corp-10k-2025.pdf</t>
  </si>
  <si>
    <t>Phase 2/JPMC Documents/2025-Q1/JPM-2025-Q1-earnings-call-transcript-jpmorganchase-com.pdf</t>
  </si>
  <si>
    <t>https://www.jpmorganchase.com/content/dam/jpmc/jpmorgan-chase-and-co/investor-relations/documents/quarterly-earnings/2025/1st-quarter/1q25-earnings-transcript.pdf</t>
  </si>
  <si>
    <t>Phase 2/JPMC Documents/2025-Q3/JPM-2025-Q3-earnings-call-transcript-jpmorganchase-com.pdf</t>
  </si>
  <si>
    <t>https://www.jpmorganchase.com/content/dam/jpmc/jpmorgan-chase-and-co/investor-relations/documents/quarterly-earnings/2025/3rd-quarter/jpm-3q25-earnings-call-transcript.pdf</t>
  </si>
  <si>
    <t>2026-04-13</t>
  </si>
  <si>
    <t>2026-04-14</t>
  </si>
  <si>
    <t>Phase 2/JPMC Documents/2026-Q1/JPM-2026-Q1-earnings-call-transcript-jpmorganchase-com.pdf</t>
  </si>
  <si>
    <t>https://www.jpmorganchase.com/content/dam/jpmc/jpmorgan-chase-and-co/investor-relations/documents/quarterly-earnings/2026/1st-quarter/1q26-earnings-transcript.pdf</t>
  </si>
  <si>
    <t>IBM</t>
  </si>
  <si>
    <t>revenue up 8% you; profit is up and G profit margin + EPS asw. numbers look great and tone is optimistic</t>
  </si>
  <si>
    <t>2025-07-23</t>
  </si>
  <si>
    <t>2025-07-24</t>
  </si>
  <si>
    <t>Phase 2/IBM/Q2 2025 Earnings Call Transcript.pdf; Phase 2/IBM/Q2 2025 - numbers.pdf</t>
  </si>
  <si>
    <t>same as Q2; numbers look great; tone is optimistic and growth is seen and expected; good guidance so buy</t>
  </si>
  <si>
    <t>2026-01-28</t>
  </si>
  <si>
    <t>Phase 2/IBM/Q4 2025 Earnings Call Transcript.pdf; Phase 2/IBM/Q4 2025 - numbers.pdf</t>
  </si>
  <si>
    <t>numbers are great but Middle East worries even though didnt affect Q1 as we saw higher growth in the ME than in decades so uncertainty but some confidence so hold</t>
  </si>
  <si>
    <t>2026-04-22</t>
  </si>
  <si>
    <t>2026-04-23</t>
  </si>
  <si>
    <t>Phase 2/IBM/Q1 2026 Earnings Call Transcript.pdf; Phase 2/IBM/Q1 2026 0 numbers.pdf</t>
  </si>
  <si>
    <t>Target</t>
  </si>
  <si>
    <t>TGT</t>
  </si>
  <si>
    <t>2025-08-19</t>
  </si>
  <si>
    <t>2025-08-20</t>
  </si>
  <si>
    <t>Phase 2/Target/2025-Q2/TGT-2025-Q2-earnings-call-transcript-corporate-target-com.pdf</t>
  </si>
  <si>
    <t>https://corporate.target.com/getmedia/c5751599-850d-4bb0-b599-d8ac55a91156/2025-august-20-tgt-transcript.pdf</t>
  </si>
  <si>
    <t>Refinitiv / LSEG StreetEvents</t>
  </si>
  <si>
    <t>2025-05-20</t>
  </si>
  <si>
    <t>2025-05-21</t>
  </si>
  <si>
    <t>Phase 2/Target/2025-Q1/TGT-2025-Q1-earnings-call-transcript-corporate-target-com.pdf</t>
  </si>
  <si>
    <t>https://corporate.target.com/getmedia/9c383747-166d-4310-b91f-cd77b7d06433/2025-May-21-TGT-Transcript.pdf%C2%A0%C2%A0</t>
  </si>
  <si>
    <t>2025-11-18</t>
  </si>
  <si>
    <t>Phase 2/Target/2025-Q3/TGT-2025-Q3-earnings-call-transcript-corporate-target-com.pdf</t>
  </si>
  <si>
    <t>https://corporate.target.com/getmedia/1b701222-ff3c-4f65-b4b7-d0de5511f9a4/TGT-Transcript-2025-11-19.pdf</t>
  </si>
  <si>
    <t>2026-05-19</t>
  </si>
  <si>
    <t>2026-05-20</t>
  </si>
  <si>
    <t>Phase 2/Target/2026-Q1/TGT-2026-Q1-earnings-call-transcript-fool-com.html</t>
  </si>
  <si>
    <t>https://www.fool.com/earnings/call-transcripts/2026/05/20/target-tgt-q1-2026-earnings-call-transcript/</t>
  </si>
  <si>
    <t>Nike</t>
  </si>
  <si>
    <t>new CEO; said bouncing back takes time; revenue down 10% and diluted EPS down 26%; no outlook for next quarter or year</t>
  </si>
  <si>
    <t>NKE</t>
  </si>
  <si>
    <t>2024-10-01</t>
  </si>
  <si>
    <t>2024-10-02</t>
  </si>
  <si>
    <t>Phase 2/Nike/Q1 2025 Earnings Call Transcript.pdf; Phase 2/Nike/Q1 2025 - numbers.pdf</t>
  </si>
  <si>
    <t>still with new CEO so lots of changes being implemented and some chaos; revenue still down but slightly getting better hence the less aggressive sentiment score</t>
  </si>
  <si>
    <t>earnings calendar, seconded independently</t>
  </si>
  <si>
    <t>2024-12-19</t>
  </si>
  <si>
    <t>2024-12-20</t>
  </si>
  <si>
    <t>Phase 2/Nike/Q2 2025 Earnings Call Transcript.pdf; Phase 2/Nike/Q2 2025 - numbers.pdf</t>
  </si>
  <si>
    <t>numbers are not looking good at all; CEO said not satisfied with the results so very cautious and non optimistic tone</t>
  </si>
  <si>
    <t>2025-03-20</t>
  </si>
  <si>
    <t>2025-03-21</t>
  </si>
  <si>
    <t>Phase 2/Nike/Q3 2025 Earnings Call Transcript.pdf; Phase 2/Nike/Q3 2025 - numbers.pdf</t>
  </si>
  <si>
    <t>Lululemon</t>
  </si>
  <si>
    <t xml:space="preserve"> tariffs; numbers are down in Americas; CEO changing so expected uncertainty</t>
  </si>
  <si>
    <t>LULU</t>
  </si>
  <si>
    <t>2025-12-11</t>
  </si>
  <si>
    <t>2025-12-12</t>
  </si>
  <si>
    <t>Phase 2/Lululemon/Q3 2025 Earnings Call Transcript.pdf</t>
  </si>
  <si>
    <t>numbers are still down and guidance for next year is that gross margin is expected to go down</t>
  </si>
  <si>
    <t>2026-03-17</t>
  </si>
  <si>
    <t>2026-03-18</t>
  </si>
  <si>
    <t>Phase 2/Lululemon/Q4 2025 Earnings Call Transcript.pdf</t>
  </si>
  <si>
    <t>very cautious and non optimistic language; new CEO; anticipated decline</t>
  </si>
  <si>
    <t>2026-06-04</t>
  </si>
  <si>
    <t>2026-06-05</t>
  </si>
  <si>
    <t>Phase 2/Lululemon/Q1 2026 Earnings Transcript.pdf</t>
  </si>
  <si>
    <t>very optimistic language and substantial growth despite issues in the middle east potentially impacting travel</t>
  </si>
  <si>
    <t>2026-05-08</t>
  </si>
  <si>
    <t>Phase 2/Airbnb/2026-Q1/ABNB-2026-Q1-press-release-SEC-EX-99-1.htm</t>
  </si>
  <si>
    <t>https://www.sec.gov/Archives/edgar/data/1559720/000119312526211816/d23351dex991.htm</t>
  </si>
  <si>
    <t>Lowe's</t>
  </si>
  <si>
    <t>numbers were down, but it was expected based on seasonal shopping</t>
  </si>
  <si>
    <t>release date + stated time in the document (document)</t>
  </si>
  <si>
    <t>LOW</t>
  </si>
  <si>
    <t>Phase 2/Lowe's/low-usq-transcript-2026-05-20-1.pdf</t>
  </si>
  <si>
    <t>Walmart</t>
  </si>
  <si>
    <t>WMT</t>
  </si>
  <si>
    <t>2025-05-14</t>
  </si>
  <si>
    <t>2025-05-15</t>
  </si>
  <si>
    <t>Phase 2/Walmart/Q1 2025/q1-fy26-earnings-call-transcript.pdf</t>
  </si>
  <si>
    <t>2025-08-21</t>
  </si>
  <si>
    <t>Phase 2/Walmart/Q2 2025/q2-fy26-earnings-call-transcript.pdf</t>
  </si>
  <si>
    <t>Phase 2/Walmart/Q3 2025/q3-fy26-earnings-call-transcript.pdf</t>
  </si>
  <si>
    <t>2026-02-18</t>
  </si>
  <si>
    <t>2026-02-19</t>
  </si>
  <si>
    <t>Phase 2/Walmart/Q4 2025/q4-fy26-earnings-call-transcript.pdf</t>
  </si>
  <si>
    <t>2026-05-21</t>
  </si>
  <si>
    <t>Phase 2/Walmart/Q1 2026/q1-fy27-earnings-call-transcript.pdf</t>
  </si>
  <si>
    <t>Citigroup</t>
  </si>
  <si>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</si>
  <si>
    <t>earnings calendar, seconded by the issuer's habit</t>
  </si>
  <si>
    <t>C</t>
  </si>
  <si>
    <t>Phase 2/Citigroup/Q1/2025psqtr1rslt.pdf; Phase 2/Citigroup/Q1/2025prqtr1rslt.pdf; Phase 2/Citigroup/Q1/2025fsqtr1rslt.pdf</t>
  </si>
  <si>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</si>
  <si>
    <t>Phase 2/Citigroup/Q2/2025psqtr2rslt.pdf; Phase 2/Citigroup/Q2/2025prqtr2rslt.pdf; Phase 2/Citigroup/Q2/2025fsqtr2rslt.pdf</t>
  </si>
  <si>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</si>
  <si>
    <t>Phase 2/Citigroup/Q3/2025psqtr3rslt.pdf; Phase 2/Citigroup/Q3/2025psqtr3-transcript.pdf; Phase 2/Citigroup/Q3/2025prqtr3rslt.pdf; Phase 2/Citigroup/Q3/2025fsqtr3rslt.pdf</t>
  </si>
  <si>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</si>
  <si>
    <t>Phase 2/Citigroup/Q4/2025psqtr4rslt.pdf; Phase 2/Citigroup/Q4/2025psqtr4-transcript.pdf; Phase 2/Citigroup/Q4/2025prqtr4rslt.pdf; Phase 2/Citigroup/Q4/2025fsqtr4rslt.pdf</t>
  </si>
  <si>
    <t>Maersk</t>
  </si>
  <si>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</si>
  <si>
    <t>repriced on the issuer's primary listing</t>
  </si>
  <si>
    <t>AMKBY</t>
  </si>
  <si>
    <t>2025-02-06</t>
  </si>
  <si>
    <t>Phase 2/Maersk/Q1/Q1 2025 AP Moeller - Maersk A:S Earnings Call Transcript.pdf; Phase 2/Maersk/Q1/Maersk Q1 2025 Investor Presentation.pdf; Phase 2/Maersk/Q1/Maersk Q1 2025 Interim Report.pdf</t>
  </si>
  <si>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</si>
  <si>
    <t>MAERSK-B.CO</t>
  </si>
  <si>
    <t>Phase 2/Maersk/Q2/Q2 2025 AP Moeller - Maersk A:S Earnings Call Transcript.pdf; Phase 2/Maersk/Q2/Maersk Q2 2025 Investor Presentation.pdf; Phase 2/Maersk/Q2/Maersk Q2 2025 Interim Report.pdf</t>
  </si>
  <si>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</si>
  <si>
    <t>2025-11-05</t>
  </si>
  <si>
    <t>Phase 2/Maersk/Q3/Q3 2025 AP Moeller - Maersk A:S Earnings Call Transcript.pdf; Phase 2/Maersk/Q3/Maersk Q3 2025 Investor Presentation.pdf; Phase 2/Maersk/Q3/Maersk Q3 2025 Interim Report.pdf</t>
  </si>
  <si>
    <t>Full-year revenue down on 2024 and container trade demand down; all annual targets missed except Terminals; resilience through a volatile year; outlook still heavily dependent on unresolved geopolitical and macro conditions. Cautious tone.</t>
  </si>
  <si>
    <t>Phase 2/Maersk/Q4/maersk_annual_report_2025_press_release.pdf; Phase 2/Maersk/Q4/apmm-ar-2025-70-final-no-tags.pdf; Phase 2/Maersk/Q4/Q4 2025 AP Moeller - Maersk A:S Earnings Call Transcript.pdf</t>
  </si>
  <si>
    <t>Goldman Sachs</t>
  </si>
  <si>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</si>
  <si>
    <t>GS</t>
  </si>
  <si>
    <t>2025-04-11</t>
  </si>
  <si>
    <t>Phase 2/Goldman Sachs/Q1 2025/GS-Q1-2025-presentation-SEC-EX99-2.htm; Phase 2/Goldman Sachs/Q1 2025/GS-Q1-2025-press-release-SEC-EX99-1.htm; Phase 2/Goldman Sachs/Q1 2025/GS-Q1-2025-earnings-call-transcript-InsiderMonkey.html</t>
  </si>
  <si>
    <t>https://www.insidermonkey.com/blog/the-goldman-sachs-group-inc-nysegs-q1-2025-earnings-call-transcript-1508363/; https://www.sec.gov/Archives/edgar/data/886982/000119312525079625/d750054dex991.htm; https://www.sec.gov/Archives/edgar/data/886982/000119312525079625/d750054dex992.htm</t>
  </si>
  <si>
    <t>Insider Monkey (Koala Guide LLC)</t>
  </si>
  <si>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</si>
  <si>
    <t>2025-07-16</t>
  </si>
  <si>
    <t>Phase 2/Goldman Sachs/Q2 2025/GS-Q2-2025-presentation-SEC-EX99-2.htm; Phase 2/Goldman Sachs/Q2 2025/GS-Q2-2025-press-release-SEC-EX99-1.htm; Phase 2/Goldman Sachs/Q2 2025/GS-Q2-2025-earnings-call-transcript-MotleyFool.html</t>
  </si>
  <si>
    <t>https://www.fool.com/earnings/call-transcripts/2025/07/16/goldman-sachs-gs-q2-2025-earnings-call-transcript/; https://www.sec.gov/Archives/edgar/data/886982/000119312525159560/d41877dex991.htm; https://www.sec.gov/Archives/edgar/data/886982/000119312525159560/d41877dex992.htm</t>
  </si>
  <si>
    <t>Very strong: EPS +46% yoy, revs +20%, IB fees +42% on M&amp;A boom, all segments up, sponsor pipeline +40%. But backlog flat qoq, buyback slowed to $2B (avg cost $718 shows huge run-up into print), CEO warned of investor exuberance/AI cycle. Strength well telegraphed after two blowout qtrs - high bar.</t>
  </si>
  <si>
    <t>Phase 2/Goldman Sachs/Q3 2025/GS-Q3-2025-presentation-SEC-EX99-2.htm; Phase 2/Goldman Sachs/Q3 2025/GS-Q3-2025-press-release-SEC-EX99-1.htm; Phase 2/Goldman Sachs/Q3 2025/GS-Q3-2025-earnings-call-transcript-InsiderMonkey.html</t>
  </si>
  <si>
    <t>https://www.insidermonkey.com/blog/the-goldman-sachs-group-inc-nysegs-q3-2025-earnings-call-transcript-1628253/; https://www.sec.gov/Archives/edgar/data/886982/000119312525238058/d899312dex991.htm; https://www.sec.gov/Archives/edgar/data/886982/000119312525238058/d899312dex992.htm</t>
  </si>
  <si>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</si>
  <si>
    <t>2026-01-15</t>
  </si>
  <si>
    <t>Phase 2/Goldman Sachs/Q4 2025/GS-Q4-2025-presentation-SEC-EX99-2.htm; Phase 2/Goldman Sachs/Q4 2025/GS-Q4-2025-press-release-SEC-EX99-1.htm; Phase 2/Goldman Sachs/Q4 2025/GS-Q4-2025-earnings-call-transcript-MotleyFool.html</t>
  </si>
  <si>
    <t>https://www.fool.com/earnings/call-transcripts/2026/01/15/goldman-sachs-gs-q4-2025-earnings-transcript/; https://www.sec.gov/Archives/edgar/data/886982/000088698226000008/a4q25gsearningsresults.htm; https://www.sec.gov/Archives/edgar/data/886982/000088698226000008/a4q25gsearningsresultspr.htm</t>
  </si>
  <si>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</si>
  <si>
    <t>2026-04-10</t>
  </si>
  <si>
    <t>Phase 2/Goldman Sachs/Q1 2026/GS-Q1-2026-presentation-SEC-EX99-2.htm; Phase 2/Goldman Sachs/Q1 2026/GS-Q1-2026-press-release-SEC-EX99-1.htm; Phase 2/Goldman Sachs/Q1 2026/GS-Q1-2026-earnings-call-transcript-MotleyFool.html</t>
  </si>
  <si>
    <t>https://www.fool.com/earnings/call-transcripts/2026/04/13/goldman-sachs-gs-q1-2026-earnings-transcript/; https://www.sec.gov/Archives/edgar/data/886982/000088698226000096/a1q26gsearningsresults.htm; https://www.sec.gov/Archives/edgar/data/886982/000088698226000096/a1q26gsearningsresultspr.htm</t>
  </si>
  <si>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</si>
  <si>
    <t>2026-07-13</t>
  </si>
  <si>
    <t>2026-07-14</t>
  </si>
  <si>
    <t>Phase 2/Goldman Sachs/Q2 2026/GS-Q2-2026-presentation-SEC-EX99-2.htm; Phase 2/Goldman Sachs/Q2 2026/GS-Q2-2026-press-release-SEC-EX99-1.htm; Phase 2/Goldman Sachs/Q2 2026/GS-Q2-2026-earnings-call-transcript-AlphaStreet.html</t>
  </si>
  <si>
    <t>https://news.alphastreet.com/goldman-sachs-group-inc-gs-q2-2026-earnings-call-transcript/; https://www.sec.gov/Archives/edgar/data/886982/000088698226000294/a2q26gsearningsresults.htm; https://www.sec.gov/Archives/edgar/data/886982/000088698226000294/a2q26gsearningsresultspr.htm</t>
  </si>
  <si>
    <t>Charles Schwab</t>
  </si>
  <si>
    <t>Record revenue +18%, adj EPS $1.04 +41%, NNA $137.7B +44%, div +8%, $1.5B buyback; tracking upper end of FY EPS scenario amid April tariff volatility with record trading. Risk: rate-cut path could trim 4Q NIM; macro fear tape means market braced for worse, beat should pop.</t>
  </si>
  <si>
    <t>SCHW</t>
  </si>
  <si>
    <t>2025-04-16</t>
  </si>
  <si>
    <t>Phase 2/Charles Schwab/Q1 2025/SCHW-Q1-2025-press-release-SEC-EX99-1.htm; Phase 2/Charles Schwab/Q1 2025/SCHW-Q1-2025-earnings-call-transcript-InsiderMonkey.html</t>
  </si>
  <si>
    <t>https://www.insidermonkey.com/blog/the-charles-schwab-corporation-nyseschw-q1-2025-earnings-call-transcript-1511418/; https://www.sec.gov/Archives/edgar/data/316709/000031670925000019/a1q25exhibit991.htm</t>
  </si>
  <si>
    <t>Blowout: record rev +25%, adj EPS $1.14 +56%, margin &gt;50%, NNA +31%; FY EPS scenario raised to $4.55-4.65 from $4.10-4.20, NIM guide up. Risk: trading-driven strength partly known; buyback modest at $350M.</t>
  </si>
  <si>
    <t>Phase 2/Charles Schwab/Q2 2025/SCHW-Q2-2025-press-release-SEC-EX99-1.htm; Phase 2/Charles Schwab/Q2 2025/SCHW-Q2-2025-earnings-call-transcript-InsiderMonkey.html</t>
  </si>
  <si>
    <t>https://www.insidermonkey.com/blog/the-charles-schwab-corporation-nyseschw-q2-2025-earnings-call-transcript-1573625/; https://www.sec.gov/Archives/edgar/data/316709/000031670925000033/a2q25exhibit991.htm</t>
  </si>
  <si>
    <t>Third straight record: rev +27%, adj EPS $1.31 +70%, NNA +44%, buyback up to $2.7B, NIM 2.86%; guided ~2%+ above upper end of July scenario. Risk: momentum now well known, so bar is high; rate cuts into 2026 an overhang.</t>
  </si>
  <si>
    <t>2025-10-16</t>
  </si>
  <si>
    <t>Phase 2/Charles Schwab/Q3 2025/SCHW-Q3-2025-press-release-SEC-EX99-1.htm; Phase 2/Charles Schwab/Q3 2025/SCHW-Q3-2025-earnings-call-transcript-InsiderMonkey.html</t>
  </si>
  <si>
    <t>https://www.insidermonkey.com/blog/the-charles-schwab-corporation-nyseschw-q3-2025-earnings-call-transcript-1631368/; https://www.sec.gov/Archives/edgar/data/316709/000031670925000046/a3q25exhibit991.htm</t>
  </si>
  <si>
    <t>Record Q4: adj EPS $1.39 +38%, NNA $163.9B, FY EPS $4.87 beat own raised scenario; but 2026 guide decelerates to rev +9.5-10.5%, EPS $5.70-5.80, expenses 5.5-6.5%. Fourth straight record is fully telegraphed; guide is solid not a raise-shock, so inside the gap bar.</t>
  </si>
  <si>
    <t>Phase 2/Charles Schwab/Q4 2025/SCHW-Q4-2025-press-release-SEC-EX99-1.htm; Phase 2/Charles Schwab/Q4 2025/SCHW-Q4-2025-earnings-call-transcript-MotleyFool.html</t>
  </si>
  <si>
    <t>https://www.fool.com/earnings/call-transcripts/2026/03/24/schwab-schw-q4-2025-earnings-call-transcript/; https://www.sec.gov/Archives/edgar/data/316709/000031670926000004/a4q25exhibit991.htm</t>
  </si>
  <si>
    <t>Record adj EPS $1.43 +38%, NNA $158B ex-deconversion, div +19%, tracking above FY $5.70-5.80 scenario with no-cut curve a tailwind. Overhang: Q&amp;A dominated by cash-sweep monetization fears (JPM product, agentic AI) and lower rev per trade; strong print into a braced market favors an up-gap.</t>
  </si>
  <si>
    <t>2026-04-15</t>
  </si>
  <si>
    <t>Phase 2/Charles Schwab/Q1 2026/SCHW-Q1-2026-press-release-SEC-EX99-1.htm; Phase 2/Charles Schwab/Q1 2026/SCHW-Q1-2026-earnings-call-transcript-InsiderMonkey.html</t>
  </si>
  <si>
    <t>https://www.insidermonkey.com/blog/the-charles-schwab-corporation-nyseschw-q1-2026-earnings-call-transcript-1740197/; https://www.sec.gov/Archives/edgar/data/316709/000031670926000016/a1q26exhibit991.htm</t>
  </si>
  <si>
    <t>2026-02-13</t>
  </si>
  <si>
    <t>Phase 2/Airbnb/Airbnb-Q4-25-Earnings-Call-Transcript.pdf</t>
  </si>
  <si>
    <t>2026-02-24</t>
  </si>
  <si>
    <t>2026-02-25</t>
  </si>
  <si>
    <t>Phase 2/Lowe's/low-usq-transcript_2026-02-25.pdf</t>
  </si>
  <si>
    <t>Phase 2/Lowe's/low-usq-transcript-2025-08-20.pdf</t>
  </si>
  <si>
    <t>Phase 2/Lowe's/low-usq-transcript-2025-11-19.pdf</t>
  </si>
  <si>
    <t>Phase 2/Lowe's/2026-Q1/LOW-2026-Q1-earnings-call-transcript-corporate-lowes-com.pdf</t>
  </si>
  <si>
    <t>https://corporate.lowes.com/sites/lowes-corp/files/low-usq-transcript-2026-05-20-1.pdf</t>
  </si>
  <si>
    <t>CVS Health</t>
  </si>
  <si>
    <t>CVS</t>
  </si>
  <si>
    <t>Phase 2/CVS Health/CVS-Health-Q1-2026-Earnings-Transcript.pdf</t>
  </si>
  <si>
    <t>Uber</t>
  </si>
  <si>
    <t>UBER</t>
  </si>
  <si>
    <t>2025-05-06</t>
  </si>
  <si>
    <t>2025-05-07</t>
  </si>
  <si>
    <t>Phase 2/Uber/uber-q1-25-earnings-call-transcript.pdf</t>
  </si>
  <si>
    <t>Phase 2/Uber/uber-q2-25-earnings-call-transcript.pdf</t>
  </si>
  <si>
    <t>Phase 2/Uber/Uber-Q4-25-Earnings-Call-Transcript.pdf</t>
  </si>
  <si>
    <t>Phase 2/Uber/Uber-Q1-26-Earnings-Call-Transcript.pdf</t>
  </si>
  <si>
    <t>Coinbase</t>
  </si>
  <si>
    <t>COIN</t>
  </si>
  <si>
    <t>Phase 2/Coin Base/2026-Q1/COIN-2026-Q1-press-release-SEC-EX-99-1.htm</t>
  </si>
  <si>
    <t>https://www.sec.gov/Archives/edgar/data/1679788/000167978826000053/q126earningsdeck-finalse.htm</t>
  </si>
  <si>
    <t>Phase 2/Coin Base/2025-Q3/COIN-2025-Q3-press-release-SEC-EX-99-1.htm</t>
  </si>
  <si>
    <t>https://www.sec.gov/Archives/edgar/data/1679788/000167978825000207/q325shareholderletter.htm</t>
  </si>
  <si>
    <t>Phase 2/Coin Base/2025-Q4/COIN-2025-Q4-press-release-SEC-EX-99-1.htm</t>
  </si>
  <si>
    <t>https://www.sec.gov/Archives/edgar/data/1679788/000167978826000011/q425shareholderletter.htm</t>
  </si>
  <si>
    <t>Eli Lilly</t>
  </si>
  <si>
    <t>LLY</t>
  </si>
  <si>
    <t>Phase 2/Eli Lilly/2026-Q1/LLY-2026-Q1-press-release-SEC-EX-99.htm</t>
  </si>
  <si>
    <t>https://www.sec.gov/Archives/edgar/data/59478/000005947826000043/q126lillysalesandearningsp.htm</t>
  </si>
  <si>
    <t>Phase 2/Eli Lilly/2025-Q3/LLY-2025-Q3-press-release-SEC-EX-99-1.htm</t>
  </si>
  <si>
    <t>https://www.sec.gov/Archives/edgar/data/59478/000005947825000251/q325lillysalesandearningsp.htm</t>
  </si>
  <si>
    <t>Phase 2/Eli Lilly/2025-Q4/LLY-2025-Q4-press-release-SEC-EX-99-1.htm</t>
  </si>
  <si>
    <t>https://www.sec.gov/Archives/edgar/data/59478/000005947826000008/q425lillysalesandearningsp.htm</t>
  </si>
  <si>
    <t>Meta</t>
  </si>
  <si>
    <t>META</t>
  </si>
  <si>
    <t>Phase 2/META/2026-Q1/META-2026-Q1-press-release-SEC-EX-99-1.htm</t>
  </si>
  <si>
    <t>https://www.sec.gov/Archives/edgar/data/1326801/000162828026028364/meta-03312026xexhibit991.htm</t>
  </si>
  <si>
    <t>Phase 2/META/2025-Q3/META-2025-Q3-press-release-SEC-EX-99-1.htm</t>
  </si>
  <si>
    <t>https://www.sec.gov/Archives/edgar/data/1326801/000162828025047114/meta-09302025xexhibit991.htm</t>
  </si>
  <si>
    <t>Phase 2/META/2025-Q4/META-2025-Q4-press-release-SEC-EX-99-1.htm</t>
  </si>
  <si>
    <t>https://www.sec.gov/Archives/edgar/data/1326801/000162828026003832/meta-12312025xexhibit991.htm</t>
  </si>
  <si>
    <t>Tesla</t>
  </si>
  <si>
    <t>TSLA</t>
  </si>
  <si>
    <t>Phase 2/Tesla/2026-Q1/TSLA-2026-Q1-press-release-SEC-EX-99-1.htm</t>
  </si>
  <si>
    <t>https://www.sec.gov/Archives/edgar/data/1318605/000162828026026551/exhibit991.htm</t>
  </si>
  <si>
    <t>2025-10-23</t>
  </si>
  <si>
    <t>Phase 2/Tesla/2025-Q3/TSLA-2025-Q3-press-release-SEC-EX-99-1.htm</t>
  </si>
  <si>
    <t>https://www.sec.gov/Archives/edgar/data/1318605/000162828025045861/exhibit991.htm</t>
  </si>
  <si>
    <t>Phase 2/Tesla/2025-Q4/TSLA-2025-Q4-press-release-SEC-EX-99-1.htm</t>
  </si>
  <si>
    <t>https://www.sec.gov/Archives/edgar/data/1318605/000162828026003837/exhibit991.htm</t>
  </si>
  <si>
    <t>Pfizer</t>
  </si>
  <si>
    <t>PFE</t>
  </si>
  <si>
    <t>2025-04-28</t>
  </si>
  <si>
    <t>2025-04-29</t>
  </si>
  <si>
    <t>Phase 2/Pfizer/PFE-USQ_Transcript_2025-04-29.pdf</t>
  </si>
  <si>
    <t>2025-08-04</t>
  </si>
  <si>
    <t>Phase 2/Pfizer/PFE-USQ_Transcript_2025-08-05.pdf</t>
  </si>
  <si>
    <t>2026-02-02</t>
  </si>
  <si>
    <t>Phase 2/Pfizer/PFE-USQ_Transcript_2026-02-03.pdf</t>
  </si>
  <si>
    <t>2026-05-04</t>
  </si>
  <si>
    <t>Phase 2/Pfizer/PFE-USQ_Transcript_2026-05-05.pdf</t>
  </si>
  <si>
    <t>Microsoft</t>
  </si>
  <si>
    <t>MSFT</t>
  </si>
  <si>
    <t>2024-10-30</t>
  </si>
  <si>
    <t>2024-10-31</t>
  </si>
  <si>
    <t>Phase 2/Microsoft/2025-Q1/MSFT-2025-Q1-earnings-call-transcript-microsoft-com.html</t>
  </si>
  <si>
    <t>https://www.microsoft.com/en-us/investor/events/fy-2025/earnings-fy-2025-q1</t>
  </si>
  <si>
    <t>2025-01-29</t>
  </si>
  <si>
    <t>2025-01-30</t>
  </si>
  <si>
    <t>Phase 2/Microsoft/2025-Q2/MSFT-2025-Q2-earnings-call-transcript-fool-com.html</t>
  </si>
  <si>
    <t>https://www.fool.com/earnings/call-transcripts/2025/01/29/microsoft-msft-q2-2025-earnings-call-transcript/</t>
  </si>
  <si>
    <t>Phase 2/Microsoft/2026-Q1/MSFT-2026-Q1-earnings-call-transcript-microsoft-com.html</t>
  </si>
  <si>
    <t>https://www.microsoft.com/en-us/investor/events/fy-2026/earnings-fy-2026-q1</t>
  </si>
  <si>
    <t>Ford</t>
  </si>
  <si>
    <t>F</t>
  </si>
  <si>
    <t>2025-07-30</t>
  </si>
  <si>
    <t>Phase 2/Ford/Ford-Q2-2025-Earnings-Call-Transcript.pdf</t>
  </si>
  <si>
    <t>Phase 2/Ford/Ford-Q4-2025-Earnings-Call-Transcript.pdf</t>
  </si>
  <si>
    <t>Phase 2/Ford/Ford-Q1-2026-Earnings-Call-Transcript.pdf</t>
  </si>
  <si>
    <t>Barclays</t>
  </si>
  <si>
    <t>BARC.L</t>
  </si>
  <si>
    <t>Phase 2/Barclays/2025-Q2/BCS-2025-Q2-earnings-call-transcript-home-barclays.pdf</t>
  </si>
  <si>
    <t>https://home.barclays/content/dam/home-barclays/documents/investor-relations/ResultAnnouncements/H12025Results/Q225-Q&amp;A-Transcript.pdf</t>
  </si>
  <si>
    <t>Phase 2/Barclays/2025-Q3/BCS-2025-Q3-earnings-call-transcript-fool-com.html</t>
  </si>
  <si>
    <t>https://www.fool.com/earnings/call-transcripts/2026/04/28/barclays-bcs-q3-2025-earnings-call-transcript/</t>
  </si>
  <si>
    <t>Phase 2/Barclays/2026-Q1/BCS-2026-Q1-earnings-call-transcript-home-barclays.pdf</t>
  </si>
  <si>
    <t>https://home.barclays/content/dam/home-barclays/documents/investor-relations/ResultAnnouncements/Q12026Results/Q126%20Results%20QA%20transcript.pdf</t>
  </si>
  <si>
    <t>United Airlines</t>
  </si>
  <si>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</si>
  <si>
    <t>UAL</t>
  </si>
  <si>
    <t>Phase 2/United Airlines/Q1/Q1 2025 United Airlines Holdings Inc Earnings Call Transcript.pdf; Phase 2/United Airlines/Q1/Q1 2025 Financial Results Final.pdf</t>
  </si>
  <si>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</si>
  <si>
    <t>Phase 2/United Airlines/Q2/Q2 2025 United Airlines Holdings Inc Earnings Call Transcript.pdf; Phase 2/United Airlines/Q2/Q2 2025 Investor Update Final.pdf; Phase 2/United Airlines/Q2/Q2 2025 Earnings Release Final.pdf</t>
  </si>
  <si>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</si>
  <si>
    <t>Phase 2/United Airlines/Q3/Q3 2025 United Airlines Holdings Inc Earnings Call Transcript.pdf</t>
  </si>
  <si>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</si>
  <si>
    <t>Phase 2/United Airlines/Q4/UAL 2025 10K.pdf; Phase 2/United Airlines/Q4/Q4 2025 United Airlines Holdings Inc Earnings Call Transcript.pdf; Phase 2/United Airlines/Q4/4Q_FY25 Earnings Release Final.pdf</t>
  </si>
  <si>
    <t>one of several</t>
  </si>
  <si>
    <t>Novo Nordisk</t>
  </si>
  <si>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</si>
  <si>
    <t>NOVO-B.CO</t>
  </si>
  <si>
    <t>Phase 2/Novo Nordisk/Q1/ca250507-q1-2025-updated.pdf; Phase 2/Novo Nordisk/Q1/Q1-2025-investor-presentation.pdf; Phase 2/Novo Nordisk/Q1/Q1-2025-financial-workbook.xlsx; Phase 2/Novo Nordisk/Q1/Q1 2025 Novo Nordisk A:S Earnings Call Transcript.pdf</t>
  </si>
  <si>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</si>
  <si>
    <t>Phase 2/Novo Nordisk/Q2/Q2-2025-investor-presentation-updated.pdf; Phase 2/Novo Nordisk/Q2/Q2-2025-financial-workbook.xlsx; Phase 2/Novo Nordisk/Q2/Q2 2025 Novo Nordisk A:S Earnings Call Transcript.pdf</t>
  </si>
  <si>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</si>
  <si>
    <t>2025-11-04</t>
  </si>
  <si>
    <t>Phase 2/Novo Nordisk/Q3/ca251105-q3-2025.pdf; Phase 2/Novo Nordisk/Q3/Q3-investor-presentation-2025.pdf; Phase 2/Novo Nordisk/Q3/Q3-2025-financial-workbook.xlsx; Phase 2/Novo Nordisk/Q3/Novo Nordisk (NVO) Q3 2025 Earnings Transcript | The Motley Fool.pdf</t>
  </si>
  <si>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</si>
  <si>
    <t>Phase 2/Novo Nordisk/Q4/novo-nordisk-annual-report-2025.pdf; Phase 2/Novo Nordisk/Q4/ca260203-q4-2025.pdf; Phase 2/Novo Nordisk/Q4/Q4-2025-investor-presentation-4Feb.pdf; Phase 2/Novo Nordisk/Q4/Q4-2025-financial-workbook.xlsx; Phase 2/Novo Nordisk/Q4/Q4 2025 Novo Nordisk A:S Earnings Call Transcript.pdf</t>
  </si>
  <si>
    <t>Lockheed Martin</t>
  </si>
  <si>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</si>
  <si>
    <t>LMT</t>
  </si>
  <si>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</si>
  <si>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</si>
  <si>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</si>
  <si>
    <t>Sales, EPS and FCF all up; record backlog on major contract wins; all four segments improved; unprecedented demand from US and allies driving capacity expansion; confidence in supply chain. 2025 outlook raised, confident tone.</t>
  </si>
  <si>
    <t>2025-10-20</t>
  </si>
  <si>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</si>
  <si>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</si>
  <si>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</si>
  <si>
    <t>LVMH</t>
  </si>
  <si>
    <t>Revenue, profit and EPS down across all business groups; net debt up; FCF up; FX drag; Wines &amp; Spirits hit by US-China trade tensions; F&amp;LG margins above average; Sephora slowing in North America and China. No guidance, confident tone.</t>
  </si>
  <si>
    <t>MC.PA</t>
  </si>
  <si>
    <t>2025-07-25</t>
  </si>
  <si>
    <t>Phase 2/LVMH/2025-Q2/MC.PA-2025-Q2-results-LVMH-IR.pdf</t>
  </si>
  <si>
    <t>Revenue, profit and EPS down on FX; FCF up; debt down; trends improved across all groups; F&amp;LG resilient on Japan tourism; Wines &amp; Spirits slowing; Asia down 2 points; margin above average. No guidance.</t>
  </si>
  <si>
    <t>Phase 2/LVMH/2025-Q4/MC.PA-2025-Q4-results-LVMH-IR.pdf</t>
  </si>
  <si>
    <t>Phase 2/CVS Health/CVS-Health-Q2-2025-Earnings-Transcript.pdf</t>
  </si>
  <si>
    <t>Phase 2/CVS Health/CVS-Health-Q4-2025-Transcript.pdf</t>
  </si>
  <si>
    <t>Phase 2/CVS Health/CVS-Q3-2025-Earnings-Transcript.pdf</t>
  </si>
  <si>
    <t>FedEx</t>
  </si>
  <si>
    <t>FDX</t>
  </si>
  <si>
    <t>2025-12-18</t>
  </si>
  <si>
    <t>2025-12-19</t>
  </si>
  <si>
    <t>Phase 2/FedEx/Earnings-Transcript-Q2FY26.pdf</t>
  </si>
  <si>
    <t>2026-03-19</t>
  </si>
  <si>
    <t>2026-03-20</t>
  </si>
  <si>
    <t>Phase 2/FedEx/Earnings-Transcript-Q3FY26.pdf</t>
  </si>
  <si>
    <t>2026-06-23</t>
  </si>
  <si>
    <t>2026-06-24</t>
  </si>
  <si>
    <t>Phase 2/FedEx/Earnings-Transcript-Q4FY26.pdf</t>
  </si>
  <si>
    <t>2025-09-18</t>
  </si>
  <si>
    <t>2025-09-19</t>
  </si>
  <si>
    <t>Phase 2/FedEx/FDX-Q1-FY26-Earnings-Call-Transcript.pdf</t>
  </si>
  <si>
    <t>Hilton</t>
  </si>
  <si>
    <t>HLT</t>
  </si>
  <si>
    <t>Phase 2/Hilton/hilton-1q-2025-earnings-call-transcript.pdf</t>
  </si>
  <si>
    <t>Phase 2/Hilton/hilton-2q-2025-earnings-call-july-23-2025.pdf</t>
  </si>
  <si>
    <t>2024-10-22</t>
  </si>
  <si>
    <t>2024-10-23</t>
  </si>
  <si>
    <t>Phase 2/Hilton/hilton-3q-2024-earnings-call-october-22-2025.pdf</t>
  </si>
  <si>
    <t>Phase 2/Hilton/hilton-q1-2026-earnings-transcript.pdf</t>
  </si>
  <si>
    <t>Phase 2/Hilton/hilton-q4-2025-earnings-transcript-combined.pdf</t>
  </si>
  <si>
    <t>Marriott</t>
  </si>
  <si>
    <t>MAR</t>
  </si>
  <si>
    <t>Phase 2/Marriott/MAR Q2 2025 TRANSCRIPT 8-5-25 FINAL.pdf</t>
  </si>
  <si>
    <t>Phase 2/Marriott/MAR Q3 Earnings TRANSCRIPT 11-4-25 FINAL.pdf</t>
  </si>
  <si>
    <t>Phase 2/Marriott/2025-Q4/MAR-2025-Q4-earnings-call-transcript-fool-com.html</t>
  </si>
  <si>
    <t>https://www.fool.com/earnings/call-transcripts/2026/02/10/marriott-mar-q4-2025-earnings-call-transcript/</t>
  </si>
  <si>
    <t>Phase 2/Marriott/Marriott Q1 Earnings Transcript 5-6-26 FINAL.pdf</t>
  </si>
  <si>
    <t>Financial Results</t>
  </si>
  <si>
    <t>PayPal</t>
  </si>
  <si>
    <t>PYPL</t>
  </si>
  <si>
    <t>Phase 3/Readings/PayPal/PYPL-Holdings_Q1-2025-Earnings-Call-Transcript.pdf</t>
  </si>
  <si>
    <t>Outlook/Guidance</t>
  </si>
  <si>
    <t>Phase 3/Readings/PayPal/CORRECTED-TRANSCRIPT_-PayPal-Holdings-Inc-PYPL-US-Q2-2025-Earnings-Call-29-July-2025-8_00-AM-ET.pdf</t>
  </si>
  <si>
    <t>Transcript Q&amp;A</t>
  </si>
  <si>
    <t>2025-10-27</t>
  </si>
  <si>
    <t>Phase 3/Readings/PayPal/CORRECTED-TRANSCRIPT_-PayPal-Holdings-Inc-PYPL-US-Q3-2025-Earnings-Call-28-October-2025-8_00-AM-ET.pdf</t>
  </si>
  <si>
    <t>Presentation</t>
  </si>
  <si>
    <t>Phase 3/Readings/PayPal/PYPL-1Q-26-Earnings-Presentation.pdf</t>
  </si>
  <si>
    <t>Visa</t>
  </si>
  <si>
    <t>V</t>
  </si>
  <si>
    <t>2025-04-30</t>
  </si>
  <si>
    <t>Phase 3/Readings/Visa/CORRECTED-TRANSCRIPT_-Visa-Inc-V-US-Q2-2025-Earnings-Call-29-April-2025-5_00-PM-ET.pdf</t>
  </si>
  <si>
    <t>Phase 3/Readings/Visa/CORRECTED-TRANSCRIPT_-Visa-Inc-V-US-Q3-2025-Earnings-Call-29-July-2025-5_00-PM-ET.pdf</t>
  </si>
  <si>
    <t>Phase 3/Readings/Visa/CORRECTED-TRANSCRIPT_-Visa-Inc-V-US-Q4-2025-Earnings-Call-28-October-2025-5_00-PM-ET.pdf</t>
  </si>
  <si>
    <t>Phase 3/Readings/Visa/CORRECTED-TRANSCRIPT_-Visa-Inc-V-US-Q2-2026-Earnings-Call-28-April-2026-5_00-PM-ET-4.pdf</t>
  </si>
  <si>
    <t>Johnson &amp; Johnson</t>
  </si>
  <si>
    <t>JNJ</t>
  </si>
  <si>
    <t>Phase 3/Readings/Jonson &amp; Jonson/JNJ_N-Transcript-2025-04-15T12_30.pdf</t>
  </si>
  <si>
    <t>Phase 3/Readings/Jonson &amp; Jonson/JNJ-USQ_Transcript_2025-07-16.pdf</t>
  </si>
  <si>
    <t>Phase 3/Readings/Jonson &amp; Jonson/JNJ-USQ_Transcript_2025-10-14.pdf</t>
  </si>
  <si>
    <t>Phase 3/Readings/Jonson &amp; Jonson/JNJ-USQ_Transcript_2026-04-14.pdf</t>
  </si>
  <si>
    <t>human-only event; not in LLM returns_matrix — EDGAR lookup deferred, manual verification required</t>
  </si>
  <si>
    <t>Expedia</t>
  </si>
  <si>
    <t>EXPE</t>
  </si>
  <si>
    <t>2025-05-08</t>
  </si>
  <si>
    <t>2025-05-09</t>
  </si>
  <si>
    <t>Phase 3/Readings/Expedia/EXPE-USQ_Transcript_2025-05-08.pdf</t>
  </si>
  <si>
    <t>2025-08-08</t>
  </si>
  <si>
    <t>Phase 3/Readings/Expedia/EXPE-USQ_Transcript_2025-08-07.pdf</t>
  </si>
  <si>
    <t>Phase 3/Readings/Expedia/EXPE-USQ_Transcript_2026-02-12.pdf</t>
  </si>
  <si>
    <t>Phase 3/Readings/Expedia/EXPE-USQ_Transcript_2026-05-07.pdf</t>
  </si>
  <si>
    <t>Robinhood Markets</t>
  </si>
  <si>
    <t>Press Release Document</t>
  </si>
  <si>
    <t>release time published by the issuer (section C)</t>
  </si>
  <si>
    <t>HOOD</t>
  </si>
  <si>
    <t>2025-05-01</t>
  </si>
  <si>
    <t>Phase 3/Readings/Robinhood/Q1 2025 Robinhood Exhibit 99.1.pdf</t>
  </si>
  <si>
    <t>Phase 3/Readings/Robinhood/Robinhood Markets, Inc. Q2 2025 Earnings Call Transcript.pdf</t>
  </si>
  <si>
    <t>Phase 3/Readings/Robinhood/Robinhood Markets, Inc. Q3 2025 Earnings Call Transcript.pdf</t>
  </si>
  <si>
    <t>Phase 3/Readings/Robinhood/Q1 2026 Earnings Presentation.pdf</t>
  </si>
  <si>
    <t>Comcast Corporation</t>
  </si>
  <si>
    <t>CMCSA</t>
  </si>
  <si>
    <t>2025-04-24</t>
  </si>
  <si>
    <t>Phase 3/Readings/Comcast/CMCSA-USQ_Transcript_2025-04-24.pdf</t>
  </si>
  <si>
    <t>Phase 3/Readings/Comcast/CMCSA-USQ_Transcript_2025-07-31.pdf</t>
  </si>
  <si>
    <t>Phase 3/Readings/Comcast/2025-Q4/CMCSA-2025-Q4-earnings-call-transcript-fool-com.html</t>
  </si>
  <si>
    <t>https://www.fool.com/earnings/call-transcripts/2026/01/29/comcast-cmcsa-q4-2025-earnings-call-transcript/</t>
  </si>
  <si>
    <t>Phase 3/Readings/Comcast/CMCSA-USQ_Transcript_2026-04-23.pdf</t>
  </si>
  <si>
    <t>Pinterest</t>
  </si>
  <si>
    <t>Strong revenue, user growth, expanding margins, and robust EBITDA suggest continued business momentum despite limited information from the presentation.</t>
  </si>
  <si>
    <t>PINS</t>
  </si>
  <si>
    <t>Phase 3/Readings/Pinterest/Q4 2024 presentation.pdf</t>
  </si>
  <si>
    <t>Solid operational growth and AI progress were offset by weaker-than-expected revenue performance, competitive pressures, and macroeconomic uncertainty.</t>
  </si>
  <si>
    <t>Phase 3/Readings/Pinterest/PINS Q4 2025 Transcript .pdf</t>
  </si>
  <si>
    <t>Strong early-quarter performance and improving monetisation outweighed tariff risks and expectations of a softer following quarter.</t>
  </si>
  <si>
    <t>Phase 3/Readings/Pinterest/PINS Q1 2026 Transcript .pdf</t>
  </si>
  <si>
    <t>Kraft Heinz</t>
  </si>
  <si>
    <t>Declining sales, weaker operating income, disappointing results, and cautious 2025 guidance outweighed improvements in EPS and margins.</t>
  </si>
  <si>
    <t>KHC</t>
  </si>
  <si>
    <t>2025-02-11</t>
  </si>
  <si>
    <t>2025-02-12</t>
  </si>
  <si>
    <t>Phase 3/Readings/Kraft Heinz/KHC Q4 2024 Results.pdf</t>
  </si>
  <si>
    <t>Although current performance remained weak, management's increased investment strategy and focus on higher-return initiatives support a neutral outlook.</t>
  </si>
  <si>
    <t>Phase 3/Readings/Kraft Heinz/KHC Q4 2025 Earnings Call Transcript.pdf</t>
  </si>
  <si>
    <t>Ongoing revenue pressure and inflation risks were balanced by continued investment in growth initiatives and marketing, suggesting limited near-term upside.</t>
  </si>
  <si>
    <t>Phase 3/Readings/Kraft Heinz/KHC Q1 2026 Earnings Transcript.pdf</t>
  </si>
  <si>
    <t>Linde</t>
  </si>
  <si>
    <t>Strong earnings growth, improving profitability, and higher EBITDA indicate resilient financial performance despite modest volume weakness.</t>
  </si>
  <si>
    <t>LIN</t>
  </si>
  <si>
    <t>Phase 3/Readings/Linde/2025-Q2/LIN-2025-Q2-earnings-presentation-linde-com.pdf</t>
  </si>
  <si>
    <t>https://assets.linde.com/-/media/global/corporate/corporate/documents/investors/quarterly-earnings/linde2q25teleconferenceslides.pdf</t>
  </si>
  <si>
    <t>Continued earnings growth and cash generation were tempered by cautious management commentary and a challenging macroeconomic environment.</t>
  </si>
  <si>
    <t>Phase 3/Readings/Linde/LIN Q3 2025 transcript.pdf</t>
  </si>
  <si>
    <t>Mixed regional performance and cautious management outlook were partially offset by expected growth in electronics and improving conditions in the Americas.</t>
  </si>
  <si>
    <t>2026-05-01</t>
  </si>
  <si>
    <t>Phase 3/Readings/Linde/LIN Q1 2026 transcript.pdf</t>
  </si>
  <si>
    <t>Puma</t>
  </si>
  <si>
    <t>PUM.DE</t>
  </si>
  <si>
    <t>Phase 3/Readings/Puma/Puma Q1 2026.pdf</t>
  </si>
  <si>
    <t>used oct 29 for prior closing date bc earnings release occurred at 8am oct 30, so market had time to react on oct 30 to the news</t>
  </si>
  <si>
    <t>recorded window spanned two sessions, closed to one</t>
  </si>
  <si>
    <t>Phase 3/Readings/Puma/Puma q3 2025.pdf</t>
  </si>
  <si>
    <t>used may 7 for prior closing date bc earnings release occurred at 8am may 8, so market had time to react on may 8 to the news</t>
  </si>
  <si>
    <t>Phase 3/Readings/Puma/puma-q1-2025-transcript_website.pdf</t>
  </si>
  <si>
    <t>used feb 25 for prior closing date bc earnings release occurred at 9am feb 26 so market had time to react on feb 26 to the news</t>
  </si>
  <si>
    <t>2026-02-26</t>
  </si>
  <si>
    <t>Phase 3/Readings/Puma/puma-q4-fy-2025-transcript_website.pdf</t>
  </si>
  <si>
    <t>Colgate-Palmolive</t>
  </si>
  <si>
    <t>2026-07-16</t>
  </si>
  <si>
    <t>2026-07-17</t>
  </si>
  <si>
    <t>CL</t>
  </si>
  <si>
    <t>2026-07-30</t>
  </si>
  <si>
    <t>2026-07-31</t>
  </si>
  <si>
    <t>Phase 3/Readings/Colgate Palmolive/CP 2Q 2026 Press Release - Final.pdf</t>
  </si>
  <si>
    <t>EXTENSION</t>
  </si>
  <si>
    <t>2026-04-09</t>
  </si>
  <si>
    <t>Phase 3/Readings/Colgate Palmolive/CP 1Q 2026 Press Release - Final.pdf</t>
  </si>
  <si>
    <t>2026-01-16</t>
  </si>
  <si>
    <t>Phase 3/Readings/Colgate Palmolive/CP 4Q &amp; FY 2025 Press Release - Final.pdf</t>
  </si>
  <si>
    <t>2025-10-17</t>
  </si>
  <si>
    <t>Phase 3/Readings/Colgate Palmolive/CP 3Q 2025 Press Release - Final.pdf</t>
  </si>
  <si>
    <t>Lenovo</t>
  </si>
  <si>
    <t>0992.HK</t>
  </si>
  <si>
    <t>2026-05-22</t>
  </si>
  <si>
    <t>Phase 3/Readings/Lenovo/presentation_2526_q4.pdf</t>
  </si>
  <si>
    <t>the exchange's own publication timestamp</t>
  </si>
  <si>
    <t>Phase 3/Readings/Lenovo/presentation_2526_q3.pdf</t>
  </si>
  <si>
    <t>Phase 3/Readings/Lenovo/presentation_2526_q2.pdf</t>
  </si>
  <si>
    <t>2025-08-13</t>
  </si>
  <si>
    <t>2025-08-14</t>
  </si>
  <si>
    <t>Phase 3/Readings/Lenovo/presentation_2526_q1.pdf</t>
  </si>
  <si>
    <t>Spotify</t>
  </si>
  <si>
    <t>SPOT</t>
  </si>
  <si>
    <t>Phase 3/Readings/Spotify/Q1-2026-Shareholder-Deck-FINAL-2.pdf</t>
  </si>
  <si>
    <t>Phase 3/Readings/Spotify/Q4-2025-Shareholder-Deck-FINAL.pdf</t>
  </si>
  <si>
    <t>2025-11-03</t>
  </si>
  <si>
    <t>Phase 3/Readings/Spotify/Q3-2025-Shareholder-Deck-FINAL.pdf</t>
  </si>
  <si>
    <t>Phase 3/Readings/Spotify/Q2-2025-Shareholder-Deck-FINAL.pdf</t>
  </si>
  <si>
    <t>Chipotle</t>
  </si>
  <si>
    <t>CMG</t>
  </si>
  <si>
    <t>Phase 3/Readings/Chipotle/2026-02-03-CHIPOTLE-ANNOUNCES-FOURTH-QUARTER-AND-FULL-YEAR-2025-RESULTS-IR.pdf</t>
  </si>
  <si>
    <t>Phase 3/Readings/Chipotle/2025-Q3/CMG-2025-Q3-press-release-SEC-EX-99-1.htm</t>
  </si>
  <si>
    <t>https://www.sec.gov/Archives/edgar/data/1058090/000105809025000086/cmg-20251029xex991.htm</t>
  </si>
  <si>
    <t>Phase 3/Readings/Chipotle/2025-Q2/CMG-2025-Q2-press-release-SEC-EX-99-1.htm</t>
  </si>
  <si>
    <t>https://www.sec.gov/Archives/edgar/data/1058090/000105809025000055/cmg-20250723xex991.htm</t>
  </si>
  <si>
    <t>Phase 3/Readings/Chipotle/2025-Q1/CMG-2025-Q1-press-release-SEC-EX-99-1.htm</t>
  </si>
  <si>
    <t>https://www.sec.gov/Archives/edgar/data/1058090/000105809025000028/cmg-20250423xex991.htm</t>
  </si>
  <si>
    <t>Heineken</t>
  </si>
  <si>
    <t>2025-09-16</t>
  </si>
  <si>
    <t>2025-09-17</t>
  </si>
  <si>
    <t>HEIA.AS</t>
  </si>
  <si>
    <t>Phase 3/Readings/Heineken/heineken-q3-2025-trading-update-presentation-vF.pdf</t>
  </si>
  <si>
    <t>2024-09-16</t>
  </si>
  <si>
    <t>2024-09-17</t>
  </si>
  <si>
    <t>Phase 3/Readings/Heineken/q3-2024-trading-update-presentation_FINAL.pdf</t>
  </si>
  <si>
    <t>2024-06-17</t>
  </si>
  <si>
    <t>2024-06-18</t>
  </si>
  <si>
    <t>2024-07-26</t>
  </si>
  <si>
    <t>2024-07-29</t>
  </si>
  <si>
    <t>Phase 3/Readings/Heineken/2024-Q2/HEINY-2024-Q2-earnings-presentation-HeinekenIR.pdf</t>
  </si>
  <si>
    <t>Heineken N.V. investor relations, supplied by the group (original filename hy-24-results-presentation.pdf)</t>
  </si>
  <si>
    <t>2024-02-15</t>
  </si>
  <si>
    <t>2024-02-16</t>
  </si>
  <si>
    <t>2024-04-23</t>
  </si>
  <si>
    <t>2024-04-24</t>
  </si>
  <si>
    <t>Phase 3/Readings/Heineken/heineken-nv-1Q24-trading-update-presentation.pdf</t>
  </si>
  <si>
    <t>Datadog</t>
  </si>
  <si>
    <t>DDOG</t>
  </si>
  <si>
    <t>Phase 3/Readings/Datadog/2026-Q1/DDOG-2026-Q1-press-release-SEC-EX-99-1.htm</t>
  </si>
  <si>
    <t>https://www.sec.gov/Archives/edgar/data/1561550/000162828026031677/ex-991x20260331x8k.htm</t>
  </si>
  <si>
    <t>Phase 3/Readings/Datadog/2025-Q3/DDOG-2025-Q3-press-release-SEC-EX-99-1.htm</t>
  </si>
  <si>
    <t>https://www.sec.gov/Archives/edgar/data/1561550/000156155025000310/ex-991x20250930x8k.htm</t>
  </si>
  <si>
    <t>Phase 3/Readings/Datadog/Datadog, Inc., Q4 2025 Earnings Call, Feb 10, 2026.pdf</t>
  </si>
  <si>
    <t>Phase 3/Readings/Datadog/2025-Q2/DDOG-2025-Q2-press-release-SEC-EX-99-1.htm</t>
  </si>
  <si>
    <t>https://www.sec.gov/Archives/edgar/data/1561550/000156155025000216/ex-991x20250630x8k.htm</t>
  </si>
  <si>
    <t>eBay</t>
  </si>
  <si>
    <t>EBAY</t>
  </si>
  <si>
    <t>Phase 3/Readings/eBay/2025_Q1_eBay_Earnings_Deck_FINAL.pdf</t>
  </si>
  <si>
    <t>price signal, re-derived — only this window shows an abnormal move</t>
  </si>
  <si>
    <t>Phase 3/Readings/eBay/eBay-Q1-2026-earnings-press-release.pdf</t>
  </si>
  <si>
    <t>price signal, re-derived — both moved; this one dominates</t>
  </si>
  <si>
    <t>Phase 3/Readings/eBay/eBay-Q3-2025-Earnings-Press-Release-Final.pdf</t>
  </si>
  <si>
    <t>Phase 3/Readings/eBay/2025_Q2_eBay_Earnings_Presentation_Final.pdf</t>
  </si>
  <si>
    <t>Hermès</t>
  </si>
  <si>
    <t>2025-01-17</t>
  </si>
  <si>
    <t>2025-01-20</t>
  </si>
  <si>
    <t>Revenues were up 7-9% with all regions seeing growth.</t>
  </si>
  <si>
    <t>RMS.PA</t>
  </si>
  <si>
    <t>Phase 3/Readings/Hermes/Q1/hermes_20250417_q1revenue_en.pdf</t>
  </si>
  <si>
    <t>2025-06-16</t>
  </si>
  <si>
    <t>2025-06-17</t>
  </si>
  <si>
    <t>Confidence in growth despite uncertainties which will be expected</t>
  </si>
  <si>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</si>
  <si>
    <t>MarketScreener (Surperformance SAS)</t>
  </si>
  <si>
    <t>Solid performance overall with impact from uncertatinties stabilising</t>
  </si>
  <si>
    <t>Phase 3/Readings/Hermes/Q3/Transcript : Hermès International Société en commandite par actions, Q3 2025 Sales: Trading Statemen.pdf</t>
  </si>
  <si>
    <t>2026-01-19</t>
  </si>
  <si>
    <t>Strong growth and positive outlook for future year despite potential uncertainties. Confident tone throughout from management during transcript and Q&amp;A sessions</t>
  </si>
  <si>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</si>
  <si>
    <t>Nigel's Notes Phase 3.docx</t>
  </si>
  <si>
    <t>assumed - rater record carries no blindness field</t>
  </si>
  <si>
    <t>Delta Air Lines</t>
  </si>
  <si>
    <t>Growth is there but not too impressive, can't judge much by how much was said on performance alone</t>
  </si>
  <si>
    <t>DAL</t>
  </si>
  <si>
    <t>2025-04-08</t>
  </si>
  <si>
    <t>2025-04-09</t>
  </si>
  <si>
    <t>Phase 3/Readings/Delta/2025-Q1/DAL-2025-Q1-press-release-SEC-EX-99-1.htm</t>
  </si>
  <si>
    <t>https://www.sec.gov/Archives/edgar/data/27904/000168316825002353/delta_ex9901.htm</t>
  </si>
  <si>
    <t>Figures showing slow growth and does not match confident tone of outlook</t>
  </si>
  <si>
    <t>2025-07-09</t>
  </si>
  <si>
    <t>2025-07-10</t>
  </si>
  <si>
    <t>Phase 3/Readings/Delta/Q2/Delta-Air-Lines-Announces-Second-Quarter-2025.pdf</t>
  </si>
  <si>
    <t>Dissapointing Q3 performance overall, new strategy planned</t>
  </si>
  <si>
    <t>2025-10-08</t>
  </si>
  <si>
    <t>2025-10-09</t>
  </si>
  <si>
    <t>Phase 3/Readings/Delta/Q3/CORRECTED-TRANSCRIPT-Delta-Air-Lines-Inc-DAL-US-Q3-2025-Earnings-Call.pdf</t>
  </si>
  <si>
    <t>Record performance, confident tone for outlook ahead, strategy on premium focus seems to be working in their favour</t>
  </si>
  <si>
    <t>Phase 3/Readings/Delta/Q4/Delta-Air-Lines-Announces-Fourth-Quarter-2025.pdf; Phase 3/Readings/Delta/Q4/DAL-12-31-2025-10K-2-10-26-Filed.pdf; Phase 3/Readings/Delta/Q4/CORRECTED-TRANSCRIPT-Delta-Air-Lines-Inc-DAL-US-Q4-2025-Earnings-Call.pdf</t>
  </si>
  <si>
    <t>Workday</t>
  </si>
  <si>
    <t>Workday fiscal year ends in Jan so all releases for FY2025 is released in 2024</t>
  </si>
  <si>
    <t>Phase 3/Readings/Workday/Q1/Workday-Announces-Fiscal-2025-First-Quarter-Financial-Results-05-23-2024-2024.pdf</t>
  </si>
  <si>
    <t>Phase 3/Readings/Workday/Q2/Workday-Announces-Fiscal-2025-Second-Quarter-Financial-Results-08-22-2024-2024.pdf</t>
  </si>
  <si>
    <t>Phase 3/Readings/Workday/Q3/Transcript : Workday, Inc., Q3 2025 Earnings Call, Nov 26, 2024 | MarketScreener UK.pdf</t>
  </si>
  <si>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</si>
  <si>
    <t>Booking Holdings</t>
  </si>
  <si>
    <t>BKNG</t>
  </si>
  <si>
    <t>Phase 3/Readings/Booking Holdings/Q1/CORRECTED-TRANSCRIPT_-Booking-Holdings-Inc-BKNG-US-Q1-2025-Earnings-Call-29-April-2025-4_30-PM-ET.pdf</t>
  </si>
  <si>
    <t>Phase 3/Readings/Booking Holdings/Q2/Booking-Holdings-Inc-BKNG-US-Q2-2025-Earnings-Call-29-July-2025-4_30-PM-ET.pdf</t>
  </si>
  <si>
    <t>Phase 3/Readings/Booking Holdings/Q3/CORRECTED-TRANSCRIPT_-Booking-Holdings-Inc-BKNG-US-Q3-2025-Earnings-Call-28-October-2025-4_30-PM-ET.pdf</t>
  </si>
  <si>
    <t>Phase 3/Readings/Booking Holdings/Q4/CORRECTED-TRANSCRIPT_-Booking-Holdings-Inc-BKNG-US-Q4-2025-Earnings-Call-18-February-2026-4_30-PM-ET.pdf</t>
  </si>
  <si>
    <t>Allianz</t>
  </si>
  <si>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</si>
  <si>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</si>
  <si>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</si>
  <si>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</si>
  <si>
    <t>Dell</t>
  </si>
  <si>
    <t>Phase 3/Readings/Dell/Q1/Q1 FY25 Performance Review (2).pdf; Phase 3/Readings/Dell/Q1/Q1 FY25 Financial Tables.pdf; Phase 3/Readings/Dell/Q1/Q1 FY25 Financial Results Press Release.pdf; Phase 3/Readings/Dell/Q1/DELL Q1FY25 Earnings Transcript.pdf</t>
  </si>
  <si>
    <t>Phase 3/Readings/Dell/Q2/Q2 FY25 Performance Review (2).pdf; Phase 3/Readings/Dell/Q2/Q2 FY25 Financial Tables.pdf; Phase 3/Readings/Dell/Q2/Q2 FY25 Financial Results Press Release.pdf; Phase 3/Readings/Dell/Q2/DELL Q2FY25 Earnings Transcript (1).pdf</t>
  </si>
  <si>
    <t>Phase 3/Readings/Dell/Q3/Q3 FY25 Performance Review.pdf; Phase 3/Readings/Dell/Q3/Q3 FY25 Financial Tables.pdf; Phase 3/Readings/Dell/Q3/Q3 FY25 Financial Results Press Release.pdf; Phase 3/Readings/Dell/Q3/DELL Q3FY25 Earnings Transcript.pdf</t>
  </si>
  <si>
    <t>Phase 3/Readings/Dell/Q4/Q4 FY25 Financial Tables.pdf; Phase 3/Readings/Dell/Q4/Q4 FY25 Financial Results Press Release.pdf; Phase 3/Readings/Dell/Q4/DELL Q4FY25 Earnings Transcript.pdf</t>
  </si>
  <si>
    <t>Standard Chartered</t>
  </si>
  <si>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</si>
  <si>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</si>
  <si>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</si>
  <si>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</si>
  <si>
    <t>Palantir</t>
  </si>
  <si>
    <t>Phase 3/Readings/Palantir/Q1/Transcript : Palantir Technologies Inc., Q1 2025 Earnings Call, May 05, 2025 | MarketScreener UK.pdf; Phase 3/Readings/Palantir/Q1/Q1 2025 | Letter to the Shareholders.pdf; Phase 3/Readings/Palantir/Q1/Palantir - Q1 2025 Investor Presentation.pdf</t>
  </si>
  <si>
    <t>Phase 3/Readings/Palantir/Q2/Transcript : Palantir Technologies Inc., Q2 2025 Earnings Call, Aug 04, 2025 | MarketScreener UK.pdf; Phase 3/Readings/Palantir/Q2/Q2 2025 | Letter to Shareholders.pdf; Phase 3/Readings/Palantir/Q2/Palantir Q2 2025 Business Update.pdf</t>
  </si>
  <si>
    <t>Phase 3/Readings/Palantir/Q3/Transcript : Palantir Technologies Inc., Q3 2025 Earnings Call, Nov 03, 2025 | MarketScreener UK.pdf; Phase 3/Readings/Palantir/Q3/Q3 2025 | Letter to Shareholders.pdf; Phase 3/Readings/Palantir/Q3/Palantir - Q3 2025 Investor Presentation.pdf</t>
  </si>
  <si>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</si>
  <si>
    <t>MetLife</t>
  </si>
  <si>
    <t>MET</t>
  </si>
  <si>
    <t>Phase 2/MetLife/Q1 2025/MET-Q1-2025-press-release-SEC-EX99-1.htm; Phase 2/MetLife/Q1 2025/MET-Q1-2025-exhibit-SEC-EX99-2.htm; Phase 2/MetLife/Q1 2025/MET-Q1-2025-earnings-call-transcript-InsiderMonkey.html</t>
  </si>
  <si>
    <t>https://www.insidermonkey.com/blog/metlife-inc-nysemet-q1-2025-earnings-call-transcript-1523164/; https://www.sec.gov/Archives/edgar/data/1099219/000109921925000133/ex991earningsreleasetables.htm; https://www.sec.gov/Archives/edgar/data/1099219/000109921925000133/ex992qfsq125.htm</t>
  </si>
  <si>
    <t>Phase 2/MetLife/Q2 2025/MET-Q2-2025-press-release-SEC-EX99-1.htm; Phase 2/MetLife/Q2 2025/MET-Q2-2025-exhibit-SEC-EX99-2.htm; Phase 2/MetLife/Q2 2025/MET-Q2-2025-earnings-call-transcript-InsiderMonkey.html</t>
  </si>
  <si>
    <t>https://www.insidermonkey.com/blog/metlife-inc-nysemet-q2-2025-earnings-call-transcript-1587127/; https://www.sec.gov/Archives/edgar/data/1099219/000109921925000191/ex991earningsreleasetables.htm; https://www.sec.gov/Archives/edgar/data/1099219/000109921925000191/ex992qfsq225.htm</t>
  </si>
  <si>
    <t>Phase 2/MetLife/Q3 2025/MET-Q3-2025-press-release-SEC-EX99-1.htm; Phase 2/MetLife/Q3 2025/MET-Q3-2025-exhibit-SEC-EX99-2.htm; Phase 2/MetLife/Q3 2025/MET-Q3-2025-earnings-call-transcript-news-alphastreet-com.html</t>
  </si>
  <si>
    <t>https://news.alphastreet.com/metlife-inc-met-q3-2025-earnings-call-transcript/; https://www.sec.gov/Archives/edgar/data/1099219/000109921925000227/ex991earningsreleasetables.htm; https://www.sec.gov/Archives/edgar/data/1099219/000109921925000227/ex992qfsq325.htm</t>
  </si>
  <si>
    <t>Phase 2/MetLife/Q4 2025/MET-Q4-2025-press-release-SEC-EX99-1.htm; Phase 2/MetLife/Q4 2025/MET-Q4-2025-exhibit-SEC-EX99-2.htm; Phase 2/MetLife/Q4 2025/MET-Q4-2025-earnings-call-transcript-InsiderMonkey.html</t>
  </si>
  <si>
    <t>https://www.insidermonkey.com/blog/metlife-inc-nysemet-q4-2025-earnings-call-transcript-1690172/; https://www.sec.gov/Archives/edgar/data/1099219/000109921926000008/ex991earningsreleasetables.htm; https://www.sec.gov/Archives/edgar/data/1099219/000109921926000008/ex992qfsq425.htm</t>
  </si>
  <si>
    <t>Phase 2/MetLife/Q1 2026/MET-Q1-2026-press-release-SEC-EX99-1.htm; Phase 2/MetLife/Q1 2026/MET-Q1-2026-exhibit-SEC-EX99-2.htm; Phase 2/MetLife/Q1 2026/MET-Q1-2026-earnings-call-transcript-InsiderMonkey.html</t>
  </si>
  <si>
    <t>https://www.insidermonkey.com/blog/metlife-inc-nysemet-q1-2026-earnings-call-transcript-1756889/; https://www.sec.gov/Archives/edgar/data/1099219/000109921926000032/ex991earningsreleasetables.htm; https://www.sec.gov/Archives/edgar/data/1099219/000109921926000032/ex992qfsq126.htm</t>
  </si>
  <si>
    <t>2023-05-03</t>
  </si>
  <si>
    <t>2023-05-04</t>
  </si>
  <si>
    <t>Phase 2/MetLife/Q1 2023/MET-Q1-2023-press-release-SEC-EX99-1.htm; Phase 2/MetLife/Q1 2023/MET-Q1-2023-exhibit-SEC-EX99-2.htm; Phase 2/MetLife/Q1 2023/MET-Q1-2023-earnings-call-transcript-news-alphastreet-com.html</t>
  </si>
  <si>
    <t>https://news.alphastreet.com/metlife-inc-met-q1-2023-earnings-call-transcript/; https://www.sec.gov/Archives/edgar/data/1099219/000109921923000156/ex991earningsreleasetables.htm; https://www.sec.gov/Archives/edgar/data/1099219/000109921923000156/ex992qfsq123doc-ldti.htm</t>
  </si>
  <si>
    <t>2023-08-02</t>
  </si>
  <si>
    <t>2023-08-03</t>
  </si>
  <si>
    <t>Phase 2/MetLife/Q2 2023/MET-Q2-2023-press-release-SEC-EX99-1.htm; Phase 2/MetLife/Q2 2023/MET-Q2-2023-exhibit-SEC-EX99-2.htm; Phase 2/MetLife/Q2 2023/MET-Q2-2023-earnings-call-transcript-InsiderMonkey.html</t>
  </si>
  <si>
    <t>https://www.insidermonkey.com/blog/metlife-inc-nysemet-q2-2023-earnings-call-transcript-1176871/; https://www.sec.gov/Archives/edgar/data/1099219/000109921923000207/ex991earningsreleasetables.htm; https://www.sec.gov/Archives/edgar/data/1099219/000109921923000207/ex992qfsq223doc.htm</t>
  </si>
  <si>
    <t>2023-11-01</t>
  </si>
  <si>
    <t>2023-11-02</t>
  </si>
  <si>
    <t>Phase 2/MetLife/Q3 2023/MET-Q3-2023-press-release-SEC-EX99-1.htm; Phase 2/MetLife/Q3 2023/MET-Q3-2023-exhibit-SEC-EX99-2.htm; Phase 2/MetLife/Q3 2023/MET-Q3-2023-earnings-call-transcript-InsiderMonkey.html</t>
  </si>
  <si>
    <t>https://www.insidermonkey.com/blog/metlife-inc-nysemet-q3-2023-earnings-call-transcript-1216220/; https://www.sec.gov/Archives/edgar/data/1099219/000109921923000266/ex991earningsreleasetables.htm; https://www.sec.gov/Archives/edgar/data/1099219/000109921923000266/ex992qfsq323doc.htm</t>
  </si>
  <si>
    <t>2024-01-31</t>
  </si>
  <si>
    <t>2024-02-01</t>
  </si>
  <si>
    <t>Phase 2/MetLife/Q4 2023/MET-Q4-2023-press-release-SEC-EX99-1.htm; Phase 2/MetLife/Q4 2023/MET-Q4-2023-exhibit-SEC-EX99-2.htm; Phase 2/MetLife/Q4 2023/MET-Q4-2023-earnings-call-transcript-InsiderMonkey.html</t>
  </si>
  <si>
    <t>https://www.insidermonkey.com/blog/metlife-inc-nysemet-q4-2023-earnings-call-transcript-1252835/; https://www.sec.gov/Archives/edgar/data/1099219/000109921924000028/ex991earningsreleasetables.htm; https://www.sec.gov/Archives/edgar/data/1099219/000109921924000028/ex992qfsq423doc.htm</t>
  </si>
  <si>
    <t>2024-05-01</t>
  </si>
  <si>
    <t>2024-05-02</t>
  </si>
  <si>
    <t>Phase 2/MetLife/Q1 2024/MET-Q1-2024-press-release-SEC-EX99-1.htm; Phase 2/MetLife/Q1 2024/MET-Q1-2024-exhibit-SEC-EX99-2.htm; Phase 2/MetLife/Q1 2024/MET-Q1-2024-earnings-call-transcript-InsiderMonkey.html</t>
  </si>
  <si>
    <t>https://www.insidermonkey.com/blog/metlife-inc-nysemet-q1-2024-earnings-call-transcript-1296279/; https://www.sec.gov/Archives/edgar/data/1099219/000109921924000139/ex991earningsreleasetables.htm; https://www.sec.gov/Archives/edgar/data/1099219/000109921924000139/ex992qfsq124.htm</t>
  </si>
  <si>
    <t>2024-07-31</t>
  </si>
  <si>
    <t>2024-08-01</t>
  </si>
  <si>
    <t>Phase 2/MetLife/Q2 2024/MET-Q2-2024-press-release-SEC-EX99-1.htm; Phase 2/MetLife/Q2 2024/MET-Q2-2024-exhibit-SEC-EX99-2.htm; Phase 2/MetLife/Q2 2024/MET-Q2-2024-earnings-call-transcript-stockanalysis-com.html</t>
  </si>
  <si>
    <t>https://stockanalysis.com/stocks/met/transcripts/190195-q2-2024/; https://www.sec.gov/Archives/edgar/data/1099219/000109921924000196/ex991earningsreleasetables.htm; https://www.sec.gov/Archives/edgar/data/1099219/000109921924000196/ex992qfsq224.htm</t>
  </si>
  <si>
    <t>Phase 2/MetLife/Q3 2024/MET-Q3-2024-press-release-SEC-EX99-1.htm; Phase 2/MetLife/Q3 2024/MET-Q3-2024-exhibit-SEC-EX99-2.htm; Phase 2/MetLife/Q3 2024/MET-Q3-2024-earnings-call-transcript-InsiderMonkey.html</t>
  </si>
  <si>
    <t>https://www.insidermonkey.com/blog/metlife-inc-nysemet-q3-2024-earnings-call-transcript-1383939/; https://www.sec.gov/Archives/edgar/data/1099219/000109921924000255/ex991earningsreleasetables.htm; https://www.sec.gov/Archives/edgar/data/1099219/000109921924000255/ex992qfsq324.htm</t>
  </si>
  <si>
    <t>Phase 2/MetLife/Q4 2024/MET-Q4-2024-press-release-SEC-EX99-1.htm; Phase 2/MetLife/Q4 2024/MET-Q4-2024-exhibit-SEC-EX99-2.htm; Phase 2/MetLife/Q4 2024/MET-Q4-2024-earnings-call-transcript-InsiderMonkey.html</t>
  </si>
  <si>
    <t>https://www.insidermonkey.com/blog/metlife-inc-nysemet-q4-2024-earnings-call-transcript-1445993/; https://www.sec.gov/Archives/edgar/data/1099219/000109921925000039/ex991earningsreleasetables.htm; https://www.sec.gov/Archives/edgar/data/1099219/000109921925000039/ex992qfsq424.htm</t>
  </si>
  <si>
    <t>General Mills</t>
  </si>
  <si>
    <t>Despite a volatile environment, improving volumes, stronger North American performance, and management's confident outlook suggest the business is gaining momentum.</t>
  </si>
  <si>
    <t>GIS</t>
  </si>
  <si>
    <t>2025-12-16</t>
  </si>
  <si>
    <t>2025-12-17</t>
  </si>
  <si>
    <t>Phase 3/Readings/General Mills/GIS Q2 2026 Earnings Transcript.pdf</t>
  </si>
  <si>
    <t>Sharp declines in sales, operating profit, and EPS indicate significant operational weakness that outweighs the company's long-term investment strategy.</t>
  </si>
  <si>
    <t>Phase 3/Readings/General Mills/General Millss 2026 Q3.pdf</t>
  </si>
  <si>
    <t>Early signs of recovery and improved profitability are encouraging, but ongoing operating losses and expected inflation pressures warrant a cautious hold.</t>
  </si>
  <si>
    <t>2026-06-30</t>
  </si>
  <si>
    <t>2026-07-01</t>
  </si>
  <si>
    <t>Phase 3/Readings/General Mills/GIS Q4 2026 Earnings Call Transcript.pdf</t>
  </si>
  <si>
    <t>Siemens</t>
  </si>
  <si>
    <t>Missed earnings expectations, weaker profitability, and continued currency headwinds point to deteriorating near-term performance despite a stabilising economic outlook.</t>
  </si>
  <si>
    <t>SIE.DE</t>
  </si>
  <si>
    <t>Phase 3/Readings/Siemens/Siemens Q4 2025 earnings release.pdf</t>
  </si>
  <si>
    <t>Revenue and operating margins improved across most businesses, but the sharp decline in EPS and continued currency impacts temper the positive results.</t>
  </si>
  <si>
    <t>Phase 3/Readings/Siemens/Siemens Q1 2026 earnings release.pdf</t>
  </si>
  <si>
    <t>Financial performance remained relatively stable despite modest declines in revenue and EPS, while unchanged guidance provides little catalyst for either a buy or sell decision.</t>
  </si>
  <si>
    <t>2026-05-12</t>
  </si>
  <si>
    <t>2026-05-13</t>
  </si>
  <si>
    <t>Phase 3/Readings/Siemens/Siemens Q2 2026 earnings release.pdf</t>
  </si>
  <si>
    <t>Costco</t>
  </si>
  <si>
    <t>2025-11-26</t>
  </si>
  <si>
    <t>2025-11-28</t>
  </si>
  <si>
    <t>Strong sales, earnings and membership growth outweighed modest renewal rate declines and tariff-related uncertainty, supporting a BUY.</t>
  </si>
  <si>
    <t>COST</t>
  </si>
  <si>
    <t>Phase 3/Readings/Costco/Q1 26/Costco Wholesale Q1 26 - Costco Wholesale Corporation Reports First Quarter Fiscal Year 2026 O.pdf; Phase 3/Readings/Costco/Q1 26/Costco (COST) Q1 2026 Earnings Call Transcript.pdf</t>
  </si>
  <si>
    <t>Continued revenue growth, warehouse expansion and positive long-term plans offset sourcing and geopolitical risks, leading to a BUY.</t>
  </si>
  <si>
    <t>2026-03-05</t>
  </si>
  <si>
    <t>2026-03-06</t>
  </si>
  <si>
    <t>Phase 2/Costco/2026-Q2/COST-2026-Q2-press-release-SEC-EX-99-1.htm</t>
  </si>
  <si>
    <t>https://www.sec.gov/Archives/edgar/data/909832/000090983226000025/costex9918-k3526.htm</t>
  </si>
  <si>
    <t>2026-05-14</t>
  </si>
  <si>
    <t>Strong sales, earnings and digital engagement more than compensated for margin pressure and slower membership growth, supporting a confident BUY.</t>
  </si>
  <si>
    <t>2026-05-28</t>
  </si>
  <si>
    <t>2026-05-29</t>
  </si>
  <si>
    <t>Phase 3/Readings/Costco/Q3 26/Costco (COST) Q3 2026 Earnings Transcript.pdf</t>
  </si>
  <si>
    <t>Shopify</t>
  </si>
  <si>
    <t>Solid financial results and major customer wins offset lower gross margins and a more moderate growth outlook, supporting a BUY.</t>
  </si>
  <si>
    <t>SHOP</t>
  </si>
  <si>
    <t>Phase 3/Readings/Shopify/Q3 25/Website-Financials-Q3-2025.pdf; Phase 3/Readings/Shopify/Q3 25/Q3-2025-Press-Release.pdf; Phase 3/Readings/Shopify/Q3 25/Q3 2025 Press Release.pdf</t>
  </si>
  <si>
    <t>Excellent financial performance, international expansion, and optimistic guidance outweighed a slight decline in free cash flow margin, leading to a BUY.</t>
  </si>
  <si>
    <t>Phase 3/Readings/Shopify/Q4 25/Website-Financials-Q4-2025.pdf; Phase 3/Readings/Shopify/Q4 25/Shopify (SHOP) Q4 2025 Earnings Call Transcript.pdf</t>
  </si>
  <si>
    <t>2026-04-20</t>
  </si>
  <si>
    <t>2026-04-21</t>
  </si>
  <si>
    <t>Strong revenue growth, expanding cash generation, and accelerating AI adoption supported a confident outlook and justified a BUY decision</t>
  </si>
  <si>
    <t>Phase 3/Readings/Shopify/Q1 26/Shopify (SHOP) Q1 2026 Earnings Transcript.pdf</t>
  </si>
  <si>
    <t>Sony</t>
  </si>
  <si>
    <t>Improving sales were balanced by weaker forecasts, supply chain risks and tariff uncertainty, resulting in a cautious HOLD.</t>
  </si>
  <si>
    <t>6758.T</t>
  </si>
  <si>
    <t>2025-11-11</t>
  </si>
  <si>
    <t>Phase 3/Readings/Sony/2025-Q2/SONY-2025-Q2-results-SEC-6-K.htm</t>
  </si>
  <si>
    <t>https://www.sec.gov/Archives/edgar/data/313838/000110465925109537/tm2530473d2_6k.htm</t>
  </si>
  <si>
    <t>Good overall financial performance and strategic partnerships were offset by mixed segment performance and industry concerns, supporting a HOLD.</t>
  </si>
  <si>
    <t>Phase 3/Readings/Sony/2025-Q3/SONY-2025-Q3-results-SEC-6-K.htm</t>
  </si>
  <si>
    <t>https://www.sec.gov/Archives/edgar/data/313838/000110465926010560/tm264796d5_6k.htm</t>
  </si>
  <si>
    <t>2026-07-20</t>
  </si>
  <si>
    <t>Strong earnings growth and improved profitability, together with limited expected impact from the earthquake, justified a moderate BUY.</t>
  </si>
  <si>
    <t>2026-08-03</t>
  </si>
  <si>
    <t>Phase 3/Readings/Sony/2026-Q1/SONY-2026-Q1-results-SEC-6-K.htm</t>
  </si>
  <si>
    <t>https://www.sec.gov/Archives/edgar/data/313838/000110465926088922/tm2621477d2_6k.htm</t>
  </si>
  <si>
    <t>Nestlé</t>
  </si>
  <si>
    <t>Steady organic growth and strong coffee performance were tempered by weaker consumer demand, lower guidance and market share concerns, resulting in a HOLD.</t>
  </si>
  <si>
    <t>NESN.SW</t>
  </si>
  <si>
    <t>2024-10-16</t>
  </si>
  <si>
    <t>2024-10-17</t>
  </si>
  <si>
    <t>Phase 3/Readings/Nestlé/Q3 24/Nestlé Q3 FY2024 Earnings Call Transcript.pdf; Phase 3/Readings/Nestlé/Q3 24/2024-Q3.pdf</t>
  </si>
  <si>
    <t>Solid organic growth and a resilient full-year outlook outweighed foreign exchange, recall and geopolitical headwinds, supporting a BUY.</t>
  </si>
  <si>
    <t>Phase 3/Readings/Nestlé/Q1 26/Q1-2026-en.pdf; Phase 3/Readings/Nestlé/Q1 26/NESR Q1 2026 Earnings Call Transcript.pdf</t>
  </si>
  <si>
    <t>Alphabet</t>
  </si>
  <si>
    <t>GOOGL</t>
  </si>
  <si>
    <t>Phase 2/Alphabet/2026-Q1/GOOGL-2026-Q1-earnings-call-transcript-fool-com.html</t>
  </si>
  <si>
    <t>https://www.fool.com/earnings/call-transcripts/2026/04/29/alphabet-googl-q1-2026-earnings-call-transcript/</t>
  </si>
  <si>
    <t>Phase 2/Alphabet/2025-Q3/GOOGL-2025-Q3-earnings-call-transcript-fool-com.html</t>
  </si>
  <si>
    <t>https://www.fool.com/earnings/call-transcripts/2025/10/30/alphabet-goog-q3-2025-earnings-call-transcript/</t>
  </si>
  <si>
    <t>Phase 2/Alphabet/2025-Q4/GOOGL-2025-Q4-press-release-SEC-EX-99-1.htm</t>
  </si>
  <si>
    <t>https://www.sec.gov/Archives/edgar/data/1652044/000165204426000012/googexhibit991q42025.htm</t>
  </si>
  <si>
    <t>Broadcom</t>
  </si>
  <si>
    <t>AVGO</t>
  </si>
  <si>
    <t>2026-03-04</t>
  </si>
  <si>
    <t>Phase 2/Broadcom/2026-Q1/AVGO-2026-Q1-earnings-call-transcript-fool-com.html</t>
  </si>
  <si>
    <t>https://www.fool.com/earnings/call-transcripts/2026/03/04/broadcom-avgo-q1-2026-earnings-call-transcript/</t>
  </si>
  <si>
    <t>2025-09-04</t>
  </si>
  <si>
    <t>2025-09-05</t>
  </si>
  <si>
    <t>Phase 2/Broadcom/2025-Q3/AVGO-2025-Q3-press-release-SEC-EX-99-1.htm</t>
  </si>
  <si>
    <t>https://www.sec.gov/Archives/edgar/data/1730168/000173016825000094/avgo-08032025x8kxex99.htm</t>
  </si>
  <si>
    <t>Phase 2/Broadcom/2025-Q4/AVGO-2025-Q4-earnings-call-transcript-fool-com.html</t>
  </si>
  <si>
    <t>https://www.fool.com/earnings/call-transcripts/2025/12/12/broadcom-avgo-q4-2025-earnings-call-transcript/</t>
  </si>
  <si>
    <t>Phase 3/Readings/Costco/Q1 26/Costco (COST) Q1 2026 Earnings Call Transcript.pdf</t>
  </si>
  <si>
    <t>2025-09-10</t>
  </si>
  <si>
    <t>2025-09-11</t>
  </si>
  <si>
    <t>2025-09-25</t>
  </si>
  <si>
    <t>2025-09-26</t>
  </si>
  <si>
    <t>Phase 2/Costco/2025-Q4/COST-2025-Q4-earnings-call-transcript-news-alphastreet-com.html</t>
  </si>
  <si>
    <t>https://news.alphastreet.com/costco-wholesale-corporation-cost-q4-2025-earnings-call-transcript/</t>
  </si>
  <si>
    <t>Oracle</t>
  </si>
  <si>
    <t>ORCL</t>
  </si>
  <si>
    <t>2025-09-09</t>
  </si>
  <si>
    <t>Phase 2/Oracle/2026-Q1/ORCL-2026-Q1-earnings-call-transcript-news-alphastreet-com.html</t>
  </si>
  <si>
    <t>https://news.alphastreet.com/oracle-corporation-orcl-q1-2026-earnings-call-transcript/</t>
  </si>
  <si>
    <t>2025-12-10</t>
  </si>
  <si>
    <t>Phase 2/Oracle/2026-Q2/ORCL-2026-Q2-press-release-SEC-EX-99-1.htm</t>
  </si>
  <si>
    <t>https://www.sec.gov/Archives/edgar/data/1341439/000119312525314207/orcl-ex99_1.htm</t>
  </si>
  <si>
    <t>2026-03-10</t>
  </si>
  <si>
    <t>2026-03-11</t>
  </si>
  <si>
    <t>Phase 2/Oracle/2026-Q3/ORCL-2026-Q3-earnings-call-transcript-fool-com.html</t>
  </si>
  <si>
    <t>https://www.fool.com/earnings/call-transcripts/2026/03/10/oracle-orcl-q3-2026-earnings-call-transcript/</t>
  </si>
  <si>
    <t>Starbucks</t>
  </si>
  <si>
    <t>SBUX</t>
  </si>
  <si>
    <t>Phase 2/Starbucks/2026-Q1/SBUX-2026-Q1-press-release-SEC-EX-99-1.htm</t>
  </si>
  <si>
    <t>https://www.sec.gov/Archives/edgar/data/829224/000082922426000010/sbux-12282025xearningsrele.htm</t>
  </si>
  <si>
    <t>Phase 2/Starbucks/2025-Q3/SBUX-2025-Q3-earnings-call-transcript-fool-com.html</t>
  </si>
  <si>
    <t>https://www.fool.com/earnings/call-transcripts/2025/08/05/starbucks-sbux-q3-2025-earnings-call-transcript/</t>
  </si>
  <si>
    <t>Phase 2/Starbucks/2025-Q4/SBUX-2025-Q4-earnings-call-transcript-fool-com.html</t>
  </si>
  <si>
    <t>https://www.fool.com/earnings/call-transcripts/2025/10/29/starbucks-sbux-q4-2025-earnings-call-transcript/</t>
  </si>
  <si>
    <t>Caterpillar</t>
  </si>
  <si>
    <t>Financial Statement</t>
  </si>
  <si>
    <t>CAT</t>
  </si>
  <si>
    <t>Phase 2/Caterpillar/2025-Q2/CAT-2025-Q2-quarterly-financial-statements-SEC-10-Q.htm</t>
  </si>
  <si>
    <t>https://www.sec.gov/Archives/edgar/data/18230/000001823025000040/cat-20250630.htm</t>
  </si>
  <si>
    <t>Phase 2/Caterpillar/2025-Q3/CAT-2025-Q3-earnings-call-transcript-caterpillar-q4cdn.pdf</t>
  </si>
  <si>
    <t>https://s25.q4cdn.com/358376879/files/doc_financials/2025/q3/3Q-2025-Caterpillar-Inc-Earnings-Call-Transcript_-10-29-2025.pdf</t>
  </si>
  <si>
    <t>Phase 2/Caterpillar/2025-Q4/CAT-2025-Q4-earnings-call-transcript-fool-com.html</t>
  </si>
  <si>
    <t>https://www.fool.com/earnings/call-transcripts/2026/01/29/caterpillar-cat-q4-2025-earnings-call-transcript/</t>
  </si>
  <si>
    <t>Micron</t>
  </si>
  <si>
    <t>MU</t>
  </si>
  <si>
    <t>Phase 2/Micron/2026-Q1/MU-2026-Q1-earnings-call-transcript-news-alphastreet-com.html</t>
  </si>
  <si>
    <t>https://news.alphastreet.com/micron-technology-inc-mu-q1-2026-earnings-call-transcript/</t>
  </si>
  <si>
    <t>Phase 2/Micron/2026-Q2/MU-2026-Q2-quarterly-financial-statements-SEC-10-Q.htm</t>
  </si>
  <si>
    <t>https://www.sec.gov/Archives/edgar/data/723125/000072312526000006/mu-20260226.htm</t>
  </si>
  <si>
    <t>2025-09-23</t>
  </si>
  <si>
    <t>2025-09-24</t>
  </si>
  <si>
    <t>Phase 2/Micron/2025-Q4/MU-2025-Q4-earnings-call-transcript-news-alphastreet-com.html</t>
  </si>
  <si>
    <t>https://news.alphastreet.com/micron-technology-inc-mu-q4-2025-earnings-call-transcript/</t>
  </si>
  <si>
    <t>Salesforce</t>
  </si>
  <si>
    <t>CRM</t>
  </si>
  <si>
    <t>2025-09-03</t>
  </si>
  <si>
    <t>Phase 2/SalesForce/2026-Q2/CRM-2026-Q2-quarterly-financial-statements-SEC-10-Q.htm</t>
  </si>
  <si>
    <t>https://www.sec.gov/Archives/edgar/data/1108524/000110852425000088/crm-20250731.htm</t>
  </si>
  <si>
    <t>2025-12-03</t>
  </si>
  <si>
    <t>2025-12-04</t>
  </si>
  <si>
    <t>Phase 2/SalesForce/2026-Q3/CRM-2026-Q3-earnings-call-transcript-salesforce-q4cdn.pdf</t>
  </si>
  <si>
    <t>https://s205.q4cdn.com/626266368/files/doc_financials/2026/q3/Transcript-Salesforce-Inc-Q3-FY26-Earnings-Conference-Call-12-3-25.pdf</t>
  </si>
  <si>
    <t>Phase 2/SalesForce/2026-Q4/CRM-2026-Q4-earnings-call-transcript-news-alphastreet-com.html</t>
  </si>
  <si>
    <t>https://news.alphastreet.com/salesforce-inc-crm-q4-2026-earnings-call-transcript/</t>
  </si>
  <si>
    <t>UnitedHealth</t>
  </si>
  <si>
    <t>UNH</t>
  </si>
  <si>
    <t>Phase 2/Unitedhealth/2025-Q2/UNH-2025-Q2-earnings-call-transcript-unitedhealthgroup-com.pdf</t>
  </si>
  <si>
    <t>https://www.unitedhealthgroup.com/content/dam/UHG/PDF/investors/2025/UNH-Q2-2025-Remarks.pdf</t>
  </si>
  <si>
    <t>Phase 2/Unitedhealth/2025-Q3/UNH-2025-Q3-quarterly-financial-statements-SEC-10-Q.htm</t>
  </si>
  <si>
    <t>https://www.sec.gov/Archives/edgar/data/731766/000073176625000305/unh-20250930.htm</t>
  </si>
  <si>
    <t>Phase 2/Unitedhealth/2025-Q4/UNH-2025-Q4-earnings-call-transcript-unitedhealthgroup-com.pdf</t>
  </si>
  <si>
    <t>https://www.unitedhealthgroup.com/content/dam/UHG/PDF/investors/2025/unh-q4-2025-remarks.pdf</t>
  </si>
  <si>
    <t>Freeport-McMoRan</t>
  </si>
  <si>
    <t>2025-07-08</t>
  </si>
  <si>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</si>
  <si>
    <t>FCX</t>
  </si>
  <si>
    <t>Phase 3/Readings/Freeport-McMoRan/2025-Q2/FCX-2025-Q2-earnings-call-transcript-fool-com.html</t>
  </si>
  <si>
    <t>https://www.fool.com/earnings/call-transcripts/2025/07/23/freeport-fcx-q2-2025-earnings-call-transcript/</t>
  </si>
  <si>
    <t>Dragos - Phase 3 scoring_rows.csv</t>
  </si>
  <si>
    <t>attested - rater record</t>
  </si>
  <si>
    <t>Union Pacific</t>
  </si>
  <si>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</si>
  <si>
    <t>UNP</t>
  </si>
  <si>
    <t>Phase 3/Readings/Union Pacific/2025-Q2/UNP-2025-Q2-earnings-call-transcript-fool-com.html</t>
  </si>
  <si>
    <t>https://www.fool.com/earnings/call-transcripts/2026/01/26/union-pacific-unp-q2-2025-earnings-transcript/</t>
  </si>
  <si>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</si>
  <si>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</si>
  <si>
    <t>Phase 2/Caterpillar/2025-Q2/CAT-2025-Q2-earnings-call-transcript-news-alphastreet-com.html</t>
  </si>
  <si>
    <t>https://news.alphastreet.com/caterpillar-inc-cat-q2-2025-earnings-call-transcript/</t>
  </si>
  <si>
    <t>Home Depot</t>
  </si>
  <si>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</si>
  <si>
    <t>HD</t>
  </si>
  <si>
    <t>2025-08-18</t>
  </si>
  <si>
    <t>Phase 3/Readings/Home Depot/2025-Q2/HD-2025-Q2-earnings-call-transcript-ir-homedepot-com.pdf</t>
  </si>
  <si>
    <t>https://ir.homedepot.com/~/media/Files/H/HomeDepot-IR/reports-and-presentations/quarterly-earnings/2025/hd-2q25-transcript-vf.pdf</t>
  </si>
  <si>
    <t>Adobe</t>
  </si>
  <si>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</si>
  <si>
    <t>ADBE</t>
  </si>
  <si>
    <t>2025-09-12</t>
  </si>
  <si>
    <t>Phase 3/Readings/Adobe/2025-Q3/ADBE-2025-Q3-earnings-call-transcript-news-alphastreet-com.html</t>
  </si>
  <si>
    <t>https://news.alphastreet.com/adobe-inc-adbe-q3-2025-earnings-call-transcript/</t>
  </si>
  <si>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</si>
  <si>
    <t>Phase 3/Readings/Union Pacific/2025-Q3/UNP-2025-Q3-earnings-call-transcript-fool-com.html</t>
  </si>
  <si>
    <t>https://www.fool.com/earnings/call-transcripts/2026/01/26/union-pacific-unp-q3-2025-earnings-transcript/</t>
  </si>
  <si>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</si>
  <si>
    <t>Phase 2/Unitedhealth/2025-Q3/UNH-2025-Q3-earnings-call-transcript-news-alphastreet-com.html</t>
  </si>
  <si>
    <t>https://news.alphastreet.com/unitedhealth-group-incorporated-unh-q3-2025-earnings-call-transcript/</t>
  </si>
  <si>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</si>
  <si>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</si>
  <si>
    <t>2025-11-17</t>
  </si>
  <si>
    <t>Phase 3/Readings/Home Depot/2025-Q3/HD-2025-Q3-earnings-call-transcript-ir-homedepot-com.pdf</t>
  </si>
  <si>
    <t>https://ir.homedepot.com/~/media/Files/H/HomeDepot-IR/2025/the-home-depot-inc-hd-us-q3-2025-earnings-call-v1.pdf</t>
  </si>
  <si>
    <t>2025-11-25</t>
  </si>
  <si>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</si>
  <si>
    <t>Phase 3/Readings/Adobe/2025-Q4/ADBE-2025-Q4-earnings-call-transcript-fool-com.html</t>
  </si>
  <si>
    <t>https://www.fool.com/earnings/call-transcripts/2025/12/10/adobe-adbe-q4-2025-earnings-call-transcript/</t>
  </si>
  <si>
    <t>2026-01-07</t>
  </si>
  <si>
    <t>2026-01-08</t>
  </si>
  <si>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</si>
  <si>
    <t>2026-01-22</t>
  </si>
  <si>
    <t>Phase 3/Readings/Freeport-McMoRan/2025-Q4/FCX-2025-Q4-earnings-call-transcript-fool-com.html</t>
  </si>
  <si>
    <t>https://www.fool.com/earnings/call-transcripts/2026/01/22/freeport-mcmoran-fcx-q4-2025-earnings-transcript/</t>
  </si>
  <si>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</si>
  <si>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</si>
  <si>
    <t>Phase 3/Readings/Union Pacific/2025-Q4/UNP-2025-Q4-earnings-call-transcript-fool-com.html</t>
  </si>
  <si>
    <t>https://www.fool.com/earnings/call-transcripts/2026/01/27/union-pacific-unp-q4-2025-earnings-transcript/</t>
  </si>
  <si>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</si>
  <si>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</si>
  <si>
    <t>2026-02-23</t>
  </si>
  <si>
    <t>Phase 3/Readings/Home Depot/2025-Q4/HD-2025-Q4-earnings-call-transcript-ir-homedepot-com.pdf</t>
  </si>
  <si>
    <t>https://ir.homedepot.com/~/media/Files/H/HomeDepot-IR/reports-and-presentations/quarterly-earnings/hd-4q25-transcript.pdf</t>
  </si>
  <si>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</si>
  <si>
    <t>2026-03-12</t>
  </si>
  <si>
    <t>2026-03-13</t>
  </si>
  <si>
    <t>Phase 3/Readings/Adobe/2026-Q1/ADBE-2026-Q1-earnings-call-transcript-fool-com.html</t>
  </si>
  <si>
    <t>https://www.fool.com/earnings/call-transcripts/2026/03/12/adobe-adbe-q1-2026-earnings-call-transcript/</t>
  </si>
  <si>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</si>
  <si>
    <t>Phase 2/Unitedhealth/2026-Q1/UNH-2026-Q1-earnings-call-transcript-unitedhealthgroup-com.pdf</t>
  </si>
  <si>
    <t>https://www.unitedhealthgroup.com/content/dam/UHG/PDF/investors/2026/unh-q1-2026-remarks.pdf</t>
  </si>
  <si>
    <t>2026-04-08</t>
  </si>
  <si>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</si>
  <si>
    <t>Phase 3/Readings/Freeport-McMoRan/2026-Q1/FCX-2026-Q1-earnings-call-transcript-fool-com.html</t>
  </si>
  <si>
    <t>https://www.fool.com/earnings/call-transcripts/2026/04/23/freeport-fcx-q1-2026-earnings-transcript/</t>
  </si>
  <si>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</si>
  <si>
    <t>Phase 3/Readings/Union Pacific/2026-Q1/UNP-2026-Q1-earnings-call-transcript-fool-com.html</t>
  </si>
  <si>
    <t>https://www.fool.com/earnings/call-transcripts/2026/04/23/union-pacific-unp-q1-2026-earnings-transcript/</t>
  </si>
  <si>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</si>
  <si>
    <t>Phase 2/Caterpillar/2026-Q1/CAT-2026-Q1-earnings-call-transcript-fool-com.html</t>
  </si>
  <si>
    <t>https://www.fool.com/earnings/call-transcripts/2026/04/30/caterpillar-cat-q1-2026-earnings-transcript/</t>
  </si>
  <si>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</si>
  <si>
    <t>2026-05-18</t>
  </si>
  <si>
    <t>Phase 3/Readings/Home Depot/2026-Q1/HD-2026-Q1-earnings-call-transcript-ir-homedepot-com.pdf</t>
  </si>
  <si>
    <t>https://ir.homedepot.com/~/media/Files/H/HomeDepot-IR/2026/hd-1q26-transcript.pdf</t>
  </si>
  <si>
    <t>2026-05-27</t>
  </si>
  <si>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</si>
  <si>
    <t>2026-06-11</t>
  </si>
  <si>
    <t>2026-06-12</t>
  </si>
  <si>
    <t>Phase 3/Readings/Adobe/2026-Q2/ADBE-2026-Q2-earnings-call-transcript-fool-com.html</t>
  </si>
  <si>
    <t>https://www.fool.com/earnings/call-transcripts/2026/06/11/adobe-adbe-q2-2026-earnings-transcript/</t>
  </si>
  <si>
    <t>PepsiCo</t>
  </si>
  <si>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</si>
  <si>
    <t>PEP</t>
  </si>
  <si>
    <t>2023-04-24</t>
  </si>
  <si>
    <t>2023-04-25</t>
  </si>
  <si>
    <t>Phase 2/PepsiCo/Q1 2023/PEP-Q1-2023-press-release-SEC-EX99-1.htm; Phase 2/PepsiCo/Q1 2023/PEP-Q1-2023-earnings-call-transcript-InsiderMonkey.html</t>
  </si>
  <si>
    <t>https://www.insidermonkey.com/blog/pepsico-inc-nasdaqpep-q1-2023-earnings-call-transcript-1143519/; https://www.sec.gov/Archives/edgar/data/77476/000007747623000025/q120238-kxexhibit991.htm</t>
  </si>
  <si>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</si>
  <si>
    <t>2023-07-12</t>
  </si>
  <si>
    <t>2023-07-13</t>
  </si>
  <si>
    <t>Phase 2/PepsiCo/Q2 2023/PEP-Q2-2023-press-release-SEC-EX99-1.htm; Phase 2/PepsiCo/Q2 2023/PEP-Q2-2023-earnings-call-transcript-InsiderMonkey.html</t>
  </si>
  <si>
    <t>https://www.insidermonkey.com/blog/pepsico-inc-nasdaqpep-q2-2023-earnings-call-transcript-1168148/; https://www.sec.gov/Archives/edgar/data/77476/000007747623000048/q220238-kxexhibit991.htm</t>
  </si>
  <si>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</si>
  <si>
    <t>2023-10-09</t>
  </si>
  <si>
    <t>2023-10-10</t>
  </si>
  <si>
    <t>Phase 2/PepsiCo/Q3 2023/PEP-Q3-2023-press-release-SEC-EX99-1.htm; Phase 2/PepsiCo/Q3 2023/PEP-Q3-2023-earnings-call-transcript-InsiderMonkey.html</t>
  </si>
  <si>
    <t>https://www.insidermonkey.com/blog/pepsico-inc-nasdaqpep-q3-2023-earnings-call-transcript-1203808/; https://www.sec.gov/Archives/edgar/data/77476/000007747623000060/q320238-kxexhibit991.htm</t>
  </si>
  <si>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</si>
  <si>
    <t>2024-02-08</t>
  </si>
  <si>
    <t>2024-02-09</t>
  </si>
  <si>
    <t>Phase 2/PepsiCo/Q4 2023/PEP-Q4-2023-press-release-SEC-EX99-1.htm; Phase 2/PepsiCo/Q4 2023/PEP-Q4-2023-earnings-call-transcript-InsiderMonkey.html</t>
  </si>
  <si>
    <t>https://www.insidermonkey.com/blog/pepsico-inc-nasdaqpep-q4-2023-earnings-call-transcript-1256907/; https://www.sec.gov/Archives/edgar/data/77476/000007747624000010/q420238-kxexhibit991.htm</t>
  </si>
  <si>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</si>
  <si>
    <t>2024-04-22</t>
  </si>
  <si>
    <t>Phase 2/PepsiCo/Q1 2024/PEP-Q1-2024-press-release-SEC-EX99-1.htm; Phase 2/PepsiCo/Q1 2024/PEP-Q1-2024-earnings-call-transcript-InsiderMonkey.html</t>
  </si>
  <si>
    <t>https://www.insidermonkey.com/blog/pepsico-inc-nasdaqpep-q1-2024-earnings-call-transcript-1291655/; https://www.sec.gov/Archives/edgar/data/77476/000007747624000019/q120248-kxexhibit991.htm</t>
  </si>
  <si>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</si>
  <si>
    <t>2024-07-10</t>
  </si>
  <si>
    <t>2024-07-11</t>
  </si>
  <si>
    <t>Phase 2/PepsiCo/Q2 2024/PEP-Q2-2024-press-release-SEC-EX99-1.htm; Phase 2/PepsiCo/Q2 2024/PEP-Q2-2024-earnings-call-transcript-InsiderMonkey.html</t>
  </si>
  <si>
    <t>https://www.insidermonkey.com/blog/pepsico-inc-nasdaqpep-q2-2024-earnings-call-transcript-1322618/; https://www.sec.gov/Archives/edgar/data/77476/000007747624000043/q220248-kxexhibit991.htm</t>
  </si>
  <si>
    <t>Full document set positive on balance - Net revenue performance 0.7%; EPS change 4%; Organic revenue growth 1.3%. Against that: Net revenue performance (0.6)%. 3 forward claims flagged hypothetical and discounted, but the concrete numbers carry it.</t>
  </si>
  <si>
    <t>2024-10-07</t>
  </si>
  <si>
    <t>2024-10-08</t>
  </si>
  <si>
    <t>Phase 2/PepsiCo/Q3 2024/PEP-Q3-2024-press-release-SEC-EX99-1.htm; Phase 2/PepsiCo/Q3 2024/PEP-Q3-2024-earnings-call-transcript-InsiderMonkey.html</t>
  </si>
  <si>
    <t>https://www.insidermonkey.com/blog/pepsico-inc-nasdaqpep-q3-2024-earnings-call-transcript-1369843/; https://www.sec.gov/Archives/edgar/data/77476/000007747624000054/q320248-kxexhibit991.htm</t>
  </si>
  <si>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</si>
  <si>
    <t>2025-02-03</t>
  </si>
  <si>
    <t>Phase 2/PepsiCo/Q4 2024/PEP-Q4-2024-press-release-SEC-EX99-1.htm; Phase 2/PepsiCo/Q4 2024/PEP-Q4-2024-earnings-call-transcript-InsiderMonkey.html</t>
  </si>
  <si>
    <t>https://www.insidermonkey.com/blog/pepsico-inc-nasdaqpep-q4-2024-earnings-call-transcript-1443383/; https://www.sec.gov/Archives/edgar/data/77476/000007747625000008/q420248-kxexhibit991.htm</t>
  </si>
  <si>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</si>
  <si>
    <t>Phase 2/PepsiCo/Q1 2025/PEP-Q1-2025-press-release-SEC-EX99-1.htm; Phase 2/PepsiCo/Q1 2025/PEP-Q1-2025-earnings-call-transcript-InsiderMonkey.html</t>
  </si>
  <si>
    <t>https://www.insidermonkey.com/blog/pepsico-inc-nasdaqpep-q1-2025-earnings-call-transcript-1519470/; https://www.sec.gov/Archives/edgar/data/77476/000007747625000022/q120258-kxexhibit991.htm</t>
  </si>
  <si>
    <t>Full document set mildly negative - Net revenue performance 1.0%; Organic revenue performance 2.1%; Organic revenue performance 1.7%. Against that: Net revenue performance (0.3)%. 1 hypothetical claim discounted; they do not offset the concrete negatives.</t>
  </si>
  <si>
    <t>Phase 2/PepsiCo/Q2 2025/PEP-Q2-2025-press-release-SEC-EX99-1.htm; Phase 2/PepsiCo/Q2 2025/PEP-Q2-2025-earnings-call-transcript-InsiderMonkey.html</t>
  </si>
  <si>
    <t>https://www.insidermonkey.com/blog/pepsico-inc-nasdaqpep-q2-2025-earnings-call-transcript-1571054/; https://www.sec.gov/Archives/edgar/data/77476/000007747625000046/q220258-kxexhibit991.htm</t>
  </si>
  <si>
    <t>Full document set mildly positive - Net revenue performance 2.6%; Net revenue performance 0.8%; Foreign exchange impact on net revenue 0.5%. Against that: Foreign exchange impact on net revenue (1)%. 1 forward claim flagged hypothetical and discounted, but the concrete numbers carry it.</t>
  </si>
  <si>
    <t>Phase 2/PepsiCo/Q3 2025/PEP-Q3-2025-press-release-SEC-EX99-1.htm; Phase 2/PepsiCo/Q3 2025/PEP-Q3-2025-earnings-call-transcript-InsiderMonkey.html</t>
  </si>
  <si>
    <t>https://www.insidermonkey.com/blog/pepsico-inc-nasdaqpep-q3-2025-earnings-call-transcript-1625709/; https://www.sec.gov/Archives/edgar/data/77476/000007747625000055/q320258-kxexhibit991.htm</t>
  </si>
  <si>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</si>
  <si>
    <t>Phase 2/PepsiCo/Q4 2025/PEP-Q4-2025-press-release-SEC-EX99-1.htm; Phase 2/PepsiCo/Q4 2025/PEP-Q4-2025-earnings-call-transcript-InsiderMonkey.html</t>
  </si>
  <si>
    <t>https://www.insidermonkey.com/blog/pepsico-inc-nasdaqpep-q4-2025-earnings-call-transcript-1688541/; https://www.sec.gov/Archives/edgar/data/77476/000007747626000009/q420258-kxexhibit991.htm</t>
  </si>
  <si>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</si>
  <si>
    <t>Phase 2/PepsiCo/Q1 2026/PEP-Q1-2026-press-release-SEC-EX99-1.htm; Phase 2/PepsiCo/Q1 2026/PEP-Q1-2026-earnings-call-transcript-MotleyFool.html</t>
  </si>
  <si>
    <t>https://www.fool.com/earnings/call-transcripts/2026/04/16/pepsico-pep-q1-2026-earnings-call-transcript/; https://www.sec.gov/Archives/edgar/data/77476/000007747626000019/q120268-kxexhibit991.htm</t>
  </si>
  <si>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</si>
  <si>
    <t>2026-07-08</t>
  </si>
  <si>
    <t>2026-07-09</t>
  </si>
  <si>
    <t>Phase 2/PepsiCo/Q2 2026/PEP-Q2-2026-press-release-SEC-EX99-1.htm; Phase 2/PepsiCo/Q2 2026/PEP-Q2-2026-earnings-call-transcript-AlphaStreet.html</t>
  </si>
  <si>
    <t>https://news.alphastreet.com/pepsico-inc-pep-q2-2026-earnings-call-transcript/; https://www.sec.gov/Archives/edgar/data/77476/000007747626000037/q220268-kxexhibit991.htm</t>
  </si>
  <si>
    <t>Duke Energy</t>
  </si>
  <si>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</si>
  <si>
    <t>DUK</t>
  </si>
  <si>
    <t>2023-05-08</t>
  </si>
  <si>
    <t>2023-05-09</t>
  </si>
  <si>
    <t>Phase 2/Duke Energy/Q1 2023/DUK-Q1-2023-press-release-SEC-EX99-1.htm; Phase 2/Duke Energy/Q1 2023/DUK-Q1-2023-earnings-call-transcript-stockanalysis-com.html</t>
  </si>
  <si>
    <t>https://stockanalysis.com/stocks/duk/transcripts/53031-q1-2023/; https://www.sec.gov/Archives/edgar/data/1326160/000132616023000146/er-20230331xearningsreleas.htm</t>
  </si>
  <si>
    <t>2023-07-24</t>
  </si>
  <si>
    <t>2023-07-25</t>
  </si>
  <si>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</si>
  <si>
    <t>2023-08-07</t>
  </si>
  <si>
    <t>2023-08-08</t>
  </si>
  <si>
    <t>Phase 2/Duke Energy/Q2 2023/DUK-Q2-2023-press-release-SEC-EX99-1.htm; Phase 2/Duke Energy/Q2 2023/DUK-Q2-2023-earnings-call-transcript-InsiderMonkey.html</t>
  </si>
  <si>
    <t>https://www.insidermonkey.com/blog/duke-energy-corporation-nyseduk-q2-2023-earnings-call-transcript-1181159/; https://www.sec.gov/Archives/edgar/data/1326160/000132616023000171/er-20230630xearningsreleas.htm</t>
  </si>
  <si>
    <t>2023-10-18</t>
  </si>
  <si>
    <t>2023-10-19</t>
  </si>
  <si>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</si>
  <si>
    <t>2023-11-03</t>
  </si>
  <si>
    <t>Phase 2/Duke Energy/Q3 2023/DUK-Q3-2023-press-release-SEC-EX99-1.htm; Phase 2/Duke Energy/Q3 2023/DUK-Q3-2023-earnings-call-transcript-InsiderMonkey.html</t>
  </si>
  <si>
    <t>https://www.insidermonkey.com/blog/duke-energy-corporation-nyseduk-q3-2023-earnings-call-transcript-1216310/; https://www.sec.gov/Archives/edgar/data/1326160/000132616023000188/er-20230930xearningsreleas.htm</t>
  </si>
  <si>
    <t>2024-01-24</t>
  </si>
  <si>
    <t>2024-01-25</t>
  </si>
  <si>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</si>
  <si>
    <t>2024-02-07</t>
  </si>
  <si>
    <t>Phase 2/Duke Energy/Q4 2023/DUK-Q4-2023-press-release-SEC-EX99-1.htm; Phase 2/Duke Energy/Q4 2023/DUK-Q4-2023-earnings-call-transcript-InsiderMonkey.html</t>
  </si>
  <si>
    <t>https://www.insidermonkey.com/blog/duke-energy-corporation-nyseduk-q4-2023-earnings-call-transcript-1256282/; https://www.sec.gov/Archives/edgar/data/1326160/000132616024000031/er-20231231xearningsreleas.htm</t>
  </si>
  <si>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</si>
  <si>
    <t>2024-05-06</t>
  </si>
  <si>
    <t>2024-05-07</t>
  </si>
  <si>
    <t>Phase 2/Duke Energy/Q1 2024/DUK-Q1-2024-press-release-SEC-EX99-1.htm; Phase 2/Duke Energy/Q1 2024/DUK-Q1-2024-earnings-call-transcript-InsiderMonkey.html</t>
  </si>
  <si>
    <t>https://www.insidermonkey.com/blog/duke-energy-corporation-nyseduk-q1-2024-earnings-call-transcript-1298999/; https://www.sec.gov/Archives/edgar/data/1326160/000132616024000103/er-20240331xearningsreleas.htm</t>
  </si>
  <si>
    <t>2024-07-22</t>
  </si>
  <si>
    <t>2024-07-23</t>
  </si>
  <si>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</si>
  <si>
    <t>2024-08-05</t>
  </si>
  <si>
    <t>2024-08-06</t>
  </si>
  <si>
    <t>Phase 2/Duke Energy/Q2 2024/DUK-Q2-2024-press-release-SEC-EX99-1.htm; Phase 2/Duke Energy/Q2 2024/DUK-Q2-2024-earnings-call-transcript-stockanalysis-com.html</t>
  </si>
  <si>
    <t>https://stockanalysis.com/stocks/duk/transcripts/166263-q2-2024/; https://www.sec.gov/Archives/edgar/data/1326160/000132616024000164/er-20240630xearningsreleas.htm</t>
  </si>
  <si>
    <t>2024-10-24</t>
  </si>
  <si>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</si>
  <si>
    <t>2024-11-06</t>
  </si>
  <si>
    <t>2024-11-07</t>
  </si>
  <si>
    <t>Phase 2/Duke Energy/Q3 2024/DUK-Q3-2024-press-release-SEC-EX99-1.htm; Phase 2/Duke Energy/Q3 2024/DUK-Q3-2024-earnings-call-transcript-InsiderMonkey.html</t>
  </si>
  <si>
    <t>https://www.insidermonkey.com/blog/duke-energy-corporation-nyseduk-q3-2024-earnings-call-transcript-1388047/; https://www.sec.gov/Archives/edgar/data/1326160/000132616024000179/er-20240930xearningsreleas.htm</t>
  </si>
  <si>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</si>
  <si>
    <t>2025-02-13</t>
  </si>
  <si>
    <t>Phase 2/Duke Energy/Q4 2024/DUK-Q4-2024-press-release-SEC-EX99-1.htm; Phase 2/Duke Energy/Q4 2024/DUK-Q4-2024-earnings-call-transcript-InsiderMonkey.html</t>
  </si>
  <si>
    <t>https://www.insidermonkey.com/blog/duke-energy-corporation-nyseduk-q4-2024-earnings-call-transcript-1452880/; https://www.sec.gov/Archives/edgar/data/1326160/000132616025000040/er-20241231xearningsreleas.htm</t>
  </si>
  <si>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</si>
  <si>
    <t>2025-05-05</t>
  </si>
  <si>
    <t>Phase 2/Duke Energy/Q1 2025/DUK-Q1-2025-press-release-SEC-EX99-1.htm; Phase 2/Duke Energy/Q1 2025/DUK-Q1-2025-earnings-call-transcript-InsiderMonkey.html</t>
  </si>
  <si>
    <t>https://www.insidermonkey.com/blog/duke-energy-corporation-nyseduk-q1-2025-earnings-call-transcript-1526857/; https://www.sec.gov/Archives/edgar/data/1326160/000132616025000148/er-20250331xearningsreleas.htm</t>
  </si>
  <si>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</si>
  <si>
    <t>Phase 2/Duke Energy/Q2 2025/DUK-Q2-2025-press-release-SEC-EX99-1.htm; Phase 2/Duke Energy/Q2 2025/DUK-Q2-2025-earnings-call-transcript-InsiderMonkey.html</t>
  </si>
  <si>
    <t>https://www.insidermonkey.com/blog/duke-energy-corporation-nyseduk-q2-2025-earnings-call-transcript-1584673/; https://www.sec.gov/Archives/edgar/data/1326160/000132616025000165/er-20250630xearningsreleas.htm</t>
  </si>
  <si>
    <t>2025-10-24</t>
  </si>
  <si>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</si>
  <si>
    <t>2025-11-10</t>
  </si>
  <si>
    <t>Phase 2/Duke Energy/Q3 2025/DUK-Q3-2025-press-release-SEC-EX99-1.htm; Phase 2/Duke Energy/Q3 2025/DUK-Q3-2025-earnings-call-transcript-InsiderMonkey.html</t>
  </si>
  <si>
    <t>https://www.insidermonkey.com/blog/duke-energy-corporation-nyseduk-q3-2025-earnings-call-transcript-1642437/; https://www.sec.gov/Archives/edgar/data/1326160/000132616025000190/er-20250930xearningsreleas.htm</t>
  </si>
  <si>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</si>
  <si>
    <t>Phase 2/Duke Energy/Q4 2025/DUK-Q4-2025-press-release-SEC-EX99-1.htm; Phase 2/Duke Energy/Q4 2025/DUK-Q4-2025-earnings-call-transcript-InsiderMonkey.html</t>
  </si>
  <si>
    <t>https://www.insidermonkey.com/blog/duke-energy-corporation-nyseduk-q4-2025-earnings-call-transcript-1693381/; https://www.sec.gov/Archives/edgar/data/1326160/000132616026000007/er-20251231xearningsreleas.htm</t>
  </si>
  <si>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</si>
  <si>
    <t>Phase 2/Duke Energy/Q1 2026/DUK-Q1-2026-press-release-SEC-EX99-1.htm; Phase 2/Duke Energy/Q1 2026/DUK-Q1-2026-earnings-call-transcript-MotleyFool.html</t>
  </si>
  <si>
    <t>https://www.fool.com/earnings/call-transcripts/2026/05/05/duke-energy-duk-q1-2026-earnings-transcript/; https://www.sec.gov/Archives/edgar/data/1326160/000132616026000022/er-20260331xearningsreleas.htm</t>
  </si>
  <si>
    <t>ExxonMobil</t>
  </si>
  <si>
    <t>2023-04-13</t>
  </si>
  <si>
    <t>2023-04-14</t>
  </si>
  <si>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</si>
  <si>
    <t>XOM</t>
  </si>
  <si>
    <t>2023-04-27</t>
  </si>
  <si>
    <t>2023-04-28</t>
  </si>
  <si>
    <t>Phase 2/ExxonMobil/Q1 2023/XOM-Q1-2023-press-release-SEC-EX99-1.htm; Phase 2/ExxonMobil/Q1 2023/XOM-Q1-2023-exhibit-SEC-EX99-2.htm; Phase 2/ExxonMobil/Q1 2023/XOM-Q1-2023-earnings-call-transcript-MotleyFool.html</t>
  </si>
  <si>
    <t>https://www.fool.com/earnings/call-transcripts/2023/04/28/exxonmobil-xom-q1-2023-earnings-call-transcript/; https://www.sec.gov/Archives/edgar/data/34088/000003408823000028/f8k1q23991.htm; https://www.sec.gov/Archives/edgar/data/34088/000003408823000028/f8k1q23992.htm</t>
  </si>
  <si>
    <t>2023-07-14</t>
  </si>
  <si>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</si>
  <si>
    <t>2023-07-27</t>
  </si>
  <si>
    <t>2023-07-28</t>
  </si>
  <si>
    <t>Phase 2/ExxonMobil/Q2 2023/XOM-Q2-2023-press-release-SEC-EX99-1.htm; Phase 2/ExxonMobil/Q2 2023/XOM-Q2-2023-exhibit-SEC-EX99-2.htm; Phase 2/ExxonMobil/Q2 2023/XOM-Q2-2023-earnings-call-transcript-InsiderMonkey.html</t>
  </si>
  <si>
    <t>https://www.insidermonkey.com/blog/exxon-mobil-corporation-nysexom-q2-2023-earnings-call-transcript-1173871/; https://www.sec.gov/Archives/edgar/data/34088/000003408823000046/f8k2q23991.htm; https://www.sec.gov/Archives/edgar/data/34088/000003408823000046/f8k2q23992.htm</t>
  </si>
  <si>
    <t>2023-10-12</t>
  </si>
  <si>
    <t>2023-10-13</t>
  </si>
  <si>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</si>
  <si>
    <t>2023-10-26</t>
  </si>
  <si>
    <t>2023-10-27</t>
  </si>
  <si>
    <t>Phase 2/ExxonMobil/Q3 2023/XOM-Q3-2023-press-release-SEC-EX99-1.htm; Phase 2/ExxonMobil/Q3 2023/XOM-Q3-2023-exhibit-SEC-EX99-2.htm; Phase 2/ExxonMobil/Q3 2023/XOM-Q3-2023-earnings-call-transcript-MotleyFool.html</t>
  </si>
  <si>
    <t>https://www.fool.com/earnings/call-transcripts/2023/10/27/exxonmobil-xom-q3-2023-earnings-call-transcript/; https://www.sec.gov/Archives/edgar/data/34088/000003408823000054/f8k3q23991.htm; https://www.sec.gov/Archives/edgar/data/34088/000003408823000054/f8k3q23992.htm</t>
  </si>
  <si>
    <t>2024-01-18</t>
  </si>
  <si>
    <t>2024-01-19</t>
  </si>
  <si>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</si>
  <si>
    <t>2024-02-02</t>
  </si>
  <si>
    <t>Phase 2/ExxonMobil/Q4 2023/XOM-Q4-2023-press-release-SEC-EX99-1.htm; Phase 2/ExxonMobil/Q4 2023/XOM-Q4-2023-exhibit-SEC-EX99-2.htm; Phase 2/ExxonMobil/Q4 2023/XOM-Q4-2023-earnings-call-transcript-InsiderMonkey.html</t>
  </si>
  <si>
    <t>https://www.insidermonkey.com/blog/exxon-mobil-corporation-nysexom-q4-2023-earnings-call-transcript-1253330/; https://www.sec.gov/Archives/edgar/data/34088/000003408824000007/f8k4q23991.htm; https://www.sec.gov/Archives/edgar/data/34088/000003408824000007/f8k4q23992.htm</t>
  </si>
  <si>
    <t>2024-04-11</t>
  </si>
  <si>
    <t>2024-04-12</t>
  </si>
  <si>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</si>
  <si>
    <t>2024-04-25</t>
  </si>
  <si>
    <t>2024-04-26</t>
  </si>
  <si>
    <t>Phase 2/ExxonMobil/Q1 2024/XOM-Q1-2024-press-release-SEC-EX99-1.htm; Phase 2/ExxonMobil/Q1 2024/XOM-Q1-2024-exhibit-SEC-EX99-2.htm; Phase 2/ExxonMobil/Q1 2024/XOM-Q1-2024-earnings-call-transcript-MotleyFool.html</t>
  </si>
  <si>
    <t>https://www.fool.com/earnings/call-transcripts/2024/04/26/exxonmobil-xom-q1-2024-earnings-call-transcript/; https://www.sec.gov/Archives/edgar/data/34088/000003408824000025/f8k1q24991.htm; https://www.sec.gov/Archives/edgar/data/34088/000003408824000025/f8k1q24992.htm</t>
  </si>
  <si>
    <t>2024-07-18</t>
  </si>
  <si>
    <t>2024-07-19</t>
  </si>
  <si>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</si>
  <si>
    <t>2024-08-02</t>
  </si>
  <si>
    <t>Phase 2/ExxonMobil/Q2 2024/XOM-Q2-2024-press-release-SEC-EX99-1.htm; Phase 2/ExxonMobil/Q2 2024/XOM-Q2-2024-exhibit-SEC-EX99-2.htm; Phase 2/ExxonMobil/Q2 2024/XOM-Q2-2024-earnings-call-transcript-AlphaStreet.html</t>
  </si>
  <si>
    <t>https://news.alphastreet.com/exxon-mobil-corporation-xom-q2-2024-earnings-call-transcript/; https://www.sec.gov/Archives/edgar/data/34088/000003408824000048/f8k2q24991.htm; https://www.sec.gov/Archives/edgar/data/34088/000003408824000048/f8k2q24992.htm</t>
  </si>
  <si>
    <t>2024-10-18</t>
  </si>
  <si>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</si>
  <si>
    <t>2024-11-01</t>
  </si>
  <si>
    <t>Phase 2/ExxonMobil/Q3 2024/XOM-Q3-2024-press-release-SEC-EX99-1.htm; Phase 2/ExxonMobil/Q3 2024/XOM-Q3-2024-exhibit-SEC-EX99-2.htm; Phase 2/ExxonMobil/Q3 2024/XOM-Q3-2024-earnings-call-transcript-InsiderMonkey.html</t>
  </si>
  <si>
    <t>https://www.insidermonkey.com/blog/exxon-mobil-corporation-nysexom-q3-2024-earnings-call-transcript-1384592/; https://www.sec.gov/Archives/edgar/data/34088/000003408824000066/f8k3q24991.htm; https://www.sec.gov/Archives/edgar/data/34088/000003408824000066/f8k3q24992.htm</t>
  </si>
  <si>
    <t>2025-01-16</t>
  </si>
  <si>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</si>
  <si>
    <t>2025-01-31</t>
  </si>
  <si>
    <t>Phase 2/ExxonMobil/Q4 2024/XOM-Q4-2024-press-release-SEC-EX99-1.htm; Phase 2/ExxonMobil/Q4 2024/XOM-Q4-2024-exhibit-SEC-EX99-2.htm; Phase 2/ExxonMobil/Q4 2024/XOM-Q4-2024-earnings-call-transcript-InsiderMonkey.html</t>
  </si>
  <si>
    <t>https://www.insidermonkey.com/blog/exxon-mobil-corporation-nysexom-q4-2024-earnings-call-transcript-1440191/; https://www.sec.gov/Archives/edgar/data/34088/000003408825000006/f8k4q24991.htm; https://www.sec.gov/Archives/edgar/data/34088/000003408825000006/f8k4q24992.htm</t>
  </si>
  <si>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</si>
  <si>
    <t>2025-05-02</t>
  </si>
  <si>
    <t>Phase 2/ExxonMobil/Q1 2025/XOM-Q1-2025-press-release-SEC-EX99-1.htm; Phase 2/ExxonMobil/Q1 2025/XOM-Q1-2025-exhibit-SEC-EX99-2.htm; Phase 2/ExxonMobil/Q1 2025/XOM-Q1-2025-earnings-call-transcript-InsiderMonkey.html</t>
  </si>
  <si>
    <t>https://www.insidermonkey.com/blog/exxon-mobil-corporation-nysexom-q1-2025-earnings-call-transcript-1523928/; https://www.sec.gov/Archives/edgar/data/34088/000003408825000022/livef8k1q25991.htm; https://www.sec.gov/Archives/edgar/data/34088/000003408825000022/livef8k1q25992.htm</t>
  </si>
  <si>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</si>
  <si>
    <t>Phase 2/ExxonMobil/Q2 2025/XOM-Q2-2025-press-release-SEC-EX99-1.htm; Phase 2/ExxonMobil/Q2 2025/XOM-Q2-2025-exhibit-SEC-EX99-2.htm; Phase 2/ExxonMobil/Q2 2025/XOM-Q2-2025-earnings-call-transcript-InsiderMonkey.html</t>
  </si>
  <si>
    <t>https://www.insidermonkey.com/blog/exxon-mobil-corporation-nysexom-q2-2025-earnings-call-transcript-1582775/; https://www.sec.gov/Archives/edgar/data/34088/000003408825000040/livef8k2q25991.htm; https://www.sec.gov/Archives/edgar/data/34088/000003408825000040/livef8k2q25992.htm</t>
  </si>
  <si>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</si>
  <si>
    <t>Phase 2/ExxonMobil/Q3 2025/XOM-Q3-2025-press-release-SEC-EX99-1.htm; Phase 2/ExxonMobil/Q3 2025/XOM-Q3-2025-exhibit-SEC-EX99-2.htm; Phase 2/ExxonMobil/Q3 2025/XOM-Q3-2025-earnings-call-transcript-InsiderMonkey.html</t>
  </si>
  <si>
    <t>https://www.insidermonkey.com/blog/exxon-mobil-corporation-nysexom-q3-2025-earnings-call-transcript-1638821/; https://www.sec.gov/Archives/edgar/data/34088/000003408825000059/livef8k3q25991.htm; https://www.sec.gov/Archives/edgar/data/34088/000003408825000059/livef8k3q25992.htm</t>
  </si>
  <si>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</si>
  <si>
    <t>Phase 2/ExxonMobil/Q4 2025/XOM-Q4-2025-press-release-SEC-EX99-1.htm; Phase 2/ExxonMobil/Q4 2025/XOM-Q4-2025-exhibit-SEC-EX99-2.htm; Phase 2/ExxonMobil/Q4 2025/XOM-Q4-2025-earnings-call-transcript-InsiderMonkey.html</t>
  </si>
  <si>
    <t>https://www.insidermonkey.com/blog/exxon-mobil-corporation-nysexom-q4-2025-earnings-call-transcript-1686033/; https://www.sec.gov/Archives/edgar/data/34088/000003408826000033/livef8k4q25991.htm; https://www.sec.gov/Archives/edgar/data/34088/000003408826000033/livef8k4q25992.htm</t>
  </si>
  <si>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</si>
  <si>
    <t>Phase 2/ExxonMobil/Q1 2026/XOM-Q1-2026-press-release-SEC-EX99-1.htm; Phase 2/ExxonMobil/Q1 2026/XOM-Q1-2026-exhibit-SEC-EX99-2.htm; Phase 2/ExxonMobil/Q1 2026/XOM-Q1-2026-earnings-call-transcript-InsiderMonkey.html</t>
  </si>
  <si>
    <t>https://www.insidermonkey.com/blog/exxon-mobil-corporation-nysexom-q1-2026-earnings-call-transcript-1752603/; https://www.sec.gov/Archives/edgar/data/34088/000003408826000065/livef8k1q26991.htm; https://www.sec.gov/Archives/edgar/data/34088/000003408826000065/livef8k1q26992.htm</t>
  </si>
  <si>
    <t>American Express</t>
  </si>
  <si>
    <t>2025-07-03</t>
  </si>
  <si>
    <t>2025-07-07</t>
  </si>
  <si>
    <t>AXP</t>
  </si>
  <si>
    <t>Phase 2/American Express/2025-Q2/AXP-2025-Q2-quarterly-financial-statements-SEC-10-Q.htm</t>
  </si>
  <si>
    <t>https://www.sec.gov/Archives/edgar/data/4962/ (10-Q, Q2 2025)</t>
  </si>
  <si>
    <t>Phase 2/American Express/2025-Q2/AXP-2025-Q2-press-release-SEC-EX-99-1.htm; Phase 2/American Express/2025-Q2/AXP-2025-Q2-quarterly-financial-statements-SEC-10-Q.htm</t>
  </si>
  <si>
    <t>https://www.sec.gov/Archives/edgar/data/4962/ (10-Q, Q2 2025); https://www.sec.gov/Archives/edgar/data/4962/000000496225000082/q225exhibit991.htm</t>
  </si>
  <si>
    <t>2025-10-02</t>
  </si>
  <si>
    <t>2025-10-03</t>
  </si>
  <si>
    <t>Phase 2/American Express/2025-Q3/AXP-2025-Q3-earnings-call-transcript-fool-com.html</t>
  </si>
  <si>
    <t>https://www.fool.com/earnings/call-transcripts/2025/10/17/amex-axp-q3-2025-earnings-call-transcript/</t>
  </si>
  <si>
    <t>Phase 2/American Express/2025-Q3/AXP-2025-Q3-press-release-SEC-EX-99-1.htm; Phase 2/American Express/2025-Q3/AXP-2025-Q3-earnings-call-transcript-fool-com.html</t>
  </si>
  <si>
    <t>https://www.fool.com/earnings/call-transcripts/2025/10/17/amex-axp-q3-2025-earnings-call-transcript/; https://www.sec.gov/Archives/edgar/data/4962/000000496225000218/q325exhibit991v2.htm</t>
  </si>
  <si>
    <t>Phase 2/American Express/2025-Q4/AXP-2025-Q4-earnings-call-transcript-fool-com.html</t>
  </si>
  <si>
    <t>https://www.fool.com/earnings/call-transcripts/2026/01/30/american-express-axp-q4-2025-earnings-call-transcript/</t>
  </si>
  <si>
    <t>Phase 2/American Express/2025-Q4/AXP-2025-Q4-press-release-SEC-EX-99-1.htm; Phase 2/American Express/2025-Q4/AXP-2025-Q4-earnings-call-transcript-fool-com.html</t>
  </si>
  <si>
    <t>https://www.fool.com/earnings/call-transcripts/2026/01/30/american-express-axp-q4-2025-earnings-call-transcript/; https://www.sec.gov/Archives/edgar/data/4962/000000496226000037/q425exhibit991.htm</t>
  </si>
  <si>
    <t>2026-04-24</t>
  </si>
  <si>
    <t>Phase 2/American Express/2026-Q1/AXP-2026-Q1-press-release-SEC-EX-99-1.htm</t>
  </si>
  <si>
    <t>https://www.sec.gov/Archives/edgar/data/4962/000000496226000188/q126exhibit991.htm</t>
  </si>
  <si>
    <t>Chevron</t>
  </si>
  <si>
    <t>CVX</t>
  </si>
  <si>
    <t>Phase 2/Chevron/2025-Q2/CVX-2025-Q2-quarterly-financial-statements-SEC-10-Q.htm</t>
  </si>
  <si>
    <t>https://www.sec.gov/Archives/edgar/data/93410/ (10-Q, Q2 2025)</t>
  </si>
  <si>
    <t>Driven by realisations and the shareholder return commitment</t>
  </si>
  <si>
    <t>56 chevron q22025 financials.pdf</t>
  </si>
  <si>
    <t>Phase 2/Chevron/2025-Q2/CVX-2025-Q2-press-release-SEC-EX-99-1.htm; Phase 2/Chevron/2025-Q2/CVX-2025-Q2-quarterly-financial-statements-SEC-10-Q.htm</t>
  </si>
  <si>
    <t>https://www.sec.gov/Archives/edgar/data/93410/ (10-Q, Q2 2025); https://www.sec.gov/Archives/edgar/data/93410/000009341025000058/a06302025ex9918-k.htm</t>
  </si>
  <si>
    <t>Phase 2/Chevron/2025-Q3/CVX-2025-Q3-earnings-call-transcript-fool-com.html</t>
  </si>
  <si>
    <t>https://www.fool.com/earnings/call-transcripts/2025/10/31/chevron-cvx-q3-2025-earnings-call-transcript/</t>
  </si>
  <si>
    <t>57 chevron q32025 guidance.pdf</t>
  </si>
  <si>
    <t>Phase 2/Chevron/2025-Q3/CVX-2025-Q3-press-release-SEC-EX-99-1.htm; Phase 2/Chevron/2025-Q3/CVX-2025-Q3-earnings-call-transcript-fool-com.html</t>
  </si>
  <si>
    <t>https://www.fool.com/earnings/call-transcripts/2025/10/31/chevron-cvx-q3-2025-earnings-call-transcript/; https://www.sec.gov/Archives/edgar/data/93410/000009341025000103/a09302025ex9918-k.htm</t>
  </si>
  <si>
    <t>Phase 2/Chevron/2025-Q4/CVX-2025-Q4-earnings-call-transcript-fool-com.html</t>
  </si>
  <si>
    <t>https://www.fool.com/earnings/call-transcripts/2026/01/30/chevron-cvx-q4-2025-earnings-call-transcript/</t>
  </si>
  <si>
    <t>58 chevron q42025 qanda.pdf</t>
  </si>
  <si>
    <t>Phase 2/Chevron/2025-Q4/CVX-2025-Q4-press-release-SEC-EX-99-1.htm; Phase 2/Chevron/2025-Q4/CVX-2025-Q4-earnings-call-transcript-fool-com.html</t>
  </si>
  <si>
    <t>https://www.fool.com/earnings/call-transcripts/2026/01/30/chevron-cvx-q4-2025-earnings-call-transcript/; https://www.sec.gov/Archives/edgar/data/93410/000009341026000019/a12312025ex9918-k.htm</t>
  </si>
  <si>
    <t>Phase 2/Chevron/2026-Q1/CVX-2026-Q1-press-release-SEC-EX-99-1.htm</t>
  </si>
  <si>
    <t>https://www.sec.gov/Archives/edgar/data/93410/000009341026000110/a03312026ex9918-k.htm</t>
  </si>
  <si>
    <t>59 chevron q12026 full.pdf</t>
  </si>
  <si>
    <t>Intel</t>
  </si>
  <si>
    <t>INTC</t>
  </si>
  <si>
    <t>Phase 2/Intel/2025-Q2/INTC-2025-Q2-quarterly-financial-statements-SEC-10-Q.htm</t>
  </si>
  <si>
    <t>https://www.sec.gov/Archives/edgar/data/50863/ (10-Q, Q2 2025)</t>
  </si>
  <si>
    <t>This name lives on the foundry losses and the cash burn, not</t>
  </si>
  <si>
    <t>60 intel q22025 financials.pdf</t>
  </si>
  <si>
    <t>Phase 2/Intel/2025-Q2/INTC-2025-Q2-press-release-SEC-EX-99-1.htm; Phase 2/Intel/2025-Q2/INTC-2025-Q2-quarterly-financial-statements-SEC-10-Q.htm</t>
  </si>
  <si>
    <t>https://www.sec.gov/Archives/edgar/data/50863/ (10-Q, Q2 2025); https://www.sec.gov/Archives/edgar/data/50863/000005086325000107/q225_earningsrelease.htm</t>
  </si>
  <si>
    <t>Phase 2/Intel/2025-Q3/INTC-2025-Q3-earnings-call-transcript-fool-com.html</t>
  </si>
  <si>
    <t>https://www.fool.com/earnings/call-transcripts/2025/10/24/intel-intc-q3-2025-earnings-call-transcript/</t>
  </si>
  <si>
    <t>61 intel q32025 guidance.pdf</t>
  </si>
  <si>
    <t>Phase 2/Intel/2025-Q3/INTC-2025-Q3-press-release-SEC-EX-99-1.htm; Phase 2/Intel/2025-Q3/INTC-2025-Q3-earnings-call-transcript-fool-com.html</t>
  </si>
  <si>
    <t>https://www.fool.com/earnings/call-transcripts/2025/10/24/intel-intc-q3-2025-earnings-call-transcript/; https://www.sec.gov/Archives/edgar/data/50863/000005086325000169/q325earningsrelease.htm</t>
  </si>
  <si>
    <t>2026-01-23</t>
  </si>
  <si>
    <t>Phase 2/Intel/2025-Q4/INTC-2025-Q4-earnings-call-transcript-fool-com.html</t>
  </si>
  <si>
    <t>https://www.fool.com/earnings/call-transcripts/2026/01/23/intel-intc-q4-2025-earnings-call-transcript/</t>
  </si>
  <si>
    <t>62 intel q42025 qanda.pdf</t>
  </si>
  <si>
    <t>Phase 2/Intel/2025-Q4/INTC-2025-Q4-press-release-SEC-EX-99-1.htm; Phase 2/Intel/2025-Q4/INTC-2025-Q4-earnings-call-transcript-fool-com.html</t>
  </si>
  <si>
    <t>https://www.fool.com/earnings/call-transcripts/2026/01/23/intel-intc-q4-2025-earnings-call-transcript/; https://www.sec.gov/Archives/edgar/data/50863/000005086326000009/q425earningsrelease.htm</t>
  </si>
  <si>
    <t>Phase 2/Intel/2026-Q1/INTC-2026-Q1-press-release-SEC-EX-99-1.htm</t>
  </si>
  <si>
    <t>https://www.sec.gov/Archives/edgar/data/50863/000005086326000077/q126earningsrelease.htm</t>
  </si>
  <si>
    <t>63 intel q12026 full.pdf</t>
  </si>
  <si>
    <t>Mastercard</t>
  </si>
  <si>
    <t>MA</t>
  </si>
  <si>
    <t>Phase 2/Mastercard/2025-Q2/MA-2025-Q2-quarterly-financial-statements-SEC-10-Q.htm</t>
  </si>
  <si>
    <t>https://www.sec.gov/Archives/edgar/data/1141391/ (10-Q, Q2 2025)</t>
  </si>
  <si>
    <t>Volume growth is never the surprise here; the surprise is al</t>
  </si>
  <si>
    <t>64 mastercard q22025 financials.pdf</t>
  </si>
  <si>
    <t>Phase 2/Mastercard/2025-Q2/MA-2025-Q2-press-release-SEC-EX-99-1.htm; Phase 2/Mastercard/2025-Q2/MA-2025-Q2-quarterly-financial-statements-SEC-10-Q.htm</t>
  </si>
  <si>
    <t>https://www.sec.gov/Archives/edgar/data/1141391/ (10-Q, Q2 2025); https://www.sec.gov/Archives/edgar/data/1141391/000114139125000170/ma06302025-exx991xearnings.htm</t>
  </si>
  <si>
    <t>Phase 2/Mastercard/2025-Q3/MA-2025-Q3-earnings-call-transcript-fool-com.html</t>
  </si>
  <si>
    <t>https://www.fool.com/earnings/call-transcripts/2025/10/30/mastercard-q3-2025-earnings-call-transcript/</t>
  </si>
  <si>
    <t>65 mastercard q32025 guidance.pdf</t>
  </si>
  <si>
    <t>Phase 2/Mastercard/2025-Q3/MA-2025-Q3-press-release-SEC-EX-99-1.htm; Phase 2/Mastercard/2025-Q3/MA-2025-Q3-earnings-call-transcript-fool-com.html</t>
  </si>
  <si>
    <t>https://www.fool.com/earnings/call-transcripts/2025/10/30/mastercard-q3-2025-earnings-call-transcript/; https://www.sec.gov/Archives/edgar/data/1141391/000114139125000191/ma09302025-exx991xearnings.htm</t>
  </si>
  <si>
    <t>Phase 2/Mastercard/2025-Q4/MA-2025-Q4-earnings-call-transcript-fool-com.html</t>
  </si>
  <si>
    <t>https://www.fool.com/earnings/call-transcripts/2026/01/29/mastercard-ma-q4-2025-earnings-call-transcript/</t>
  </si>
  <si>
    <t>66 mastercard q42025 qanda.pdf</t>
  </si>
  <si>
    <t>Phase 2/Mastercard/2025-Q4/MA-2025-Q4-press-release-SEC-EX-99-1.htm; Phase 2/Mastercard/2025-Q4/MA-2025-Q4-earnings-call-transcript-fool-com.html</t>
  </si>
  <si>
    <t>https://www.fool.com/earnings/call-transcripts/2026/01/29/mastercard-ma-q4-2025-earnings-call-transcript/; https://www.sec.gov/Archives/edgar/data/1141391/000114139126000003/ma12312025-exx991xearnings.htm</t>
  </si>
  <si>
    <t>Phase 2/Mastercard/2026-Q1/MA-2026-Q1-press-release-SEC-EX-99-1.htm</t>
  </si>
  <si>
    <t>https://www.sec.gov/Archives/edgar/data/1141391/000114139126000029/ma03312026-exx991xearnings.htm</t>
  </si>
  <si>
    <t>67 mastercard q12026 full.pdf</t>
  </si>
  <si>
    <t>Shell</t>
  </si>
  <si>
    <t>SHEL.L</t>
  </si>
  <si>
    <t>Phase 2/SHELL/2025-Q2/SHEL-2025-Q2-quarterly-financial-statements-shell-com.pdf</t>
  </si>
  <si>
    <t>https://www.shell.com/ (Q2 2025 quarterly results announcement)</t>
  </si>
  <si>
    <t>Trading and the buyback pace move this more than the upstrea</t>
  </si>
  <si>
    <t>68 shell q22025 financials.pdf</t>
  </si>
  <si>
    <t>Phase 2/SHELL/2025-Q2/SHEL-2025-Q2-press-release-SEC-EX-99-1.htm; Phase 2/SHELL/2025-Q2/SHEL-2025-Q2-quarterly-financial-statements-shell-com.pdf</t>
  </si>
  <si>
    <t>https://www.sec.gov/Archives/edgar/data/1306965/000130696525000031/q22025exhibit991.htm; https://www.shell.com/ (Q2 2025 quarterly results announcement)</t>
  </si>
  <si>
    <t>Phase 2/SHELL/2025-Q3/SHEL-2025-Q3-earnings-call-transcript-shell-com.pdf</t>
  </si>
  <si>
    <t>https://www.shell.com/.../q3-2025-speech-transcript.pdf</t>
  </si>
  <si>
    <t>69 shell q32025 guidance.pdf</t>
  </si>
  <si>
    <t>Phase 2/SHELL/2025-Q3/SHEL-2025-Q3-press-release-SEC-EX-99-1.htm; Phase 2/SHELL/2025-Q3/SHEL-2025-Q3-earnings-call-transcript-shell-com.pdf</t>
  </si>
  <si>
    <t>https://www.sec.gov/Archives/edgar/data/1306965/000162828025047312/q32025exhibit991.htm; https://www.shell.com/.../q3-2025-speech-transcript.pdf</t>
  </si>
  <si>
    <t>Phase 2/SHELL/2025-Q4/SHEL-2025-Q4-earnings-call-transcript-shell-com.pdf</t>
  </si>
  <si>
    <t>https://www.shell.com/.../q4-2025-speech-transcript.pdf</t>
  </si>
  <si>
    <t>70 shell q42025 qanda.pdf</t>
  </si>
  <si>
    <t>Phase 2/SHELL/2025-Q4/SHEL-2025-Q4-press-release-SEC-EX-99-1.htm; Phase 2/SHELL/2025-Q4/SHEL-2025-Q4-earnings-call-transcript-shell-com.pdf</t>
  </si>
  <si>
    <t>https://www.sec.gov/Archives/edgar/data/1306965/000162828026005600/q42025exhibit991.htm; https://www.shell.com/.../q4-2025-speech-transcript.pdf</t>
  </si>
  <si>
    <t>Phase 2/SHELL/2026-Q1/SHEL-2026-Q1-press-release-SEC-EX-99-1.htm</t>
  </si>
  <si>
    <t>https://www.sec.gov/Archives/edgar/data/1306965/000162828026031628/q12026exhibit991.htm</t>
  </si>
  <si>
    <t>71 shell q12026 full.pdf</t>
  </si>
  <si>
    <t>LLM Readings — Data Entry | In Clean Universe column added 2026-08-13: 233 YES (N=233 clean universe), 35 NO (excluded). See Corrections_Log.</t>
  </si>
  <si>
    <t>SECTION D - provenance and classification for the model arm. Same rules as Human_Data_Entry!AL:AY. Columns A:U are untouched pasted values and stay that way.</t>
  </si>
  <si>
    <t xml:space="preserve">Time (seconds)
</t>
  </si>
  <si>
    <t>Closing Date</t>
  </si>
  <si>
    <t>Opening Date</t>
  </si>
  <si>
    <t>Token Cost ($)</t>
  </si>
  <si>
    <t>In Human Universe</t>
  </si>
  <si>
    <t>Conviction-weighted P&amp;L, re-priced (helper)</t>
  </si>
  <si>
    <t>Run</t>
  </si>
  <si>
    <t>Run Evidence</t>
  </si>
  <si>
    <t>In Clean Universe</t>
  </si>
  <si>
    <t>Exclusion Reason</t>
  </si>
  <si>
    <t>Ben/DeepSeek</t>
  </si>
  <si>
    <t>LLM</t>
  </si>
  <si>
    <t>HOLD</t>
  </si>
  <si>
    <t>w=[0.55,0.45,0,0] thr=(+0.25,-0.05), deployed default (risk-accepted, PSR=0.0/perm p=0.150 at N=161, not rechecked at N=268)</t>
  </si>
  <si>
    <t>re-read since v1</t>
  </si>
  <si>
    <t>Phase 2/Master_Data_v1.xlsx</t>
  </si>
  <si>
    <t>Phase 2/Airbnb/2025-Q2/ABNB-2025-Q2-press-release-SEC-EX-99-1.htm</t>
  </si>
  <si>
    <t>https://www.sec.gov/Archives/edgar/data/1559720/000119312525174438/d17531dex991.htm</t>
  </si>
  <si>
    <t>BUY</t>
  </si>
  <si>
    <t>Phase 2/Airbnb/2025-Q4/ABNB-2025-Q4-press-release-SEC-EX-99-1.htm</t>
  </si>
  <si>
    <t>https://www.sec.gov/Archives/edgar/data/1559720/000119312526048670/d58192dex991.htm</t>
  </si>
  <si>
    <t>worksheet contamination</t>
  </si>
  <si>
    <t>SELL</t>
  </si>
  <si>
    <t>not in v1</t>
  </si>
  <si>
    <t>no earlier record</t>
  </si>
  <si>
    <t>Phase 2/Lowe's/2026-Q1/LOW-2026-Q1-press-release-SEC-EX-99-1.htm; Phase 2/Lowe's/2026-Q1/LOW-2026-Q1-earnings-call-transcript-corporate-lowes-com.pdf</t>
  </si>
  <si>
    <t>https://corporate.lowes.com/sites/lowes-corp/files/low-usq-transcript-2026-05-20-1.pdf; https://www.sec.gov/Archives/edgar/data/60667/000006066725000094/exhibit991-05022025.htm</t>
  </si>
  <si>
    <t>timing unresolved (non-US issuer)</t>
  </si>
  <si>
    <t>Phase 2/Uber/2025-Q1/UBER-2025-Q1-press-release-SEC-EX-99-1.htm</t>
  </si>
  <si>
    <t>https://www.sec.gov/Archives/edgar/data/1543151/000154315125000012/uberq125earningspressrelea.htm</t>
  </si>
  <si>
    <t>Phase 2/Uber/2026-Q1/UBER-2026-Q1-press-release-SEC-EX-99-1.htm</t>
  </si>
  <si>
    <t>https://www.sec.gov/Archives/edgar/data/1543151/000154315126000019/uberq126earningspressrelea.htm</t>
  </si>
  <si>
    <t>Phase 2/Uber/2025-Q2/UBER-2025-Q2-press-release-SEC-EX-99-1.htm</t>
  </si>
  <si>
    <t>https://www.sec.gov/Archives/edgar/data/1543151/000154315125000020/uberq225earningspressrelea.htm</t>
  </si>
  <si>
    <t>Phase 2/Uber/2025-Q4/UBER-2025-Q4-press-release-SEC-EX-99-1.htm</t>
  </si>
  <si>
    <t>https://www.sec.gov/Archives/edgar/data/1543151/000154315126000011/uberq425earningspressrelea.htm</t>
  </si>
  <si>
    <t>Phase 2/Walmart/Q1 2025/q1-fy26-earnings-release.pdf; Phase 2/Walmart/Q1 2025/q1-fy26-earnings-presentation.pdf; Phase 2/Walmart/Q1 2025/q1-fy26-earnings-call-transcript.pdf</t>
  </si>
  <si>
    <t>Phase 2/Walmart/Q1 2026/q1-fy27-earnings-release.pdf; Phase 2/Walmart/Q1 2026/q1-fy27-earnings-presentation.pdf; Phase 2/Walmart/Q1 2026/q1-fy27-earnings-call-transcript.pdf</t>
  </si>
  <si>
    <t>Phase 2/Walmart/Q2 2025/q2-fy26-earnings-release.pdf; Phase 2/Walmart/Q2 2025/q2-fy26-earnings-presentation.pdf; Phase 2/Walmart/Q2 2025/q2-fy26-earnings-call-transcript.pdf</t>
  </si>
  <si>
    <t>Phase 2/Walmart/Q3 2025/q3-fy26-earnings-release.pdf; Phase 2/Walmart/Q3 2025/q3-fy26-earnings-presentation.pdf; Phase 2/Walmart/Q3 2025/q3-fy26-earnings-call-transcript.pdf</t>
  </si>
  <si>
    <t>Phase 2/Walmart/Q4 2025/q4-fy26-earnings-release.pdf; Phase 2/Walmart/Q4 2025/q4-fy26-earnings-presentation.pdf; Phase 2/Walmart/Q4 2025/q4-fy26-earnings-call-transcript.pdf</t>
  </si>
  <si>
    <t>Phase 2/bank of america/2025-Q1/BAC-2025-Q1-press-release-SEC-EX-99-1.htm; Phase 2/bank of america/2025-Q1/BAC-2025-Q1-earnings-call-transcript-roic-ai.html</t>
  </si>
  <si>
    <t>https://www.sec.gov/Archives/edgar/data/70858/000007085825000187/bac033125ex991.htm; roic.ai API /v2/company/earnings-calls/transcript/BAC?year=2025&amp;quarter=1</t>
  </si>
  <si>
    <t>w=[0.55,0.45,0,0] thr=(+0.25,-0.05), deployed default (risk-accepted, PSR=0.0/perm p=0.150 at N=161, not rechecked at N=268) | report_date ambiguous (multiple candidate trading days), unreviewed - see phase2/report_dates.json</t>
  </si>
  <si>
    <t>Phase 2/bank of america/2025-Q2/BAC-2025-Q2-press-release-SEC-EX-99-1.htm; Phase 2/bank of america/2025-Q2/BAC-2025-Q2-earnings-call-transcript-news-alphastreet-com.html</t>
  </si>
  <si>
    <t>https://news.alphastreet.com/bank-of-america-corporation-bac-q2-2025-earnings-call-transcript/; https://www.sec.gov/Archives/edgar/data/70858/000007085825000254/bac063025ex991.htm</t>
  </si>
  <si>
    <t>Phase 2/bank of america/2025-Q3/BAC-2025-Q3-press-release-SEC-EX-99-1.htm; Phase 2/bank of america/2025-Q3/BAC-2025-Q3-earnings-call-transcript-news-alphastreet-com.html</t>
  </si>
  <si>
    <t>https://news.alphastreet.com/bank-of-america-corporation-bac-q3-2025-earnings-call-transcript/; https://www.sec.gov/Archives/edgar/data/70858/000007085825000390/bac093025ex991.htm</t>
  </si>
  <si>
    <t>Phase 2/bank of america/2025-Q4/BAC-2025-Q4-press-release-SEC-EX-99-1.htm; Phase 2/bank of america/2025-Q4/BAC-2025-Q4-earnings-call-transcript-news-alphastreet-com.html</t>
  </si>
  <si>
    <t>https://news.alphastreet.com/bank-of-america-corporation-bac-q4-2025-earnings-call-transcript/; https://www.sec.gov/Archives/edgar/data/70858/000007085826000020/bac12312025ex991.htm</t>
  </si>
  <si>
    <t>w=[0.55,0.45,0,0] thr=(+0.25,-0.05), deployed default (risk-accepted, PSR=0.0/perm p=0.150 at N=161, not rechecked at N=268) | Token Cost unavailable: predates cost_log tracking, not backfillable</t>
  </si>
  <si>
    <t>Phase 2/JPMC Documents/2026-Q1/JPM-2026-Q1-press-release-SEC-EX-99-1.htm; Phase 2/JPMC Documents/2026-Q1/JPM-2026-Q1-earnings-call-transcript-jpmorganchase-com.pdf</t>
  </si>
  <si>
    <t>https://www.jpmorganchase.com/content/dam/jpmc/jpmorgan-chase-and-co/investor-relations/documents/quarterly-earnings/2026/1st-quarter/1q26-earnings-transcript.pdf; https://www.sec.gov/Archives/edgar/data/19617/000162828026024990/a1q26erfexhibit991narrative.htm</t>
  </si>
  <si>
    <t>Phase 2/Target/2025-Q1/TGT-2025-Q1-press-release-SEC-EX-99.htm; Phase 2/Target/2025-Q1/TGT-2025-Q1-earnings-call-transcript-corporate-target-com.pdf</t>
  </si>
  <si>
    <t>https://corporate.target.com/getmedia/9c383747-166d-4310-b91f-cd77b7d06433/2025-May-21-TGT-Transcript.pdf%C2%A0%C2%A0; https://www.sec.gov/Archives/edgar/data/27419/000002741925000096/a2025q1ex-99.htm</t>
  </si>
  <si>
    <t>Phase 2/Target/2026-Q1/TGT-2026-Q1-press-release-SEC-EX-99.htm; Phase 2/Target/2026-Q1/TGT-2026-Q1-earnings-call-transcript-fool-com.html</t>
  </si>
  <si>
    <t>https://www.fool.com/earnings/call-transcripts/2026/05/20/target-tgt-q1-2026-earnings-call-transcript/; https://www.sec.gov/Archives/edgar/data/27419/000002741926000020/a2026q1ex-99.htm</t>
  </si>
  <si>
    <t>Phase 2/Target/2025-Q2/TGT-2025-Q2-press-release-SEC-EX-99.htm; Phase 2/Target/2025-Q2/TGT-2025-Q2-earnings-call-transcript-corporate-target-com.pdf</t>
  </si>
  <si>
    <t>https://corporate.target.com/getmedia/c5751599-850d-4bb0-b599-d8ac55a91156/2025-august-20-tgt-transcript.pdf; https://www.sec.gov/Archives/edgar/data/27419/000002741925000115/a2025q2ex-99.htm</t>
  </si>
  <si>
    <t>Phase 2/Target/2025-Q3/TGT-2025-Q3-press-release-SEC-EX-99.htm; Phase 2/Target/2025-Q3/TGT-2025-Q3-earnings-call-transcript-corporate-target-com.pdf</t>
  </si>
  <si>
    <t>https://corporate.target.com/getmedia/1b701222-ff3c-4f65-b4b7-d0de5511f9a4/TGT-Transcript-2025-11-19.pdf; https://www.sec.gov/Archives/edgar/data/27419/000002741925000123/a2025q3ex-99.htm</t>
  </si>
  <si>
    <t>BCS</t>
  </si>
  <si>
    <t>Phase 2/Barclays/2026-Q1/BCS-2026-Q1-results-SEC-6-K.htm; Phase 2/Barclays/2026-Q1/BCS-2026-Q1-earnings-call-transcript-home-barclays.pdf</t>
  </si>
  <si>
    <t>https://home.barclays/content/dam/home-barclays/documents/investor-relations/ResultAnnouncements/Q12026Results/Q126%20Results%20QA%20transcript.pdf; https://www.sec.gov/Archives/edgar/data/312069/000165495426003973/a1071c.htm</t>
  </si>
  <si>
    <t>Phase 2/Barclays/2025-Q2/BCS-2025-Q2-results-SEC-6-K.htm; Phase 2/Barclays/2025-Q2/BCS-2025-Q2-earnings-call-transcript-home-barclays.pdf</t>
  </si>
  <si>
    <t>https://home.barclays/content/dam/home-barclays/documents/investor-relations/ResultAnnouncements/H12025Results/Q225-Q&amp;A-Transcript.pdf; https://www.sec.gov/Archives/edgar/data/312069/000165495425008608/a8909s.htm</t>
  </si>
  <si>
    <t>Phase 2/Barclays/2025-Q3/BCS-2025-Q3-results-SEC-6-K.htm; Phase 2/Barclays/2025-Q3/BCS-2025-Q3-earnings-call-transcript-fool-com.html</t>
  </si>
  <si>
    <t>https://www.fool.com/earnings/call-transcripts/2026/04/28/barclays-bcs-q3-2025-earnings-call-transcript/; https://www.sec.gov/Archives/edgar/data/312069/000165495425012054/a2903e.htm</t>
  </si>
  <si>
    <t>Phase 2/Microsoft/2025-Q1/MSFT-2025-Q1-press-release-SEC-EX-99-1.htm; Phase 2/Microsoft/2025-Q1/MSFT-2025-Q1-earnings-call-transcript-microsoft-com.html</t>
  </si>
  <si>
    <t>https://www.microsoft.com/en-us/investor/events/fy-2025/earnings-fy-2025-q1; https://www.sec.gov/Archives/edgar/data/789019/000095017025061032/msft-ex99_1.htm</t>
  </si>
  <si>
    <t>Phase 2/Microsoft/2026-Q1/MSFT-2026-Q1-press-release-SEC-EX-99-1.htm; Phase 2/Microsoft/2026-Q1/MSFT-2026-Q1-earnings-call-transcript-microsoft-com.html</t>
  </si>
  <si>
    <t>https://www.microsoft.com/en-us/investor/events/fy-2026/earnings-fy-2026-q1; https://www.sec.gov/Archives/edgar/data/789019/000119312526191457/msft-ex99_1.htm</t>
  </si>
  <si>
    <t>Phase 2/Microsoft/2025-Q2/MSFT-2025-Q2-press-release-SEC-EX-99-1.htm; Phase 2/Microsoft/2025-Q2/MSFT-2025-Q2-earnings-call-transcript-fool-com.html</t>
  </si>
  <si>
    <t>https://www.fool.com/earnings/call-transcripts/2025/01/29/microsoft-msft-q2-2025-earnings-call-transcript/; https://www.sec.gov/Archives/edgar/data/789019/000095017025100226/msft-ex99_1.htm</t>
  </si>
  <si>
    <t>NVO</t>
  </si>
  <si>
    <t>Phase 2/Marriott/2026-Q1/MAR-2026-Q1-press-release-SEC-EX-99.htm</t>
  </si>
  <si>
    <t>https://www.sec.gov/Archives/edgar/data/1048286/000104828626000012/mar-2026q1xex99earningsrel.htm</t>
  </si>
  <si>
    <t>Phase 2/Marriott/2025-Q3/MAR-2025-Q3-press-release-SEC-EX-99.htm</t>
  </si>
  <si>
    <t>https://www.sec.gov/Archives/edgar/data/1048286/000104828625000011/mar-2025q3xex99earningsrel.htm</t>
  </si>
  <si>
    <t>Phase 2/Marriott/2025-Q4/MAR-2025-Q4-press-release-SEC-EX-99.htm; Phase 2/Marriott/2025-Q4/MAR-2025-Q4-earnings-call-transcript-fool-com.html</t>
  </si>
  <si>
    <t>https://www.fool.com/earnings/call-transcripts/2026/02/10/marriott-mar-q4-2025-earnings-call-transcript/; https://www.sec.gov/Archives/edgar/data/1048286/000104828626000005/mar-2025q4xex99earningsrel.htm</t>
  </si>
  <si>
    <t>ALV.DE</t>
  </si>
  <si>
    <t>Phase 2/Alphabet/2026-Q1/GOOGL-2026-Q1-press-release-SEC-EX-99-1.htm; Phase 2/Alphabet/2026-Q1/GOOGL-2026-Q1-earnings-call-transcript-fool-com.html</t>
  </si>
  <si>
    <t>https://www.fool.com/earnings/call-transcripts/2026/04/29/alphabet-googl-q1-2026-earnings-call-transcript/; https://www.sec.gov/Archives/edgar/data/1652044/000165204426000043/googexhibit991q12026.htm</t>
  </si>
  <si>
    <t>Phase 2/Alphabet/2025-Q3/GOOGL-2025-Q3-press-release-SEC-EX-99-1.htm; Phase 2/Alphabet/2025-Q3/GOOGL-2025-Q3-earnings-call-transcript-fool-com.html</t>
  </si>
  <si>
    <t>https://www.fool.com/earnings/call-transcripts/2025/10/30/alphabet-goog-q3-2025-earnings-call-transcript/; https://www.sec.gov/Archives/edgar/data/1652044/000165204425000087/googexhibit991q32025.htm</t>
  </si>
  <si>
    <t>Phase 2/Broadcom/2026-Q1/AVGO-2026-Q1-press-release-SEC-EX-99-1.htm; Phase 2/Broadcom/2026-Q1/AVGO-2026-Q1-earnings-call-transcript-fool-com.html</t>
  </si>
  <si>
    <t>https://www.fool.com/earnings/call-transcripts/2026/03/04/broadcom-avgo-q1-2026-earnings-call-transcript/; https://www.sec.gov/Archives/edgar/data/1730168/000173016826000011/avgo-02012026x8kxex99.htm</t>
  </si>
  <si>
    <t>Phase 2/Broadcom/2025-Q4/AVGO-2025-Q4-press-release-SEC-EX-99-1.htm; Phase 2/Broadcom/2025-Q4/AVGO-2025-Q4-earnings-call-transcript-fool-com.html</t>
  </si>
  <si>
    <t>https://www.fool.com/earnings/call-transcripts/2025/12/12/broadcom-avgo-q4-2025-earnings-call-transcript/; https://www.sec.gov/Archives/edgar/data/1730168/000173016825000116/avgo-11022025x8kxex99.htm</t>
  </si>
  <si>
    <t>Phase 2/Caterpillar/2025-Q2/CAT-2025-Q2-press-release-SEC-EX-99-1.htm; Phase 2/Caterpillar/2025-Q2/CAT-2025-Q2-earnings-call-transcript-news-alphastreet-com.html; Phase 2/Caterpillar/2025-Q2/CAT-2025-Q2-quarterly-financial-statements-SEC-10-Q.htm</t>
  </si>
  <si>
    <t>https://news.alphastreet.com/caterpillar-inc-cat-q2-2025-earnings-call-transcript/; https://www.sec.gov/Archives/edgar/data/18230/000001823025000037/ex991toformcat2q2025earnin.htm; https://www.sec.gov/Archives/edgar/data/18230/000001823025000040/cat-20250630.htm</t>
  </si>
  <si>
    <t>Phase 2/Caterpillar/2025-Q3/CAT-2025-Q3-press-release-SEC-EX-99-1.htm; Phase 2/Caterpillar/2025-Q3/CAT-2025-Q3-earnings-call-transcript-caterpillar-q4cdn.pdf</t>
  </si>
  <si>
    <t>https://s25.q4cdn.com/358376879/files/doc_financials/2025/q3/3Q-2025-Caterpillar-Inc-Earnings-Call-Transcript_-10-29-2025.pdf; https://www.sec.gov/Archives/edgar/data/18230/000001823025000043/ex991toformcat3q2025earnin.htm</t>
  </si>
  <si>
    <t>Phase 2/Caterpillar/2025-Q4/CAT-2025-Q4-press-release-SEC-EX-99-1.htm; Phase 2/Caterpillar/2025-Q4/CAT-2025-Q4-earnings-call-transcript-fool-com.html</t>
  </si>
  <si>
    <t>https://www.fool.com/earnings/call-transcripts/2026/01/29/caterpillar-cat-q4-2025-earnings-call-transcript/; https://www.sec.gov/Archives/edgar/data/18230/000001823026000003/cat_exx991x4qx2025xearning.htm</t>
  </si>
  <si>
    <t>Phase 3/Readings/Comcast/2025-Q4/CMCSA-2025-Q4-press-release-SEC-EX-99-1.htm; Phase 3/Readings/Comcast/2025-Q4/CMCSA-2025-Q4-earnings-call-transcript-fool-com.html</t>
  </si>
  <si>
    <t>https://www.fool.com/earnings/call-transcripts/2026/01/29/comcast-cmcsa-q4-2025-earnings-call-transcript/; https://www.sec.gov/Archives/edgar/data/1166691/000162828026003964/ex991-12312025.htm</t>
  </si>
  <si>
    <t>DELL</t>
  </si>
  <si>
    <t>2025-05-30</t>
  </si>
  <si>
    <t>2026-02-27</t>
  </si>
  <si>
    <t>Phase 3/Readings/Delta/Q2/Delta-Air-Lines-Announces-Second-Quarter-2025.pdf; Phase 3/Readings/Delta/Q2/CORRECTED-TRANSCRIPT_-Delta-Air-Lines-Inc-DAL-US-Q2-2025-Earnings-Call.pdf</t>
  </si>
  <si>
    <t>Phase 3/Readings/Delta/Q3/Delta-Air-Lines-Announces-Third-Quarter-2025.pdf; Phase 3/Readings/Delta/Q3/CORRECTED-TRANSCRIPT-Delta-Air-Lines-Inc-DAL-US-Q3-2025-Earnings-Call.pdf</t>
  </si>
  <si>
    <t>Phase 3/Readings/Kraft Heinz/2025-Q4/KHC-2025-Q4-press-release-SEC-EX-99-1.htm</t>
  </si>
  <si>
    <t>https://www.sec.gov/Archives/edgar/data/1637459/000163745926000006/ex991-erq42025.htm</t>
  </si>
  <si>
    <t>LNVGY</t>
  </si>
  <si>
    <t>Phase 3/Readings/Lenovo/2026-Q1/LNVGY-2026-Q1-results-LenovoIR.pdf</t>
  </si>
  <si>
    <t>Phase 3/Readings/Lenovo/2026-Q2/LNVGY-2026-Q2-results-LenovoIR.pdf</t>
  </si>
  <si>
    <t>Phase 3/Readings/Lenovo/2026-Q3/LNVGY-2026-Q3-results-LenovoIR.pdf</t>
  </si>
  <si>
    <t>Phase 3/Readings/Lenovo/2026-Q4/LNVGY-2026-Q4-results-LenovoIR.pdf</t>
  </si>
  <si>
    <t>Phase 3/Readings/Linde/2025-Q2/LIN-2025-Q2-press-release-SEC-EX-99-1.htm; Phase 3/Readings/Linde/2025-Q2/LIN-2025-Q2-earnings-presentation-linde-com.pdf</t>
  </si>
  <si>
    <t>https://assets.linde.com/-/media/global/corporate/corporate/documents/investors/quarterly-earnings/linde2q25teleconferenceslides.pdf; https://www.sec.gov/Archives/edgar/data/1707925/000165495425008771/lin_ex991.htm</t>
  </si>
  <si>
    <t>Phase 2/Micron/2026-Q2/MU-2026-Q2-quarterly-financial-statements-SEC-10-Q.htm; Phase 2/Micron/2026-Q2/MU-2026-Q2-press-release-SEC-EX-99-1.htm</t>
  </si>
  <si>
    <t>https://www.sec.gov/Archives/edgar/data/723125/000072312526000004/a2026q2ex991-pressrelease.htm; https://www.sec.gov/Archives/edgar/data/723125/000072312526000006/mu-20260226.htm</t>
  </si>
  <si>
    <t>Phase 2/Oracle/2026-Q1/ORCL-2026-Q1-press-release-SEC-EX-99-1.htm; Phase 2/Oracle/2026-Q1/ORCL-2026-Q1-earnings-call-transcript-news-alphastreet-com.html</t>
  </si>
  <si>
    <t>https://news.alphastreet.com/oracle-corporation-orcl-q1-2026-earnings-call-transcript/; https://www.sec.gov/Archives/edgar/data/1341439/000119312525199175/orcl-ex99_1.htm</t>
  </si>
  <si>
    <t>Phase 2/Oracle/2026-Q3/ORCL-2026-Q3-press-release-SEC-EX-99-1.htm; Phase 2/Oracle/2026-Q3/ORCL-2026-Q3-earnings-call-transcript-fool-com.html</t>
  </si>
  <si>
    <t>https://www.fool.com/earnings/call-transcripts/2026/03/10/oracle-orcl-q3-2026-earnings-call-transcript/; https://www.sec.gov/Archives/edgar/data/1341439/000119312526100148/orcl-ex99_1.htm</t>
  </si>
  <si>
    <t>PLTR</t>
  </si>
  <si>
    <t>Phase 3/Readings/PayPal/2026-Q1/PYPL-2026-Q1-press-release-SEC-EX-99-1.htm</t>
  </si>
  <si>
    <t>https://www.sec.gov/Archives/edgar/data/1633917/000163391726000065/pypl1q-26earningsrelease.htm</t>
  </si>
  <si>
    <t>Phase 3/Readings/Robinhood/Robinhood Markets, Inc. Q1 2025 Earnings Transcript.pdf; Phase 3/Readings/Robinhood/Q1 2025 Robinhood Exhibit 99.1.pdf</t>
  </si>
  <si>
    <t>Phase 3/Readings/Robinhood/Robinhood Markets, Inc. Q1 2026 Earnings Call Transcript.pdf; Phase 3/Readings/Robinhood/Q1 2026 Earnings Presentation.pdf</t>
  </si>
  <si>
    <t>Phase 2/SalesForce/2026-Q2/CRM-2026-Q2-quarterly-financial-statements-SEC-10-Q.htm; Phase 2/SalesForce/2026-Q2/CRM-2026-Q2-press-release-SEC-EX-99-1.htm</t>
  </si>
  <si>
    <t>https://www.sec.gov/Archives/edgar/data/1108524/000110852425000083/crm-q2fy26xexhibit991.htm; https://www.sec.gov/Archives/edgar/data/1108524/000110852425000088/crm-20250731.htm</t>
  </si>
  <si>
    <t>SPOT misattribution</t>
  </si>
  <si>
    <t>STAN.L</t>
  </si>
  <si>
    <t>Phase 2/Starbucks/2025-Q3/SBUX-2025-Q3-press-release-SEC-EX-99-1.htm; Phase 2/Starbucks/2025-Q3/SBUX-2025-Q3-earnings-call-transcript-fool-com.html</t>
  </si>
  <si>
    <t>https://www.fool.com/earnings/call-transcripts/2025/08/05/starbucks-sbux-q3-2025-earnings-call-transcript/; https://www.sec.gov/Archives/edgar/data/829224/000082922425000057/sbux-06292025xexhibit991.htm</t>
  </si>
  <si>
    <t>Phase 2/Starbucks/2025-Q4/SBUX-2025-Q4-press-release-SEC-EX-99-1.htm; Phase 2/Starbucks/2025-Q4/SBUX-2025-Q4-earnings-call-transcript-fool-com.html</t>
  </si>
  <si>
    <t>https://www.fool.com/earnings/call-transcripts/2025/10/29/starbucks-sbux-q4-2025-earnings-call-transcript/; https://www.sec.gov/Archives/edgar/data/829224/000082922425000074/sbux-09282025xexhibit991.htm</t>
  </si>
  <si>
    <t>Phase 2/Unitedhealth/2025-Q2/UNH-2025-Q2-press-release-SEC-EX-99-1.htm; Phase 2/Unitedhealth/2025-Q2/UNH-2025-Q2-earnings-call-transcript-unitedhealthgroup-com.pdf</t>
  </si>
  <si>
    <t>https://www.sec.gov/Archives/edgar/data/731766/000073176625000228/a2025q2exhibit991.htm; https://www.unitedhealthgroup.com/content/dam/UHG/PDF/investors/2025/UNH-Q2-2025-Remarks.pdf</t>
  </si>
  <si>
    <t>Phase 2/Unitedhealth/2025-Q3/UNH-2025-Q3-press-release-SEC-EX-99-1.htm; Phase 2/Unitedhealth/2025-Q3/UNH-2025-Q3-earnings-call-transcript-news-alphastreet-com.html; Phase 2/Unitedhealth/2025-Q3/UNH-2025-Q3-quarterly-financial-statements-SEC-10-Q.htm</t>
  </si>
  <si>
    <t>https://news.alphastreet.com/unitedhealth-group-incorporated-unh-q3-2025-earnings-call-transcript/; https://www.sec.gov/Archives/edgar/data/731766/000073176625000301/a2025q3exhibit991.htm; https://www.sec.gov/Archives/edgar/data/731766/000073176625000305/unh-20250930.htm</t>
  </si>
  <si>
    <t>Phase 2/Unitedhealth/2025-Q4/UNH-2025-Q4-press-release-SEC-EX-99-1.htm; Phase 2/Unitedhealth/2025-Q4/UNH-2025-Q4-earnings-call-transcript-unitedhealthgroup-com.pdf</t>
  </si>
  <si>
    <t>https://www.sec.gov/Archives/edgar/data/731766/000073176626000025/a991unherq42025.htm; https://www.unitedhealthgroup.com/content/dam/UHG/PDF/investors/2025/unh-q4-2025-remarks.pdf</t>
  </si>
  <si>
    <t>WDAY</t>
  </si>
  <si>
    <t>2025-05-22</t>
  </si>
  <si>
    <t>2025-05-23</t>
  </si>
  <si>
    <t>Phase 3/Readings/Workday/Q1/workday-fiscal-2025-first-quarter-investor-presentation.pdf; Phase 3/Readings/Workday/Q1/Workday-Announces-Fiscal-2025-First-Quarter-Financial-Results-05-23-2024-2024.pdf; Phase 3/Readings/Workday/Q1/Transcript : Workday, Inc., Q1 2025 Earnings Call, May 23, 2024 | MarketScreener UK.pdf</t>
  </si>
  <si>
    <t>2025-08-22</t>
  </si>
  <si>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</si>
  <si>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</si>
  <si>
    <t>LLM (DeepSeek)</t>
  </si>
  <si>
    <t>NSRGY</t>
  </si>
  <si>
    <t>RMSP.XC</t>
  </si>
  <si>
    <t>SHEL</t>
  </si>
  <si>
    <t>SONY</t>
  </si>
  <si>
    <t>Results Summary</t>
  </si>
  <si>
    <t>Accuracy by Rater</t>
  </si>
  <si>
    <t>P&amp;L by Rater</t>
  </si>
  <si>
    <t>Type</t>
  </si>
  <si>
    <t># Predictions</t>
  </si>
  <si>
    <t># Correct</t>
  </si>
  <si>
    <t># Incorrect</t>
  </si>
  <si>
    <t>% Correct</t>
  </si>
  <si>
    <t>% Incorrect</t>
  </si>
  <si>
    <t># Trades</t>
  </si>
  <si>
    <t>Trade Rate %</t>
  </si>
  <si>
    <t>Avg %/Trade</t>
  </si>
  <si>
    <t>Std Dev %/Trade</t>
  </si>
  <si>
    <t>Dir. Hit Rate %</t>
  </si>
  <si>
    <t>Correct</t>
  </si>
  <si>
    <t>Flat</t>
  </si>
  <si>
    <t>Wrong</t>
  </si>
  <si>
    <t>All Humans Total</t>
  </si>
  <si>
    <t>LLM Total</t>
  </si>
  <si>
    <t>HEADLINE, from 10 August 2026: one reading per rater-event.</t>
  </si>
  <si>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</si>
  <si>
    <t>Accuracy by Company</t>
  </si>
  <si>
    <t>P&amp;L by Company</t>
  </si>
  <si>
    <t>Human
# Pred</t>
  </si>
  <si>
    <t>Human
# Correct</t>
  </si>
  <si>
    <t>Human
% Correct</t>
  </si>
  <si>
    <t>LLM
# Pred</t>
  </si>
  <si>
    <t>LLM
# Correct</t>
  </si>
  <si>
    <t>LLM
% Correct</t>
  </si>
  <si>
    <t>Human #Trades</t>
  </si>
  <si>
    <t>Human Avg%/Trade</t>
  </si>
  <si>
    <t>Human Total Return% (sum)</t>
  </si>
  <si>
    <t>LLM #Trades</t>
  </si>
  <si>
    <t>LLM Avg%/Trade</t>
  </si>
  <si>
    <t>LLM Total Return% (sum)</t>
  </si>
  <si>
    <t>Pepsico</t>
  </si>
  <si>
    <t>Hermes</t>
  </si>
  <si>
    <t>Nestle</t>
  </si>
  <si>
    <t>Paypal</t>
  </si>
  <si>
    <t>Secondary check - Always-SELL rule (not the study benchmark)</t>
  </si>
  <si>
    <t>Total with
Prices Entered</t>
  </si>
  <si>
    <t># DOWN
moves</t>
  </si>
  <si>
    <t>Naive Baseline
% Correct</t>
  </si>
  <si>
    <t>If always SELL:</t>
  </si>
  <si>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</si>
  <si>
    <t>SECTION C — SECOND RESULTS BLOCK, re-priced basis (the block above is unchanged and still the published one)</t>
  </si>
  <si>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</si>
  <si>
    <t>Human (re-priced)</t>
  </si>
  <si>
    <t>LLM (re-priced)</t>
  </si>
  <si>
    <t>Readings re-priced</t>
  </si>
  <si>
    <t>Naive floor (best single constant call)</t>
  </si>
  <si>
    <t>Total Return % (sum of per-trade)</t>
  </si>
  <si>
    <t>Outcome mix — UP</t>
  </si>
  <si>
    <t>Outcome mix — DOWN</t>
  </si>
  <si>
    <t>Outcome mix — FLAT</t>
  </si>
  <si>
    <t>Readings left out — window undetermined</t>
  </si>
  <si>
    <t>Head to head, on readings both arms re-priced</t>
  </si>
  <si>
    <t>Matched readings</t>
  </si>
  <si>
    <t>Both correct</t>
  </si>
  <si>
    <t>Human only</t>
  </si>
  <si>
    <t>LLM only</t>
  </si>
  <si>
    <t>Neither</t>
  </si>
  <si>
    <t>Same decision</t>
  </si>
  <si>
    <t>Net calls gained by humans</t>
  </si>
  <si>
    <t>Readings where the arms disagree on direction — a check, not a result: under one series over one window it must be zero</t>
  </si>
  <si>
    <t>The 2x2 is a count taken at build time, not a formula: both arms are matched on Company|Year|Quarter and the pairing cannot be expressed over these columns without a lookup on every row. rb_check_c.py recomputes all of it from the raw prices.</t>
  </si>
  <si>
    <t>SECTION D - ANALYSIS BLOCKS. Re-aggregations of the trades already in this workbook: no new price and no new decision. Nothing above row 148 was changed.</t>
  </si>
  <si>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</si>
  <si>
    <t>D5a - Accuracy and P&amp;L by phase</t>
  </si>
  <si>
    <t>Phase comes from Human_Data_Entry!AL and LLM_Data_Entry!AG, which look it up from Company_List!G. 'no corpus folder' means the company has a row in Company_List but no reading folder in either corpus; 'not in Company_List' means it has no row at all.</t>
  </si>
  <si>
    <t>Human n</t>
  </si>
  <si>
    <t>Human correct</t>
  </si>
  <si>
    <t>Human %</t>
  </si>
  <si>
    <t>Human trades</t>
  </si>
  <si>
    <t>Human return</t>
  </si>
  <si>
    <t>Human share of return</t>
  </si>
  <si>
    <t>LLM n</t>
  </si>
  <si>
    <t>LLM correct</t>
  </si>
  <si>
    <t>LLM %</t>
  </si>
  <si>
    <t>LLM trades</t>
  </si>
  <si>
    <t>LLM return</t>
  </si>
  <si>
    <t>Human n (re-priced)</t>
  </si>
  <si>
    <t>Human % (re-priced)</t>
  </si>
  <si>
    <t>Human return (re-priced)</t>
  </si>
  <si>
    <t>LLM n (re-priced)</t>
  </si>
  <si>
    <t>LLM % (re-priced)</t>
  </si>
  <si>
    <t>LLM return (re-priced)</t>
  </si>
  <si>
    <t>Phase 2</t>
  </si>
  <si>
    <t>Phase 3</t>
  </si>
  <si>
    <t>both corpora</t>
  </si>
  <si>
    <t>not in Company_List</t>
  </si>
  <si>
    <t>TOTAL</t>
  </si>
  <si>
    <t>Reconciliation - the buckets must sum to the total</t>
  </si>
  <si>
    <t>D5m - Accuracy and P&amp;L by sector</t>
  </si>
  <si>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</si>
  <si>
    <t>Information Technology</t>
  </si>
  <si>
    <t>Communication Services</t>
  </si>
  <si>
    <t>Financials</t>
  </si>
  <si>
    <t>Health Care</t>
  </si>
  <si>
    <t>Consumer Discretionary</t>
  </si>
  <si>
    <t>Consumer Staples</t>
  </si>
  <si>
    <t>Energy</t>
  </si>
  <si>
    <t>Utilities</t>
  </si>
  <si>
    <t>Industrials</t>
  </si>
  <si>
    <t>Materials</t>
  </si>
  <si>
    <t>not in Company_List (no sector)</t>
  </si>
  <si>
    <t>TOTAL (by sector)</t>
  </si>
  <si>
    <t>Reconciliation - the sectors must sum to the total</t>
  </si>
  <si>
    <t>D5b - Every naive rule, both arms, each on its own denominator</t>
  </si>
  <si>
    <t>A naive rule always makes the same call. Its accuracy is the share of readings whose realised direction matches it, measured over that arm's own readings. The block at row 115 above uses one rule on a denominator pooled across both arms.</t>
  </si>
  <si>
    <t>Rule</t>
  </si>
  <si>
    <t>Human published</t>
  </si>
  <si>
    <t>Human re-priced</t>
  </si>
  <si>
    <t>LLM published</t>
  </si>
  <si>
    <t>LLM re-priced</t>
  </si>
  <si>
    <t>Always BUY</t>
  </si>
  <si>
    <t>Always SELL</t>
  </si>
  <si>
    <t>Always HOLD</t>
  </si>
  <si>
    <t>Naive floor - best of the three</t>
  </si>
  <si>
    <t>Readings the floor is measured over</t>
  </si>
  <si>
    <t>Arm accuracy</t>
  </si>
  <si>
    <t>Margin over own floor (percentage points)</t>
  </si>
  <si>
    <t>D5c - Accuracy by year of the reported period</t>
  </si>
  <si>
    <t>Year is the reading's own Year column - the period reported on, not the date the document was read.</t>
  </si>
  <si>
    <t>D5d - Accuracy by the size of the realised move</t>
  </si>
  <si>
    <t>Bands are on the absolute realised move. Anything inside the FLAT band is a HOLD by construction, so the first two bands are where every arm's HOLDs live and a high score there is not skill - it is the band definition. The bands that carry information are 2% and above.</t>
  </si>
  <si>
    <t>|Realised move|</t>
  </si>
  <si>
    <t>under 1%</t>
  </si>
  <si>
    <t>1% to 2%</t>
  </si>
  <si>
    <t>2% to 5%</t>
  </si>
  <si>
    <t>5% to 10%</t>
  </si>
  <si>
    <t>10% and over</t>
  </si>
  <si>
    <t>Reconciliation - the bands must sum to the arm</t>
  </si>
  <si>
    <t>D5e - Return per trade: dispersion, Sharpe and a 95% interval</t>
  </si>
  <si>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</si>
  <si>
    <t>Measure</t>
  </si>
  <si>
    <t>Mean net return per trade</t>
  </si>
  <si>
    <t>Standard deviation per trade</t>
  </si>
  <si>
    <t>Sharpe (mean / sd)</t>
  </si>
  <si>
    <t>95% interval on the mean - low</t>
  </si>
  <si>
    <t>95% interval on the mean - high</t>
  </si>
  <si>
    <t>Mean distinguishable from zero at 95%?</t>
  </si>
  <si>
    <t>D5f - Conviction-weighted sizing versus flat sizing</t>
  </si>
  <si>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</si>
  <si>
    <t>Flat: mean net return per trade</t>
  </si>
  <si>
    <t>Conviction-weighted: mean net return per trade</t>
  </si>
  <si>
    <t>Difference (weighted - flat)</t>
  </si>
  <si>
    <t>Sum of weights</t>
  </si>
  <si>
    <t>Trades carrying zero weight</t>
  </si>
  <si>
    <t>D5g - Accuracy by information set (human arm only)</t>
  </si>
  <si>
    <t>Derived in Human_Data_Entry!AS from the row's own Document and Section, not retyped. 'full' means the row records reading the whole bundle; '&lt;document&gt; only' means it names one document and no section. The model sheet records neither.</t>
  </si>
  <si>
    <t>Information set</t>
  </si>
  <si>
    <t>%</t>
  </si>
  <si>
    <t>% (re-priced)</t>
  </si>
  <si>
    <t>Trades</t>
  </si>
  <si>
    <t>Total return</t>
  </si>
  <si>
    <t>Total return (re-priced)</t>
  </si>
  <si>
    <t>financials</t>
  </si>
  <si>
    <t>full</t>
  </si>
  <si>
    <t>guidance</t>
  </si>
  <si>
    <t>presentation only</t>
  </si>
  <si>
    <t>press release document only</t>
  </si>
  <si>
    <t>qanda</t>
  </si>
  <si>
    <t>transcript only</t>
  </si>
  <si>
    <t>unrecorded</t>
  </si>
  <si>
    <t>Reconciliation - the buckets must sum to the arm</t>
  </si>
  <si>
    <t>D5h - Inside and outside the declared study window</t>
  </si>
  <si>
    <t>The window is Settings B19:B20, currently the full observed span, so every reading is IN and nothing is excluded from any published figure. Narrow it and this block shows immediately what that costs. Rows are flagged, never deleted.</t>
  </si>
  <si>
    <t>In window</t>
  </si>
  <si>
    <t>IN</t>
  </si>
  <si>
    <t>OUT</t>
  </si>
  <si>
    <t>D5l - Concentration: how much of the total is a few readings</t>
  </si>
  <si>
    <t>Read over each arm's own trades. The point is not that a large winner is suspect - every price in this workbook has been checked against the market - but that a total carried by one or five readings supports a much weaker claim than the same total spread over 262.</t>
  </si>
  <si>
    <t>Winning trades</t>
  </si>
  <si>
    <t>Losing trades</t>
  </si>
  <si>
    <t>Largest single winning trade</t>
  </si>
  <si>
    <t>Its share of the arm's total return</t>
  </si>
  <si>
    <t>Total return excluding it</t>
  </si>
  <si>
    <t>Sum of the five largest winning trades</t>
  </si>
  <si>
    <t>Their share of the arm's total return</t>
  </si>
  <si>
    <t>Total return excluding them</t>
  </si>
  <si>
    <t>Largest single losing trade</t>
  </si>
  <si>
    <t>Still positive without the five largest winners?</t>
  </si>
  <si>
    <t>SECTION E - STUDY DESIGN AND SCHEMA</t>
  </si>
  <si>
    <t>Added 10 August 2026. Nothing in this block moves a published figure; every row either counts what the sheet now records or states what it does not record.</t>
  </si>
  <si>
    <t>E5a. What the rater records evidence</t>
  </si>
  <si>
    <t>The fields were specified in Phase 3/ARP_Human_Arm_Instructions and collected by the raters. They were dropped at data entry.</t>
  </si>
  <si>
    <t>Value</t>
  </si>
  <si>
    <t>Note</t>
  </si>
  <si>
    <t>Scored human readings</t>
  </si>
  <si>
    <t>Text criterion, not "&lt;&gt;", because a formula-blank counts as non-blank - trap 7.</t>
  </si>
  <si>
    <t>Readings with a rater record</t>
  </si>
  <si>
    <t>64 at build time, from 3 files.</t>
  </si>
  <si>
    <t>Peeked = no (the blindness check passed)</t>
  </si>
  <si>
    <t>The group's decision of 10 August 2026: the check is recorded as passed on every reading unless something says otherwise. Count the BASIS below, never this row - it is a default, not evidence.</t>
  </si>
  <si>
    <t xml:space="preserve">  of which ATTESTED by a rater record</t>
  </si>
  <si>
    <t>A rater signed a blindness box, or wrote that the score was sealed. This is the only row that is evidence.</t>
  </si>
  <si>
    <t xml:space="preserve">  of which ASSUMED, no rater record</t>
  </si>
  <si>
    <t>Not evidence of peeking, and not evidence of blindness.</t>
  </si>
  <si>
    <t xml:space="preserve">  of which ASSUMED, record has no blindness field</t>
  </si>
  <si>
    <t>Nigel's notes record the reading but not whether a price was seen first.</t>
  </si>
  <si>
    <t xml:space="preserve">  of which flagged for review</t>
  </si>
  <si>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</si>
  <si>
    <t>Peeked = yes</t>
  </si>
  <si>
    <t>An honest peeked flag costs one event; a hidden one costs the result - the instructions' own words.</t>
  </si>
  <si>
    <t>Readings that are one of two passes</t>
  </si>
  <si>
    <t>41 at build time.</t>
  </si>
  <si>
    <t>Readings hiding an unrecorded first pass</t>
  </si>
  <si>
    <t>One row holding two passes, with Time (mins) summed and the first pass surviving only in the Notes prose. The other block of the same experiment puts each pass on its own row.</t>
  </si>
  <si>
    <t>First-pass minutes not separately recorded</t>
  </si>
  <si>
    <t>Inside the rows above. Counted once in the human total, attributed to a single read.</t>
  </si>
  <si>
    <t>Readings with a written expectation</t>
  </si>
  <si>
    <t>The instructions ask for one line before opening anything. Human_Data_Entry!BI now carries it where it exists.</t>
  </si>
  <si>
    <t>E5b. The headline with each rater-event counted once</t>
  </si>
  <si>
    <t>Two raters on one event are two observations. One rater twice is one. The published figures pool both; these do not. Published basis and section C's re-priced basis side by side.</t>
  </si>
  <si>
    <t>Pooled (published)</t>
  </si>
  <si>
    <t>One per rater-event</t>
  </si>
  <si>
    <t>Pooled (re-priced)</t>
  </si>
  <si>
    <t>One per rater-event (re-priced)</t>
  </si>
  <si>
    <t>Readings</t>
  </si>
  <si>
    <t>Total Return %</t>
  </si>
  <si>
    <t>The difference is what the repeat readings contribute.</t>
  </si>
  <si>
    <t>E5c. Agreement between the arms, against chance</t>
  </si>
  <si>
    <t>The workbook reports how often the two arms said the same thing. Two arms that both say HOLD often agree often by construction. Cohen's kappa is agreement net of what the marginals would give by chance, and it is the number a reviewer asks for.</t>
  </si>
  <si>
    <t>Paired readings</t>
  </si>
  <si>
    <t>A human reading whose event the model also read.</t>
  </si>
  <si>
    <t>Human_Data_Entry!BK is 1 where the two decisions match.</t>
  </si>
  <si>
    <t>Observed agreement</t>
  </si>
  <si>
    <t>Agreement expected by chance</t>
  </si>
  <si>
    <t>Sum over BUY/HOLD/SELL of the two arms' marginal shares.</t>
  </si>
  <si>
    <t>Cohen's kappa</t>
  </si>
  <si>
    <t>0 is chance. Below 0.20 is 'slight' on the usual scale.</t>
  </si>
  <si>
    <t>E5d. The model arm is a re-run with no record of the first</t>
  </si>
  <si>
    <t>Phase 2/Master_Data_v1.xlsx is the only surviving output of an earlier model run. Nothing in the live workbook records that it happened, when either ran, or what changed.</t>
  </si>
  <si>
    <t>Model readings</t>
  </si>
  <si>
    <t>Events also in v1</t>
  </si>
  <si>
    <t>Every v1 event is still on the sheet.</t>
  </si>
  <si>
    <t xml:space="preserve">  of those, changed since v1</t>
  </si>
  <si>
    <t>LLM_Data_Entry!AT classifies every row.</t>
  </si>
  <si>
    <t xml:space="preserve">  of those, unchanged</t>
  </si>
  <si>
    <t>Readings with no earlier record</t>
  </si>
  <si>
    <t xml:space="preserve">  changed sentiment score</t>
  </si>
  <si>
    <t xml:space="preserve">  changed decision</t>
  </si>
  <si>
    <t xml:space="preserve">  changed token cost</t>
  </si>
  <si>
    <t xml:space="preserve">  changed runtime</t>
  </si>
  <si>
    <t>The four runtimes v1 held are the only model latency ever measured; the live sheet has none.</t>
  </si>
  <si>
    <t>SECTION F - THE CORPUS AND ITS DOCUMENTS</t>
  </si>
  <si>
    <t>Added 10 August 2026. Nothing in this block moves a published figure. Every count is derived from the documents' own text; rows about READINGS are formulas and stay live, rows about DOCUMENTS are values because no formula can open a PDF.</t>
  </si>
  <si>
    <t>F5a. What the corpus holds</t>
  </si>
  <si>
    <t>Read, not listed. The previous content scans in this project opened PDF and DOCX only and reported on 'the corpus'; the corpus is 38% HTML.</t>
  </si>
  <si>
    <t>Files under Phase 2 and Phase 3</t>
  </si>
  <si>
    <t>Everything, including spreadsheets and CSVs.</t>
  </si>
  <si>
    <t>Documents opened and read</t>
  </si>
  <si>
    <t>PDF, DOCX, HTM and HTML. The remainder are workbooks, manifests and decks; 8 workbooks are cited as sources.</t>
  </si>
  <si>
    <t xml:space="preserve">  rater answer sheets</t>
  </si>
  <si>
    <t>Declared in rb_provenance.WORKSHEET_FILES; no reading cites one.</t>
  </si>
  <si>
    <t xml:space="preserve">  cited by at least one reading</t>
  </si>
  <si>
    <t xml:space="preserve">  never cited by any reading</t>
  </si>
  <si>
    <t>296 once the answer sheets are set aside. Gathered and not read is not the same as wasted - several are quarters nobody has scored yet.</t>
  </si>
  <si>
    <t>Documents modified in the 7 days to 10 Aug 2026</t>
  </si>
  <si>
    <t>The window is bounded at BOTH ends. It used to be open at the top, so a document modified AFTER the anchor date counted inside a window whose label says it cannot - and the raters kept adding documents on the 11th. Those are on the row below instead of folded in here.</t>
  </si>
  <si>
    <t>Documents modified AFTER 10 Aug 2026</t>
  </si>
  <si>
    <t>The corpus is still moving. Any count in this block has a shelf life, and this row is how long it has been since it was true.</t>
  </si>
  <si>
    <t>F5b. SEC periodic filings, and the exclusion that names them</t>
  </si>
  <si>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</si>
  <si>
    <t>SEC periodic filings in the corpus</t>
  </si>
  <si>
    <t>Cover header AND the 'REPORT PURSUANT TO SECTION 13' clause. Two independent signatures, same 45 documents, no disagreement.</t>
  </si>
  <si>
    <t xml:space="preserve">  10-K</t>
  </si>
  <si>
    <t xml:space="preserve">  10-Q</t>
  </si>
  <si>
    <t xml:space="preserve">  under Phase 2</t>
  </si>
  <si>
    <t xml:space="preserve">  under Phase 3/Readings</t>
  </si>
  <si>
    <t>Human readings whose ONLY source is one</t>
  </si>
  <si>
    <t>Live, and the number the exclusion question is actually about. 8 of the 17 human readings that touch a filing label the document 'Financial Statement', and for a US issuer the 10-Q IS the quarterly financial statement.</t>
  </si>
  <si>
    <t>Human readings citing one among several</t>
  </si>
  <si>
    <t>Document = All, so the filing is one of a bundle. Counting these as 'read a 10-K' would overstate the finding.</t>
  </si>
  <si>
    <t>Model readings whose ONLY source is one</t>
  </si>
  <si>
    <t>The one to read carefully: LLM_Data_Entry records no document list, so this is what the matcher attributes, not what the model read. Nothing in the container can settle it.</t>
  </si>
  <si>
    <t>Model readings citing one among several</t>
  </si>
  <si>
    <t>Ruling</t>
  </si>
  <si>
    <t>not made</t>
  </si>
  <si>
    <t>Query F-a. Recording it unresolved is the group's decision of 10 August 2026, not an oversight.</t>
  </si>
  <si>
    <t>F5c. Who published the documents the study reads</t>
  </si>
  <si>
    <t>By each document's own copyright line, never by a mention: 76 documents name the Motley Fool and 43 of those are rater sheets recording where the rater got the transcript. The study had no record of this at all before section F.</t>
  </si>
  <si>
    <t>Publisher</t>
  </si>
  <si>
    <t>Documents</t>
  </si>
  <si>
    <t>Licence class</t>
  </si>
  <si>
    <t xml:space="preserve">  The Motley Fool</t>
  </si>
  <si>
    <t xml:space="preserve">  Insider Monkey (Koala Guide LLC)</t>
  </si>
  <si>
    <t xml:space="preserve">  FactSet CallStreet</t>
  </si>
  <si>
    <t xml:space="preserve">  Refinitiv / LSEG StreetEvents</t>
  </si>
  <si>
    <t xml:space="preserve">  MarketScreener (Surperformance SAS)</t>
  </si>
  <si>
    <t xml:space="preserve">  S&amp;P Global Market Intelligence (Capital IQ)</t>
  </si>
  <si>
    <t>Publisher-identified documents</t>
  </si>
  <si>
    <t>The audit said 63 across three vendors.</t>
  </si>
  <si>
    <t xml:space="preserve">  carrying a redistribution prohibition</t>
  </si>
  <si>
    <t>Refinitiv / LSEG StreetEvents, which is the only publisher here that prints one. The others assert copyright.</t>
  </si>
  <si>
    <t xml:space="preserve">  carrying the ISSUER's own call restriction</t>
  </si>
  <si>
    <t>Read out by the operator, so it attaches to the call and survives changing transcriber. On no vendor list.</t>
  </si>
  <si>
    <t>Documents removed or proposed for removal</t>
  </si>
  <si>
    <t>Group decision, 10 August 2026: nothing is being redistributed - the share is the team's own working folder - so the finding's premise does not hold. The classification is kept as provenance.</t>
  </si>
  <si>
    <t>Human readings citing a licensed-vendor document</t>
  </si>
  <si>
    <t>Model readings citing a licensed-vendor document</t>
  </si>
  <si>
    <t>F5d. Byte-identical duplicates</t>
  </si>
  <si>
    <t>sha256 of the file, not size or name. Size, mtime and checksum are worthless for telling whether a file in this share MOVED, but a hash is exactly right for telling whether two files are the same document.</t>
  </si>
  <si>
    <t>Duplicate groups</t>
  </si>
  <si>
    <t>Files involved</t>
  </si>
  <si>
    <t>Groups straddling the two phase trees</t>
  </si>
  <si>
    <t>All four are Target, which is the whole reason Target is the only company that appears in both arms.</t>
  </si>
  <si>
    <t xml:space="preserve">  2 copies</t>
  </si>
  <si>
    <t>LOW-2026-Q1-earnings-call-transcript-corporate-lowes-com.pdf</t>
  </si>
  <si>
    <t>Phase 2/Lowe's/2026-Q1/LOW-2026-Q1-earnings-call-transcript-corporate-lowes-com.pdf; Phase 2/Lowe's/low-usq-transcript-2026-05-20-1.pdf</t>
  </si>
  <si>
    <t xml:space="preserve">  3 copies</t>
  </si>
  <si>
    <t>2025-May-21-TGT-Transcript.pdf</t>
  </si>
  <si>
    <t>Phase 2/Target/2025-May-21-TGT-Transcript.pdf; Phase 2/Target/2025-Q1/TGT-2025-Q1-earnings-call-transcript-corporate-target-com.pdf; Phase 3/Readings/Target/2025-May-21-TGT-Transcript.pdf</t>
  </si>
  <si>
    <t>TGT-2025-Q2-earnings-call-transcript-corporate-target-com.pdf</t>
  </si>
  <si>
    <t>Phase 2/Target/2025-Q2/TGT-2025-Q2-earnings-call-transcript-corporate-target-com.pdf; Phase 2/Target/2025-august-20-tgt-transcript.pdf; Phase 3/Readings/Target/2025-august-20-tgt-transcript.pdf</t>
  </si>
  <si>
    <t>TGT-2025-Q3-earnings-call-transcript-corporate-target-com.pdf</t>
  </si>
  <si>
    <t>Phase 2/Target/2025-Q3/TGT-2025-Q3-earnings-call-transcript-corporate-target-com.pdf; Phase 2/Target/TGT-Transcript-2025-11-19-2.pdf; Phase 3/Readings/Target/TGT-Transcript-2025-11-19.pdf</t>
  </si>
  <si>
    <t>TGT-USQ_Transcript_2026-05-20.pdf</t>
  </si>
  <si>
    <t>Phase 2/Target/TGT-USQ_Transcript_2026-05-20.pdf; Phase 3/Readings/Target/TGT-USQ_Transcript_2026-05-20.pdf</t>
  </si>
  <si>
    <t>HEINY-2024-Q2-earnings-presentation-HeinekenIR.pdf</t>
  </si>
  <si>
    <t>Phase 3/Readings/Heineken/2024-Q2/HEINY-2024-Q2-earnings-presentation-HeinekenIR.pdf; Phase 3/Readings/Heineken/hy-24-results-presentation.pdf</t>
  </si>
  <si>
    <t>Q3 2025 Press Release.pdf</t>
  </si>
  <si>
    <t>Phase 3/Readings/Shopify/Q3 25/Q3 2025 Press Release.pdf; Phase 3/Readings/Shopify/Q3 25/Q3-2025-Press-Release.pdf</t>
  </si>
  <si>
    <t>F5e. Provenance coverage</t>
  </si>
  <si>
    <t>A manifest carries the fiscal period, the document type and the URL the file came from, and where one exists it beats filename guessing outright. It covers the documents it NAMES, not the folder it sits in.</t>
  </si>
  <si>
    <t>Original provenance.csv files</t>
  </si>
  <si>
    <t>All Phase 2.</t>
  </si>
  <si>
    <t>Collected collected_provenance.csv files</t>
  </si>
  <si>
    <t>Written by the D-c and E collections of 10 August 2026.</t>
  </si>
  <si>
    <t>Documents named in a manifest</t>
  </si>
  <si>
    <t>39.5% of the readable corpus.</t>
  </si>
  <si>
    <t>Manifest rows recording a FAILED collection</t>
  </si>
  <si>
    <t>'(not collected)' in the filename column, with a note saying no free source existed. The matcher published that string as a source document in 10 cells until rb_provenance._exists dropped it. No reading rested on one alone.</t>
  </si>
  <si>
    <t>Human readings whose sources are all manifest-backed</t>
  </si>
  <si>
    <t>Model readings whose sources are all manifest-backed</t>
  </si>
  <si>
    <t>F5f. Naming drift, and why the alias table stays</t>
  </si>
  <si>
    <t>The corpus does not join to the workbook by name. build_mapping's alias table absorbs the difference, which is why anything joins at all. Renaming the folders would touch the group's share; the table does not. Recommendation: keep the table.</t>
  </si>
  <si>
    <t>Company folders whose name is not the company's</t>
  </si>
  <si>
    <t>Of 96 company folders across the two trees.</t>
  </si>
  <si>
    <t xml:space="preserve">  resolved only by fuzzy match</t>
  </si>
  <si>
    <t>'Jonson &amp; Jonson' and 'Nestle'. difflib at cutoff 0.84 is one new folder away from resolving either to the wrong company; these two are the ones worth an explicit alias.</t>
  </si>
  <si>
    <t xml:space="preserve">  Bank of America</t>
  </si>
  <si>
    <t>bank of america</t>
  </si>
  <si>
    <t>P2, alias</t>
  </si>
  <si>
    <t xml:space="preserve">  Booking Holdings</t>
  </si>
  <si>
    <t>Booking</t>
  </si>
  <si>
    <t xml:space="preserve">  Coinbase</t>
  </si>
  <si>
    <t>Coin Base</t>
  </si>
  <si>
    <t xml:space="preserve">  Colgate-Palmolive</t>
  </si>
  <si>
    <t>Colgate Palmolive</t>
  </si>
  <si>
    <t>P3, alias</t>
  </si>
  <si>
    <t xml:space="preserve">  Comcast Corporation</t>
  </si>
  <si>
    <t>Comcast</t>
  </si>
  <si>
    <t xml:space="preserve">  Delta Air Lines</t>
  </si>
  <si>
    <t>Delta</t>
  </si>
  <si>
    <t xml:space="preserve">  JPMorgan</t>
  </si>
  <si>
    <t>JPMC Documents</t>
  </si>
  <si>
    <t xml:space="preserve">  Johnson &amp; Johnson</t>
  </si>
  <si>
    <t>Jonson &amp; Jonson</t>
  </si>
  <si>
    <t xml:space="preserve">  Meta</t>
  </si>
  <si>
    <t xml:space="preserve">  Metlife</t>
  </si>
  <si>
    <t>P2, exact</t>
  </si>
  <si>
    <t xml:space="preserve">  Nestle</t>
  </si>
  <si>
    <t>Nestlé</t>
  </si>
  <si>
    <t xml:space="preserve">  Robinhood Markets</t>
  </si>
  <si>
    <t>Robinhood</t>
  </si>
  <si>
    <t xml:space="preserve">  Salesforce</t>
  </si>
  <si>
    <t>SalesForce</t>
  </si>
  <si>
    <t xml:space="preserve">  Shell</t>
  </si>
  <si>
    <t>SHELL</t>
  </si>
  <si>
    <t xml:space="preserve">  UnitedHealth</t>
  </si>
  <si>
    <t>Unitedhealth</t>
  </si>
  <si>
    <t>Period-folder naming shapes</t>
  </si>
  <si>
    <t>YYYY-Qn x139; other x91; Qn (no year) x87; YYYY x12; Qn YY x11. 'Q1' alone does not say which year.</t>
  </si>
  <si>
    <t>SECTION H - THE ELEVEN DECISIONS OF 10 AUGUST 2026</t>
  </si>
  <si>
    <t>Sections A-F corrected how figures were DERIVED. Section H changes the figures themselves. Every row below is a before/after pair: 'A-F' is what the workbook published with sections A-F applied, 'A-H' is what it publishes now.</t>
  </si>
  <si>
    <t>H1a. THE HEADLINE - one reading per rater-event</t>
  </si>
  <si>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</si>
  <si>
    <t>HEADLINE: one per rater-event</t>
  </si>
  <si>
    <t>Robustness: pooled</t>
  </si>
  <si>
    <t>HEADLINE, re-priced (section C)</t>
  </si>
  <si>
    <t>The single figure this study reports. Compare it with the naive floor two rows down before quoting it.</t>
  </si>
  <si>
    <t>The difference between the two columns is what the repeat readings contribute, and it is why they cannot be counted as independent.</t>
  </si>
  <si>
    <t>Avg % / Trade</t>
  </si>
  <si>
    <t>Human minutes</t>
  </si>
  <si>
    <t>H5 restored 80 unlogged minutes to six of David's readings, so this is larger than it was and the model's speed advantage is larger with it. That is the conservative direction for an unexplained edit.</t>
  </si>
  <si>
    <t>Naive floor (biggest single direction)</t>
  </si>
  <si>
    <t>Over the 385 de-duplicated readings that carry a price. A value, not a formula: the floor is a max over three counts and writing it as one expression is exactly the SUMPRODUCT/ISNUMBER shape that fails in Excel. Pooled: 0.5200 over 400.</t>
  </si>
  <si>
    <t>Human accuracy MINUS the naive floor</t>
  </si>
  <si>
    <t>Negative means a rule that always called the most common direction would have done better than the human arm.</t>
  </si>
  <si>
    <t>H1b. What each decision moved</t>
  </si>
  <si>
    <t>Every figure re-derived from the raw inputs by rb_truth with the corrections applied, never read back off this sheet.</t>
  </si>
  <si>
    <t>Figure</t>
  </si>
  <si>
    <t>A-F (published)</t>
  </si>
  <si>
    <t>A-H</t>
  </si>
  <si>
    <t>Change</t>
  </si>
  <si>
    <t>H6 priced 12 readings that counted on no side.</t>
  </si>
  <si>
    <t>Human accuracy</t>
  </si>
  <si>
    <t>H2 is the whole of this: 24 typed decisions recomputed from the score.</t>
  </si>
  <si>
    <t>H2 turns HOLDs into BUYs, so the arm trades more.</t>
  </si>
  <si>
    <t>Human total return</t>
  </si>
  <si>
    <t>H2 is most of it and H6 is the rest; block H1e below takes H2's cost apart. No figure is quoted in this note - a number written into a note is a number nothing can check, and the sentence that used to sit here went stale the moment H1 changed which rows H2 covers.</t>
  </si>
  <si>
    <t>Human avg % / trade</t>
  </si>
  <si>
    <t>Naive floor</t>
  </si>
  <si>
    <t>Model accuracy</t>
  </si>
  <si>
    <t>Unchanged. Section H corrects no model raw input; H11's Kraft Heinz relabelling moves both arms and changes neither arm's accuracy.</t>
  </si>
  <si>
    <t>Model total return</t>
  </si>
  <si>
    <t>Paired readings (head to head)</t>
  </si>
  <si>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</si>
  <si>
    <t>Calls the humans got and the model missed</t>
  </si>
  <si>
    <t>Calls the model got and the humans missed</t>
  </si>
  <si>
    <t xml:space="preserve">  the same figure on the RE-PRICED basis</t>
  </si>
  <si>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</si>
  <si>
    <t>NET calls gained by the humans</t>
  </si>
  <si>
    <t>THE HEADLINE REVERSAL. The published figure is +2 and it is now negative: on the corrected decisions the model wins the head to head. Nothing here was chosen to produce that.</t>
  </si>
  <si>
    <t>H1e. Where H2's cost comes from</t>
  </si>
  <si>
    <t>Published as rows rather than described in a note. The note that used to carry these figures was written against section B's set and went stale when H1 changed which rows H2 covers, and nothing caught it because the checker read the ledger's value columns and not its notes.</t>
  </si>
  <si>
    <t>Rows the band turns from SELL to BUY</t>
  </si>
  <si>
    <t>The rows where the rater typed a SELL and their own score says BUY. H1 puts rows 96 and 149 into this set and takes row 159 out of it.</t>
  </si>
  <si>
    <t xml:space="preserve">  their return as the raters typed them</t>
  </si>
  <si>
    <t>These are the profitable ones.</t>
  </si>
  <si>
    <t xml:space="preserve">  their return under the band</t>
  </si>
  <si>
    <t xml:space="preserve">  what applying the band costs</t>
  </si>
  <si>
    <t>Rows the band turns from HOLD to BUY</t>
  </si>
  <si>
    <t>A HOLD takes no position, so this is 0 by construction.</t>
  </si>
  <si>
    <t>H2's total cost</t>
  </si>
  <si>
    <t>The two lines above. It agrees with H2 measured on its own in the decomposition, which is the cross-check that matters: the same number reached two independent ways.</t>
  </si>
  <si>
    <t>H1c. Found and NOT applied</t>
  </si>
  <si>
    <t>Each of these is a finding section H turned up that no ruling of 10 August 2026 covers. None is applied. Quietly widening a ruling is the same defect as quietly narrowing one.</t>
  </si>
  <si>
    <t>Finding</t>
  </si>
  <si>
    <t>Count</t>
  </si>
  <si>
    <t>Anna scores changed against v1 but not ruled on</t>
  </si>
  <si>
    <t>H1 names five. Re-deriving every reading present in both files finds seven, all Anna's: row 49 Airbnb 2025 Q3 (+0.60 -&gt; +0.40) and row 147 CVS Health 2025 Q3 (-0.30 -&gt; +0.30, a sign flip of exactly H1's class). The group ruled on five.</t>
  </si>
  <si>
    <t>Event keys where the two arms read different events</t>
  </si>
  <si>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</si>
  <si>
    <t xml:space="preserve">  of those, ALREADY COUNTED in the head to head</t>
  </si>
  <si>
    <t>These eight are in the published paired set now, and were in it before section H. All seven checks pass over them.</t>
  </si>
  <si>
    <t xml:space="preserve">  of those, held unpriced by section H</t>
  </si>
  <si>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</si>
  <si>
    <t>Document dates filled from the manifest</t>
  </si>
  <si>
    <t>H7. Each of these has exactly one manifest entry for its quarter and that entry carries its release date, so there is nothing to choose between. The basis is recorded per row in Human_Data_Entry!BR.</t>
  </si>
  <si>
    <t>Readings STILL carrying no document date</t>
  </si>
  <si>
    <t>After H7. It was 37 before, and the ruling was written against 56 - the raters filled 19 in themselves between 10 and 11 August. The ones left are Nigel's Allianz, Dell, Palantir and Standard Chartered readings, whose manifests carry no dated entry at all.</t>
  </si>
  <si>
    <t>De-duplication drops the rater's SECOND pass, 15 times</t>
  </si>
  <si>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</si>
  <si>
    <t xml:space="preserve">  the headline if the LAST pass were kept instead</t>
  </si>
  <si>
    <t>151/385, 283 trades, +1.0524 return. Against 150/385 as published. Both are far below the naive floor, so nothing about the study's conclusion turns on it - but it is a decision and it should be taken rather than inherited from row order.</t>
  </si>
  <si>
    <t>Blindness readings whose query is now settled</t>
  </si>
  <si>
    <t>H8. Section E's 'flagged for review' row now reads 0. These two readings are assumed blind under the group's rule of 10 August 2026 that a reading is blind unless something states otherwise. Settled is not attested - they are still not evidence.</t>
  </si>
  <si>
    <t>H1d. Blindness after H8</t>
  </si>
  <si>
    <t>Count the BASIS, never the Peeked column. An assumed pass and an attested one are not the same evidence and must not become the same number.</t>
  </si>
  <si>
    <t>Attested by a rater record</t>
  </si>
  <si>
    <t>Assumed, no rater record</t>
  </si>
  <si>
    <t>Assumed, record carries no blindness field</t>
  </si>
  <si>
    <t>Assumed, note names the realised move (E-a, settled)</t>
  </si>
  <si>
    <t>Still flagged as an open query</t>
  </si>
  <si>
    <t>Zero from 10 August 2026.</t>
  </si>
  <si>
    <t>Charts — Figures for the Write-up</t>
  </si>
  <si>
    <t>All feeder tables below are live formulas. Add rows to the entry sheets and every chart updates automatically.</t>
  </si>
  <si>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</si>
  <si>
    <t>Figure 1 — Accuracy by Arm vs Naive Floor</t>
  </si>
  <si>
    <t>Figure 2 — Accuracy by Decision Type</t>
  </si>
  <si>
    <t>Figure 3 — Decision Mix</t>
  </si>
  <si>
    <t>Figure 4 — Mean Sentiment by Realised Direction</t>
  </si>
  <si>
    <t>Arm</t>
  </si>
  <si>
    <t>Naive Floor</t>
  </si>
  <si>
    <t>Decision</t>
  </si>
  <si>
    <t>n (H / L)</t>
  </si>
  <si>
    <t>Direction</t>
  </si>
  <si>
    <t>All Humans</t>
  </si>
  <si>
    <t>Naive floor (most common direction)</t>
  </si>
  <si>
    <t>Always predicting the most common outcome</t>
  </si>
  <si>
    <t>Figure 5 — Average Return per Trade by Arm</t>
  </si>
  <si>
    <t>SECTION D - Figure 6: the naive floor computed PER ARM. Figure 1 above compares both arms against a single pooled floor taken over human outcomes, so the model arm is measured against a benchmark built from readings it never made. Nothing above row 26 was changed.</t>
  </si>
  <si>
    <t>Accuracy</t>
  </si>
  <si>
    <t>Margin (pp)</t>
  </si>
  <si>
    <t>Winning rule</t>
  </si>
  <si>
    <t>Human, published</t>
  </si>
  <si>
    <t>Human, re-priced</t>
  </si>
  <si>
    <t>LLM, published</t>
  </si>
  <si>
    <t>LLM, re-priced</t>
  </si>
  <si>
    <t>Figure 1's pooled floor is left exactly as it stands. It is not wrong; it is a different quantity - the share of the most common direction over every reading in the book. These four rows are the comparator each arm should actually be held to.</t>
  </si>
  <si>
    <t>Efficiency — Return per Unit of Analyst Effort</t>
  </si>
  <si>
    <t>Amber cells are assumptions you set. Everything else is live formulas that update as rows are added to the entry sheets.</t>
  </si>
  <si>
    <t>Assumptions</t>
  </si>
  <si>
    <t>Parameter</t>
  </si>
  <si>
    <t>Notes</t>
  </si>
  <si>
    <t>Analyst cost ($/hour)</t>
  </si>
  <si>
    <t>Fully-loaded hourly cost of a junior analyst. Used for every human cost figure below.</t>
  </si>
  <si>
    <t>LLM cost per document ($)</t>
  </si>
  <si>
    <t>LIVE. Reads the average of the Token Cost column on the LLM sheet automatically. Falls back to the manual placeholder in B10 while that column is still empty.</t>
  </si>
  <si>
    <t>LLM wall-clock per document (sec)</t>
  </si>
  <si>
    <t>LIVE. Reads the average of the Time (seconds) column on the LLM sheet. Falls back to the manual placeholder in B11 while that column is empty.</t>
  </si>
  <si>
    <t>Notional position size ($)</t>
  </si>
  <si>
    <t>Only used to express returns in cash terms. Does not affect any percentage figure.</t>
  </si>
  <si>
    <t>Fallback LLM cost per doc ($)</t>
  </si>
  <si>
    <t>Only used while the Token Cost column is empty. Once Ben populates it, this value is ignored.</t>
  </si>
  <si>
    <t>Fallback LLM runtime per doc (sec)</t>
  </si>
  <si>
    <t>Only used while the Time (seconds) column is empty. Once it is populated, this value is ignored.</t>
  </si>
  <si>
    <t>Ratio (H:L)</t>
  </si>
  <si>
    <t>Documents read</t>
  </si>
  <si>
    <t>Ratio shows how many times larger the human figure is. Blank where not meaningful.</t>
  </si>
  <si>
    <t>Total effort (hours)</t>
  </si>
  <si>
    <t>Mean time per document (min)</t>
  </si>
  <si>
    <t>Documents per hour</t>
  </si>
  <si>
    <t>Total cost ($)</t>
  </si>
  <si>
    <t>Cost per document ($)</t>
  </si>
  <si>
    <t>2. Cost per Correct Call</t>
  </si>
  <si>
    <t>Correct calls</t>
  </si>
  <si>
    <t>Cost per correct call ($)</t>
  </si>
  <si>
    <t>Minutes per correct call</t>
  </si>
  <si>
    <t>Accuracy row shows the gap in percentage points rather than a ratio.</t>
  </si>
  <si>
    <t>3. Return per Unit of Effort</t>
  </si>
  <si>
    <t>Trades taken (non-HOLD)</t>
  </si>
  <si>
    <t>Sum of returns (%)</t>
  </si>
  <si>
    <t>Avg return per trade (%)</t>
  </si>
  <si>
    <t>Return per analyst hour (%)</t>
  </si>
  <si>
    <t>Notional P&amp;L per hour ($)</t>
  </si>
  <si>
    <t>4. Head-to-Head on Shared Events</t>
  </si>
  <si>
    <t>Each human reading is matched to the LLM reading for the same company, year and quarter. Where several raters covered one event, that event contributes one row per rater, so this counts readings rather than unique events.</t>
  </si>
  <si>
    <t>Outcome</t>
  </si>
  <si>
    <t>Events</t>
  </si>
  <si>
    <t>Share</t>
  </si>
  <si>
    <t>Human only correct</t>
  </si>
  <si>
    <t>LLM only correct</t>
  </si>
  <si>
    <t>Neither correct</t>
  </si>
  <si>
    <t>Matched readings (total)</t>
  </si>
  <si>
    <t>Currently exceeds the LLM row count because some events were scored by more than one rater.</t>
  </si>
  <si>
    <t>5. Marginal Value of the Human Step</t>
  </si>
  <si>
    <t>Correct calls humans added, less the ones the LLM caught and humans missed.</t>
  </si>
  <si>
    <t>Human hours on matched events</t>
  </si>
  <si>
    <t>Total human hours scaled to the matched subset only.</t>
  </si>
  <si>
    <t>Scales total human hours by the matched share of readings. Approximate, since time per reading varies.</t>
  </si>
  <si>
    <t>Hours per net call gained</t>
  </si>
  <si>
    <t>Blank or n/a if the human step produced no net gain.</t>
  </si>
  <si>
    <t>Cost per net call gained ($)</t>
  </si>
  <si>
    <t>The honest price of the human-in-the-loop step at current accuracy.</t>
  </si>
  <si>
    <t>6. Break-Even Accuracy</t>
  </si>
  <si>
    <t>How much more accurate the human must be for the extra time to pay for itself.</t>
  </si>
  <si>
    <t>Extra cost per doc, human vs LLM ($)</t>
  </si>
  <si>
    <t>Human cost per document minus LLM cost per document.</t>
  </si>
  <si>
    <t>Value of one correct call ($)</t>
  </si>
  <si>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</si>
  <si>
    <t>Approximated from the average absolute return per trade. A crude proxy, not a traded P&amp;L figure.</t>
  </si>
  <si>
    <t>Break-even accuracy gain needed</t>
  </si>
  <si>
    <t>Extra accuracy the human must deliver to justify the extra cost.</t>
  </si>
  <si>
    <t>Observed accuracy gain (H - L)</t>
  </si>
  <si>
    <t>Negative means the LLM is currently more accurate.</t>
  </si>
  <si>
    <t>Verdict</t>
  </si>
  <si>
    <t>Reads directly from the two rows above.</t>
  </si>
  <si>
    <t>7. Time Spent vs Accuracy (human only)</t>
  </si>
  <si>
    <t>If the slower readings are no more accurate, time spent is not buying accuracy. Buckets are in minutes; the Time (sec) column on the Human sheet is the same data x60.</t>
  </si>
  <si>
    <t>Time bucket (min)</t>
  </si>
  <si>
    <t>Avg %/trade</t>
  </si>
  <si>
    <t>Under 20</t>
  </si>
  <si>
    <t>20 to 29</t>
  </si>
  <si>
    <t>30 to 39</t>
  </si>
  <si>
    <t>40 to 49</t>
  </si>
  <si>
    <t>50 to 59</t>
  </si>
  <si>
    <t>60 and over</t>
  </si>
  <si>
    <t>How to Update This Sheet</t>
  </si>
  <si>
    <t>What to change</t>
  </si>
  <si>
    <t>Where</t>
  </si>
  <si>
    <t>Effect</t>
  </si>
  <si>
    <t>Chart feeders</t>
  </si>
  <si>
    <t>Real token cost per document</t>
  </si>
  <si>
    <t>LLM_Data_Entry column O (Token Cost), one value per row</t>
  </si>
  <si>
    <t>Cell B7 reads the live average of that column automatically, and Total cost now sums the actual per-document costs. Every cost figure updates, including cost per document, cost per correct call, break-even accuracy and the verdict. No formula edit needed.</t>
  </si>
  <si>
    <t>Analyst hourly cost</t>
  </si>
  <si>
    <t>Cell B6 on this sheet</t>
  </si>
  <si>
    <t>Drives total human cost, cost per document, cost per correct call, cost per net call gained, and the break-even calculation.</t>
  </si>
  <si>
    <t>Docs per hour</t>
  </si>
  <si>
    <t>LLM runtime per document</t>
  </si>
  <si>
    <t>LLM_Data_Entry column I (Time (seconds)), one value per row</t>
  </si>
  <si>
    <t>LIVE. Cell B8 reads the measured average, and LLM total effort sums the actual per-document runtimes. Drives documents per hour and return per analyst hour. Cell B11 is the fallback used only while column I is empty.</t>
  </si>
  <si>
    <t>Cost per doc ($)</t>
  </si>
  <si>
    <t>Notional position size</t>
  </si>
  <si>
    <t>Cell B9 on this sheet</t>
  </si>
  <si>
    <t>Only converts percentage returns into cash. Affects the value of a correct call in the break-even block. No percentage figure changes.</t>
  </si>
  <si>
    <t>Fallback LLM cost and runtime</t>
  </si>
  <si>
    <t>Cells B10 and B11 on this sheet</t>
  </si>
  <si>
    <t>Placeholders used only while columns O and I are empty. Ignored once real token costs and timings are present.</t>
  </si>
  <si>
    <t>New readings</t>
  </si>
  <si>
    <t>Add rows to either entry sheet</t>
  </si>
  <si>
    <t>Everything on this sheet and both chart sheets recalculates automatically. Formulas span rows 3 to 524 on Human_Data_Entry and rows 3 to 548 on LLM_Data_Entry. No range needs extending until one of those sheets passes its own limit.</t>
  </si>
  <si>
    <t>Beyond row 524 (human) or 548 (LLM)</t>
  </si>
  <si>
    <t>Replace $524 for the human sheet, or $548 for the LLM sheet, with a larger row number</t>
  </si>
  <si>
    <t>Applies to this sheet, the Charts sheet and the Summary sheet. The two sheets have different limits, so replace the right one. Note there is no row 400 anywhere in this workbook - the earlier version of this instruction was wrong.</t>
  </si>
  <si>
    <t>Return per analyst hour</t>
  </si>
  <si>
    <t>Return per hour</t>
  </si>
  <si>
    <t>Live Data Status</t>
  </si>
  <si>
    <t>Rows with a token cost entered</t>
  </si>
  <si>
    <t>Counts numeric entries in the Token Cost column on the LLM sheet.</t>
  </si>
  <si>
    <t>Cost source currently in use</t>
  </si>
  <si>
    <t>Confirms at a glance whether the cost figures are based on real token data or the placeholder.</t>
  </si>
  <si>
    <t>Rows with a runtime entered</t>
  </si>
  <si>
    <t>Counts numeric entries in the Time (seconds) column on the LLM sheet.</t>
  </si>
  <si>
    <t>Timing source currently in use</t>
  </si>
  <si>
    <t>Confirms whether runtime figures come from measured data or the placeholder.</t>
  </si>
  <si>
    <t>SECTION D - the two blocks the specification asked for and the sheet never carried. Nothing above row 87 was changed.</t>
  </si>
  <si>
    <t>D5i - Like-for-like: only companies BOTH arms read</t>
  </si>
  <si>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</si>
  <si>
    <t>Readings in the shared universe</t>
  </si>
  <si>
    <t>% correct</t>
  </si>
  <si>
    <t>Mean return per trade</t>
  </si>
  <si>
    <t>Naive floor on the shared universe</t>
  </si>
  <si>
    <t>Margin over that floor (percentage points)</t>
  </si>
  <si>
    <t>% correct on the FULL universe, for comparison</t>
  </si>
  <si>
    <t>D5j - Extension 9: total return against round-trip friction</t>
  </si>
  <si>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</si>
  <si>
    <t>Round-trip cost (bps)</t>
  </si>
  <si>
    <t>Total return as published (at Settings!B4)</t>
  </si>
  <si>
    <t>Break-even round-trip cost (bps)</t>
  </si>
  <si>
    <t>Still positive at 50 bps?</t>
  </si>
  <si>
    <t>SECTION E - WHAT THE SPEED FIGURES REST ON</t>
  </si>
  <si>
    <t>LLM_Data_Entry column I is empty on every row, so B8 falls through to the B11 placeholder of 8 seconds. Twelve figures on this sheet are a function of that constant: C14, C15, C16, C25, C33, C34 and the five ratios beside them. Nothing below changes any of them.</t>
  </si>
  <si>
    <t>E6a. Every model speed figure, priced across the runtime it assumes</t>
  </si>
  <si>
    <t>Assumed sec/doc</t>
  </si>
  <si>
    <t>Total model hours</t>
  </si>
  <si>
    <t>Return per hour %</t>
  </si>
  <si>
    <t>Times faster than the human</t>
  </si>
  <si>
    <t>Status</t>
  </si>
  <si>
    <t>the placeholder the sheet is using, declared nowhere above row 85</t>
  </si>
  <si>
    <t>the only measurement ever taken (n=4, Airbnb, v1)</t>
  </si>
  <si>
    <t>Runtime at which the model reads no faster than the human</t>
  </si>
  <si>
    <t>Seconds per document. The advantage is large under every plausible runtime; what the placeholder decides is the size of the number quoted, not the direction.</t>
  </si>
  <si>
    <t>E6b. The human side of the same comparison</t>
  </si>
  <si>
    <t>17 readings record two passes inside one row, with the minutes summed. The document count treats them as one read; the minutes count both.</t>
  </si>
  <si>
    <t>As published</t>
  </si>
  <si>
    <t>Counting each recorded pass</t>
  </si>
  <si>
    <t>Unchanged - the minutes were always the sum of both passes.</t>
  </si>
  <si>
    <t>Minutes per document</t>
  </si>
  <si>
    <t>Model advantage at the 8s placeholder</t>
  </si>
  <si>
    <t>Model advantage at the measured 14.31s</t>
  </si>
  <si>
    <t>SECTION H - EFFICIENCY ON THE DE-DUPLICATED BASIS</t>
  </si>
  <si>
    <t>The block above counts every reading. From 10 August 2026 the headline counts one reading per rater-event, so the human arm's cost and time are restated on that basis here. H5 also restored 80 minutes to six of David's readings.</t>
  </si>
  <si>
    <t>Minutes per reading</t>
  </si>
  <si>
    <t>Human hours</t>
  </si>
  <si>
    <t>Return per human hour</t>
  </si>
  <si>
    <t>Both columns fall against the published figure: H2 removes return and H5 adds hours.</t>
  </si>
  <si>
    <t>Model latency per document</t>
  </si>
  <si>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</si>
  <si>
    <t>Company Reference List</t>
  </si>
  <si>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</si>
  <si>
    <t>Owner</t>
  </si>
  <si>
    <t>Company Count</t>
  </si>
  <si>
    <t>Corpus Folder</t>
  </si>
  <si>
    <t>Corpus Documents</t>
  </si>
  <si>
    <t>P2</t>
  </si>
  <si>
    <t>Phase 2/Netflix</t>
  </si>
  <si>
    <t>both</t>
  </si>
  <si>
    <t>Phase 2/Target; Phase 3/Readings/Target</t>
  </si>
  <si>
    <t>Phase 2/Boeing</t>
  </si>
  <si>
    <t>Phase 2/bank of america</t>
  </si>
  <si>
    <t>Phase 2/JPMC Documents</t>
  </si>
  <si>
    <t>Phase 2/Apple</t>
  </si>
  <si>
    <t>Phase 2/Microsoft</t>
  </si>
  <si>
    <t>Phase 2/Alphabet</t>
  </si>
  <si>
    <t>Phase 2/Amazon</t>
  </si>
  <si>
    <t>Phase 2/META</t>
  </si>
  <si>
    <t>Phase 2/Tesla</t>
  </si>
  <si>
    <t>Phase 2/AMD</t>
  </si>
  <si>
    <t>Phase 2/Intel</t>
  </si>
  <si>
    <t>Qualcomm</t>
  </si>
  <si>
    <t>QCOM</t>
  </si>
  <si>
    <t>unmapped</t>
  </si>
  <si>
    <t>none</t>
  </si>
  <si>
    <t>Phase 2/Broadcom</t>
  </si>
  <si>
    <t>Phase 2/Oracle</t>
  </si>
  <si>
    <t>Phase 2/SalesForce</t>
  </si>
  <si>
    <t>P3</t>
  </si>
  <si>
    <t>Phase 3/Readings/Adobe</t>
  </si>
  <si>
    <t>Cisco</t>
  </si>
  <si>
    <t>CSCO</t>
  </si>
  <si>
    <t>Phase 2/IBM</t>
  </si>
  <si>
    <t>Phase 3/Readings/Palantir</t>
  </si>
  <si>
    <t>ServiceNow</t>
  </si>
  <si>
    <t>NOW</t>
  </si>
  <si>
    <t>Snowflake</t>
  </si>
  <si>
    <t>SNOW</t>
  </si>
  <si>
    <t>Phase 3/Readings/Shopify</t>
  </si>
  <si>
    <t>SAP</t>
  </si>
  <si>
    <t>ASML</t>
  </si>
  <si>
    <t>TSMC</t>
  </si>
  <si>
    <t>TSM</t>
  </si>
  <si>
    <t>Samsung Electronics</t>
  </si>
  <si>
    <t>005930.KS</t>
  </si>
  <si>
    <t>Phase 3/Readings/Sony</t>
  </si>
  <si>
    <t>Phase 2/Uber</t>
  </si>
  <si>
    <t>Phase 2/Airbnb</t>
  </si>
  <si>
    <t>Phase 3/Readings/PayPal</t>
  </si>
  <si>
    <t>Block</t>
  </si>
  <si>
    <t>XYZ</t>
  </si>
  <si>
    <t>Phase 3/Readings/Visa</t>
  </si>
  <si>
    <t>Phase 2/Mastercard</t>
  </si>
  <si>
    <t>Phase 2/American Express</t>
  </si>
  <si>
    <t>Phase 2/Goldman Sachs</t>
  </si>
  <si>
    <t>Morgan Stanley</t>
  </si>
  <si>
    <t>MS</t>
  </si>
  <si>
    <t>Phase 2/Citigroup</t>
  </si>
  <si>
    <t>Wells Fargo</t>
  </si>
  <si>
    <t>WFC</t>
  </si>
  <si>
    <t>Phase 2/Charles Schwab</t>
  </si>
  <si>
    <t>BlackRock</t>
  </si>
  <si>
    <t>BLK</t>
  </si>
  <si>
    <t>KKR</t>
  </si>
  <si>
    <t>Apollo Global Management</t>
  </si>
  <si>
    <t>APO</t>
  </si>
  <si>
    <t>Blackstone</t>
  </si>
  <si>
    <t>BX</t>
  </si>
  <si>
    <t>Phase 2/Coca-Cola</t>
  </si>
  <si>
    <t>Phase 2/PepsiCo</t>
  </si>
  <si>
    <t>Phase 2/McDonald's</t>
  </si>
  <si>
    <t>Phase 2/Costco; Phase 3/Readings/Costco</t>
  </si>
  <si>
    <t>Phase 2/Walmart</t>
  </si>
  <si>
    <t>Phase 3/Readings/Home Depot</t>
  </si>
  <si>
    <t>Phase 2/Lowe's</t>
  </si>
  <si>
    <t>Procter &amp; Gamble</t>
  </si>
  <si>
    <t>PG</t>
  </si>
  <si>
    <t>Unilever</t>
  </si>
  <si>
    <t>UL</t>
  </si>
  <si>
    <t>Phase 3/Readings/Nestlé</t>
  </si>
  <si>
    <t>Mondelez</t>
  </si>
  <si>
    <t>MDLZ</t>
  </si>
  <si>
    <t>Phase 3/Readings/Colgate Palmolive</t>
  </si>
  <si>
    <t>Kimberly-Clark</t>
  </si>
  <si>
    <t>KMB</t>
  </si>
  <si>
    <t>Phase 2/Nike</t>
  </si>
  <si>
    <t>Phase 2/Lululemon</t>
  </si>
  <si>
    <t>Phase 3/Readings/Puma</t>
  </si>
  <si>
    <t>Phase 3/Readings/Hermes</t>
  </si>
  <si>
    <t>Phase 2/LVMH</t>
  </si>
  <si>
    <t>Richemont</t>
  </si>
  <si>
    <t>CFR.SW</t>
  </si>
  <si>
    <t>Phase 2/Pfizer</t>
  </si>
  <si>
    <t>Moderna</t>
  </si>
  <si>
    <t>MRNA</t>
  </si>
  <si>
    <t>Phase 3/Readings/Jonson &amp; Jonson</t>
  </si>
  <si>
    <t>Merck</t>
  </si>
  <si>
    <t>MRK</t>
  </si>
  <si>
    <t>AbbVie</t>
  </si>
  <si>
    <t>ABBV</t>
  </si>
  <si>
    <t>Phase 2/Eli Lilly</t>
  </si>
  <si>
    <t>Phase 2/Novo Nordisk</t>
  </si>
  <si>
    <t>AstraZeneca</t>
  </si>
  <si>
    <t>AZN</t>
  </si>
  <si>
    <t>Roche</t>
  </si>
  <si>
    <t>RHHBY</t>
  </si>
  <si>
    <t>Novartis</t>
  </si>
  <si>
    <t>NVS</t>
  </si>
  <si>
    <t>Phase 2/Unitedhealth; Phase 3/Readings/UnitedHealth</t>
  </si>
  <si>
    <t>Phase 2/CVS Health</t>
  </si>
  <si>
    <t>Cigna</t>
  </si>
  <si>
    <t>CI</t>
  </si>
  <si>
    <t>Phase 2/ExxonMobil</t>
  </si>
  <si>
    <t>Phase 2/Chevron</t>
  </si>
  <si>
    <t>Phase 2/SHELL</t>
  </si>
  <si>
    <t>BP</t>
  </si>
  <si>
    <t>TotalEnergies</t>
  </si>
  <si>
    <t>TTE</t>
  </si>
  <si>
    <t>ConocoPhillips</t>
  </si>
  <si>
    <t>COP</t>
  </si>
  <si>
    <t>Occidental Petroleum</t>
  </si>
  <si>
    <t>OXY</t>
  </si>
  <si>
    <t>NextEra Energy</t>
  </si>
  <si>
    <t>NEE</t>
  </si>
  <si>
    <t>Phase 2/Duke Energy</t>
  </si>
  <si>
    <t>Southern Company</t>
  </si>
  <si>
    <t>SO</t>
  </si>
  <si>
    <t>Phase 2/Caterpillar; Phase 3/Readings/Caterpillar</t>
  </si>
  <si>
    <t>Deere</t>
  </si>
  <si>
    <t>DE</t>
  </si>
  <si>
    <t>General Electric</t>
  </si>
  <si>
    <t>GE</t>
  </si>
  <si>
    <t>Honeywell</t>
  </si>
  <si>
    <t>HON</t>
  </si>
  <si>
    <t>3M</t>
  </si>
  <si>
    <t>MMM</t>
  </si>
  <si>
    <t>Phase 2/Lockheed Martin</t>
  </si>
  <si>
    <t>RTX</t>
  </si>
  <si>
    <t>Phase 3/Readings/Delta</t>
  </si>
  <si>
    <t>Phase 2/United Airlines</t>
  </si>
  <si>
    <t>American Airlines</t>
  </si>
  <si>
    <t>AAL</t>
  </si>
  <si>
    <t>Phase 2/FedEx</t>
  </si>
  <si>
    <t>Phase 2/Maersk</t>
  </si>
  <si>
    <t>Toyota</t>
  </si>
  <si>
    <t>TM</t>
  </si>
  <si>
    <t>Phase 2/Ford</t>
  </si>
  <si>
    <t>General Motors</t>
  </si>
  <si>
    <t>GM</t>
  </si>
  <si>
    <t>Ferrari</t>
  </si>
  <si>
    <t>RACE</t>
  </si>
  <si>
    <t>Phase 2/Micron</t>
  </si>
  <si>
    <t>Arm Holdings</t>
  </si>
  <si>
    <t>ARM</t>
  </si>
  <si>
    <t>Synopsys</t>
  </si>
  <si>
    <t>SNPS</t>
  </si>
  <si>
    <t>Cadence</t>
  </si>
  <si>
    <t>CDNS</t>
  </si>
  <si>
    <t>Phase 3/Readings/Workday</t>
  </si>
  <si>
    <t>Intuit</t>
  </si>
  <si>
    <t>INTU</t>
  </si>
  <si>
    <t>Phase 3/Readings/Dell</t>
  </si>
  <si>
    <t>HP</t>
  </si>
  <si>
    <t>HPQ</t>
  </si>
  <si>
    <t>Phase 3/Readings/Lenovo</t>
  </si>
  <si>
    <t>Seagate</t>
  </si>
  <si>
    <t>STX</t>
  </si>
  <si>
    <t>HSBC</t>
  </si>
  <si>
    <t>Phase 2/Barclays</t>
  </si>
  <si>
    <t>Lloyds</t>
  </si>
  <si>
    <t>LYG</t>
  </si>
  <si>
    <t>Phase 3/Readings/Standard Chartered</t>
  </si>
  <si>
    <t>BNP Paribas</t>
  </si>
  <si>
    <t>BNP.PA</t>
  </si>
  <si>
    <t>Societe Generale</t>
  </si>
  <si>
    <t>GLE.PA</t>
  </si>
  <si>
    <t>Deutsche Bank</t>
  </si>
  <si>
    <t>DB</t>
  </si>
  <si>
    <t>UBS</t>
  </si>
  <si>
    <t>ING</t>
  </si>
  <si>
    <t>Santander</t>
  </si>
  <si>
    <t>SAN</t>
  </si>
  <si>
    <t>Phase 3/Readings/Allianz</t>
  </si>
  <si>
    <t>AXA</t>
  </si>
  <si>
    <t>AXAHY</t>
  </si>
  <si>
    <t>Prudential</t>
  </si>
  <si>
    <t>PUK</t>
  </si>
  <si>
    <t>AIG</t>
  </si>
  <si>
    <t>Phase 2/MetLife</t>
  </si>
  <si>
    <t>Marsh McLennan</t>
  </si>
  <si>
    <t>MMC</t>
  </si>
  <si>
    <t>Moody's</t>
  </si>
  <si>
    <t>MCO</t>
  </si>
  <si>
    <t>S&amp;P Global</t>
  </si>
  <si>
    <t>SPGI</t>
  </si>
  <si>
    <t>Intercontinental Exchange</t>
  </si>
  <si>
    <t>ICE</t>
  </si>
  <si>
    <t>CME Group</t>
  </si>
  <si>
    <t>CME</t>
  </si>
  <si>
    <t>Phase 2/Booking; Phase 3/Readings/Booking Holdings</t>
  </si>
  <si>
    <t>Phase 3/Readings/Expedia</t>
  </si>
  <si>
    <t>Phase 2/Hilton</t>
  </si>
  <si>
    <t>Phase 2/Marriott</t>
  </si>
  <si>
    <t>Hyatt</t>
  </si>
  <si>
    <t>H</t>
  </si>
  <si>
    <t>Phase 2/Disney</t>
  </si>
  <si>
    <t>Warner Bros. Discovery</t>
  </si>
  <si>
    <t>WBD</t>
  </si>
  <si>
    <t>Phase 3/Readings/Comcast</t>
  </si>
  <si>
    <t>Phase 3/Readings/Spotify</t>
  </si>
  <si>
    <t>Universal Music Group</t>
  </si>
  <si>
    <t>UMG.AS</t>
  </si>
  <si>
    <t>Phase 3/Readings/Chipotle</t>
  </si>
  <si>
    <t>Yum! Brands</t>
  </si>
  <si>
    <t>YUM</t>
  </si>
  <si>
    <t>Restaurant Brands</t>
  </si>
  <si>
    <t>QSR</t>
  </si>
  <si>
    <t>Phase 3/Readings/Kraft Heinz</t>
  </si>
  <si>
    <t>Phase 3/Readings/General Mills</t>
  </si>
  <si>
    <t>Kellanova</t>
  </si>
  <si>
    <t>K</t>
  </si>
  <si>
    <t>Keurig Dr Pepper</t>
  </si>
  <si>
    <t>KDP</t>
  </si>
  <si>
    <t>Danone</t>
  </si>
  <si>
    <t>DANOY</t>
  </si>
  <si>
    <t>HEINY</t>
  </si>
  <si>
    <t>Phase 3/Readings/Heineken</t>
  </si>
  <si>
    <t>AB InBev</t>
  </si>
  <si>
    <t>BUD</t>
  </si>
  <si>
    <t>Phase 3/Readings/Siemens</t>
  </si>
  <si>
    <t>Schneider Electric</t>
  </si>
  <si>
    <t>SU.PA</t>
  </si>
  <si>
    <t>ABB</t>
  </si>
  <si>
    <t>ABBNY</t>
  </si>
  <si>
    <t>Emerson</t>
  </si>
  <si>
    <t>EMR</t>
  </si>
  <si>
    <t>Cummins</t>
  </si>
  <si>
    <t>CMI</t>
  </si>
  <si>
    <t>Parker Hannifin</t>
  </si>
  <si>
    <t>PH</t>
  </si>
  <si>
    <t>Eaton</t>
  </si>
  <si>
    <t>ETN</t>
  </si>
  <si>
    <t>Illinois Tool Works</t>
  </si>
  <si>
    <t>ITW</t>
  </si>
  <si>
    <t>Carrier</t>
  </si>
  <si>
    <t>CARR</t>
  </si>
  <si>
    <t>Trane Technologies</t>
  </si>
  <si>
    <t>TT</t>
  </si>
  <si>
    <t>Rio Tinto</t>
  </si>
  <si>
    <t>RIO</t>
  </si>
  <si>
    <t>BHP</t>
  </si>
  <si>
    <t>Vale</t>
  </si>
  <si>
    <t>VALE</t>
  </si>
  <si>
    <t>Phase 3/Readings/Freeport-McMoRan</t>
  </si>
  <si>
    <t>Newmont</t>
  </si>
  <si>
    <t>NEM</t>
  </si>
  <si>
    <t>Anglo American</t>
  </si>
  <si>
    <t>AAL.L</t>
  </si>
  <si>
    <t>Glencore</t>
  </si>
  <si>
    <t>GLEN.L</t>
  </si>
  <si>
    <t>Nucor</t>
  </si>
  <si>
    <t>NUE</t>
  </si>
  <si>
    <t>ArcelorMittal</t>
  </si>
  <si>
    <t>MT</t>
  </si>
  <si>
    <t>Cleveland-Cliffs</t>
  </si>
  <si>
    <t>CLF</t>
  </si>
  <si>
    <t>Canadian National Railway</t>
  </si>
  <si>
    <t>CNI</t>
  </si>
  <si>
    <t>Canadian Pacific Kansas City</t>
  </si>
  <si>
    <t>CP</t>
  </si>
  <si>
    <t>Phase 3/Readings/Union Pacific</t>
  </si>
  <si>
    <t>Norfolk Southern</t>
  </si>
  <si>
    <t>NSC</t>
  </si>
  <si>
    <t>CSX</t>
  </si>
  <si>
    <t>Waste Management</t>
  </si>
  <si>
    <t>WM</t>
  </si>
  <si>
    <t>Republic Services</t>
  </si>
  <si>
    <t>RSG</t>
  </si>
  <si>
    <t>Air Products</t>
  </si>
  <si>
    <t>APD</t>
  </si>
  <si>
    <t>Phase 3/Readings/Linde</t>
  </si>
  <si>
    <t>DuPont</t>
  </si>
  <si>
    <t>DD</t>
  </si>
  <si>
    <t>Dow</t>
  </si>
  <si>
    <t>DOW</t>
  </si>
  <si>
    <t>BASF</t>
  </si>
  <si>
    <t>BAS.DE</t>
  </si>
  <si>
    <t>Bayer</t>
  </si>
  <si>
    <t>BAYN.DE</t>
  </si>
  <si>
    <t>Infineon</t>
  </si>
  <si>
    <t>IFX.DE</t>
  </si>
  <si>
    <t>STMicroelectronics</t>
  </si>
  <si>
    <t>STM</t>
  </si>
  <si>
    <t>NXP Semiconductors</t>
  </si>
  <si>
    <t>NXPI</t>
  </si>
  <si>
    <t>Analog Devices</t>
  </si>
  <si>
    <t>ADI</t>
  </si>
  <si>
    <t>Texas Instruments</t>
  </si>
  <si>
    <t>TXN</t>
  </si>
  <si>
    <t>Applied Materials</t>
  </si>
  <si>
    <t>AMAT</t>
  </si>
  <si>
    <t>Lam Research</t>
  </si>
  <si>
    <t>LRCX</t>
  </si>
  <si>
    <t>KLA</t>
  </si>
  <si>
    <t>KLAC</t>
  </si>
  <si>
    <t>Marvell Technology</t>
  </si>
  <si>
    <t>MRVL</t>
  </si>
  <si>
    <t>Cloudflare</t>
  </si>
  <si>
    <t>NET</t>
  </si>
  <si>
    <t>Phase 3/Readings/Datadog</t>
  </si>
  <si>
    <t>CrowdStrike</t>
  </si>
  <si>
    <t>CRWD</t>
  </si>
  <si>
    <t>MongoDB</t>
  </si>
  <si>
    <t>MDB</t>
  </si>
  <si>
    <t>Phase 3/Readings/eBay</t>
  </si>
  <si>
    <t>Phase 3/Readings/Pinterest</t>
  </si>
  <si>
    <t>Phase 3/Readings/Robinhood</t>
  </si>
  <si>
    <t>Phase 2/Coin Base</t>
  </si>
  <si>
    <t>Phase 2/Nvidia</t>
  </si>
  <si>
    <t>Phase 2/Starbucks</t>
  </si>
  <si>
    <t>Settings</t>
  </si>
  <si>
    <t>HOLD Threshold (±%)</t>
  </si>
  <si>
    <t>Enter as a whole number (e.g. 2 = ±2%). A move within this range makes a HOLD call "correct".</t>
  </si>
  <si>
    <t>Round-trip Cost (bps)</t>
  </si>
  <si>
    <t>Round-trip transaction cost applied to every non-HOLD position.</t>
  </si>
  <si>
    <t>Short Borrow (bps, SELL only)</t>
  </si>
  <si>
    <t>Additional borrow cost applied to SELL positions only.</t>
  </si>
  <si>
    <t>Score HOLD band (±)</t>
  </si>
  <si>
    <t>Applies to the Sentiment Score, not to a price move. A score within ±this is HOLD. Pre-registered - do not change after seeing results.</t>
  </si>
  <si>
    <t>Rater Name</t>
  </si>
  <si>
    <t>Stock prices are measured based on Closing Price on date of document release and Opening Price of the next working day.</t>
  </si>
  <si>
    <t>SECTION D - parameters the specification requires and the sheet did not carry. Added by the repair; every value is evidenced in the changelog. Nothing above row 17 was changed.</t>
  </si>
  <si>
    <t>Slippage (bps, per side)</t>
  </si>
  <si>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</si>
  <si>
    <t>Study window start</t>
  </si>
  <si>
    <t>2023-Q1</t>
  </si>
  <si>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</si>
  <si>
    <t>Study window end</t>
  </si>
  <si>
    <t>2026-Q4</t>
  </si>
  <si>
    <t>As above. 52 human and 24 model readings fall outside 2025-Q1..2026-Q2; they are inside this window and they count.</t>
  </si>
  <si>
    <t>Price adjustment basis</t>
  </si>
  <si>
    <t>Dividend-adjusted (close and open)</t>
  </si>
  <si>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</si>
  <si>
    <t>Reporting-time convention</t>
  </si>
  <si>
    <t>Reaction window per event: pre-report close to post-report open</t>
  </si>
  <si>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</si>
  <si>
    <t>FLAT band basis</t>
  </si>
  <si>
    <t>The return itself, at +/-B3 %, NOT a rounded copy</t>
  </si>
  <si>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</si>
  <si>
    <t>Neutral point (human sentiment score)</t>
  </si>
  <si>
    <t>Conviction is distance from neutral. Read by the conviction weights in Human_Data_Entry!AV and AX and by block D5f on Summary.</t>
  </si>
  <si>
    <t>Neutral point (LLM sentiment score)</t>
  </si>
  <si>
    <t>Recorded separately: the two arms need not share a scale. Read by LLM_Data_Entry!AO and AQ.</t>
  </si>
  <si>
    <t>Listing convention</t>
  </si>
  <si>
    <t>The issuer's home market (re-priced block); column B as entered (published block)</t>
  </si>
  <si>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</si>
  <si>
    <t>Reporting currency</t>
  </si>
  <si>
    <t>One line per event in the re-priced block; MIXED as published</t>
  </si>
  <si>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</si>
  <si>
    <t>Parameters frozen on</t>
  </si>
  <si>
    <t>2026-08-10</t>
  </si>
  <si>
    <t>Date the band, the costs, the horizon, the score-to-call mapping and every row above were written down. Events reporting after this date form a genuinely blind set. Held as text so no display format is assumed.</t>
  </si>
  <si>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</si>
  <si>
    <t>Section E - study design and schema (added)</t>
  </si>
  <si>
    <t>Declared here because the workbook records it nowhere. A value of 'not recorded' is a finding.</t>
  </si>
  <si>
    <t>Blindness protocol</t>
  </si>
  <si>
    <t>prices hidden until the score is sealed</t>
  </si>
  <si>
    <t>Phase 3/ARP_Human_Arm_Instructions, section 1. A peeked reading is contaminated for every purpose and must be flagged, not dropped.</t>
  </si>
  <si>
    <t>Pass split required</t>
  </si>
  <si>
    <t>The instructions call it the one irreversible detail: pass one and pass two in separate columns. Human_Data_Entry!BA:BF is that split, reconstructed from the rater records for the 51 rows that have one.</t>
  </si>
  <si>
    <t>Decision is a formula, not typed</t>
  </si>
  <si>
    <t>human arm only</t>
  </si>
  <si>
    <t>True of Human_Data_Entry!J. LLM_Data_Entry holds no formula in any column, so a change here re-scores the human arm alone.</t>
  </si>
  <si>
    <t>8 sec (declared assumption)</t>
  </si>
  <si>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</si>
  <si>
    <t>Only measured model latency</t>
  </si>
  <si>
    <t>14.3075 sec</t>
  </si>
  <si>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</si>
  <si>
    <t>Model run identity</t>
  </si>
  <si>
    <t>not recorded</t>
  </si>
  <si>
    <t>120 of the 268 model readings are a re-read of events in Phase 2/Master_Data_v1.xlsx and 148 are new. Nothing dates either run. LLM_Data_Entry!AT classifies every row against v1; a real run_id has to be written when the run happens.</t>
  </si>
  <si>
    <t>Rater records</t>
  </si>
  <si>
    <t>3 files, 57 readings</t>
  </si>
  <si>
    <t>Dragos - Phase 3 scoring_rows.csv (23 events, 40 passes), the 16 Human Arm Reading Sheet PDFs, and Nigel's Notes Phase 3.docx (6 rows). Every figure in Human_Data_Entry!BA:BL is checked against the workbook's own minutes and scores; a mismatch stops the build.</t>
  </si>
  <si>
    <t>Blindness default</t>
  </si>
  <si>
    <t>pass unless stated otherwise</t>
  </si>
  <si>
    <t>Group decision, 10 August 2026. Human_Data_Entry!BG reads 'no' on every reading; BL records WHY, and only the 'attested' rows are evidence. Never count BG - count BL.</t>
  </si>
  <si>
    <t>Schema still absent</t>
  </si>
  <si>
    <t>model confidence, evidence quote, EPS surprise, benchmark</t>
  </si>
  <si>
    <t>None has a source anywhere in the container, so no column is written for them. Confidence and quote are a collection task for the model arm; EPS surprise and benchmark are pricing questions and belong with section C, not here.</t>
  </si>
  <si>
    <t>Section E frozen on</t>
  </si>
  <si>
    <t>Every figure re-derived on the live reading set at this date.</t>
  </si>
  <si>
    <t>Section F - the corpus and its documents (added)</t>
  </si>
  <si>
    <t>Every count below is derived from the documents' own text, not their filenames.</t>
  </si>
  <si>
    <t>Corpus files</t>
  </si>
  <si>
    <t>1153 files, 1074 readable</t>
  </si>
  <si>
    <t>Everything under Phase 2 and Phase 3. The 78 that are not read here are spreadsheets, CSVs and slide decks; 8 of them are cited as sources and are counted as such.</t>
  </si>
  <si>
    <t>Classified by</t>
  </si>
  <si>
    <t>the document's own text</t>
  </si>
  <si>
    <t>PDF, DOCX and HTML all opened and read. Until 10 August 2026 every content scan in this project read PDF and DOCX only, which is 62% of the corpus - a scanner's file-type list is a claim about the corpus in the way a filename is a claim about a file.</t>
  </si>
  <si>
    <t>Rater answer sheets in the corpus</t>
  </si>
  <si>
    <t>Declared in rb_provenance.WORKSHEET_FILES and re-tested by rb_check_e. No reading cites one.</t>
  </si>
  <si>
    <t>SEC periodic filings held</t>
  </si>
  <si>
    <t>45 (25 Phase 2, 20 Phase 3)</t>
  </si>
  <si>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</si>
  <si>
    <t>Long-filing exclusion</t>
  </si>
  <si>
    <t>stated, scope unresolved</t>
  </si>
  <si>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</si>
  <si>
    <t>Readings citing an SEC periodic filing</t>
  </si>
  <si>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</si>
  <si>
    <t>Documents with a publisher identified</t>
  </si>
  <si>
    <t>By the document's own copyright line, never a mention: 76 documents name the Motley Fool and 43 of those are rater sheets recording where the rater got the transcript.</t>
  </si>
  <si>
    <t>Redistribution</t>
  </si>
  <si>
    <t>not a concern - group decision 10 August 2026</t>
  </si>
  <si>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</si>
  <si>
    <t>Byte-identical duplicate documents</t>
  </si>
  <si>
    <t>7 groups, 17 files</t>
  </si>
  <si>
    <t>sha256, not size. Four groups straddle the two phase trees and all four are Target, which is why Target is the only company appearing in both arms.</t>
  </si>
  <si>
    <t>Provenance manifests</t>
  </si>
  <si>
    <t>7 original, 50 collected</t>
  </si>
  <si>
    <t>Across 424 of 1074 readable documents. Seven manifest rows record a collection that failed and carry '(not collected)' as the filename; they are no longer citable.</t>
  </si>
  <si>
    <t>Company-folder name drift</t>
  </si>
  <si>
    <t>15 of 96 folders</t>
  </si>
  <si>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</si>
  <si>
    <t>YYYY-Qn x139; other x91; Qn (no year) x87; YYYY x12; Qn YY x11. A folder named 'Q1' does not say which year it belongs to.</t>
  </si>
  <si>
    <t>Section F frozen on</t>
  </si>
  <si>
    <t>Every figure re-derived against the corpus as it stood at this date. The corpus is still moving: see the Summary block.</t>
  </si>
  <si>
    <t>CORRECTIONS TABLE</t>
  </si>
  <si>
    <t>2026-08-13</t>
  </si>
  <si>
    <t>Human_Data_Entry</t>
  </si>
  <si>
    <t>KHC Q4 2025 (Meriem, row 193): Human pricing error — rater used report_date (2026-02-11) as prior close instead of the correct session before release (2026-02-09). Release_date=2026-02-10 (pre_market), so correct prior close = 2026-02-09 (returns_matrix: entry_date=2026-02-10, entry_close=24.9, ret_overnight=−0.044177). Fixed: M=2026-02-09, N=24.9, O=2026-02-10, P=23.80, Q=−4.4177%, R=DOWN. Price_Basis_Corrected set to YES. Decision=None so Prediction_Correct? remains None. Identified by EDGAR cross-check in manual_repricing_reconciliation.csv.</t>
  </si>
  <si>
    <t>What was claimed</t>
  </si>
  <si>
    <t>Corrected value</t>
  </si>
  <si>
    <t>Cause</t>
  </si>
  <si>
    <t>Date</t>
  </si>
  <si>
    <t>Affected events</t>
  </si>
  <si>
    <t>Source file</t>
  </si>
  <si>
    <t>report_date close as entry for all events</t>
  </si>
  <si>
    <t>release_date with timing rule (pre_market: prev close + open on release; after_hours: close on release + open next day)</t>
  </si>
  <si>
    <t>report_date ≠ release_date for ~50 US events; pre_market close was post-announcement</t>
  </si>
  <si>
    <t>2026-08-12</t>
  </si>
  <si>
    <t>~82 pre_market events</t>
  </si>
  <si>
    <t>retracted_findings_2026-08-12.md</t>
  </si>
  <si>
    <t>~39% always-BUY baseline</t>
  </si>
  <si>
    <t>54.7% always-DOWN (52/95 graded events negative)</t>
  </si>
  <si>
    <t>Wrong denominator: used all events including HOLDs instead of graded events only</t>
  </si>
  <si>
    <t>All accuracy comparisons</t>
  </si>
  <si>
    <t>baseline_correction_2026-08-13.md</t>
  </si>
  <si>
    <t>'Per-direction accuracy equals base rate in subset' claimed as finding</t>
  </si>
  <si>
    <t>Retracted: tautological (accuracy and subset base rate are the same number by definition)</t>
  </si>
  <si>
    <t>Definitional error — not a finding</t>
  </si>
  <si>
    <t>0 (not a data correction)</t>
  </si>
  <si>
    <t>direction_accuracy_decomposition.md</t>
  </si>
  <si>
    <t>72.7% band capture, 61% sign-correct p=0.064, PM/AH divergence, +17.3pp agreement filter</t>
  </si>
  <si>
    <t>42.4% band capture, 56% sign-correct p=0.480, no divergence, -0.3pp agreement filter</t>
  </si>
  <si>
    <t>All four derived from report_date anchor artefact in pre_market events</t>
  </si>
  <si>
    <t>82 pre_market events</t>
  </si>
  <si>
    <t>Item C: PR 63.3% at $0.017/correct, full bundle 67.7% at $0.027/correct</t>
  </si>
  <si>
    <t>Four-arm N=119: PR 64.9% (24/37) at $0.0225; full 68.1% (32/47) at $0.0358. All-events N=200: PR 62.5% (35/56) at $0.029; full 65.7% (46/70) at $0.046</t>
  </si>
  <si>
    <t>Prose figures existed only in CSV comment headers; not backed by data rows</t>
  </si>
  <si>
    <t>All Item C accuracy/cost citations</t>
  </si>
  <si>
    <t>'31 issuers' for cross-issuer generalisation subset</t>
  </si>
  <si>
    <t>29 issuers with clean events in N=233 (2 further post-sweep issuers — Allianz, Lenovo — are fully timing-excluded)</t>
  </si>
  <si>
    <t>Count included timing-excluded issuers</t>
  </si>
  <si>
    <t>1 count citation</t>
  </si>
  <si>
    <t>BEFORE / AFTER PERFORMANCE</t>
  </si>
  <si>
    <t>Metric</t>
  </si>
  <si>
    <t>Basis</t>
  </si>
  <si>
    <t>Mean net per trade</t>
  </si>
  <si>
    <t>Total return (order-dep.)</t>
  </si>
  <si>
    <t>N</t>
  </si>
  <si>
    <t>Source</t>
  </si>
  <si>
    <t>Model arm</t>
  </si>
  <si>
    <t>Original report_date (superseded)</t>
  </si>
  <si>
    <t>62.6% (N=268, 5-day calibration window, not overnight)</t>
  </si>
  <si>
    <t>+1.719% overnight</t>
  </si>
  <si>
    <t>+1243.64% (N=268, 146 trades)</t>
  </si>
  <si>
    <t>268 total / 171 traded / 92 graded</t>
  </si>
  <si>
    <t>CLAUDE.md historical, backtest_equity.csv</t>
  </si>
  <si>
    <t>Corrected release_date (N=233 clean)</t>
  </si>
  <si>
    <t>65.3% overnight (62/95 graded)</t>
  </si>
  <si>
    <t>+1.862% overnight</t>
  </si>
  <si>
    <t>+271.81% (N=233, 146 trades)</t>
  </si>
  <si>
    <t>233 clean / 146 traded / 95 graded</t>
  </si>
  <si>
    <t>item_e_handoff.md, ext2_holding_curve.csv</t>
  </si>
  <si>
    <t>Human arm</t>
  </si>
  <si>
    <t>Original report_date (superseded, in LOCKED workbook)</t>
  </si>
  <si>
    <t>Recalculated by Excel formula from original M/N/O/P prices</t>
  </si>
  <si>
    <t>Recalculated by Excel formula</t>
  </si>
  <si>
    <t>420 rows in Human_Data_Entry</t>
  </si>
  <si>
    <t>Master_Data_LOCKED_2026-08-13.xlsx</t>
  </si>
  <si>
    <t>Corrected release_date (in CORRECTED workbook)</t>
  </si>
  <si>
    <t>Recalculated by Excel formula from corrected M/N/O/P prices</t>
  </si>
  <si>
    <t>295 rows corrected; 125 left on original basis</t>
  </si>
  <si>
    <t>Master_Data_CORRECTED_2026-08-13.xlsx; workbook_human_prices_corrected.csv</t>
  </si>
  <si>
    <t>Price Basis Corrected flag (added 2026-08-13): 295 of 420 human rows re-anchored to release_date from EDGAR. 125 rows remain on original report_date basis (human-only events not in LLM universe, EDGAR lookup deferred). Column 'Price Basis Corrected' in Human_Data_Entry shows YES/NO per row. NO rows are highlighted in light orange. Source: workbook_human_prices_corrected.csv.</t>
  </si>
  <si>
    <t>--- VERIFICATION LIMIT (2026-08-13) ---</t>
  </si>
  <si>
    <t>CRITICAL</t>
  </si>
  <si>
    <t>LibreOffice cannot evaluate XLOOKUP. ALL formula-driven cells in both workbooks are UNVERIFIED until opened in Excel and Ctrl+Alt+F9 (force full recalculate) is run. The files have been confirmed to open without corruption, but no formula-driven cell value has been verified. 'Verified' in any session log refers to structural integrity only, not numeric correctness.</t>
  </si>
  <si>
    <t>To verify</t>
  </si>
  <si>
    <t>Open each workbook in Excel Online or desktop → select all → Ctrl+Alt+F9 → check the cells in the checklist below.</t>
  </si>
  <si>
    <t>Checklist header</t>
  </si>
  <si>
    <t>Cell</t>
  </si>
  <si>
    <t>Expected value</t>
  </si>
  <si>
    <t>Measures</t>
  </si>
  <si>
    <t>Backing source</t>
  </si>
  <si>
    <t>Summary!F11</t>
  </si>
  <si>
    <t>~42.2%</t>
  </si>
  <si>
    <t>LLM % correct (coverage, N=268, all events, FLAT=YES)</t>
  </si>
  <si>
    <t>workbook_llm_corrected.csv: prediction_correct=YES (113) / total (268) = 42.16%</t>
  </si>
  <si>
    <t>Coverage convention. Different from headline 65.3% (N=233 selectivity)</t>
  </si>
  <si>
    <t>Summary!M11</t>
  </si>
  <si>
    <t>~+1.85%</t>
  </si>
  <si>
    <t>LLM avg net %/trade (N=268, 10bps cost deducted)</t>
  </si>
  <si>
    <t>workbook_llm_corrected.csv: avg gross ~1.95% - 0.1% cost ≈ 1.85%. NOTE: KHC_FQ1_2025 has next_day_open=0 in workbook so 170 trades may compute, not 171.</t>
  </si>
  <si>
    <t>Compare against ext2_holding_curve.csv mean_net=1.8617% for N=233</t>
  </si>
  <si>
    <t>Charts!C6 (rater 1)</t>
  </si>
  <si>
    <t>Charts!C6</t>
  </si>
  <si>
    <t>Formula-driven per rater</t>
  </si>
  <si>
    <t>Coverage accuracy for rater in A6 (=Settings!A8)</t>
  </si>
  <si>
    <t>Human_Data_Entry S column YES / all non-blank S in that rater's rows</t>
  </si>
  <si>
    <t>XLOOKUP-dependent via Settings — must verify in Excel</t>
  </si>
  <si>
    <t>Charts!H6</t>
  </si>
  <si>
    <t>LLM coverage accuracy by decision type (BUY row)</t>
  </si>
  <si>
    <t>COUNTIFS(LLM...$H$548,$F6,...$R$548,'YES') / COUNTIFS(...,'&lt;&gt;')</t>
  </si>
  <si>
    <t>Same denominator as Summary; blank rows safe (criteria filtered)</t>
  </si>
  <si>
    <t>Charts!D31</t>
  </si>
  <si>
    <t>Formula-driven</t>
  </si>
  <si>
    <t>Human (published prices) accuracy: YES/all Human readings</t>
  </si>
  <si>
    <t>Human_Data_Entry S column vs R column (actual direction)</t>
  </si>
  <si>
    <t>Requires Human_Data_Entry data to be populated and formulas evaluated</t>
  </si>
  <si>
    <t>Charts!D33</t>
  </si>
  <si>
    <t>LLM (published) accuracy: YES/all graded LLM rows</t>
  </si>
  <si>
    <t>LLM_Data_Entry R column YES / all non-blank</t>
  </si>
  <si>
    <t>Should match Summary!F11 approximately</t>
  </si>
  <si>
    <t>Charts!E31</t>
  </si>
  <si>
    <t>Formula-driven (pp)</t>
  </si>
  <si>
    <t>Human margin = accuracy - naive floor</t>
  </si>
  <si>
    <t>Computed from C31 and D31</t>
  </si>
  <si>
    <t>Positive means human beats floor</t>
  </si>
  <si>
    <t>AC!D8</t>
  </si>
  <si>
    <t>Accuracy_Conventions!D8</t>
  </si>
  <si>
    <t>LLM coverage accuracy (N=268, YES/total)</t>
  </si>
  <si>
    <t>113/268 = 42.16% from workbook_llm_corrected.csv prediction_correct</t>
  </si>
  <si>
    <t>N=268 figure, not N=233. Headline figure is Corrected_Metrics row (65.3% selectivity N=233)</t>
  </si>
  <si>
    <t>AC!D21</t>
  </si>
  <si>
    <t>Accuracy_Conventions!D21</t>
  </si>
  <si>
    <t>~43.7%</t>
  </si>
  <si>
    <t>LLM selectivity accuracy (N=268, traded+graded correct/traded+graded)</t>
  </si>
  <si>
    <t>76 correct direction / ~174 graded from workbook_llm_corrected.csv</t>
  </si>
  <si>
    <t>N=268. Do NOT compare to headline 65.3% which is N=233 clean</t>
  </si>
  <si>
    <t>AC!D22</t>
  </si>
  <si>
    <t>Accuracy_Conventions!D22</t>
  </si>
  <si>
    <t>Human (All raters) selectivity accuracy</t>
  </si>
  <si>
    <t>Human_Data_Entry J col (BUY/SELL) + R col (UP/DOWN) + S col (YES)</t>
  </si>
  <si>
    <t>Requires all human data rows populated</t>
  </si>
  <si>
    <t>AC!D68</t>
  </si>
  <si>
    <t>Accuracy_Conventions!D68 (CORRECTED only)</t>
  </si>
  <si>
    <t>Human coverage (295 corrected rows, BS='YES')</t>
  </si>
  <si>
    <t>Human_Data_Entry S column YES AND AN='YES' / all non-blank AND AN='YES'</t>
  </si>
  <si>
    <t>CORRECTED workbook only — LOCKED does not have AN column or this block</t>
  </si>
  <si>
    <t>AC!D73</t>
  </si>
  <si>
    <t>Accuracy_Conventions!D73 (CORRECTED only)</t>
  </si>
  <si>
    <t>Human selectivity (295 corrected rows)</t>
  </si>
  <si>
    <t>Human_Data_Entry J+R+AN columns</t>
  </si>
  <si>
    <t>CORRECTED workbook only</t>
  </si>
  <si>
    <t>KHC_FQ1_2025 sentinel fix (2026-08-13)</t>
  </si>
  <si>
    <t>LLM_Data_Entry Kraft Heinz|2025|Q4 (CORRECTED workbook row 202) had next_day_open=blank and prior_close=24.14 (wrong anchor). Fixed from returns_matrix.csv: prior_close→24.9, closing_date→2026-02-09, next_day_open→23.80, opening_date→2026-02-10, actual_pct_change→-4.4177%, actual_direction→DOWN, prediction_correct→YES (was NO), net_pnl→0.043177. workbook_llm_corrected.csv also fixed. Impact: KHC|2025|Q4 is now graded correct (SELL on -4.42% move). LOCKED workbook retains old-anchor values (24.14/23.64) as historical record.</t>
  </si>
  <si>
    <t>In Clean Universe column added (2026-08-13)</t>
  </si>
  <si>
    <t>Two columns added to LLM_Data_Entry in both workbooks at columns BA and BB: 'In Clean Universe' (YES/NO) and 'Exclusion Reason'. 233 YES rows, 35 NO rows. Exclusion set: 25 worksheet contamination, 9 timing unresolved (non-US issuer), 1 SPOT misattribution (Spotify). Source: workbook_llm_corrected.csv excluded/exclusion_reason columns. The N=233 clean-universe LLM selectivity figure (62/95=65.3%) can now be reproduced by filtering Accuracy_Conventions formulas on In Clean Universe=YES.</t>
  </si>
  <si>
    <t>Accuracy_Conventions N=233 section added (2026-08-13)</t>
  </si>
  <si>
    <t>Static N=233 clean-universe LLM figures added to Accuracy_Conventions (rows 78+): Coverage 62/147=42.2%, Selectivity 62/95=65.3%. Source: item_e_walkforward.json (selectivity) and ext2_holding_curve.csv / frontier_table.csv (coverage). Formula-driven cells for N=268 give 61/94=64.9% due to one event's |ret_overnight| just below the 2% band in the current returns_matrix — documented in row 3 of Accuracy_Conventions. The N=233 static figures are the primary reported values.</t>
  </si>
  <si>
    <t>Manifest company name "Metlife" propagated verbatim to LLM_Data_Entry Company column by export function; caused 6 MetLife events to drop silently from price-agreement cross-arm comparison (reported as 289 agree rather than 295)</t>
  </si>
  <si>
    <t>Manifest corrected to "MetLife"; LLM_Data_Entry rows 212-217 corrected in workbook; silent ticker-fallback in extension export changed to warn.</t>
  </si>
  <si>
    <t>manifests/p2_metlife_reports.json carried "company": "Metlife" (lowercase l). The export script read this field verbatim with no normalisation step.</t>
  </si>
  <si>
    <t>2026-08-14</t>
  </si>
  <si>
    <t>6 MetLife events (MET_FQ2_2024, MET_FQ3_2024, MET_FQ2_2025, MET_FQ3_2025, MET_FQ4_2025, MET_FQ1_2026)</t>
  </si>
  <si>
    <t>Post-extension audit found price-agreement count dropped from 295 to 289; resolved by running both matching strategies (company-name join vs ticker join); identified 6 missing rows as all MetLife.</t>
  </si>
  <si>
    <t>Fifth instance of the same shape — a source carries wrong data, an export propagates it verbatim, nothing fails, the fault is visible only via a downstream count discrepancy. Was corrected in a downstream artefact on 2026-08-13 without fixing the source, so it returned on the next export. Prior instances: unread PRE_MARKET_ISSUERS constant; re-pricing block no formula read; verification script that never completed a run; cost ledger that never visited extension paths. Common shape: nothing fails when the side effect is missing.</t>
  </si>
  <si>
    <t>HEIA.AS/RMSP.XC company names in LLM_Data_Entry used ticker string instead of company name ('HEIA.AS'→'Heineken', 'RMSP.XC'→'Hermès'). 6th instance of silent-propagation pattern: manifest/export propagates wrong value, join silently fails.</t>
  </si>
  <si>
    <t>Changed col A values in LLM_Data_Entry for all 4 HEIA.AS rows and all 4 RMSP.XC rows.</t>
  </si>
  <si>
    <t>Extension re-anchoring pass 1 copied Section C backup columns (Re-priced prior close / Re-priced next open — columns AE/AG) rather than the corrected pipeline values from LLM_Data_Entry. Only caught because price-agreement check was run after. 7th instance of the silent-propagation pattern: source carries wrong values, copy propagates verbatim, nothing fails, fault visible only via downstream count.</t>
  </si>
  <si>
    <t>Second re-anchoring pass read from LLM_Data_Entry arm directly (original columns L/N = pipeline-sourced prices). 110 extension rows in Human_Data_Entry corrected. 0 disagree confirmed after second pass.</t>
  </si>
  <si>
    <t>110 extension rows</t>
  </si>
  <si>
    <t>workbook_human_prices_corrected.csv; Price_Basis_Note sheet</t>
  </si>
  <si>
    <t>Hermès RMSP.XC rows 290 and 335 stored Actual % Change = 0 despite non-zero Prior Close / Next Day Open (implied +5.7% and −6.0%). Same fault as KHC on 2026-08-13. Second occurrence. The KHC fix corrected the instance but not the mechanism (the extension row writer did not compute % change from prices; it wrote a default zero), so the fault recurred in the extension set.</t>
  </si>
  <si>
    <t>Both rows corrected from disk: computed (Next Day Open − Prior Close) / Prior Close, wrote to col P. Actual Direction (col Q) and Prediction Correct? (col R) also written. Full 93-row sweep confirmed: 2 sentinel zeros found (rows 290 and 335 only, both Hermès). No further instances. Set B funnel updated: n_graded 29→31, coverage_accuracy 34.5%→32.3% (selectivity 71.4% and n_correct=10 unchanged).</t>
  </si>
  <si>
    <t>Extension row writer set Actual % Change field to integer 0 as default; did not compute from Prior Close / Next Day Open. Hermès prices are denominated in euros and ~2000–2500 range (not US equities), so non-zero prices did not trigger any sanity check.</t>
  </si>
  <si>
    <t>Hermès RMSP.XC rows 290, 335 (LLM_Data_Entry EXTENSION set)</t>
  </si>
  <si>
    <t>Full 93-row extension sweep. Instance count: 2. 8th pattern instance of the silent-propagation shape: source carries wrong/default value, nothing fails, fault visible only via downstream comparison.</t>
  </si>
  <si>
    <t>RMSP.XC LLM rows 295 (Q2 2025, report_date 2025-07-01) and 311 (Q3 2025, report_date 2025-10-01): stored Actual % Change (col P) matches pipeline gap (-0.39% and +0.26% respectively) but does not match return implied by stored Prior Close / Next Day Open columns (cols L/N). Row 295: stored P=-0.39%, L/N implied=-0.78%, pipeline gap=-0.39%. Row 311: stored P=+0.26%, L/N implied=-0.02%, pipeline gap=+0.26%. The L/N columns store prices for dates 2 weeks before report_date (2025-06-16/17 for a 2025-07-01 report; 2025-09-16/17 for a 2025-10-01 report). The pipeline computed gap using the correct date pair (close day-before report_date / open on report_date). Both events are below the ±2% grading threshold in the pipeline — neither is graded (Direction=NULL, Correct=NULL in the workbook). The magnitude of divergence (0.39pp on row 295; sign-flip on row 311 but both &lt;2%) does not change grading outcome for either event. No correction applied: pipeline gap is authoritative for grading and stored P matches it. The L/N price columns store incorrect dates (a data-consistency fault, not a grading fault). This is a documentation note, not a fault correction. 9th instance of the silent-propagation pattern: values were propagated from a source that used a wrong date, workbook shows consistent L/N-to-P disagreement, grading uses P (not L/N implied), nothing fails.</t>
  </si>
  <si>
    <t>No change. Pipeline gap is authoritative. Stored P already matches pipeline. L/N dates are wrong but not used for grading. Documented for transparency.</t>
  </si>
  <si>
    <t>Extension row writer set Prior Close and Next Day Open from a price-cache lookup that used a different date basis than the pipeline's report_date anchor. The P column was written from the pipeline gap value, not computed from L/N.</t>
  </si>
  <si>
    <t>RMSP.XC LLM_Data_Entry rows 295 (RMS_FQ2_2025, Q2 2025) and 311 (RMS_FQ3_2025, Q3 2025)</t>
  </si>
  <si>
    <t>Item 2 of 2026-08-14 sequential audit. Divergence discovered when computing (N−L)/L for rows 295 and 311 and comparing to stored P and pipeline gap.</t>
  </si>
  <si>
    <t>2026-08-14 floor audit: all floor figures verified correct from raw outcome data via full recomputation. Two stale text cells in Results_Three_Sets corrected: (1) Row 116 (frontier_floor_always_down_B) convention column read "29 graded events in Set B; 15/29" — updated to "31 graded events; 16/31" to match the Hermes-corrected value/n cells. (2) Row 121 (frontier_floor_always_down_C) convention column read "148 graded (119+29); 65+14=79" — updated to "150 graded (119+31); 65+15=80". Row 121 source_file cell also corrected (was FALSE, now frontier_table.csv + finbert_extension_results.csv). No floor percentage or count values changed anywhere — all 9 floor metrics matched recomputed values exactly.</t>
  </si>
  <si>
    <t>Updated convention text in workbook Results_Three_Sets rows 116 and 121 to match already-correct values and already-updated results_three_sets.csv convention fields. Source_file cell for row 121 corrected. No changes to results_three_sets.csv (already correct). No changes to sector_breakdown_three_sets.csv (no floor figures present).</t>
  </si>
  <si>
    <t>The 2026-08-14 Hermes zero-fill correction (row 48 of this log) updated: (a) workbook value/n cells for Set B floor rows, (b) results_three_sets.csv value/n and convention fields. It did NOT update the workbook convention/notes cells for frontier_floor_always_down_B and frontier_floor_always_down_C, which still referenced the pre-Hermes counts (29 graded, not 31). Text-only propagation gap — numeric values were already correct.</t>
  </si>
  <si>
    <t>Results_Three_Sets sheet rows 116 (frontier_floor_always_down_B convention/notes) and 121 (frontier_floor_always_down_C convention/source_file). Text only — no numeric changes. Not a 10th pattern instance (no value was wrong; the propagation gap was in descriptive text cells only).</t>
  </si>
  <si>
    <t>Full floor recomputation from returns_matrix.csv + global_outcome_calibration_phase2.csv (N=233 after 35 exclusions) + finbert_extension_results.csv + Hermes correction. All 9 floor metrics verified correct: selectivity_floor_A=52/95=54.7%; coverage_floor_A=80/147=54.4%; selectivity_floor_B=7/14=50.0%; coverage_floor_always_down_B=15/31=48.4%; coverage_floor_majority_B=16/31=51.6%; frontier_floor_A=65/119=54.6%; frontier_floor_B=15/31=48.4%; frontier_floor_C=80/150=53.3%; walkforward_oos_floor_C=53.4%. All MATCH stored values. No headline margins changed.</t>
  </si>
  <si>
    <t>Text</t>
  </si>
  <si>
    <t>SURVIVING: 1. Rank correlation with monotonic decay (strongest)</t>
  </si>
  <si>
    <t>**Statistic**: Spearman rho = 0.236, p = 0.0003, on all 233 clean events.
Decays monotonically: 0.159 (1d, p=0.015), 0.112 (3d, p=0.089), 0.072
(5d, p=0.276), 0.058 (10d, p=0.380). Bootstrap CI on mean net per trade
crosses zero by 3 days.
**Threshold-dependent?** No. Rho uses the continuous blended score and the
continuous return. No band, no BUY/SELL/HOLD split, no grading threshold.
**Why corrections did not touch it**: rho does not depend on the entry
convention (it uses the same returns_matrix as everything else, which was
rebuilt on the corrected anchor) but it was recomputed on the corrected
matrix and improved from 0.221 to 0.236. It is not sensitive to the HOLD
threshold because it uses all 233 events, not just traded ones.</t>
  </si>
  <si>
    <t>SURVIVING: 2. Selectivity accuracy (qualified — not verifiable OOS)</t>
  </si>
  <si>
    <t>**Statistic**: 62/95 = 65.3%, vs 54.7% majority-direction floor (52/95),
margin +10.5pp, p=0.024 (binomial). MDE = ±10.8pp (barely powered to
detect). Source: `ext2_holding_curve.csv` (overnight row, N=233),
`item_e_walkforward.json` (n_graded=95, n_correct=62).
**Must always be paired with the coverage figure**: 62/147 = 42.2% under
HOLD=wrong, 12.2pp below the 54.4% floor (80/147 always-DOWN).
**Threshold-dependent?** Yes. The HOLD thresholds (+0.25/-0.05) determine
which 95 of 233 events are graded. Those thresholds were selected by
optimising compounded total return on the full dataset (in-sample,
PSR=0.0). The 95-event denominator is itself a product of in-sample
threshold selection.
**Item E outcome**: Walk-forward threshold refitting degenerates at N=233.
Two objectives were tried — mean net per trade and directional accuracy
(with a 15% minimum trade fraction). Both degenerate: mean-net refitting
produces extreme thresholds (+0.45/-0.50) selecting 5-7 training trades
and zero OOS trades in 3 of 4 windows; accuracy refitting degenerates in
2 of 4 windows. The threshold selection procedure behind the deployed
65.3% cannot be executed honestly at this sample size. **Significant
in-sample at p=0.024, and not verifiable out of sample because threshold
refitting degenerates at this N.**
**Cross-issuer generalisation** (finding #3): 101 events from 29 issuers
scored after the N=161 threshold sweep, zero issuer overlap with the 40
in-sweep issuers. Under the deployed thresholds: 33/52 graded correct =
63.5%, vs always-DOWN floor 51.9%, margin +11.5pp, p=0.063 (MDE ±20.8pp).
This tests issuer transfer, not temporal generalisation (both subsets span
overlapping dates). Reconstructed subset — see finding #3 for the full
qualification.
**Fragility statement**: the in-sample margin is significant but sits at
the detection limit. The cross-issuer margin is comparable in magnitude
(+11.5pp) but not significant (p=0.063, N=52). A modestly smaller true
effect would have</t>
  </si>
  <si>
    <t>SURVIVING: 3. Cross-issuer generalisation (reconstructed subset)</t>
  </si>
  <si>
    <t>**Statistic**: Thresholds fitted on 40 issuers (132 clean events) transfer
to 29 unseen issuers (101 clean events, `item_e_walkforward.json`): 33/52 graded correct = 63.5%,
vs always-DOWN floor 51.9% (27/52), margin +11.5pp, p=0.063
(MDE ±20.8pp). Mean net per trade: +2.785%.
**This is a cross-issuer test, not a temporal one.** The 101 post-sweep
events are entirely new issuers — zero issuer overlap with the 40
in-sweep issuers. Both subsets span overlapping date ranges (in-sweep:
2023-04-25 to 2026-07-14; post-sweep: 2024-07-31 to 2026-07-01; 37
same-day reports from different issuers). The two subsets are interleaved
in time, not sequential.
**Does not corroborate the temporal findings.** The walk-forward
(finding #2's degeneracy result) and the dev/eval split (finding #9)
test whether thresholds generalise across time. This tests whether they
generalise across issuers. Three results on two different axes should
not be presented as three lines of agreement. The temporal axis
(walk-forward) degenerates; the cross-issuer axis shows a directionally
consistent but non-significant margin.
**Confound**: because the two subsets overlap in time, an issuer-coverage
effect and a temporal effect cannot be separated. The result is consistent
with both "the thresholds transfer to new companies" and "the thresholds
work on later quarters" — the design cannot distinguish these.
**Threshold-dependent?** Yes — the deployed thresholds determine which of
the 101 events are graded. But unlike finding #2, the thresholds were not
selected on these events, so the threshold-dependency is for grading only,
not for selection.
**Qualification — reconstructed, not recorded**: The N=161 sweep
(`experiments/phase2_pnl_weight_threshold_sweep.py`) predates this
repository's git history. No recorded event list or calibration file from
that commit survives. Sweep membership is inferred from: (a) the sweep
JSON records `n_documents=161` but no event list; (b) the first 40
issuers in `PHASE2_IS</t>
  </si>
  <si>
    <t>SURVIVING: 4. Item C: section ablation token ratio</t>
  </si>
  <si>
    <t>**Statistic**: press release at ~13k tokens achieves 62.5% accuracy
(35/56 graded, HOLD-excluded, on its own graded set, N=200) vs full
bundle at ~30k tokens at 65.7% (46/70 graded). Cost per correct call:
$0.029 (PR) vs $0.046 (full). On the four-arm subset (N=119, all arms
scored), per-arm accuracy is 64.9% (PR, 24/37) vs 68.1% (full, 32/47),
cost $0.0225 vs $0.0358. Full bundle wins 6.8pp on the inclusive paired
test (p=0.055, n=66 four-arm events), driven by 17 events the PR passes
on. Prepared remarks agrees with full bundle on 85.7% of signals at ~10k
tokens. Source: `section_ablation_cost_per_correct.csv` (per-arm
accuracy and cost), `section_ablation_paired_diffs.csv` (paired test),
`section_ablation_results.csv` (per-call tokens and costs).
**Threshold-dependent?** The accuracy figures are threshold-dependent
(same qualification as #2, including the Item E walk-forward outcome:
threshold refitting degenerates at this N). The token ratio and cost per
correct call are not — they are properties of the documents, not the
grading convention.
**Why corrections did not touch it**: Item C was scored and graded on the
corrected returns_matrix. The model version (deepseek-v4-flash) matches
the deployed runs.</t>
  </si>
  <si>
    <t>SURVIVING: 5. Kappa near-independence (human vs model)</t>
  </si>
  <si>
    <t>**Statistic**: Cohen's kappa = 0.109, 90% CI [0.030, 0.190], N=171
paired events. Recomputed 2026-08-13 on the N=233 clean universe
(section=All, first_rater_for_event=YES, in_llm_universe=YES; LLM
decision from `blend_predicted_signal_default`). The human and LLM arms
are close to independent — their directional calls share barely more
structure than two independent classifiers with their marginals (human
BUY 56.1%, LLM BUY 24.6%). Observed agreement 38.0%, expected 30.4%.
**Backing**: `kappa_near_independence.csv` (3x3 confusion matrix, both
arms' marginals, observed/expected agreement, kappa, bootstrap CI, subset
definition).
**Prior values**: 0.107 (CI [0.027, 0.188]) reported in
`retracted_findings_2026-08-12.md` — close but console-only, no backing
CSV. 0.113 (CI [0.036, 0.191]) in `worksheet_leak_triage.md` — different
computation on a different N. Both superseded by the CSV-backed 0.109.
**Threshold-dependent?** No. Kappa compares the BUY/HOLD/SELL calls
directly, not graded outcomes.</t>
  </si>
  <si>
    <t>SURVIVING: 6. Direction-only comparison (human vs model)</t>
  </si>
  <si>
    <t>**Statistic**: on 76 events where both arms committed, human 57.9%
(44/76) vs LLM 60.5% (46/76), diff +2.6pp, p=0.754. Neither detectably
better. Source: `human_vs_llm_statistics.csv` (all statistics),
`human_vs_llm_corrected.md` (prose). Computing script:
`experiments/human_vs_llm_backing.py`.
**Against the majority-direction floor**: always-DOWN = 55.3% (42/76).
Human +2.6pp (p=0.366), LLM +5.3pp (p=0.210). **Neither arm beats the
majority-direction floor by a testable margin.** The null stands.
**Threshold-dependent?** No. Uses sign accuracy, no band.</t>
  </si>
  <si>
    <t>SURVIVING: 7. SELL-versus-BUY asymmetry (a finding in its own right)</t>
  </si>
  <si>
    <t>Source: `human_vs_llm_direction_decomposition.csv` (per-direction table),
`human_vs_llm_statistics.csv` (all statistics).
Computing script: `experiments/human_vs_llm_backing.py`.
P-values are one-sided binomial tests (alternative=greater).
Both arms show skill on SELL calls and neither shows skill on BUY calls:
| Arm | Call | Accuracy | N | vs 50% (p) | vs overall base rate (p) |
|---|---|---|---|---|---|
| Human | BUY | 50.9% (27/53) | 53 | +0.9pp (0.500) | +7.5pp vs 43.4% (0.167) |
| Human | SELL | **73.9%** (17/23) | **23** | **+23.9pp (0.017)** | +17.3pp vs 56.6% (0.069) |
| LLM | BUY | 55.6% (20/36) | 36 | +5.6pp (0.309) | +12.1pp vs 43.4% (0.097) |
| LLM | SELL | **65.0%** (26/40) | **40** | **+15.0pp (0.040)** | +8.4pp vs 56.6% (0.181) |
Reading earnings documents supports identifying trouble more reliably than
confirming strength. Both arms clear 50% on SELL calls (human p=0.017,
LLM p=0.040) and neither reliably clears 50% on BUY calls (human p=0.500,
LLM p=0.309).
Against the overall base rate (56.6% negative) rather than 50%, the SELL
margins fall to p=0.069 (human) and p=0.181 (LLM). The defensible
statement is that both arms clear chance on SELL calls and neither
reliably clears the base rate in either direction.
**Caveat on N**: the human SELL cell is 23 events and cannot carry much
weight; the LLM SELL cell at 40 is more credible. The human BUY cell
(53 events) has the most power but shows no signal.
**Connection to earlier observations**: the model was noted to have
"downside blindness" while the human arm is "directionally optimistic"
(56.1% BUY calls). This asymmetry is now measured: the human arm's value
concentrates in its minority SELL calls (73.9%, N=23), not its majority
BUY calls (50.9%, N=53). The LLM distributes skill more evenly but
achieves it on SELL rather than BUY.
**Threshold-dependent?** No. Uses sign accuracy, no band.</t>
  </si>
  <si>
    <t>SURVIVING: 8. Supplementary re-score of 25 contaminated events</t>
  </si>
  <si>
    <t>**Statistic**: 12/25 (48%) changed their directional call once the
worksheet was removed. Re-scored accuracy 66.7% (12/18 graded) resembles
the clean set (65.3%), corroborating the exclusion.
**Threshold-dependent?** Yes (grading uses the HOLD threshold). Same
walk-forward qualification as finding #2.</t>
  </si>
  <si>
    <t>SURVIVING: 9. Dev/eval split (subset stability, not a result)</t>
  </si>
  <si>
    <t>**Statistic**: eval accuracy 68.0% (51/75) clears its always-DOWN floor
of 54.6% by +13.4pp (p=0.013, MDE=±14.4pp). Dev accuracy 55.0% (11/20)
does not clear its own floor of 53.6% (+1.4pp, MDE=±27.8pp — underpowered
to detect any plausible effect). The finding is that the model clears the
floor on later events and cannot be shown to do so on earlier ones, not a
clean comparison between two halves. Split rule: sort 233 clean events by
release_date (`returns_matrix.csv`), earliest 20% (47 events) = dev,
remaining 80% (186 events) = eval. Source: `frontier_table.csv` (eval
graded N=119, of which 75 traded+graded).
**Not a result**: the dev-eval difference is not significant.
**Not out-of-sample**: the dev/eval split was applied post hoc to data
the deployed thresholds were already fitted on. The eval split's 68.0%
is an in-sample figure computed on a subset of the same events the
threshold sweep saw. It shows subset stability (the fitted thresholds
are not concentrated on early events), not generalisation. Finding #3
(33/52 = 63.5%, p=0.063) tests cross-issuer transfer, not temporal
generalisation — both this dev/eval split and finding #3 are suggestive
but neither provides a clean temporal OOS test (the walk-forward
degenerates at this N).</t>
  </si>
  <si>
    <t>SURVIVING: What did not survive</t>
  </si>
  <si>
    <t>1. 72.7% band capture → 42.4% (anchor artefact)
2. 61% sign-correct p=0.064 → 56% p=0.480 (anchor artefact)
3. PM 70.8% vs AH 65.1% accuracy divergence → vanished (anchor artefact)
4. +17.3pp agreement filter → -0.3pp (anchor artefact)
5. ~39% baseline → 54.7% majority-direction (comparator error)
6. "Zero per-direction margin" → tautological (not a finding)</t>
  </si>
  <si>
    <t>SURVIVING: The threshold qualification, stated once</t>
  </si>
  <si>
    <t>The deployed HOLD thresholds were selected by optimising compounded total
return — a metric the study no longer reports — on the full dataset the
study then scores. PSR=0.0, permutation p=0.150. The thresholds are not
pre-registered. The 95-event graded denominator is itself a product of
in-sample threshold selection.
**Every figure that depends on the HOLD threshold** (selectivity accuracy,
mean net per trade, the graded N, Item C per-arm accuracy) carries this
qualification.
**Item E outcome — two-objective degeneracy (structural, not
objective-specific)**:
Walk-forward threshold refitting degenerates at N=233. Two refit
objectives were tried:
1. **Mean net per trade** (the study's headline P&amp;L metric,
   order-independent): selects extreme thresholds (+0.45/-0.50)
   producing 5–7 training trades and zero OOS trades in 3 of 4
   windows.
2. **Directional accuracy** (with a 15% minimum trade fraction
   constraint): degenerates in 2 of 4 windows despite the trade-count
   floor.
Both objectives degenerate. The threshold selection procedure behind the
deployed 65.3% cannot be executed honestly at this sample size. This
means any threshold-dependent figure in this study — selectivity
accuracy, mean net per trade, graded N, Item C per-arm accuracy — rests
on a selection step that does not survive honest replication.
The deployed thresholds' performance on 101 genuinely unseen events
(29 issuers scored after the N=161 sweep, reconstructed cross-issuer
generalisation subset — see finding #3) is 33/52 = 63.5% (p=0.063 vs floor). Directionally
consistent but not significant at 0.05.
**Rho (finding #1) does not depend on the threshold** and is the only
headline that is clean of this qualification. That rho = 0.236 at
p = 0.0003 is why it, not the selectivity accuracy, is the study's
primary result.</t>
  </si>
  <si>
    <t>RETRACTED FINDINGS</t>
  </si>
  <si>
    <t>RETRACTED: 1. "72.7% of pre_market events fall inside the ±2% band"</t>
  </si>
  <si>
    <t>**What was claimed**: 72.7% of pre_market events (96/132) had overnight
returns inside the ±2% HOLD band, against 26.8% (26/97) for after_hours.
This was presented as a 3× structural asymmetry in what the study could
measure, driven by the overnight gap capturing less of the earnings reaction
for BMO reporters.
**Corrected figure**: 42.4% (56/132) for pre_market, 29.9% (29/97) for
after_hours. The asymmetry is real but roughly 1.4×, not 3×.
**Why the artefact arose**: For 82 pre_market events where release_date =
report_date, the old convention used report_date close as entry — which was
already post-announcement for a BMO reporter. The overnight gap from that
close to the next morning's open was residual drift, not the earnings
reaction. The corrected anchor shifts entry to the prior session's close, so
the gap now spans the actual pre-market release and captures most of the
reaction. This moved ~40 events from inside the band to outside it.</t>
  </si>
  <si>
    <t>RETRACTED: 2. "61% of ungraded trades were directionally correct (p=0.064)"</t>
  </si>
  <si>
    <t>**What was claimed**: 46 of 75 ungraded trades (events where the model traded
but the overnight return fell inside ±2%) had their directional sign match the
model's call. This was presented as a measured cost of the pre-registered HOLD
band — the band was discarding events where the model had real signal.
**Corrected figure**: 28 of 50 ungraded trades = 56.0%, p=0.480 (not
significant).
**Why the artefact arose**: The 25 events that moved from "flat traded"
(ungraded) to "graded" were disproportionately the ones with correct signs
and larger magnitudes — they sat just below the ±2% boundary under the old
entry and moved above it under the corrected entry. Removing them from the
ungraded pool dropped the rate from 61% to 56% and eliminated the
significance. The band is not discarding signal; the old entry was compressing
returns below the band.</t>
  </si>
  <si>
    <t>RETRACTED: 3. Accuracy-versus-P&amp;L divergence</t>
  </si>
  <si>
    <t>**What was claimed in earlier project notes**: accuracy and P&amp;L point in
opposite directions because the HOLD metric rewards hedging while P&amp;L rewards
exposure, with pre_market showing higher accuracy (70.8%) and lower mean net
(+0.723%) than after_hours (65.1%, +2.749%).
**Corrected figures**: pre_market accuracy 64.6% vs after_hours 65.9% — nearly
identical. Mean net +1.149% vs +2.817%. The accuracy divergence has vanished.
Pooled: accuracy 65.2% (60/92), mean net +1.877% — both positive, no
directional divergence.
The earlier divergence was an anchor artefact: the old entry inflated
pre_market accuracy by restricting the graded sample to the 24 most extreme
reactions (70.8% on an easy subset) while deflating mean net by including 56
near-zero flat trades. The corrected anchor doubles the pre_market graded
sample to 48 events, diluting the inflated accuracy and increasing mean net.</t>
  </si>
  <si>
    <t>RETRACTED: 4. Agreement filter (+17.3pp, p=0.029) — the most consequential retraction</t>
  </si>
  <si>
    <t xml:space="preserve">### The original claim (never reproducible)
The project's documented headline was that LLM accuracy is 0.561 where both
the human and LLM arms agree, against 0.429 where they disagree. This figure
appears only as prose in `Model_Arm_Implementation_Spec.md` ("Agreement-
conditional accuracy, 0.561 on the 57 events where both arms agree, against
0.429 where they disagree. Already computed."). No script, output file, or
intermediate artefact in this repository produces these numbers. They cannot
be regenerated and should not be presented.
### The interim measured version (stale anchor)
A replacement was computed on the `report_date` anchor: agree 32.7% (18/55)
vs disagree 15.4% (8/52), difference +17.3pp, bootstrap p=0.029. This was
presented as the authoritative figure. It was computed on the stale anchor.
### The corrected figure
On the `release_date` anchor: agree 69.0% (20/29) vs disagree 69.2% (18/26),
difference -0.3pp, p=0.959. **The agreement filter vanishes entirely.**
### </t>
  </si>
  <si>
    <t>RETRACTED: 5. Baseline of ~39% (always-BUY on all events including HOLDs)</t>
  </si>
  <si>
    <t>**What was claimed**: accuracy of 65.3% "against a majority-class baseline of
about 39%", implying a +26pp margin.
**Corrected figure**: the correct naive floor is always-predict-DOWN on graded
events = 54.7% (52/95). The margin is +10.5pp (p=0.024), barely significant
(MDE=±10.8pp at N=95).
**Why the error arose**: the ~39% was always-BUY computed on all events
including HOLDs — the wrong denominator for an accuracy computed with FLAT
events excluded. This is not a stale-anchor artefact but a comparator error
present from the start. The naive floor must be computed on the same
denominator as the accuracy it is compared against.
See `baseline_correction_2026-08-13.md` for the full analysis.</t>
  </si>
  <si>
    <t>RETRACTED: Lesson: one convention error plus one comparator error, five retracted findings</t>
  </si>
  <si>
    <t>All four artefacts trace to one cause: using `report_date` close uniformly
as entry, which was wrong for 82 pre_market events. The corrected anchor
(`release_date` from EDGAR 8-K Item 2.02) resolves the entry to the correct
session.
| Finding | Stale | Corrected | Mechanism |
|---|---|---|---|
| Band capture | 72.7% PM inside | 42.4% | Wrong entry compressed returns below band |
| Sign-correct | 61% p=0.064 | 56% p=0.480 | Best sign-correct events moved to graded |
| Accuracy divergence | PM 70.8% vs AH 65.1% | 64.6% vs 65.9% | Inflated by extreme-only grading |
| Agreement filter | +17.3pp p=0.029 | -0.3pp p=0.959 | Both groups lifted equally |
The methodological lesson: verify entry anchors against documented filing
dates, not price behaviour. The JPM_FQ1_2025 case (tariff-pause rally on
2025-04-09 masking the actual 2025-04-11 release) is the clearest
demonstration — see `jpm_fq1_2025_worked_example.md`.</t>
  </si>
  <si>
    <t>(a) Model call vs realised outcome — N=233 clean events, pre-registered ±2% overnight band</t>
  </si>
  <si>
    <t>Outcome UP (ret&gt;2%)</t>
  </si>
  <si>
    <t>Outcome FLAT (|ret|≤2%)</t>
  </si>
  <si>
    <t>Outcome DOWN (ret&lt;-2%)</t>
  </si>
  <si>
    <t>Row total</t>
  </si>
  <si>
    <t>Precision (correct/called_dir)</t>
  </si>
  <si>
    <t>Recall (correct/realised_dir)</t>
  </si>
  <si>
    <t>Call BUY</t>
  </si>
  <si>
    <t>30/72</t>
  </si>
  <si>
    <t>Call HOLD</t>
  </si>
  <si>
    <t>35/87</t>
  </si>
  <si>
    <t>Call SELL</t>
  </si>
  <si>
    <t>32/74</t>
  </si>
  <si>
    <t>Col total</t>
  </si>
  <si>
    <t>Recall (correct/total_in_direction)</t>
  </si>
  <si>
    <t>30/67</t>
  </si>
  <si>
    <t>35/86</t>
  </si>
  <si>
    <t>32/80</t>
  </si>
  <si>
    <t>Note: BUY-called-DOWN and SELL-called-UP are the costly directional errors. HOLD row against UP and DOWN is the coverage gap (52 events that moved but were passed on).</t>
  </si>
  <si>
    <t>(b) Human arm vs realised outcome — N=171 paired events (section=All, first_rater=YES, in_llm=YES, exclusions applied)</t>
  </si>
  <si>
    <t>Source: human_decisions_export_2026-08-12.csv + returns_matrix.csv</t>
  </si>
  <si>
    <t>(c) Human vs model agreement — N=171 paired events. Source: kappa_near_independence.csv</t>
  </si>
  <si>
    <t>Human call \ LLM call</t>
  </si>
  <si>
    <t>LLM BUY</t>
  </si>
  <si>
    <t>LLM HOLD</t>
  </si>
  <si>
    <t>LLM SELL</t>
  </si>
  <si>
    <t>Human BUY</t>
  </si>
  <si>
    <t>Human HOLD</t>
  </si>
  <si>
    <t>Human SELL</t>
  </si>
  <si>
    <t>Kappa</t>
  </si>
  <si>
    <t>90% CI</t>
  </si>
  <si>
    <t>[0.030, 0.190]</t>
  </si>
  <si>
    <t>0.3801</t>
  </si>
  <si>
    <t>Expected agreement</t>
  </si>
  <si>
    <t>0.3041</t>
  </si>
  <si>
    <t>document_id</t>
  </si>
  <si>
    <t>ticker</t>
  </si>
  <si>
    <t>release_date</t>
  </si>
  <si>
    <t>entry_date</t>
  </si>
  <si>
    <t>timing</t>
  </si>
  <si>
    <t>entry_shifted</t>
  </si>
  <si>
    <t>verification_method</t>
  </si>
  <si>
    <t>timing_excluded</t>
  </si>
  <si>
    <t>AAPL_FQ1_2026</t>
  </si>
  <si>
    <t>after_hours</t>
  </si>
  <si>
    <t>returns_matrix.csv (corrected 2026-08-12)</t>
  </si>
  <si>
    <t>AAPL_FQ3_2025</t>
  </si>
  <si>
    <t>AAPL_FQ4_2025</t>
  </si>
  <si>
    <t>ABNB_FQ1_2026</t>
  </si>
  <si>
    <t>ABNB_FQ2_2025</t>
  </si>
  <si>
    <t>ABNB_FQ3_2025</t>
  </si>
  <si>
    <t>ABNB_FQ4_2025</t>
  </si>
  <si>
    <t>ALV.DE_FQ1_2025</t>
  </si>
  <si>
    <t>AMD_FQ1_2026</t>
  </si>
  <si>
    <t>AMD_FQ2_2025</t>
  </si>
  <si>
    <t>AMD_FQ4_2025</t>
  </si>
  <si>
    <t>AMKBY_FQ1_2025</t>
  </si>
  <si>
    <t>AMKBY_FQ2_2025</t>
  </si>
  <si>
    <t>AMKBY_FQ3_2025</t>
  </si>
  <si>
    <t>AMKBY_FQ4_2025</t>
  </si>
  <si>
    <t>AMZN_FQ1_2026</t>
  </si>
  <si>
    <t>AMZN_FQ3_2025</t>
  </si>
  <si>
    <t>AMZN_FQ4_2025</t>
  </si>
  <si>
    <t>AVGO_FQ1_2026</t>
  </si>
  <si>
    <t>AVGO_FQ3_2025</t>
  </si>
  <si>
    <t>AVGO_FQ4_2025</t>
  </si>
  <si>
    <t>BAC_FQ1_2025</t>
  </si>
  <si>
    <t>pre_market</t>
  </si>
  <si>
    <t>BAC_FQ2_2025</t>
  </si>
  <si>
    <t>BAC_FQ3_2025</t>
  </si>
  <si>
    <t>BAC_FQ4_2025</t>
  </si>
  <si>
    <t>BA_FQ1_2025</t>
  </si>
  <si>
    <t>BA_FQ2_2025</t>
  </si>
  <si>
    <t>BA_FQ3_2025</t>
  </si>
  <si>
    <t>BA_FQ4_2025</t>
  </si>
  <si>
    <t>BCS_FQ1_2026</t>
  </si>
  <si>
    <t>BCS_FQ2_2025</t>
  </si>
  <si>
    <t>BCS_FQ3_2025</t>
  </si>
  <si>
    <t>BKNG_FQ2_2025</t>
  </si>
  <si>
    <t>BKNG_FQ3_2025</t>
  </si>
  <si>
    <t>BKNG_FQ4_2025</t>
  </si>
  <si>
    <t>CAT_FQ2_2025</t>
  </si>
  <si>
    <t>CAT_FQ3_2025</t>
  </si>
  <si>
    <t>CAT_FQ4_2025</t>
  </si>
  <si>
    <t>CMCSA_FQ1_2025</t>
  </si>
  <si>
    <t>CMCSA_FQ1_2026</t>
  </si>
  <si>
    <t>CMCSA_FQ2_2025</t>
  </si>
  <si>
    <t>CMCSA_FQ4_2025</t>
  </si>
  <si>
    <t>CMG_FQ1_2025</t>
  </si>
  <si>
    <t>CMG_FQ2_2025</t>
  </si>
  <si>
    <t>CMG_FQ3_2025</t>
  </si>
  <si>
    <t>CMG_FQ4_2025</t>
  </si>
  <si>
    <t>COIN_FQ1_2026</t>
  </si>
  <si>
    <t>COIN_FQ3_2025</t>
  </si>
  <si>
    <t>COIN_FQ4_2025</t>
  </si>
  <si>
    <t>CRM_FQ2_2026</t>
  </si>
  <si>
    <t>CRM_FQ3_2026</t>
  </si>
  <si>
    <t>CRM_FQ4_2026</t>
  </si>
  <si>
    <t>CVS_FQ1_2026</t>
  </si>
  <si>
    <t>CVS_FQ2_2025</t>
  </si>
  <si>
    <t>CVS_FQ3_2025</t>
  </si>
  <si>
    <t>CVS_FQ4_2025</t>
  </si>
  <si>
    <t>C_FQ1_2025</t>
  </si>
  <si>
    <t>C_FQ2_2025</t>
  </si>
  <si>
    <t>C_FQ3_2025</t>
  </si>
  <si>
    <t>C_FQ4_2025</t>
  </si>
  <si>
    <t>DAL_FQ1_2025</t>
  </si>
  <si>
    <t>DAL_FQ2_2025</t>
  </si>
  <si>
    <t>DAL_FQ3_2025</t>
  </si>
  <si>
    <t>DAL_FQ4_2025</t>
  </si>
  <si>
    <t>DELL_FQ1_2025</t>
  </si>
  <si>
    <t>DELL_FQ3_2025</t>
  </si>
  <si>
    <t>DELL_FQ4_2025</t>
  </si>
  <si>
    <t>DIS_FQ1_2025</t>
  </si>
  <si>
    <t>DIS_FQ3_2025</t>
  </si>
  <si>
    <t>DIS_FQ4_2025</t>
  </si>
  <si>
    <t>EXPE_FQ1_2025</t>
  </si>
  <si>
    <t>EXPE_FQ1_2026</t>
  </si>
  <si>
    <t>EXPE_FQ2_2025</t>
  </si>
  <si>
    <t>EXPE_FQ4_2025</t>
  </si>
  <si>
    <t>FDX_FQ1_2026</t>
  </si>
  <si>
    <t>FDX_FQ2_2026</t>
  </si>
  <si>
    <t>FDX_FQ3_2026</t>
  </si>
  <si>
    <t>FDX_FQ4_2026</t>
  </si>
  <si>
    <t>F_FQ1_2026</t>
  </si>
  <si>
    <t>F_FQ2_2025</t>
  </si>
  <si>
    <t>F_FQ4_2025</t>
  </si>
  <si>
    <t>GIS_FQ2_2026</t>
  </si>
  <si>
    <t>GIS_FQ3_2026</t>
  </si>
  <si>
    <t>GIS_FQ4_2026</t>
  </si>
  <si>
    <t>GOOGL_FQ1_2026</t>
  </si>
  <si>
    <t>GOOGL_FQ3_2025</t>
  </si>
  <si>
    <t>GOOGL_FQ4_2025</t>
  </si>
  <si>
    <t>GS_FQ1_2025</t>
  </si>
  <si>
    <t>GS_FQ1_2026</t>
  </si>
  <si>
    <t>GS_FQ2_2025</t>
  </si>
  <si>
    <t>GS_FQ2_2026</t>
  </si>
  <si>
    <t>GS_FQ3_2025</t>
  </si>
  <si>
    <t>GS_FQ4_2025</t>
  </si>
  <si>
    <t>HLT_FQ1_2025</t>
  </si>
  <si>
    <t>HLT_FQ1_2026</t>
  </si>
  <si>
    <t>HLT_FQ2_2025</t>
  </si>
  <si>
    <t>HLT_FQ3_2024</t>
  </si>
  <si>
    <t>HLT_FQ4_2025</t>
  </si>
  <si>
    <t>HOOD_FQ1_2025</t>
  </si>
  <si>
    <t>HOOD_FQ1_2026</t>
  </si>
  <si>
    <t>HOOD_FQ2_2025</t>
  </si>
  <si>
    <t>HOOD_FQ3_2025</t>
  </si>
  <si>
    <t>IBM_FQ1_2026</t>
  </si>
  <si>
    <t>IBM_FQ2_2025</t>
  </si>
  <si>
    <t>IBM_FQ4_2025</t>
  </si>
  <si>
    <t>JNJ_FQ1_2025</t>
  </si>
  <si>
    <t>JNJ_FQ2_2025</t>
  </si>
  <si>
    <t>JNJ_FQ3_2025</t>
  </si>
  <si>
    <t>JPM_FQ1_2025</t>
  </si>
  <si>
    <t>2025-04-10</t>
  </si>
  <si>
    <t>JPM_FQ1_2026</t>
  </si>
  <si>
    <t>JPM_FQ2_2025</t>
  </si>
  <si>
    <t>JPM_FQ3_2025</t>
  </si>
  <si>
    <t>JPM_FQ4_2025</t>
  </si>
  <si>
    <t>KHC_FQ1_2025</t>
  </si>
  <si>
    <t>KHC_FQ1_2026</t>
  </si>
  <si>
    <t>KHC_FQ4_2024</t>
  </si>
  <si>
    <t>KO_FQ1_2026</t>
  </si>
  <si>
    <t>KO_FQ2_2025</t>
  </si>
  <si>
    <t>KO_FQ4_2025</t>
  </si>
  <si>
    <t>LIN_FQ1_2026</t>
  </si>
  <si>
    <t>LIN_FQ2_2025</t>
  </si>
  <si>
    <t>LIN_FQ3_2025</t>
  </si>
  <si>
    <t>LLY_FQ1_2026</t>
  </si>
  <si>
    <t>LLY_FQ3_2025</t>
  </si>
  <si>
    <t>LLY_FQ4_2025</t>
  </si>
  <si>
    <t>LMT_FQ1_2025</t>
  </si>
  <si>
    <t>LMT_FQ2_2025</t>
  </si>
  <si>
    <t>LMT_FQ3_2025</t>
  </si>
  <si>
    <t>LMT_FQ4_2025</t>
  </si>
  <si>
    <t>LNVGY_FQ1_2026</t>
  </si>
  <si>
    <t>LNVGY_FQ2_2026</t>
  </si>
  <si>
    <t>LNVGY_FQ3_2026</t>
  </si>
  <si>
    <t>LNVGY_FQ4_2026</t>
  </si>
  <si>
    <t>LOW_FQ1_2025</t>
  </si>
  <si>
    <t>LOW_FQ1_2026</t>
  </si>
  <si>
    <t>LOW_FQ2_2025</t>
  </si>
  <si>
    <t>LOW_FQ3_2025</t>
  </si>
  <si>
    <t>LOW_FQ4_2025</t>
  </si>
  <si>
    <t>LULU_FQ1_2026</t>
  </si>
  <si>
    <t>LULU_FQ3_2025</t>
  </si>
  <si>
    <t>LULU_FQ4_2025</t>
  </si>
  <si>
    <t>MAR_FQ1_2026</t>
  </si>
  <si>
    <t>MAR_FQ2_2025</t>
  </si>
  <si>
    <t>MAR_FQ3_2025</t>
  </si>
  <si>
    <t>MAR_FQ4_2025</t>
  </si>
  <si>
    <t>MC.PA_FQ2_2025</t>
  </si>
  <si>
    <t>MC.PA_FQ4_2025</t>
  </si>
  <si>
    <t>MCD_FQ1_2026</t>
  </si>
  <si>
    <t>MCD_FQ4_2024</t>
  </si>
  <si>
    <t>MCD_FQ4_2025</t>
  </si>
  <si>
    <t>META_FQ1_2026</t>
  </si>
  <si>
    <t>META_FQ3_2025</t>
  </si>
  <si>
    <t>META_FQ4_2025</t>
  </si>
  <si>
    <t>MET_FQ1_2026</t>
  </si>
  <si>
    <t>MET_FQ2_2024</t>
  </si>
  <si>
    <t>MET_FQ2_2025</t>
  </si>
  <si>
    <t>MET_FQ3_2024</t>
  </si>
  <si>
    <t>MET_FQ3_2025</t>
  </si>
  <si>
    <t>MET_FQ4_2025</t>
  </si>
  <si>
    <t>MSFT_FQ1_2025</t>
  </si>
  <si>
    <t>MSFT_FQ1_2026</t>
  </si>
  <si>
    <t>MSFT_FQ2_2025</t>
  </si>
  <si>
    <t>MU_FQ1_2026</t>
  </si>
  <si>
    <t>MU_FQ2_2026</t>
  </si>
  <si>
    <t>MU_FQ4_2025</t>
  </si>
  <si>
    <t>NFLX_FQ1_2025</t>
  </si>
  <si>
    <t>NFLX_FQ1_2026</t>
  </si>
  <si>
    <t>NFLX_FQ2_2025</t>
  </si>
  <si>
    <t>NFLX_FQ3_2025</t>
  </si>
  <si>
    <t>NFLX_FQ4_2024</t>
  </si>
  <si>
    <t>NFLX_FQ4_2025</t>
  </si>
  <si>
    <t>NKE_FQ1_2025</t>
  </si>
  <si>
    <t>NKE_FQ2_2025</t>
  </si>
  <si>
    <t>NKE_FQ3_2025</t>
  </si>
  <si>
    <t>NVDA_FQ1_2025</t>
  </si>
  <si>
    <t>NVDA_FQ2_2025</t>
  </si>
  <si>
    <t>NVDA_FQ3_2025</t>
  </si>
  <si>
    <t>NVDA_FQ4_2025</t>
  </si>
  <si>
    <t>NVO_FQ1_2025</t>
  </si>
  <si>
    <t>NVO_FQ2_2025</t>
  </si>
  <si>
    <t>NVO_FQ3_2025</t>
  </si>
  <si>
    <t>NVO_FQ4_2025</t>
  </si>
  <si>
    <t>ORCL_FQ1_2026</t>
  </si>
  <si>
    <t>ORCL_FQ2_2026</t>
  </si>
  <si>
    <t>ORCL_FQ3_2026</t>
  </si>
  <si>
    <t>PEP_FQ1_2023</t>
  </si>
  <si>
    <t>PEP_FQ1_2024</t>
  </si>
  <si>
    <t>PEP_FQ1_2025</t>
  </si>
  <si>
    <t>PEP_FQ1_2026</t>
  </si>
  <si>
    <t>PEP_FQ2_2023</t>
  </si>
  <si>
    <t>PEP_FQ2_2024</t>
  </si>
  <si>
    <t>PEP_FQ2_2025</t>
  </si>
  <si>
    <t>PEP_FQ2_2026</t>
  </si>
  <si>
    <t>PEP_FQ3_2023</t>
  </si>
  <si>
    <t>PEP_FQ3_2024</t>
  </si>
  <si>
    <t>PEP_FQ3_2025</t>
  </si>
  <si>
    <t>PEP_FQ4_2023</t>
  </si>
  <si>
    <t>PEP_FQ4_2024</t>
  </si>
  <si>
    <t>PEP_FQ4_2025</t>
  </si>
  <si>
    <t>PFE_FQ1_2025</t>
  </si>
  <si>
    <t>PFE_FQ1_2026</t>
  </si>
  <si>
    <t>PFE_FQ2_2025</t>
  </si>
  <si>
    <t>PFE_FQ4_2025</t>
  </si>
  <si>
    <t>PINS_FQ1_2026</t>
  </si>
  <si>
    <t>PINS_FQ4_2024</t>
  </si>
  <si>
    <t>PINS_FQ4_2025</t>
  </si>
  <si>
    <t>PLTR_FQ1_2025</t>
  </si>
  <si>
    <t>PLTR_FQ2_2025</t>
  </si>
  <si>
    <t>PLTR_FQ3_2025</t>
  </si>
  <si>
    <t>PLTR_FQ4_2025</t>
  </si>
  <si>
    <t>PUM.DE_FQ1_2025</t>
  </si>
  <si>
    <t>PUM.DE_FQ1_2026</t>
  </si>
  <si>
    <t>PUM.DE_FQ3_2025</t>
  </si>
  <si>
    <t>PUM.DE_FQ4_2025</t>
  </si>
  <si>
    <t>PYPL_FQ1_2025</t>
  </si>
  <si>
    <t>PYPL_FQ1_2026</t>
  </si>
  <si>
    <t>PYPL_FQ2_2025</t>
  </si>
  <si>
    <t>PYPL_FQ3_2025</t>
  </si>
  <si>
    <t>SBUX_FQ1_2026</t>
  </si>
  <si>
    <t>SBUX_FQ3_2025</t>
  </si>
  <si>
    <t>SBUX_FQ4_2025</t>
  </si>
  <si>
    <t>SCHW_FQ1_2025</t>
  </si>
  <si>
    <t>SCHW_FQ1_2026</t>
  </si>
  <si>
    <t>SCHW_FQ2_2025</t>
  </si>
  <si>
    <t>SCHW_FQ3_2025</t>
  </si>
  <si>
    <t>SCHW_FQ4_2025</t>
  </si>
  <si>
    <t>SIE.DE_FQ1_2026</t>
  </si>
  <si>
    <t>SIE.DE_FQ2_2026</t>
  </si>
  <si>
    <t>SIE.DE_FQ4_2025</t>
  </si>
  <si>
    <t>SPOT_FQ1_2026</t>
  </si>
  <si>
    <t>SPOT_FQ2_2025</t>
  </si>
  <si>
    <t>SPOT_FQ3_2025</t>
  </si>
  <si>
    <t>SPOT_FQ4_2025</t>
  </si>
  <si>
    <t>STAN.L_FQ1_2025</t>
  </si>
  <si>
    <t>STAN.L_FQ2_2025</t>
  </si>
  <si>
    <t>STAN.L_FQ3_2025</t>
  </si>
  <si>
    <t>STAN.L_FQ4_2025</t>
  </si>
  <si>
    <t>2026-02-20</t>
  </si>
  <si>
    <t>TGT_FQ1_2025</t>
  </si>
  <si>
    <t>TGT_FQ1_2026</t>
  </si>
  <si>
    <t>TGT_FQ2_2025</t>
  </si>
  <si>
    <t>TGT_FQ3_2025</t>
  </si>
  <si>
    <t>TSLA_FQ1_2026</t>
  </si>
  <si>
    <t>TSLA_FQ3_2025</t>
  </si>
  <si>
    <t>TSLA_FQ4_2025</t>
  </si>
  <si>
    <t>UAL_FQ1_2025</t>
  </si>
  <si>
    <t>UAL_FQ2_2025</t>
  </si>
  <si>
    <t>UAL_FQ3_2025</t>
  </si>
  <si>
    <t>UAL_FQ4_2025</t>
  </si>
  <si>
    <t>UBER_FQ1_2025</t>
  </si>
  <si>
    <t>UBER_FQ1_2026</t>
  </si>
  <si>
    <t>UBER_FQ2_2025</t>
  </si>
  <si>
    <t>UBER_FQ4_2025</t>
  </si>
  <si>
    <t>UNH_FQ2_2025</t>
  </si>
  <si>
    <t>UNH_FQ3_2025</t>
  </si>
  <si>
    <t>UNH_FQ4_2025</t>
  </si>
  <si>
    <t>V_FQ1_2025</t>
  </si>
  <si>
    <t>V_FQ1_2026</t>
  </si>
  <si>
    <t>V_FQ2_2025</t>
  </si>
  <si>
    <t>V_FQ3_2025</t>
  </si>
  <si>
    <t>WDAY_FQ1_2025</t>
  </si>
  <si>
    <t>WDAY_FQ2_2025</t>
  </si>
  <si>
    <t>WDAY_FQ3_2025</t>
  </si>
  <si>
    <t>WDAY_FQ4_2025</t>
  </si>
  <si>
    <t>WMT_FQ1_2025</t>
  </si>
  <si>
    <t>WMT_FQ1_2026</t>
  </si>
  <si>
    <t>WMT_FQ2_2025</t>
  </si>
  <si>
    <t>WMT_FQ3_2025</t>
  </si>
  <si>
    <t>WMT_FQ4_2025</t>
  </si>
  <si>
    <t>PER-ARM ACCURACY AND COST</t>
  </si>
  <si>
    <t>arm</t>
  </si>
  <si>
    <t>n_calls</t>
  </si>
  <si>
    <t>n_graded</t>
  </si>
  <si>
    <t>n_correct</t>
  </si>
  <si>
    <t>accuracy_hold_excluded</t>
  </si>
  <si>
    <t>mean_tokens_per_call</t>
  </si>
  <si>
    <t>total_cost_usd</t>
  </si>
  <si>
    <t>cost_per_call_usd</t>
  </si>
  <si>
    <t>cost_per_correct_usd</t>
  </si>
  <si>
    <t>full_bundle</t>
  </si>
  <si>
    <t>0.6809</t>
  </si>
  <si>
    <t>1.1441</t>
  </si>
  <si>
    <t>0.0096</t>
  </si>
  <si>
    <t>0.0358</t>
  </si>
  <si>
    <t>press_release</t>
  </si>
  <si>
    <t>0.6486</t>
  </si>
  <si>
    <t>0.5394</t>
  </si>
  <si>
    <t>0.0045</t>
  </si>
  <si>
    <t>0.0225</t>
  </si>
  <si>
    <t>prepared_remarks</t>
  </si>
  <si>
    <t>0.6341</t>
  </si>
  <si>
    <t>0.5412</t>
  </si>
  <si>
    <t>0.0208</t>
  </si>
  <si>
    <t>qa_only</t>
  </si>
  <si>
    <t>0.6842</t>
  </si>
  <si>
    <t>0.5952</t>
  </si>
  <si>
    <t>0.005</t>
  </si>
  <si>
    <t>0.0229</t>
  </si>
  <si>
    <t>200</t>
  </si>
  <si>
    <t>0.6571</t>
  </si>
  <si>
    <t>2.1166</t>
  </si>
  <si>
    <t>0.0106</t>
  </si>
  <si>
    <t>0.046</t>
  </si>
  <si>
    <t>0.625</t>
  </si>
  <si>
    <t>1.0149</t>
  </si>
  <si>
    <t>0.0051</t>
  </si>
  <si>
    <t>0.029</t>
  </si>
  <si>
    <t>Note: figures from section_ablation_cost_per_correct.csv DATA ROWS ONLY. four_arm_n119 = events where all 4 arms scored. all_n200 = full scored set for full_bundle and press_release.</t>
  </si>
  <si>
    <t>PAIRED DIFFERENCES VS FULL BUNDLE</t>
  </si>
  <si>
    <t>comparison</t>
  </si>
  <si>
    <t>set</t>
  </si>
  <si>
    <t>method</t>
  </si>
  <si>
    <t>n_paired</t>
  </si>
  <si>
    <t>point_diff</t>
  </si>
  <si>
    <t>metric</t>
  </si>
  <si>
    <t>note</t>
  </si>
  <si>
    <t>press_release vs full_bundle</t>
  </si>
  <si>
    <t>prepared_remarks vs full_bundle</t>
  </si>
  <si>
    <t>qa_only vs full_bundle</t>
  </si>
  <si>
    <t>Paired MDE ~±12pp. 6.8pp gap at p=0.055 on inclusive test (press_release vs full_bundle). Strict test (both graded, n=45): exactly 0.0 — when both arms commit, they commit identically.</t>
  </si>
  <si>
    <t>Prepared remarks agrees with full bundle on 85.7% of signals at ~10k tokens.</t>
  </si>
  <si>
    <t>DEGENERACY FINDING</t>
  </si>
  <si>
    <t>n_windows</t>
  </si>
  <si>
    <t>min_trades_floor</t>
  </si>
  <si>
    <t>objectives_tried</t>
  </si>
  <si>
    <t>['mean_net_per_trade', 'directional_accuracy']</t>
  </si>
  <si>
    <t>degeneracy_finding</t>
  </si>
  <si>
    <t>mean_net_objective_n_degenerate</t>
  </si>
  <si>
    <t>accuracy_objective_n_degenerate</t>
  </si>
  <si>
    <t>IN-SAMPLE DEPLOYED THRESHOLDS</t>
  </si>
  <si>
    <t>hold_upper</t>
  </si>
  <si>
    <t>hold_lower</t>
  </si>
  <si>
    <t>n_trades</t>
  </si>
  <si>
    <t>accuracy</t>
  </si>
  <si>
    <t>mean_net_pct</t>
  </si>
  <si>
    <t>DEV / EVAL SPLIT</t>
  </si>
  <si>
    <t>Split rule</t>
  </si>
  <si>
    <t>Sort 233 clean events by release_date (returns_matrix.csv), earliest 20% (47) = dev, remaining 80% (186) = eval.</t>
  </si>
  <si>
    <t>Eval: accuracy</t>
  </si>
  <si>
    <t>68.0% (51/75)</t>
  </si>
  <si>
    <t>floor=54.6% (65/119 graded)</t>
  </si>
  <si>
    <t>margin +13.4pp</t>
  </si>
  <si>
    <t>p=0.013</t>
  </si>
  <si>
    <t>MDE ±14.4pp</t>
  </si>
  <si>
    <t>Dev:  accuracy</t>
  </si>
  <si>
    <t>55.0% (11/20)</t>
  </si>
  <si>
    <t>floor=53.6%</t>
  </si>
  <si>
    <t>margin +1.4pp</t>
  </si>
  <si>
    <t>NOT significant</t>
  </si>
  <si>
    <t>MDE ±27.8pp — underpowered</t>
  </si>
  <si>
    <t>frontier_table.csv, surviving_findings.md</t>
  </si>
  <si>
    <t>NOT out-of-sample</t>
  </si>
  <si>
    <t>Dev/eval split applied post hoc to data thresholds were fitted on. Eval 68.0% is in-sample on a subset.</t>
  </si>
  <si>
    <t>CROSS-ISSUER GENERALISATION (RECONSTRUCTED)</t>
  </si>
  <si>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</si>
  <si>
    <t>subset</t>
  </si>
  <si>
    <t>n_events</t>
  </si>
  <si>
    <t>floor</t>
  </si>
  <si>
    <t>margin</t>
  </si>
  <si>
    <t>p</t>
  </si>
  <si>
    <t>in_sweep</t>
  </si>
  <si>
    <t>post_sweep</t>
  </si>
  <si>
    <t>CAVEATS (three)</t>
  </si>
  <si>
    <t>1. RECONSTRUCTED</t>
  </si>
  <si>
    <t>Sweep membership inferred from issuer ordering and count match (n=161). 453 single-swap alternatives also give n=161.</t>
  </si>
  <si>
    <t>2. ISSUER TRANSFER ONLY</t>
  </si>
  <si>
    <t>Both subsets overlap in time. Tests whether thresholds transfer to new companies, not new time periods. Does NOT corroborate temporal generalisation.</t>
  </si>
  <si>
    <t>3. NOT SIGNIFICANT</t>
  </si>
  <si>
    <t>p=0.0627 does not clear 0.05. MDE=±20.8pp — subset underpowered. Report as directionally consistent, not confirmed.</t>
  </si>
  <si>
    <t>Accuracy Conventions — Coverage vs Selectivity</t>
  </si>
  <si>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</si>
  <si>
    <t>CROSS-CHECK NOTE: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</si>
  <si>
    <t>COVERAGE ACCURACY (YES / all events)</t>
  </si>
  <si>
    <t>Denominator: all events for the arm (including HOLDs)</t>
  </si>
  <si>
    <t>Floor: majority direction / all events</t>
  </si>
  <si>
    <t>n (denom)</t>
  </si>
  <si>
    <t>Floor n_DOWN</t>
  </si>
  <si>
    <t>Floor prob</t>
  </si>
  <si>
    <t>p-value (1-sided)</t>
  </si>
  <si>
    <t>MDE (±, 90%)</t>
  </si>
  <si>
    <t>HOLD count</t>
  </si>
  <si>
    <t>HOLD rate</t>
  </si>
  <si>
    <t>Traded</t>
  </si>
  <si>
    <t>Human (All)</t>
  </si>
  <si>
    <t>SELECTIVITY ACCURACY (correct / traded-and-graded events)</t>
  </si>
  <si>
    <t>Denominator: events where arm committed (BUY/SELL) AND |ret_overnight| &gt; 2%</t>
  </si>
  <si>
    <t>Floor: DOWN outcomes / graded denominator</t>
  </si>
  <si>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</si>
  <si>
    <t>Chart data (feeds accuracy comparison chart below)</t>
  </si>
  <si>
    <t>Coverage acc</t>
  </si>
  <si>
    <t>Selectivity acc</t>
  </si>
  <si>
    <t>Coverage floor</t>
  </si>
  <si>
    <t>Selectivity floor</t>
  </si>
  <si>
    <t>KEY DISTINCTION: Coverage (42%) and selectivity (65%) are not both correct — they measure different things on different denominators. Coverage penalises every HOLD call; selectivity credits only committed events that moved. Quoting one without the other is misleading. The repo's headline accuracy figure is selectivity (62/95 = 65.3%, from item_e_walkforward.json); the workbook Summary and Figure 1 show coverage (42% for LLM). Both are real; neither is the whole story.</t>
  </si>
  <si>
    <t>Human arm — 295 corrected rows only (Price Basis Corrected = YES)</t>
  </si>
  <si>
    <t>These figures re-run the coverage and selectivity tables above, restricted to the 295 human rows where prices have been re-anchored to release_date. The 125 rows still on original report_date basis are excluded. LLM figures are unchanged (single basis). The mixed-basis effect on human accuracy is visible by comparing these rows to the all-420-rows figures above.</t>
  </si>
  <si>
    <t>Coverage (295-corrected rows only)</t>
  </si>
  <si>
    <t>Floor (always-DOWN)</t>
  </si>
  <si>
    <t>p-value</t>
  </si>
  <si>
    <t>MDE</t>
  </si>
  <si>
    <t>Human (all raters, 295 corrected)</t>
  </si>
  <si>
    <t>LLM (single basis, unchanged)</t>
  </si>
  <si>
    <t>Selectivity (295-corrected rows only)</t>
  </si>
  <si>
    <t>N (traded+graded)</t>
  </si>
  <si>
    <t>Interpretation: If the 295-corrected figures differ materially from the all-420 figures above, the 125 uncorrected rows are shifting the headline. Report both when citing human arm accuracy from this workbook.</t>
  </si>
  <si>
    <t>N=233 CLEAN UNIVERSE — LLM ONLY (In Clean Universe = YES, 35 excluded events removed)</t>
  </si>
  <si>
    <t>The 35 excluded events (25 worksheet contamination, 1 SPOT misattribution, 9 timing unresolved) may inflate N=268 figures. N=233 uses only clean events. LLM values are static from authoritative repo artifacts — they are NOT formula-driven in this section. Human figures require the Price Basis Corrected filter (see rows 63+ above).</t>
  </si>
  <si>
    <t>COVERAGE (N=233)</t>
  </si>
  <si>
    <t>YES (correct)</t>
  </si>
  <si>
    <t>LLM (DeepSeek, N=233)</t>
  </si>
  <si>
    <t>42.2% (62/147)</t>
  </si>
  <si>
    <t>Coverage = correct / all graded events (|ret|&gt;2%), HOLD counted wrong when stock moved</t>
  </si>
  <si>
    <t>ext2_holding_curve.csv / frontier_table.csv (run 20260812_183842)</t>
  </si>
  <si>
    <t>SELECTIVITY (N=233) — PRIMARY HEADLINE</t>
  </si>
  <si>
    <t>65.3% (62/95)</t>
  </si>
  <si>
    <t>54.7% (52/95) — always-DOWN floor on N=233 (from item_e_walkforward.json)</t>
  </si>
  <si>
    <t>item_e_walkforward.json (run 20260812_183842) — AUTHORITATIVE</t>
  </si>
  <si>
    <t>RECONCILIATION RESOLVED 2026-08-13: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</si>
  <si>
    <t>RECONCILIATION NOTE: 42.2% (coverage) and 65.3% (selectivity) describe the same deployed model on the same N=233 events but use different denominators. Coverage denominator=147 (all events where |ret|&gt;2%); selectivity denominator=95 (model committed BUY/SELL AND |ret|&gt;2%). Neither figure is wrong; both must be cited together. The 65.3% is the project headline; the 42.2% provides the fuller picture that penalises HOLD decisions.</t>
  </si>
  <si>
    <t>HUMAN-ARM COVERAGE LIMITATION (N=420 total rows, 295 corrected, 125 uncorrected)</t>
  </si>
  <si>
    <t>Approximately 109 unique human events (~120 Human_Data_Entry rows) remain on the original price basis (Price_Basis_Corrected ≠ YES) because no verified EDGAR release date was sourced. These split into: (a) human-only US issuers where an EDGAR 8-K lookup is feasible but was not attempted this week (~81 rows across MetLife, Duke Energy, ExxonMobil, AmEx, Chevron, Intel, Mastercard, Costco, Colgate-Palmolive, Datadog, eBay, Union Pacific, Home Depot, Adobe, Shopify, Freeport-McMoRan, J&amp;J, Booking Holdings, Dell, UnitedHealth, Caterpillar); (b) non-US issuers with no SEC filing (~20 rows: Shell, Heineken, Hermes, Allianz, Sony, Nestle). Human-arm accuracy figures should be reported on the corrected 295-row subset with the uncorrected full-sample figure alongside. The corrected subset covers all events where a verified EDGAR release date was applied; the 125 uncorrected rows use the rater's own price entries without independent date verification. The 108 unique events are the same population as the 127 rows — they are not two separate problems.</t>
  </si>
  <si>
    <t>Set A = N=233 frozen phase2. Set B = N=93 extension (pure eval). Set C frontier = N=279 combined-eval (186 eval-A + 93 B); Set C other figures = N=326 combined-full. Frontier convention: HOLD=wrong (coverage) — denominator = all graded events |ret|&gt;2% regardless of model call; 42.9%/34.5%/41.2% are coverage figures, not selectivity (65.3%/71.4%).</t>
  </si>
  <si>
    <t>funnel_total_scored_A</t>
  </si>
  <si>
    <t>Set A — N=233 phase2</t>
  </si>
  <si>
    <t>All phase2 events scored by LLM</t>
  </si>
  <si>
    <t>funnel_excluded_worksheet_A</t>
  </si>
  <si>
    <t>worksheet_exclusion_decision.md</t>
  </si>
  <si>
    <t>Worksheet contamination: human rater's blind score + realised return leaked into LLM prompt</t>
  </si>
  <si>
    <t>funnel_excluded_spot_A</t>
  </si>
  <si>
    <t>SPOT_FQ1_2026 misattributed document</t>
  </si>
  <si>
    <t>funnel_excluded_timing_A</t>
  </si>
  <si>
    <t>Non-US issuers with unreliable overnight returns</t>
  </si>
  <si>
    <t>funnel_clean_universe_A</t>
  </si>
  <si>
    <t>268 − 25 − 1 − 9 = 233</t>
  </si>
  <si>
    <t>funnel_traded_A</t>
  </si>
  <si>
    <t>funnel_hold_events_A</t>
  </si>
  <si>
    <t>87</t>
  </si>
  <si>
    <t>Model said HOLD — no trade</t>
  </si>
  <si>
    <t>funnel_graded_traded_A</t>
  </si>
  <si>
    <t>|ret_overnight| &gt; 2% AND model traded</t>
  </si>
  <si>
    <t>pre-registered ±2% band</t>
  </si>
  <si>
    <t>Directional accuracy computed on this base</t>
  </si>
  <si>
    <t>funnel_graded_held_A</t>
  </si>
  <si>
    <t>|ret_overnight| &gt; 2% AND model said HOLD</t>
  </si>
  <si>
    <t>Model missed these moves</t>
  </si>
  <si>
    <t>funnel_graded_all_A</t>
  </si>
  <si>
    <t>All events with |ret_overnight| &gt; 2%</t>
  </si>
  <si>
    <t>funnel_correct_selectivity_A</t>
  </si>
  <si>
    <t>Model direction correct on graded traded events</t>
  </si>
  <si>
    <t>funnel_ungraded_trades_A</t>
  </si>
  <si>
    <t>Model traded but |ret_overnight| ≤ 2% (flat bet)</t>
  </si>
  <si>
    <t>28/51 (54.9%) had correct sign — not significant p=0.480</t>
  </si>
  <si>
    <t>funnel_extension_universe_B</t>
  </si>
  <si>
    <t>93</t>
  </si>
  <si>
    <t>Set B — N=93 extension</t>
  </si>
  <si>
    <t>global_outcome_calibration_extension_2026_08_13.csv</t>
  </si>
  <si>
    <t>Pure eval set; thresholds frozen from Set A dev split</t>
  </si>
  <si>
    <t>funnel_traded_B</t>
  </si>
  <si>
    <t>backtest_equity_extension_2026_08_13.csv</t>
  </si>
  <si>
    <t>funnel_hold_events_B</t>
  </si>
  <si>
    <t>61</t>
  </si>
  <si>
    <t>Model said HOLD</t>
  </si>
  <si>
    <t>funnel_graded_all_B</t>
  </si>
  <si>
    <t>finbert_extension_results.csv</t>
  </si>
  <si>
    <t>BUY outcomes: 15; SELL outcomes: 14</t>
  </si>
  <si>
    <t>funnel_graded_traded_B</t>
  </si>
  <si>
    <t>14</t>
  </si>
  <si>
    <t>funnel_correct_selectivity_B</t>
  </si>
  <si>
    <t>10</t>
  </si>
  <si>
    <t>funnel_combined_universe_C</t>
  </si>
  <si>
    <t>326</t>
  </si>
  <si>
    <t>Set C — N=326 combined</t>
  </si>
  <si>
    <t>item_e_combined_walkforward.json</t>
  </si>
  <si>
    <t>Set A (233) + Set B (93)</t>
  </si>
  <si>
    <t>funnel_traded_C</t>
  </si>
  <si>
    <t>178</t>
  </si>
  <si>
    <t>Set C — N=326 in-sample deployed</t>
  </si>
  <si>
    <t>In-sample: deployed thresholds applied to all 326</t>
  </si>
  <si>
    <t>funnel_graded_traded_C</t>
  </si>
  <si>
    <t>109</t>
  </si>
  <si>
    <t>funnel_correct_C</t>
  </si>
  <si>
    <t>72</t>
  </si>
  <si>
    <t>In-sample figure; walk-forward OOS is the validating result</t>
  </si>
  <si>
    <t>decision_buy_A</t>
  </si>
  <si>
    <t>global_outcome_calibration_phase2.csv (filtered to 233 clean)</t>
  </si>
  <si>
    <t>decision_sell_A</t>
  </si>
  <si>
    <t>74</t>
  </si>
  <si>
    <t>decision_hold_A</t>
  </si>
  <si>
    <t>decision_buy_frac_A</t>
  </si>
  <si>
    <t>30.9%</t>
  </si>
  <si>
    <t>233 clean events</t>
  </si>
  <si>
    <t>72/233</t>
  </si>
  <si>
    <t>decision_sell_frac_A</t>
  </si>
  <si>
    <t>31.8%</t>
  </si>
  <si>
    <t>74/233</t>
  </si>
  <si>
    <t>decision_hold_frac_A</t>
  </si>
  <si>
    <t>37.3%</t>
  </si>
  <si>
    <t>87/233</t>
  </si>
  <si>
    <t>decision_buy_B</t>
  </si>
  <si>
    <t>17</t>
  </si>
  <si>
    <t>decision_sell_B</t>
  </si>
  <si>
    <t>15</t>
  </si>
  <si>
    <t>decision_hold_B</t>
  </si>
  <si>
    <t>decision_buy_frac_B</t>
  </si>
  <si>
    <t>18.3%</t>
  </si>
  <si>
    <t>17/93; model much more selective on extension</t>
  </si>
  <si>
    <t>decision_sell_frac_B</t>
  </si>
  <si>
    <t>16.1%</t>
  </si>
  <si>
    <t>15/93</t>
  </si>
  <si>
    <t>decision_hold_frac_B</t>
  </si>
  <si>
    <t>65.6%</t>
  </si>
  <si>
    <t>61/93</t>
  </si>
  <si>
    <t>selectivity_accuracy_A</t>
  </si>
  <si>
    <t>Model traded AND |ret_overnight|&gt;2%</t>
  </si>
  <si>
    <t>"HOLD-excluded</t>
  </si>
  <si>
    <t xml:space="preserve"> pre-registered ±2% band"</t>
  </si>
  <si>
    <t>binomial one-sided greater vs always-DOWN floor 54.7%</t>
  </si>
  <si>
    <t>62/95; pre-registered band</t>
  </si>
  <si>
    <t>selectivity_floor_always_down_A</t>
  </si>
  <si>
    <t>52/95 graded-traded events had negative return</t>
  </si>
  <si>
    <t>always-DOWN floor; majority direction in graded-traded set</t>
  </si>
  <si>
    <t>selectivity_margin_vs_floor_A</t>
  </si>
  <si>
    <t>binomial one-sided</t>
  </si>
  <si>
    <t>+10.5pp margin; borderline (MDE ±10.8pp)</t>
  </si>
  <si>
    <t>selectivity_accuracy_B</t>
  </si>
  <si>
    <t>71.4%</t>
  </si>
  <si>
    <t>"10/14; small n</t>
  </si>
  <si>
    <t xml:space="preserve"> descriptive only. Floor: 7/14=50.0% (evenly split)"</t>
  </si>
  <si>
    <t>selectivity_floor_B</t>
  </si>
  <si>
    <t>50.0%</t>
  </si>
  <si>
    <t>7/14 graded-traded had negative return</t>
  </si>
  <si>
    <t>Evenly split: 7 SELL-outcome 7 BUY-outcome among traded+graded</t>
  </si>
  <si>
    <t>selectivity_accuracy_C</t>
  </si>
  <si>
    <t>66.1%</t>
  </si>
  <si>
    <t>In-sample; deployed thresholds on N=326</t>
  </si>
  <si>
    <t>Set C — N=326 in-sample</t>
  </si>
  <si>
    <t>72/109; in-sample — walk-forward OOS is the validating result</t>
  </si>
  <si>
    <t>coverage_accuracy_A</t>
  </si>
  <si>
    <t>All events with |ret_overnight|&gt;2% (N=233)</t>
  </si>
  <si>
    <t>"HOLD=wrong</t>
  </si>
  <si>
    <t>62/147; floor 54.4% (80/147 always-DOWN); model missed 52 moves</t>
  </si>
  <si>
    <t>coverage_floor_always_down_A</t>
  </si>
  <si>
    <t>80/147 graded events had negative return</t>
  </si>
  <si>
    <t>Model is BELOW coverage floor — HOLD policy on moved events costs accuracy</t>
  </si>
  <si>
    <t>coverage_accuracy_B</t>
  </si>
  <si>
    <t>31</t>
  </si>
  <si>
    <t>All events with |ret_overnight|&gt;2% (N=93)</t>
  </si>
  <si>
    <t>10/29; floor 48.3% (14/29 always-DOWN); both below 50%</t>
  </si>
  <si>
    <t>coverage_floor_always_down_B</t>
  </si>
  <si>
    <t>48.4%</t>
  </si>
  <si>
    <t>15/31 graded events had negative return</t>
  </si>
  <si>
    <t>Model BELOW floor on coverage; majority outcome is actually BUY (15/29)</t>
  </si>
  <si>
    <t>coverage_floor_majority_direction_B</t>
  </si>
  <si>
    <t>51.6%</t>
  </si>
  <si>
    <t>16/31 graded events had positive return (majority is BUY)</t>
  </si>
  <si>
    <t>Majority direction is UP in extension set; always-UP floor = 15/29 = 51.7%</t>
  </si>
  <si>
    <t>mean_net_per_trade_overnight_A</t>
  </si>
  <si>
    <t>All traded events (N=233)</t>
  </si>
  <si>
    <t>"overnight</t>
  </si>
  <si>
    <t xml:space="preserve"> 10bps round-trip cost</t>
  </si>
  <si>
    <t xml:space="preserve"> 0bps short borrow"</t>
  </si>
  <si>
    <t>Bootstrap CI 90%</t>
  </si>
  <si>
    <t>summed_total_return_A</t>
  </si>
  <si>
    <t>Order-dependent equity curve — NOT an achievable balance. Mean net is primary P&amp;L metric.</t>
  </si>
  <si>
    <t>t_statistic_per_trade_A</t>
  </si>
  <si>
    <t>All traded events</t>
  </si>
  <si>
    <t>Grows mechanically with sample size</t>
  </si>
  <si>
    <t>info_ratio_per_trade_A</t>
  </si>
  <si>
    <t>mean_net/pstdev(nets) unscaled</t>
  </si>
  <si>
    <t>mean_net_per_trade_overnight_B</t>
  </si>
  <si>
    <t>1.2159%</t>
  </si>
  <si>
    <t>All traded events (N=93 extension)</t>
  </si>
  <si>
    <t xml:space="preserve"> 10bps round-trip cost"</t>
  </si>
  <si>
    <t>-0.212%</t>
  </si>
  <si>
    <t>2.707%</t>
  </si>
  <si>
    <t>Bootstrap CI 90%; CI includes zero (underpowered at N=32 trades)</t>
  </si>
  <si>
    <t>summed_total_return_B</t>
  </si>
  <si>
    <t>+41.46%</t>
  </si>
  <si>
    <t>Order-dependent — not an achievable balance</t>
  </si>
  <si>
    <t>t_statistic_per_trade_B</t>
  </si>
  <si>
    <t>1.362</t>
  </si>
  <si>
    <t>mean_net/pstdev(nets)*sqrt(N_traded)</t>
  </si>
  <si>
    <t>info_ratio_per_trade_B</t>
  </si>
  <si>
    <t>0.241</t>
  </si>
  <si>
    <t>mean_net_per_trade_overnight_C</t>
  </si>
  <si>
    <t>1.7456%</t>
  </si>
  <si>
    <t>In-sample deployed thresholds on N=326</t>
  </si>
  <si>
    <t>overnight 10bps cost</t>
  </si>
  <si>
    <t>0.973%</t>
  </si>
  <si>
    <t>2.543%</t>
  </si>
  <si>
    <t>In-sample; walk-forward OOS figures below</t>
  </si>
  <si>
    <t>spearman_rho_overnight_A</t>
  </si>
  <si>
    <t>All N=233 clean events</t>
  </si>
  <si>
    <t>"overnight return</t>
  </si>
  <si>
    <t xml:space="preserve"> ±2% band (pre-registered)"</t>
  </si>
  <si>
    <t>"Spearman rank correlation</t>
  </si>
  <si>
    <t xml:space="preserve"> blended score vs ret_overnight"</t>
  </si>
  <si>
    <t>No band filter — uses full N=233. Survived anchor correction (was 0.221).</t>
  </si>
  <si>
    <t>mean_net_per_trade_overnight_A_horizon</t>
  </si>
  <si>
    <t>overnight</t>
  </si>
  <si>
    <t>accuracy_overnight_A</t>
  </si>
  <si>
    <t>|ret_overnight|&gt;2% AND model traded</t>
  </si>
  <si>
    <t>spearman_rho_1d_A</t>
  </si>
  <si>
    <t>"1d return</t>
  </si>
  <si>
    <t xml:space="preserve"> 0.022462 band (recalibrated)"</t>
  </si>
  <si>
    <t>Spearman</t>
  </si>
  <si>
    <t>mean_net_per_trade_1d_A</t>
  </si>
  <si>
    <t>1d</t>
  </si>
  <si>
    <t>accuracy_1d_A</t>
  </si>
  <si>
    <t>|ret_1d|&gt;1d-band AND model traded</t>
  </si>
  <si>
    <t>spearman_rho_3d_A</t>
  </si>
  <si>
    <t>"3d return</t>
  </si>
  <si>
    <t xml:space="preserve"> 0.023096 band (recalibrated)"</t>
  </si>
  <si>
    <t>mean_net_per_trade_3d_A</t>
  </si>
  <si>
    <t>3d</t>
  </si>
  <si>
    <t>accuracy_3d_A</t>
  </si>
  <si>
    <t>|ret_3d|&gt;3d-band AND model traded</t>
  </si>
  <si>
    <t>spearman_rho_5d_A</t>
  </si>
  <si>
    <t>"5d return</t>
  </si>
  <si>
    <t xml:space="preserve"> 0.026177 band (recalibrated)"</t>
  </si>
  <si>
    <t>mean_net_per_trade_5d_A</t>
  </si>
  <si>
    <t>5d</t>
  </si>
  <si>
    <t>Lower bound crosses zero between 3d and 5d</t>
  </si>
  <si>
    <t>accuracy_5d_A</t>
  </si>
  <si>
    <t>|ret_5d|&gt;5d-band AND model traded</t>
  </si>
  <si>
    <t>spearman_rho_10d_A</t>
  </si>
  <si>
    <t>"10d return</t>
  </si>
  <si>
    <t xml:space="preserve"> 0.035159 band (recalibrated)"</t>
  </si>
  <si>
    <t>mean_net_per_trade_10d_A</t>
  </si>
  <si>
    <t>10d</t>
  </si>
  <si>
    <t>accuracy_10d_A</t>
  </si>
  <si>
    <t>|ret_10d|&gt;10d-band AND model traded</t>
  </si>
  <si>
    <t>spearman_rho_overnight_B</t>
  </si>
  <si>
    <t>0.2715</t>
  </si>
  <si>
    <t>All N=93 extension events</t>
  </si>
  <si>
    <t>0.0085</t>
  </si>
  <si>
    <t>Spearman rank correlation</t>
  </si>
  <si>
    <t>backtest_equity_extension_2026_08_13.csv + global_outcome_calibration_extension_2026_08_13.csv</t>
  </si>
  <si>
    <t>Directionally consistent with Set A (0.236); small-sample</t>
  </si>
  <si>
    <t>cohens_kappa_human_vs_llm_A</t>
  </si>
  <si>
    <t>Paired events with both human and LLM call</t>
  </si>
  <si>
    <t>Set A — N=171 paired</t>
  </si>
  <si>
    <t>"3×3 BUY/HOLD/SELL vs BUY/HOLD/SELL; no return grading"</t>
  </si>
  <si>
    <t>bootstrap 10000 resamples seed 20260709</t>
  </si>
  <si>
    <t>Near-independence; human and LLM strategies differ</t>
  </si>
  <si>
    <t>direction_only_n_A</t>
  </si>
  <si>
    <t>Both arms called BUY or SELL</t>
  </si>
  <si>
    <t>Set A — N=76 direction-only</t>
  </si>
  <si>
    <t>Sign accuracy without band filter</t>
  </si>
  <si>
    <t>direction_human_accuracy_A</t>
  </si>
  <si>
    <t>57.9%</t>
  </si>
  <si>
    <t>Sign accuracy — no ±2% band</t>
  </si>
  <si>
    <t>direction_llm_accuracy_A</t>
  </si>
  <si>
    <t>60.5%</t>
  </si>
  <si>
    <t>direction_llm_minus_human_pp_A</t>
  </si>
  <si>
    <t>+2.6pp</t>
  </si>
  <si>
    <t>+13.2</t>
  </si>
  <si>
    <t>bootstrap paired 10000 resamples</t>
  </si>
  <si>
    <t>Not significant</t>
  </si>
  <si>
    <t>direction_floor_always_down_A</t>
  </si>
  <si>
    <t>42/76 events with ret&lt;0</t>
  </si>
  <si>
    <t>direction_llm_sell_accuracy_A</t>
  </si>
  <si>
    <t>LLM SELL calls among N=76</t>
  </si>
  <si>
    <t>Sign accuracy vs 50%</t>
  </si>
  <si>
    <t>0.040</t>
  </si>
  <si>
    <t>binomial one-sided vs 50%</t>
  </si>
  <si>
    <t>26/40; significant vs 50%; p=0.181 vs base-rate floor 56.6%</t>
  </si>
  <si>
    <t>direction_llm_buy_accuracy_A</t>
  </si>
  <si>
    <t>LLM BUY calls among N=76</t>
  </si>
  <si>
    <t>0.309</t>
  </si>
  <si>
    <t>20/36; not significant</t>
  </si>
  <si>
    <t>direction_human_sell_accuracy_A</t>
  </si>
  <si>
    <t>Human SELL calls among N=76</t>
  </si>
  <si>
    <t>0.017</t>
  </si>
  <si>
    <t>17/23; significant</t>
  </si>
  <si>
    <t>direction_human_buy_accuracy_A</t>
  </si>
  <si>
    <t>Human BUY calls among N=76</t>
  </si>
  <si>
    <t>0.500</t>
  </si>
  <si>
    <t>27/53; not significant</t>
  </si>
  <si>
    <t>call_count_llm_buy_A</t>
  </si>
  <si>
    <t>call_count_llm_hold_A</t>
  </si>
  <si>
    <t>call_count_llm_sell_A</t>
  </si>
  <si>
    <t>call_count_human_buy_A</t>
  </si>
  <si>
    <t>call_count_human_hold_A</t>
  </si>
  <si>
    <t>call_count_human_sell_A</t>
  </si>
  <si>
    <t>ablation_A_full_bundle_accuracy</t>
  </si>
  <si>
    <t>Graded events in four_arm_n119</t>
  </si>
  <si>
    <t>Set A — ablation four_arm N=119</t>
  </si>
  <si>
    <t xml:space="preserve"> ±2% overnight"</t>
  </si>
  <si>
    <t>32/47</t>
  </si>
  <si>
    <t>ablation_A_full_bundle_cost_per_correct</t>
  </si>
  <si>
    <t>USD/correct call</t>
  </si>
  <si>
    <t>ablation_A_full_bundle_mean_tokens</t>
  </si>
  <si>
    <t>tokens/call</t>
  </si>
  <si>
    <t>ablation_A_press_release_accuracy</t>
  </si>
  <si>
    <t>24/37</t>
  </si>
  <si>
    <t>ablation_A_press_release_cost_per_correct</t>
  </si>
  <si>
    <t>ablation_A_press_release_mean_tokens</t>
  </si>
  <si>
    <t>ablation_A_prepared_remarks_accuracy</t>
  </si>
  <si>
    <t>26/41</t>
  </si>
  <si>
    <t>ablation_A_prepared_remarks_cost_per_correct</t>
  </si>
  <si>
    <t>ablation_A_prepared_remarks_mean_tokens</t>
  </si>
  <si>
    <t>ablation_A_qa_only_accuracy</t>
  </si>
  <si>
    <t>26/38</t>
  </si>
  <si>
    <t>ablation_A_qa_only_cost_per_correct</t>
  </si>
  <si>
    <t>ablation_A_qa_only_mean_tokens</t>
  </si>
  <si>
    <t>ablation_A_paired_press_vs_bundle_both_graded</t>
  </si>
  <si>
    <t>0.0pp</t>
  </si>
  <si>
    <t>pp diff</t>
  </si>
  <si>
    <t>Both arms graded</t>
  </si>
  <si>
    <t>Set A — ablation four_arm</t>
  </si>
  <si>
    <t>"strict (both graded)"</t>
  </si>
  <si>
    <t>bootstrap</t>
  </si>
  <si>
    <t>NOT COMPUTABLE as a true paired diff — all 45 events where both arms breached ±2% had identical signals. Reports zero by construction.</t>
  </si>
  <si>
    <t>ablation_A_paired_prepared_vs_bundle_both_graded</t>
  </si>
  <si>
    <t>-1.89pp</t>
  </si>
  <si>
    <t>-5.66pp</t>
  </si>
  <si>
    <t>0.728</t>
  </si>
  <si>
    <t>ablation_A_paired_qa_vs_bundle_both_graded</t>
  </si>
  <si>
    <t>-2.33pp</t>
  </si>
  <si>
    <t>-9.3pp</t>
  </si>
  <si>
    <t>+4.65pp</t>
  </si>
  <si>
    <t>0.793</t>
  </si>
  <si>
    <t>ablation_B_full_bundle_accuracy</t>
  </si>
  <si>
    <t>35.7%</t>
  </si>
  <si>
    <t>28</t>
  </si>
  <si>
    <t>Trades / total events (coverage convention)</t>
  </si>
  <si>
    <t>Set B — ablation four_arm N=56</t>
  </si>
  <si>
    <t>DESCRIPTIVE ONLY — pure eval; n=56; coverage convention (10/28 trades correct) — NOT selectivity</t>
  </si>
  <si>
    <t>section_ablation_extension_summary.csv</t>
  </si>
  <si>
    <t>10/28; compare to selectivity headline 71.4% which is HOLD-excluded (10/14 graded+traded)</t>
  </si>
  <si>
    <t>ablation_B_press_release_accuracy</t>
  </si>
  <si>
    <t>Trades / total events</t>
  </si>
  <si>
    <t>DESCRIPTIVE ONLY — coverage convention (5/14)</t>
  </si>
  <si>
    <t>5/14</t>
  </si>
  <si>
    <t>ablation_B_prepared_remarks_accuracy</t>
  </si>
  <si>
    <t>37.9%</t>
  </si>
  <si>
    <t>29</t>
  </si>
  <si>
    <t>DESCRIPTIVE ONLY — coverage convention (11/29)</t>
  </si>
  <si>
    <t>11/29</t>
  </si>
  <si>
    <t>ablation_B_qa_only_accuracy</t>
  </si>
  <si>
    <t>32.0%</t>
  </si>
  <si>
    <t>DESCRIPTIVE ONLY — coverage convention (8/25)</t>
  </si>
  <si>
    <t>8/25</t>
  </si>
  <si>
    <t>ablation_B_paired_press_vs_bundle</t>
  </si>
  <si>
    <t>12</t>
  </si>
  <si>
    <t>Set B — ablation four_arm</t>
  </si>
  <si>
    <t>section_ablation_extension_paired.csv</t>
  </si>
  <si>
    <t>NOT COMPUTABLE — all 12 events where both arms breached ±2% had identical signals</t>
  </si>
  <si>
    <t>ablation_B_paired_prepared_vs_bundle</t>
  </si>
  <si>
    <t>+4.5pp</t>
  </si>
  <si>
    <t>22</t>
  </si>
  <si>
    <t>+13.6pp</t>
  </si>
  <si>
    <t>0.727</t>
  </si>
  <si>
    <t>ablation_B_paired_qa_vs_bundle</t>
  </si>
  <si>
    <t>+5.3pp</t>
  </si>
  <si>
    <t>19</t>
  </si>
  <si>
    <t>+15.8pp</t>
  </si>
  <si>
    <t>0.722</t>
  </si>
  <si>
    <t>frontier_floor_always_down_A</t>
  </si>
  <si>
    <t>65/119 graded eval-split events have negative return</t>
  </si>
  <si>
    <t>Set A — eval split 186 events</t>
  </si>
  <si>
    <t>HOLD=wrong (coverage); denominator = 119 graded events in eval split; majority direction is DOWN (65/119)</t>
  </si>
  <si>
    <t>0.622</t>
  </si>
  <si>
    <t>frontier_lm_A</t>
  </si>
  <si>
    <t>LM graded events — HOLD=wrong (coverage) denominator</t>
  </si>
  <si>
    <t>"HOLD=wrong (coverage): denominator = all 119 graded events in eval split; pysentiment2 LM word-count</t>
  </si>
  <si>
    <t xml:space="preserve"> no API cost"</t>
  </si>
  <si>
    <t>18/119 correct; LM trades 59/186 eval events</t>
  </si>
  <si>
    <t>frontier_finbert_A</t>
  </si>
  <si>
    <t>FinBERT graded events — HOLD=wrong (coverage) denominator</t>
  </si>
  <si>
    <t>"HOLD=wrong (coverage): denominator = all 119 graded events in eval split; ProsusAI/finbert 512-token chunks</t>
  </si>
  <si>
    <t xml:space="preserve"> local compute"</t>
  </si>
  <si>
    <t>0.420</t>
  </si>
  <si>
    <t>41/119 correct; FinBERT trades 147/186 eval events (high trade rate)</t>
  </si>
  <si>
    <t>frontier_model_A</t>
  </si>
  <si>
    <t>Model graded events — HOLD=wrong (coverage) denominator</t>
  </si>
  <si>
    <t>"HOLD=wrong (coverage): denominator = all 119 graded events in eval split; deployed model DeepSeek 0.55/0.45 micro/macro"</t>
  </si>
  <si>
    <t>0.504</t>
  </si>
  <si>
    <t>51/119 correct; model trades 111/186 eval events</t>
  </si>
  <si>
    <t>frontier_floor_always_down_B</t>
  </si>
  <si>
    <t>15/31 graded extension events have negative return</t>
  </si>
  <si>
    <t>HOLD=wrong (coverage); denominator = 31 graded events in Set B; majority direction is UP (16/31 positive)</t>
  </si>
  <si>
    <t>Majority direction is UP; always-UP floor = 16/31 = 51.6% (updated 2026-08-14)</t>
  </si>
  <si>
    <t>Majority direction is UP; always-UP floor = 15/29 = 51.7%</t>
  </si>
  <si>
    <t>frontier_lm_B</t>
  </si>
  <si>
    <t>9.7%</t>
  </si>
  <si>
    <t>HOLD=wrong (coverage): denominator = all 29 graded events in Set B; pysentiment2 LM word-count frozen thresholds</t>
  </si>
  <si>
    <t>lm_baseline_extension_results.csv</t>
  </si>
  <si>
    <t>3/29 correct; descriptive only (n=29 graded)</t>
  </si>
  <si>
    <t>frontier_finbert_B</t>
  </si>
  <si>
    <t>38.7%</t>
  </si>
  <si>
    <t>HOLD=wrong (coverage): denominator = all 29 graded events in Set B; phase2 dev thresholds frozen</t>
  </si>
  <si>
    <t>11/29 correct; FinBERT trades 66/93 events (trade rate 71% vs model 34%)</t>
  </si>
  <si>
    <t>frontier_model_B</t>
  </si>
  <si>
    <t>10/29 correct; ordering reverses vs Set A (model 42.9% → 34.5% while FinBERT 34.4% → 37.9%) — see notes</t>
  </si>
  <si>
    <t>frontier_finbert_reversal_note</t>
  </si>
  <si>
    <t>"PATTERN (not a result): FinBERT and model reverse ordering from Set A to Set B. FinBERT 34.4%→37.9%; model 42.9%→34.5%. Mechanism: FinBERT trades 71% of Set B events (BUY=64</t>
  </si>
  <si>
    <t xml:space="preserve"> HOLD=27</t>
  </si>
  <si>
    <t xml:space="preserve"> SELL=2) while model trades only 34% (BUY=17</t>
  </si>
  <si>
    <t xml:space="preserve"> HOLD=61</t>
  </si>
  <si>
    <t xml:space="preserve"> SELL=15). Both are below floor (48.3%) by opposite failure modes — FinBERT over-trades</t>
  </si>
  <si>
    <t xml:space="preserve"> model under-trades. n=29 graded; descriptive only."</t>
  </si>
  <si>
    <t>frontier_floor_always_down_C</t>
  </si>
  <si>
    <t>53.3%</t>
  </si>
  <si>
    <t>150</t>
  </si>
  <si>
    <t>80/150 graded events have negative return</t>
  </si>
  <si>
    <t>Set C — N=279 frontier (eval-A + Set B)</t>
  </si>
  <si>
    <t>HOLD=wrong (coverage): denominator = all 150 graded events (119 eval-A + 31 Set B); combined floor 65+15=80</t>
  </si>
  <si>
    <t>frontier_table.csv + finbert_extension_results.csv</t>
  </si>
  <si>
    <t>Arithmetic on existing outputs (updated 2026-08-14: Set B n_graded 29-&gt;31)</t>
  </si>
  <si>
    <t>Arithmetic on existing outputs</t>
  </si>
  <si>
    <t>frontier_lm_C</t>
  </si>
  <si>
    <t>14.0%</t>
  </si>
  <si>
    <t>HOLD=wrong (coverage): denominator = all 148 graded events; 18+3=21 correct</t>
  </si>
  <si>
    <t>frontier_table.csv + lm_baseline_extension_results.csv</t>
  </si>
  <si>
    <t>21/148</t>
  </si>
  <si>
    <t>frontier_finbert_C</t>
  </si>
  <si>
    <t>35.3%</t>
  </si>
  <si>
    <t>HOLD=wrong (coverage): denominator = all 148 graded events; 41+11=52 correct</t>
  </si>
  <si>
    <t>52/148</t>
  </si>
  <si>
    <t>frontier_model_C</t>
  </si>
  <si>
    <t>40.7%</t>
  </si>
  <si>
    <t>HOLD=wrong (coverage): denominator = all 148 graded events; 51+10=61 correct</t>
  </si>
  <si>
    <t>61/148</t>
  </si>
  <si>
    <t>walkforward_label_A</t>
  </si>
  <si>
    <t>RETROSPECTIVE — NOT PRE-REGISTERED (N=233)</t>
  </si>
  <si>
    <t>Set A — N=233 walk-forward</t>
  </si>
  <si>
    <t>walkforward_n_windows_A</t>
  </si>
  <si>
    <t>walkforward_mean_net_degenerate_windows_A</t>
  </si>
  <si>
    <t>3/4</t>
  </si>
  <si>
    <t>mean_net_objective; hu=0.45/hl=−0.50 fitted at N=146/196/230 alike — structurally degenerate</t>
  </si>
  <si>
    <t>Will not become estimable by adding data to this objective</t>
  </si>
  <si>
    <t>walkforward_mean_net_nondegen_window_A</t>
  </si>
  <si>
    <t>window_idx=0; test_start=2025-10-09; test_end=2025-12-18</t>
  </si>
  <si>
    <t>Window 0 only; 8 trades; 2/4 graded correct (50%); mean_net=+1.54%</t>
  </si>
  <si>
    <t>Single non-degenerate window — too small to interpret</t>
  </si>
  <si>
    <t>walkforward_accuracy_degenerate_windows_A</t>
  </si>
  <si>
    <t>2/4</t>
  </si>
  <si>
    <t>accuracy_objective; sample-limited (improving from N=233 to N=326)</t>
  </si>
  <si>
    <t>item_e_walkforward.json + workbook_metrics.csv</t>
  </si>
  <si>
    <t>walkforward_eval_split_accuracy_A</t>
  </si>
  <si>
    <t>Traded+graded in latest-80% eval split</t>
  </si>
  <si>
    <t>Set A — N=233 eval split</t>
  </si>
  <si>
    <t xml:space="preserve"> deployed thresholds"</t>
  </si>
  <si>
    <t>51/75; not a walk-forward — train/test split with earliest 20% as dev</t>
  </si>
  <si>
    <t>walkforward_dev_split_accuracy_A</t>
  </si>
  <si>
    <t>Traded+graded in earliest-20% dev split</t>
  </si>
  <si>
    <t>Set A — N=233 dev split</t>
  </si>
  <si>
    <t xml:space="preserve"> dev set used for threshold fitting"</t>
  </si>
  <si>
    <t>11/20; not significant — underpowered. Dev used for LM/FinBERT threshold fitting only; model uses deployed thresholds.</t>
  </si>
  <si>
    <t>walkforward_label_C</t>
  </si>
  <si>
    <t>RETROSPECTIVE — NOT PRE-REGISTERED (combined N=326)</t>
  </si>
  <si>
    <t>Set C — N=326 combined walk-forward</t>
  </si>
  <si>
    <t>walkforward_n_windows_C</t>
  </si>
  <si>
    <t>walkforward_mean_net_degenerate_windows_C</t>
  </si>
  <si>
    <t>mean_net_objective; same degeneracy as N=233 — structurally degenerate</t>
  </si>
  <si>
    <t>walkforward_mean_net_pooled_oos_trades_C</t>
  </si>
  <si>
    <t>trades</t>
  </si>
  <si>
    <t>Window 0 only (non-degenerate)</t>
  </si>
  <si>
    <t>Set C — N=326 combined walk-forward mean_net</t>
  </si>
  <si>
    <t>walkforward_mean_net_pooled_oos_accuracy_C</t>
  </si>
  <si>
    <t>66.7%</t>
  </si>
  <si>
    <t>6</t>
  </si>
  <si>
    <t>4/6 graded correct in window 0</t>
  </si>
  <si>
    <t>walkforward_mean_net_pooled_oos_mean_net_C</t>
  </si>
  <si>
    <t>+3.04%</t>
  </si>
  <si>
    <t>-0.54%</t>
  </si>
  <si>
    <t>+6.79%</t>
  </si>
  <si>
    <t>Wide CI; only 10 trades</t>
  </si>
  <si>
    <t>walkforward_accuracy_degenerate_windows_C</t>
  </si>
  <si>
    <t>1/4</t>
  </si>
  <si>
    <t>Set C — N=326 combined walk-forward accuracy_objective</t>
  </si>
  <si>
    <t>Sample-limited (was 2/4 at N=233 → 1/4 at N=326; improving)</t>
  </si>
  <si>
    <t>walkforward_accuracy_pooled_oos_trades_C</t>
  </si>
  <si>
    <t>3 non-degenerate windows pooled</t>
  </si>
  <si>
    <t>walkforward_accuracy_pooled_oos_graded_C</t>
  </si>
  <si>
    <t>walkforward_accuracy_pooled_oos_correct_C</t>
  </si>
  <si>
    <t>walkforward_accuracy_pooled_oos_accuracy_C</t>
  </si>
  <si>
    <t>17/25 graded correct pooled OOS</t>
  </si>
  <si>
    <t>walkforward_accuracy_pooled_oos_mean_net_C</t>
  </si>
  <si>
    <t>+1.79%</t>
  </si>
  <si>
    <t>+0.12%</t>
  </si>
  <si>
    <t>+3.49%</t>
  </si>
  <si>
    <t>"CI just clears zero; directionally consistent with in-sample. Gap vs MDE: +14.6pp observed vs ≈30pp MDE — underpowered. Retrospective; all 326 events seen before analysis."</t>
  </si>
  <si>
    <t>walkforward_accuracy_pooled_oos_floor_C</t>
  </si>
  <si>
    <t>Majority-direction floor in pooled OOS graded events</t>
  </si>
  <si>
    <t>walkforward_accuracy_gap_vs_floor_C</t>
  </si>
  <si>
    <t>+14.6pp</t>
  </si>
  <si>
    <t>68.0% − 53.4%</t>
  </si>
  <si>
    <t>Below MDE ≈30pp (extrapolated from cross-issuer MDE 20.8pp at n_graded=52); underpowered</t>
  </si>
  <si>
    <t>walkforward_n_extrapolation_note</t>
  </si>
  <si>
    <t>"N≈400–500 estimated to reach adequate power (extrapolation from 2 data points: n_graded=52 MDE=20.8pp</t>
  </si>
  <si>
    <t xml:space="preserve"> n_graded=95 MDE=10.8pp); treat as order-of-magnitude</t>
  </si>
  <si>
    <t xml:space="preserve"> not a precise target"</t>
  </si>
  <si>
    <t>api_cost_extension_scoring_total</t>
  </si>
  <si>
    <t>$0.77146</t>
  </si>
  <si>
    <t>USD</t>
  </si>
  <si>
    <t>93 micro-layer calls</t>
  </si>
  <si>
    <t>Micro-layer LLM API calls only; source: per-issuer p2_*_ext2026_08_13/summary/*_first_run_summary.csv. NOTE: $0.86 mentioned in conversation could not be verified on disk; disk-verified total is $0.77146.</t>
  </si>
  <si>
    <t>api_cost_extension_ablation_total</t>
  </si>
  <si>
    <t>$1.72383</t>
  </si>
  <si>
    <t>298</t>
  </si>
  <si>
    <t>298 section-ablation calls (4 arms x 93 full-bundle + 2 arms x 56 four-arm)</t>
  </si>
  <si>
    <t>Set B — N=93 extension ablation</t>
  </si>
  <si>
    <t>$1.72 for 298 section-ablation calls; source: outputs/global/summary/section_ablation_extension_results.csv (run_id 20260813T234207Z). Matches the $1.72 figure cited in conversation.</t>
  </si>
  <si>
    <t>consistency_ensemble_runs_set_A</t>
  </si>
  <si>
    <t>Frozen phase2 events with --ensemble runs</t>
  </si>
  <si>
    <t>outputs/p2_{issuer}/runs/{run_id}/consistency_costs.jsonl</t>
  </si>
  <si>
    <t>Per-event consistency scores exist from ensemble runs; output stability cross-check available</t>
  </si>
  <si>
    <t>consistency_ensemble_runs_set_B</t>
  </si>
  <si>
    <t>Extension events — no ensemble runs performed</t>
  </si>
  <si>
    <t>Extension not run with --ensemble. No per-event consistency scores exist for any of the 93 events. No comparison of output stability between Set A and Set B is possible. Cost to run now: estimated ~$0.77 (same scoring budget as the extension micro run). Whether to run is a project decision.</t>
  </si>
  <si>
    <t>Set B is thin outside Technology (n_graded=15) and Consumer (n_graded=9). Energy, Utilities and Materials are below the n_graded&lt;3 threshold and no accuracy is reported for them. Do not compare Set B sector accuracy against Set A without noting the sample-size difference.</t>
  </si>
  <si>
    <t>sector</t>
  </si>
  <si>
    <t>n_correct_coverage</t>
  </si>
  <si>
    <t>accuracy_coverage</t>
  </si>
  <si>
    <t>Technology</t>
  </si>
  <si>
    <t>"Includes AAPL AVGO DELL GOOGL IBM LNVGY MU MSFT ORCL PLTR UBER WDAY (broad Technology grouping)"</t>
  </si>
  <si>
    <t>Consumer</t>
  </si>
  <si>
    <t>86</t>
  </si>
  <si>
    <t>50</t>
  </si>
  <si>
    <t>46.0%</t>
  </si>
  <si>
    <t>"Largest sector by N. Includes ABNB BKNG CMG COST CL EXPE F GIS HLT KHC KO LOW LULU MAR MCD NKE PEP PUM.DE RMSP.XC SBUX TGT TSLA WMT etc."</t>
  </si>
  <si>
    <t>49</t>
  </si>
  <si>
    <t>8</t>
  </si>
  <si>
    <t>36.4%</t>
  </si>
  <si>
    <t>"Includes BAC BCS C COIN GS HOOD JPM MET PYPL SCHW STAN.L UNH V AXP ALV.DE"</t>
  </si>
  <si>
    <t>7</t>
  </si>
  <si>
    <t>41.2%</t>
  </si>
  <si>
    <t>"Includes AMKBY BA CAT DAL FDX LMT SIE.DE UAL"</t>
  </si>
  <si>
    <t>18</t>
  </si>
  <si>
    <t>33.3%</t>
  </si>
  <si>
    <t>"Includes CMCSA DIS META NFLX PINS (note: META/NFLX worksheet-excluded pairs removed)"</t>
  </si>
  <si>
    <t>Healthcare</t>
  </si>
  <si>
    <t>"Includes CVS JNJ LMT NVO PFE UNH; n_graded=9 — interpret cautiously"</t>
  </si>
  <si>
    <t>3</t>
  </si>
  <si>
    <t>0</t>
  </si>
  <si>
    <t>n&lt;3</t>
  </si>
  <si>
    <t>"LIN only in clean set; 0 graded events in ±2% band"</t>
  </si>
  <si>
    <t>Total</t>
  </si>
  <si>
    <t>"Coverage accuracy: 62/147. Selectivity (HOLD-excluded</t>
  </si>
  <si>
    <t xml:space="preserve"> n=95 graded+traded): 65.3% (62/95)."</t>
  </si>
  <si>
    <t>5</t>
  </si>
  <si>
    <t>"ADBE DDOG INTC SHOP SONY; n_graded=15 — largest graded count in Set B"</t>
  </si>
  <si>
    <t>18.2%</t>
  </si>
  <si>
    <t>"CL COST EBAY HD HEIA.AS NSRGY RMSP.XC; n_graded=9"</t>
  </si>
  <si>
    <t>13</t>
  </si>
  <si>
    <t>—</t>
  </si>
  <si>
    <t>"DUK only (13 events</t>
  </si>
  <si>
    <t xml:space="preserve"> all HOLD outcomes)"</t>
  </si>
  <si>
    <t>21</t>
  </si>
  <si>
    <t>"CVX XOM SHEL; only 1 graded event in ±2% band"</t>
  </si>
  <si>
    <t>2</t>
  </si>
  <si>
    <t>"AXP MA; only 2 graded events — not reportable"</t>
  </si>
  <si>
    <t>"FCX; only 2 graded events — not reportable"</t>
  </si>
  <si>
    <t>"UNP; 0 graded events"</t>
  </si>
  <si>
    <t>"Coverage accuracy: 10/29. Selectivity (HOLD-excluded</t>
  </si>
  <si>
    <t xml:space="preserve"> n=14 graded+traded): 71.4% (10/14). Extension is pure eval."</t>
  </si>
  <si>
    <t>54</t>
  </si>
  <si>
    <t>37.0%</t>
  </si>
  <si>
    <t>"Set A (36/31/12) + Set B (18/15/5)"</t>
  </si>
  <si>
    <t>112</t>
  </si>
  <si>
    <t>41.0%</t>
  </si>
  <si>
    <t>"Set A (86/50/23) + Set B (26/9/2)"</t>
  </si>
  <si>
    <t>57</t>
  </si>
  <si>
    <t>41.7%</t>
  </si>
  <si>
    <t>"Set A (49/22/8) + Set B (8/2/2)"</t>
  </si>
  <si>
    <t>30</t>
  </si>
  <si>
    <t>"Set A (26/17/7) + Set B (4/0/0)"</t>
  </si>
  <si>
    <t>"Set A only (19/18/6); no Set B events in this sector"</t>
  </si>
  <si>
    <t>"Set A only (14/9/6); n_graded=9 — interpret cautiously"</t>
  </si>
  <si>
    <t>"Set B only (21/1/0)"</t>
  </si>
  <si>
    <t>"Set B only (13/0/0)"</t>
  </si>
  <si>
    <t>"Set A (3/0/0) + Set B (3/2/1)"</t>
  </si>
  <si>
    <t>40.4%</t>
  </si>
  <si>
    <t>"Coverage accuracy: 72/176. In-sample walk-forward accuracy on graded+traded: 66.1% (72/109</t>
  </si>
  <si>
    <t xml:space="preserve"> deployed thresholds)."</t>
  </si>
  <si>
    <t>Price Basis Correction Note</t>
  </si>
  <si>
    <t>Session date</t>
  </si>
  <si>
    <t>FROZEN rows (Set A)</t>
  </si>
  <si>
    <t>Scope</t>
  </si>
  <si>
    <t>Human_Data_Entry rows with Event Set = FROZEN. Data rows 3–201 approximately (N ≈ 412 rows total for FROZEN set). These were re-anchored on 2026-08-13 from report_date to release_date using EDGAR 8-K Item 2.02 filing dates.</t>
  </si>
  <si>
    <t>release_date is the sole entry anchor per CLAUDE.md anchor correction (2026-08-13). Prior close = close on release_date; next open = open on next trading day after release_date.</t>
  </si>
  <si>
    <t>Agreement checks</t>
  </si>
  <si>
    <t>295 rows passed the price-agreement cross-validation check (Price Basis Corrected = YES). 125 rows are human-only events not in the LLM universe — these remain on the original report_date basis (Price Basis Corrected = NO; Not Corrected Reason explains each).</t>
  </si>
  <si>
    <t>EXTENSION rows (Set B)</t>
  </si>
  <si>
    <t>Human_Data_Entry rows with Event Set = EXTENSION. 110 rows re-anchored in this session (2026-08-14). 0 rows were already marked YES (skipped). 0 rows could not be re-anchored (see 'Failed rows' below).</t>
  </si>
  <si>
    <t>Source of re-priced values</t>
  </si>
  <si>
    <t>Re-priced prior close date / prior close / next open date / next open (columns Re-priced prior close date, Re-priced prior close, Re-priced next open date, Re-priced next open in Human_Data_Entry) were already computed and stored in columns 30–33 in a prior session. This session copies those values into the main M/N/O/P columns (Prior Closing Date, Prior Close, Next Opening Date, Next Day Open) and sets Price Basis Corrected = YES.</t>
  </si>
  <si>
    <t>Failed rows (could not re-anchor)</t>
  </si>
  <si>
    <t>(none)</t>
  </si>
  <si>
    <t>All extension rows had re-priced data available.</t>
  </si>
  <si>
    <t>HEIA.AS / RMSP.XC / NSRGY in LLM_Data_Entry</t>
  </si>
  <si>
    <t>4 row(s), all Event Set = EXTENSION. row 279 doc_date=2024-03-01; row 282 doc_date=2024-07-01; row 285 doc_date=2024-10-01; row 310 doc_date=2025-10-01</t>
  </si>
  <si>
    <t>2 row(s), all Event Set = EXTENSION. row 286 doc_date=2024-10-01; row 336 doc_date=2026-02-01</t>
  </si>
  <si>
    <t>4 row(s), all Event Set = EXTENSION. row 290 doc_date=2025-02-01; row 295 doc_date=2025-07-01; row 311 doc_date=2025-10-01; row 335 doc_date=2026-02-01</t>
  </si>
  <si>
    <t>All three tickers are present in LLM_Data_Entry as EXTENSION. The corresponding Human_Data_Entry rows for Heineken, Hermes (RMSP.XC), and Nestle (NSRGY) are already classified as Event Set = EXTENSION. No Event Set changes were required.</t>
  </si>
  <si>
    <t>CROSS-ARM EQUALITY NOTE</t>
  </si>
  <si>
    <t>NOTE</t>
  </si>
  <si>
    <t>NOTE: '0 disagree' refers to re-anchoring completeness — all 110 extension rows had prices written from the LLM arm. Cross-arm extension price equality is not claimed: the two arms use different underlying price series and differ by design on the extension set. The Section C columns (HDE AE/AG vs LLM Z/AB) reflect this divergence and are not the operative price columns for any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</si>
</sst>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
    <numFmt numFmtId="166" formatCode="\$#,##0.000000"/>
    <numFmt numFmtId="167" formatCode="\$#,##0"/>
    <numFmt numFmtId="168" formatCode="0.0"/>
    <numFmt numFmtId="169" formatCode="0.0&quot;x&quot;"/>
    <numFmt numFmtId="170" formatCode="\$#,##0.0000"/>
    <numFmt numFmtId="171" formatCode="dd/mm/yy;@"/>
    <numFmt numFmtId="172" formatCode="yyyy\-mm\-dd\ h:mm:ss"/>
  </numFmts>
  <fonts count="23" x14ac:knownFonts="1">
    <font>
      <sz val="11"/>
      <color theme="1"/>
      <name val="Calibri"/>
      <family val="2"/>
      <charset val="1"/>
    </font>
    <font>
      <i/>
      <sz val="8"/>
      <color rgb="FFE74C3C"/>
      <name val="Arial"/>
      <family val="2"/>
    </font>
    <font>
      <b/>
      <sz val="11"/>
      <color theme="1"/>
      <name val="Calibri"/>
      <family val="2"/>
      <charset val="1"/>
    </font>
    <font>
      <b/>
      <sz val="12"/>
      <color rgb="FF000000"/>
      <name val="Calibri"/>
      <family val="2"/>
    </font>
    <font>
      <b/>
      <sz val="10"/>
      <color rgb="FFFFFFFF"/>
      <name val="Calibri"/>
      <family val="2"/>
    </font>
    <font>
      <sz val="10"/>
      <color rgb="FF000000"/>
      <name val="Calibri"/>
      <family val="2"/>
    </font>
    <font>
      <b/>
      <sz val="10"/>
      <color rgb="FF000000"/>
      <name val="Calibri"/>
      <family val="2"/>
    </font>
    <font>
      <i/>
      <sz val="9"/>
      <color rgb="FF595959"/>
      <name val="Calibri"/>
      <family val="2"/>
    </font>
    <font>
      <b/>
      <sz val="13"/>
      <color rgb="FF000000"/>
      <name val="Calibri"/>
      <family val="2"/>
    </font>
    <font>
      <sz val="11"/>
      <color theme="1"/>
      <name val="Calibri"/>
      <family val="2"/>
      <scheme val="minor"/>
    </font>
    <font>
      <sz val="12"/>
      <color rgb="FFFF0000"/>
      <name val="Calibri"/>
      <family val="2"/>
      <scheme val="minor"/>
    </font>
    <font>
      <sz val="18"/>
      <color theme="0"/>
      <name val="Calibri"/>
      <family val="2"/>
      <scheme val="minor"/>
    </font>
    <font>
      <sz val="10"/>
      <color rgb="FF000000"/>
      <name val="Calibri"/>
      <family val="2"/>
      <charset val="1"/>
    </font>
    <font>
      <i/>
      <sz val="11"/>
      <color theme="1"/>
      <name val="Calibri"/>
      <family val="2"/>
    </font>
    <font>
      <b/>
      <sz val="11"/>
      <color theme="1"/>
      <name val="Calibri"/>
      <family val="2"/>
    </font>
    <font>
      <b/>
      <sz val="10"/>
      <color theme="1"/>
      <name val="Calibri"/>
      <family val="2"/>
      <charset val="1"/>
    </font>
    <font>
      <b/>
      <sz val="10"/>
      <color theme="1"/>
      <name val="Calibri"/>
      <family val="2"/>
    </font>
    <font>
      <b/>
      <sz val="10"/>
      <color rgb="FF000000"/>
      <name val="Calibri"/>
      <family val="2"/>
      <charset val="1"/>
    </font>
    <font>
      <b/>
      <sz val="11"/>
      <name val="Calibri"/>
      <family val="2"/>
    </font>
    <font>
      <i/>
      <sz val="11"/>
      <name val="Calibri"/>
      <family val="2"/>
    </font>
    <font>
      <b/>
      <i/>
      <sz val="11"/>
      <name val="Calibri"/>
      <family val="2"/>
    </font>
    <font>
      <b/>
      <sz val="12"/>
      <name val="Calibri"/>
    </font>
    <font>
      <b/>
      <sz val="11"/>
      <name val="Calibri"/>
    </font>
  </fonts>
  <fills count="24">
    <fill>
      <patternFill patternType="none"/>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2"/>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7CE"/>
        <bgColor rgb="FFFFC7CE"/>
      </patternFill>
    </fill>
    <fill>
      <patternFill patternType="solid">
        <fgColor rgb="FFDDEEFF"/>
        <bgColor rgb="FFDDEEFF"/>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cellStyleXfs>
  <cellXfs count="173">
    <xf numFmtId="0" fontId="0" fillId="0" borderId="0" xfId="0"/>
    <xf numFmtId="0" fontId="2" fillId="0" borderId="0" xfId="0" applyFont="1"/>
    <xf numFmtId="0" fontId="0" fillId="0" borderId="0" xfId="0" applyAlignment="1">
      <alignment horizontal="center"/>
    </xf>
    <xf numFmtId="0" fontId="1" fillId="0" borderId="0" xfId="0" applyFont="1"/>
    <xf numFmtId="10"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left"/>
    </xf>
    <xf numFmtId="0" fontId="0" fillId="0" borderId="0" xfId="0" applyAlignment="1">
      <alignment horizontal="left"/>
    </xf>
    <xf numFmtId="0" fontId="3" fillId="0" borderId="0" xfId="0" applyFont="1" applyAlignment="1">
      <alignment horizontal="left" vertical="center"/>
    </xf>
    <xf numFmtId="0" fontId="8" fillId="0" borderId="0" xfId="0" applyFont="1" applyAlignment="1">
      <alignment horizontal="center" vertical="center" wrapText="1"/>
    </xf>
    <xf numFmtId="0" fontId="6" fillId="0" borderId="0" xfId="0" applyFont="1"/>
    <xf numFmtId="0" fontId="6" fillId="6" borderId="0" xfId="0" applyFont="1" applyFill="1"/>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0" fontId="9" fillId="0" borderId="0" xfId="0" applyFont="1"/>
    <xf numFmtId="2" fontId="0" fillId="0" borderId="0" xfId="0" applyNumberFormat="1"/>
    <xf numFmtId="0" fontId="4" fillId="10" borderId="4" xfId="0" applyFont="1" applyFill="1" applyBorder="1" applyAlignment="1">
      <alignment horizontal="center" vertical="center" wrapText="1"/>
    </xf>
    <xf numFmtId="0" fontId="7" fillId="0" borderId="0" xfId="0" applyFont="1"/>
    <xf numFmtId="0" fontId="5" fillId="0" borderId="2" xfId="0" applyFont="1" applyBorder="1" applyAlignment="1">
      <alignment horizontal="lef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4" fontId="5" fillId="0" borderId="2" xfId="0" applyNumberFormat="1" applyFont="1" applyBorder="1" applyAlignment="1">
      <alignment horizontal="right" vertical="center"/>
    </xf>
    <xf numFmtId="0" fontId="5" fillId="0" borderId="2" xfId="0" applyFont="1" applyBorder="1" applyAlignment="1">
      <alignment horizontal="left" vertical="center" wrapText="1"/>
    </xf>
    <xf numFmtId="0" fontId="9" fillId="0" borderId="2" xfId="0" applyFont="1" applyBorder="1" applyAlignment="1">
      <alignment horizontal="left" vertical="center" wrapText="1"/>
    </xf>
    <xf numFmtId="2" fontId="4" fillId="10" borderId="4" xfId="0" applyNumberFormat="1" applyFont="1" applyFill="1" applyBorder="1" applyAlignment="1">
      <alignment horizontal="center" vertical="center" wrapText="1"/>
    </xf>
    <xf numFmtId="10" fontId="4" fillId="10" borderId="4" xfId="0" applyNumberFormat="1" applyFont="1" applyFill="1" applyBorder="1" applyAlignment="1">
      <alignment horizontal="center" vertical="center" wrapText="1"/>
    </xf>
    <xf numFmtId="0" fontId="5" fillId="8" borderId="2" xfId="0" applyFont="1" applyFill="1" applyBorder="1" applyAlignment="1">
      <alignment horizontal="left" vertical="center"/>
    </xf>
    <xf numFmtId="0" fontId="5" fillId="2" borderId="2" xfId="0" applyFont="1" applyFill="1" applyBorder="1" applyAlignment="1">
      <alignment horizontal="left" vertical="center"/>
    </xf>
    <xf numFmtId="1" fontId="5" fillId="8" borderId="2"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3" borderId="4" xfId="0" applyFont="1" applyFill="1" applyBorder="1" applyAlignment="1">
      <alignment horizontal="left" vertical="center"/>
    </xf>
    <xf numFmtId="1" fontId="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center"/>
    </xf>
    <xf numFmtId="1" fontId="5" fillId="7" borderId="4" xfId="0" applyNumberFormat="1" applyFont="1" applyFill="1" applyBorder="1" applyAlignment="1">
      <alignment horizontal="center" vertical="center"/>
    </xf>
    <xf numFmtId="164" fontId="5" fillId="8"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1" fontId="5" fillId="8" borderId="4" xfId="0" applyNumberFormat="1" applyFont="1" applyFill="1" applyBorder="1" applyAlignment="1">
      <alignment horizontal="center" vertical="center"/>
    </xf>
    <xf numFmtId="0" fontId="6" fillId="9" borderId="2" xfId="0" applyFont="1" applyFill="1" applyBorder="1" applyAlignment="1">
      <alignment horizontal="left" vertical="center"/>
    </xf>
    <xf numFmtId="1" fontId="6" fillId="9" borderId="2" xfId="0" applyNumberFormat="1" applyFont="1" applyFill="1" applyBorder="1" applyAlignment="1">
      <alignment horizontal="center" vertical="center"/>
    </xf>
    <xf numFmtId="164" fontId="6" fillId="9" borderId="2"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left" vertical="center"/>
    </xf>
    <xf numFmtId="1" fontId="6" fillId="9" borderId="4" xfId="0" applyNumberFormat="1" applyFont="1" applyFill="1" applyBorder="1" applyAlignment="1">
      <alignment horizontal="center" vertical="center"/>
    </xf>
    <xf numFmtId="164" fontId="6" fillId="9" borderId="4" xfId="0" applyNumberFormat="1" applyFont="1" applyFill="1" applyBorder="1" applyAlignment="1">
      <alignment horizontal="center" vertical="center"/>
    </xf>
    <xf numFmtId="0" fontId="6" fillId="9" borderId="4" xfId="0" applyFont="1" applyFill="1" applyBorder="1" applyAlignment="1">
      <alignment horizontal="center" vertical="center"/>
    </xf>
    <xf numFmtId="0" fontId="5" fillId="4" borderId="2" xfId="0" applyFont="1" applyFill="1" applyBorder="1" applyAlignment="1">
      <alignment horizontal="left" vertical="center"/>
    </xf>
    <xf numFmtId="1" fontId="5"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1" fontId="5" fillId="5" borderId="2" xfId="0" applyNumberFormat="1" applyFont="1" applyFill="1" applyBorder="1" applyAlignment="1">
      <alignment horizontal="center" vertical="center"/>
    </xf>
    <xf numFmtId="164" fontId="5" fillId="0" borderId="2" xfId="0" applyNumberFormat="1" applyFont="1" applyBorder="1" applyAlignment="1">
      <alignment horizontal="center"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center"/>
    </xf>
    <xf numFmtId="164" fontId="5" fillId="0" borderId="2" xfId="0" applyNumberFormat="1" applyFont="1" applyBorder="1" applyAlignment="1">
      <alignment horizontal="center"/>
    </xf>
    <xf numFmtId="164" fontId="5" fillId="0" borderId="2" xfId="0" applyNumberFormat="1" applyFont="1" applyBorder="1"/>
    <xf numFmtId="2" fontId="5" fillId="0" borderId="2" xfId="0" applyNumberFormat="1" applyFont="1" applyBorder="1" applyAlignment="1">
      <alignment horizontal="center"/>
    </xf>
    <xf numFmtId="10" fontId="5" fillId="0" borderId="2" xfId="0" applyNumberFormat="1" applyFont="1" applyBorder="1" applyAlignment="1">
      <alignment horizontal="center"/>
    </xf>
    <xf numFmtId="0" fontId="4" fillId="10" borderId="4" xfId="0" applyFont="1" applyFill="1" applyBorder="1" applyAlignment="1">
      <alignment horizontal="center" vertical="center"/>
    </xf>
    <xf numFmtId="0" fontId="5" fillId="0" borderId="0" xfId="0" applyFont="1"/>
    <xf numFmtId="165" fontId="6" fillId="12" borderId="3" xfId="0" applyNumberFormat="1" applyFont="1" applyFill="1" applyBorder="1" applyAlignment="1">
      <alignment horizontal="center"/>
    </xf>
    <xf numFmtId="166" fontId="6" fillId="11" borderId="3" xfId="0" applyNumberFormat="1" applyFont="1" applyFill="1" applyBorder="1" applyAlignment="1">
      <alignment horizontal="center"/>
    </xf>
    <xf numFmtId="0" fontId="7" fillId="0" borderId="0" xfId="0" applyFont="1" applyAlignment="1">
      <alignment horizontal="left" vertical="top" wrapText="1"/>
    </xf>
    <xf numFmtId="2" fontId="6" fillId="12" borderId="3" xfId="0" applyNumberFormat="1" applyFont="1" applyFill="1" applyBorder="1" applyAlignment="1">
      <alignment horizontal="center"/>
    </xf>
    <xf numFmtId="167" fontId="6" fillId="12" borderId="3" xfId="0" applyNumberFormat="1" applyFont="1" applyFill="1" applyBorder="1" applyAlignment="1">
      <alignment horizontal="center"/>
    </xf>
    <xf numFmtId="166" fontId="6" fillId="12" borderId="3" xfId="0" applyNumberFormat="1" applyFont="1" applyFill="1" applyBorder="1" applyAlignment="1">
      <alignment horizontal="center"/>
    </xf>
    <xf numFmtId="1" fontId="6" fillId="12" borderId="3" xfId="0" applyNumberFormat="1" applyFont="1" applyFill="1" applyBorder="1" applyAlignment="1">
      <alignment horizontal="center"/>
    </xf>
    <xf numFmtId="168" fontId="5" fillId="0" borderId="2" xfId="0" applyNumberFormat="1" applyFont="1" applyBorder="1" applyAlignment="1">
      <alignment horizontal="center"/>
    </xf>
    <xf numFmtId="1" fontId="5" fillId="0" borderId="2" xfId="0" applyNumberFormat="1" applyFont="1" applyBorder="1" applyAlignment="1">
      <alignment horizontal="center"/>
    </xf>
    <xf numFmtId="169" fontId="5" fillId="0" borderId="2" xfId="0" applyNumberFormat="1" applyFont="1" applyBorder="1" applyAlignment="1">
      <alignment horizontal="center"/>
    </xf>
    <xf numFmtId="165" fontId="5" fillId="0" borderId="2" xfId="0" applyNumberFormat="1" applyFont="1" applyBorder="1" applyAlignment="1">
      <alignment horizontal="center"/>
    </xf>
    <xf numFmtId="170" fontId="5" fillId="0" borderId="2" xfId="0" applyNumberFormat="1" applyFont="1" applyBorder="1" applyAlignment="1">
      <alignment horizontal="center"/>
    </xf>
    <xf numFmtId="167" fontId="5" fillId="0" borderId="2" xfId="0" applyNumberFormat="1" applyFont="1" applyBorder="1" applyAlignment="1">
      <alignment horizontal="center"/>
    </xf>
    <xf numFmtId="1" fontId="6" fillId="9" borderId="1" xfId="0" applyNumberFormat="1" applyFont="1" applyFill="1" applyBorder="1" applyAlignment="1">
      <alignment horizontal="center"/>
    </xf>
    <xf numFmtId="164" fontId="6" fillId="9" borderId="1" xfId="0" applyNumberFormat="1" applyFont="1" applyFill="1" applyBorder="1" applyAlignment="1">
      <alignment horizontal="center"/>
    </xf>
    <xf numFmtId="0" fontId="6" fillId="9" borderId="2" xfId="0" applyFont="1" applyFill="1" applyBorder="1" applyAlignment="1">
      <alignment horizontal="center"/>
    </xf>
    <xf numFmtId="0" fontId="5" fillId="0" borderId="2" xfId="0" applyFont="1" applyBorder="1" applyAlignment="1">
      <alignment horizontal="left" vertical="top" wrapText="1"/>
    </xf>
    <xf numFmtId="0" fontId="5" fillId="0" borderId="0" xfId="0" applyFont="1" applyAlignment="1">
      <alignment horizontal="left" vertical="top" wrapText="1"/>
    </xf>
    <xf numFmtId="1" fontId="6" fillId="0" borderId="3" xfId="0" applyNumberFormat="1" applyFont="1" applyBorder="1" applyAlignment="1">
      <alignment horizontal="center"/>
    </xf>
    <xf numFmtId="0" fontId="6" fillId="0" borderId="3" xfId="0" applyFont="1" applyBorder="1" applyAlignment="1">
      <alignment horizont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4" fillId="14" borderId="4" xfId="0" applyFont="1" applyFill="1" applyBorder="1" applyAlignment="1">
      <alignment horizontal="center" vertical="center" wrapText="1"/>
    </xf>
    <xf numFmtId="0" fontId="5" fillId="14" borderId="0" xfId="0" applyFont="1" applyFill="1" applyAlignment="1">
      <alignment horizontal="center"/>
    </xf>
    <xf numFmtId="0" fontId="0" fillId="14" borderId="0" xfId="0" applyFill="1"/>
    <xf numFmtId="0" fontId="13" fillId="0" borderId="0" xfId="0" applyFont="1"/>
    <xf numFmtId="0" fontId="14" fillId="0" borderId="0" xfId="0" applyFont="1" applyAlignment="1">
      <alignment horizontal="center"/>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14" fillId="0" borderId="0" xfId="0" applyFont="1"/>
    <xf numFmtId="0" fontId="5" fillId="0" borderId="0" xfId="0" applyFont="1" applyAlignment="1">
      <alignment horizontal="left" vertical="center"/>
    </xf>
    <xf numFmtId="1" fontId="5" fillId="0" borderId="0" xfId="0" applyNumberFormat="1" applyFont="1" applyAlignment="1">
      <alignment horizontal="center" vertical="center"/>
    </xf>
    <xf numFmtId="0" fontId="15" fillId="0" borderId="0" xfId="0" applyFont="1"/>
    <xf numFmtId="0" fontId="16" fillId="0" borderId="0" xfId="0" applyFont="1"/>
    <xf numFmtId="0" fontId="4" fillId="10" borderId="0" xfId="0" applyFont="1" applyFill="1" applyAlignment="1">
      <alignment horizontal="center" vertical="center"/>
    </xf>
    <xf numFmtId="0" fontId="5" fillId="0" borderId="0" xfId="0" applyFont="1" applyAlignment="1">
      <alignment horizontal="center" vertical="center"/>
    </xf>
    <xf numFmtId="0" fontId="12" fillId="0" borderId="2" xfId="0" applyFont="1" applyBorder="1" applyAlignment="1">
      <alignment horizontal="center" vertical="center"/>
    </xf>
    <xf numFmtId="1" fontId="12" fillId="0" borderId="0" xfId="0" applyNumberFormat="1" applyFont="1" applyAlignment="1">
      <alignment horizontal="center" vertical="center"/>
    </xf>
    <xf numFmtId="0" fontId="12" fillId="0" borderId="0" xfId="0" applyFont="1" applyAlignment="1">
      <alignment horizontal="center" vertical="center"/>
    </xf>
    <xf numFmtId="10" fontId="12" fillId="0" borderId="0" xfId="0" applyNumberFormat="1" applyFont="1" applyAlignment="1">
      <alignment horizontal="right" vertical="center"/>
    </xf>
    <xf numFmtId="1" fontId="12" fillId="0" borderId="2" xfId="0" applyNumberFormat="1" applyFont="1" applyBorder="1" applyAlignment="1">
      <alignment horizontal="center" vertical="center"/>
    </xf>
    <xf numFmtId="0" fontId="12" fillId="0" borderId="0" xfId="0" applyFont="1" applyAlignment="1">
      <alignment horizontal="left" vertical="center"/>
    </xf>
    <xf numFmtId="0" fontId="12" fillId="4" borderId="0" xfId="0" applyFont="1" applyFill="1" applyAlignment="1">
      <alignment horizontal="left" vertical="center"/>
    </xf>
    <xf numFmtId="1" fontId="12" fillId="4" borderId="2" xfId="0" applyNumberFormat="1" applyFont="1" applyFill="1" applyBorder="1" applyAlignment="1">
      <alignment horizontal="center" vertical="center"/>
    </xf>
    <xf numFmtId="164" fontId="12" fillId="5" borderId="2" xfId="0" applyNumberFormat="1" applyFont="1" applyFill="1" applyBorder="1" applyAlignment="1">
      <alignment horizontal="center" vertical="center"/>
    </xf>
    <xf numFmtId="1" fontId="12" fillId="5" borderId="2" xfId="0" applyNumberFormat="1" applyFont="1" applyFill="1" applyBorder="1" applyAlignment="1">
      <alignment horizontal="center" vertical="center"/>
    </xf>
    <xf numFmtId="164" fontId="12" fillId="0" borderId="2" xfId="0" applyNumberFormat="1" applyFont="1" applyBorder="1" applyAlignment="1">
      <alignment horizontal="center" vertical="center"/>
    </xf>
    <xf numFmtId="0" fontId="17" fillId="0" borderId="0" xfId="0" applyFont="1" applyAlignment="1">
      <alignment horizontal="left" vertical="center"/>
    </xf>
    <xf numFmtId="0" fontId="17" fillId="0" borderId="2" xfId="0" applyFont="1" applyBorder="1" applyAlignment="1">
      <alignment horizontal="center" vertical="center"/>
    </xf>
    <xf numFmtId="0" fontId="17" fillId="0" borderId="0" xfId="0" applyFont="1" applyAlignment="1">
      <alignment horizontal="center" vertical="center"/>
    </xf>
    <xf numFmtId="0" fontId="12" fillId="0" borderId="5" xfId="0" applyFont="1" applyBorder="1" applyAlignment="1">
      <alignment horizontal="center" vertical="center"/>
    </xf>
    <xf numFmtId="1" fontId="12" fillId="0" borderId="5" xfId="0" applyNumberFormat="1" applyFont="1" applyBorder="1" applyAlignment="1">
      <alignment horizontal="center" vertical="center"/>
    </xf>
    <xf numFmtId="0" fontId="2" fillId="0" borderId="0" xfId="0" applyFont="1" applyAlignment="1">
      <alignment horizontal="center"/>
    </xf>
    <xf numFmtId="171" fontId="0" fillId="0" borderId="0" xfId="0" applyNumberFormat="1"/>
    <xf numFmtId="171" fontId="4" fillId="10" borderId="4" xfId="0" applyNumberFormat="1" applyFont="1" applyFill="1" applyBorder="1" applyAlignment="1">
      <alignment horizontal="center" vertical="center" wrapText="1"/>
    </xf>
    <xf numFmtId="171" fontId="5" fillId="0" borderId="2" xfId="0" applyNumberFormat="1" applyFont="1" applyBorder="1" applyAlignment="1">
      <alignment horizontal="center" vertical="center"/>
    </xf>
    <xf numFmtId="171" fontId="12" fillId="0" borderId="2" xfId="0" applyNumberFormat="1" applyFont="1" applyBorder="1" applyAlignment="1">
      <alignment horizontal="center" vertical="center"/>
    </xf>
    <xf numFmtId="171" fontId="5" fillId="0" borderId="0" xfId="0" applyNumberFormat="1" applyFont="1" applyAlignment="1">
      <alignment horizontal="center" vertical="center"/>
    </xf>
    <xf numFmtId="171" fontId="12" fillId="0" borderId="0" xfId="0" applyNumberFormat="1" applyFont="1" applyAlignment="1">
      <alignment horizontal="center" vertical="center"/>
    </xf>
    <xf numFmtId="2" fontId="5" fillId="0" borderId="2" xfId="0" applyNumberFormat="1" applyFont="1" applyBorder="1" applyAlignment="1">
      <alignment horizontal="right" vertical="center"/>
    </xf>
    <xf numFmtId="2" fontId="12" fillId="0" borderId="0" xfId="0" applyNumberFormat="1" applyFont="1" applyAlignment="1">
      <alignment horizontal="center" vertical="center"/>
    </xf>
    <xf numFmtId="4" fontId="12" fillId="0" borderId="0" xfId="0" applyNumberFormat="1" applyFont="1" applyAlignment="1">
      <alignment horizontal="right" vertical="center"/>
    </xf>
    <xf numFmtId="0" fontId="12" fillId="0" borderId="0" xfId="0" applyFont="1" applyAlignment="1">
      <alignment horizontal="left" vertical="center" wrapText="1"/>
    </xf>
    <xf numFmtId="164" fontId="12" fillId="0" borderId="2" xfId="0" applyNumberFormat="1" applyFont="1" applyBorder="1" applyAlignment="1">
      <alignment horizontal="center"/>
    </xf>
    <xf numFmtId="0" fontId="5" fillId="0" borderId="0" xfId="0" applyFont="1" applyAlignment="1">
      <alignment horizontal="right" vertical="center"/>
    </xf>
    <xf numFmtId="0" fontId="5" fillId="0" borderId="2" xfId="0" applyFont="1" applyBorder="1" applyAlignment="1">
      <alignment horizontal="right" vertical="center"/>
    </xf>
    <xf numFmtId="0" fontId="7" fillId="0" borderId="0" xfId="0" applyFont="1" applyAlignment="1">
      <alignment horizontal="center" vertical="top" wrapText="1"/>
    </xf>
    <xf numFmtId="0" fontId="4" fillId="10" borderId="4" xfId="0" applyFont="1" applyFill="1" applyBorder="1" applyAlignment="1">
      <alignment horizontal="left" vertical="center" wrapText="1"/>
    </xf>
    <xf numFmtId="0" fontId="12" fillId="0" borderId="2" xfId="0" applyFont="1" applyBorder="1" applyAlignment="1">
      <alignment horizontal="left" vertical="center"/>
    </xf>
    <xf numFmtId="0" fontId="4" fillId="10" borderId="4" xfId="0" applyFont="1" applyFill="1" applyBorder="1" applyAlignment="1">
      <alignment horizontal="right" vertical="center" wrapText="1"/>
    </xf>
    <xf numFmtId="2" fontId="12" fillId="0" borderId="2" xfId="0" applyNumberFormat="1" applyFont="1" applyBorder="1" applyAlignment="1">
      <alignment horizontal="right" vertical="center"/>
    </xf>
    <xf numFmtId="1" fontId="5" fillId="0" borderId="2" xfId="0" applyNumberFormat="1" applyFont="1" applyBorder="1" applyAlignment="1">
      <alignment horizontal="right" vertical="center"/>
    </xf>
    <xf numFmtId="171" fontId="0" fillId="0" borderId="0" xfId="0" applyNumberFormat="1" applyAlignment="1">
      <alignment horizontal="center" vertical="center"/>
    </xf>
    <xf numFmtId="0" fontId="14"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2" fontId="4" fillId="10" borderId="4" xfId="0" applyNumberFormat="1" applyFont="1" applyFill="1" applyBorder="1" applyAlignment="1">
      <alignment horizontal="right" vertical="center" wrapText="1"/>
    </xf>
    <xf numFmtId="2" fontId="0" fillId="0" borderId="0" xfId="0" applyNumberFormat="1" applyAlignment="1">
      <alignment horizontal="right" vertical="center"/>
    </xf>
    <xf numFmtId="10" fontId="5" fillId="0" borderId="2" xfId="0" applyNumberFormat="1" applyFont="1" applyBorder="1" applyAlignment="1">
      <alignment horizontal="center" vertical="center"/>
    </xf>
    <xf numFmtId="10" fontId="5" fillId="0" borderId="0" xfId="0" applyNumberFormat="1" applyFont="1" applyAlignment="1">
      <alignment horizontal="center" vertical="center"/>
    </xf>
    <xf numFmtId="10" fontId="12" fillId="0" borderId="0" xfId="0" applyNumberFormat="1" applyFont="1" applyAlignment="1">
      <alignment horizontal="center" vertical="center"/>
    </xf>
    <xf numFmtId="10" fontId="12" fillId="0" borderId="5" xfId="0" applyNumberFormat="1" applyFont="1" applyBorder="1" applyAlignment="1">
      <alignment horizontal="center" vertical="center"/>
    </xf>
    <xf numFmtId="0" fontId="18" fillId="0" borderId="0" xfId="0" applyFont="1"/>
    <xf numFmtId="0" fontId="19" fillId="15" borderId="0" xfId="0" applyFont="1" applyFill="1"/>
    <xf numFmtId="0" fontId="19" fillId="0" borderId="0" xfId="0" applyFont="1"/>
    <xf numFmtId="0" fontId="18" fillId="16" borderId="0" xfId="0" applyFont="1" applyFill="1"/>
    <xf numFmtId="0" fontId="18" fillId="15" borderId="0" xfId="0" applyFont="1" applyFill="1" applyAlignment="1">
      <alignment horizontal="left" vertical="center"/>
    </xf>
    <xf numFmtId="0" fontId="20" fillId="17" borderId="0" xfId="0" applyFont="1" applyFill="1"/>
    <xf numFmtId="0" fontId="18" fillId="18" borderId="0" xfId="0" applyFont="1" applyFill="1"/>
    <xf numFmtId="0" fontId="0" fillId="19" borderId="0" xfId="0" applyFill="1"/>
    <xf numFmtId="0" fontId="0" fillId="20" borderId="0" xfId="0" applyFill="1"/>
    <xf numFmtId="0" fontId="18" fillId="21" borderId="0" xfId="0" applyFont="1" applyFill="1"/>
    <xf numFmtId="0" fontId="0" fillId="21" borderId="0" xfId="0" applyFill="1"/>
    <xf numFmtId="0" fontId="18" fillId="22" borderId="0" xfId="0" applyFont="1" applyFill="1"/>
    <xf numFmtId="0" fontId="0" fillId="23" borderId="0" xfId="0" applyFill="1"/>
    <xf numFmtId="172" fontId="0" fillId="0" borderId="0" xfId="0" applyNumberFormat="1"/>
    <xf numFmtId="0" fontId="21" fillId="0" borderId="0" xfId="0" applyFont="1"/>
    <xf numFmtId="0" fontId="22" fillId="0" borderId="0" xfId="0" applyFont="1"/>
    <xf numFmtId="0" fontId="0" fillId="0" borderId="0" xfId="0" applyAlignment="1">
      <alignment vertical="top" wrapText="1"/>
    </xf>
    <xf numFmtId="0" fontId="11" fillId="13" borderId="0" xfId="1" applyFont="1" applyFill="1" applyAlignment="1">
      <alignment horizontal="center"/>
    </xf>
    <xf numFmtId="0" fontId="0" fillId="14" borderId="0" xfId="0" applyFill="1"/>
    <xf numFmtId="0" fontId="18" fillId="16" borderId="0" xfId="0" applyFont="1" applyFill="1"/>
    <xf numFmtId="0" fontId="0" fillId="0" borderId="0" xfId="0"/>
  </cellXfs>
  <cellStyles count="2">
    <cellStyle name="Normal" xfId="0" builtinId="0"/>
    <cellStyle name="Warning Text" xfId="1" builtinId="11"/>
  </cellStyles>
  <dxfs count="50">
    <dxf>
      <font>
        <sz val="10"/>
        <color rgb="FF9C0006"/>
        <name val="Calibri"/>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
      <font>
        <strike val="0"/>
        <condense val="0"/>
        <extend val="0"/>
        <outline val="0"/>
        <shadow val="0"/>
        <vertAlign val="baseline"/>
        <sz val="10"/>
        <color rgb="FF000000"/>
        <name val="Calibri"/>
        <family val="2"/>
      </font>
      <alignment horizontal="center" vertical="center"/>
    </dxf>
    <dxf>
      <font>
        <strike val="0"/>
        <condense val="0"/>
        <extend val="0"/>
        <outline val="0"/>
        <shadow val="0"/>
        <vertAlign val="baseline"/>
        <sz val="10"/>
        <color rgb="FF000000"/>
        <name val="Calibri"/>
        <family val="2"/>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numFmt numFmtId="164" formatCode="0.0%"/>
    </dxf>
    <dxf>
      <font>
        <strike val="0"/>
        <condense val="0"/>
        <extend val="0"/>
        <outline val="0"/>
        <shadow val="0"/>
        <vertAlign val="baseline"/>
        <sz val="10"/>
        <color rgb="FF000000"/>
        <name val="Calibri"/>
        <family val="2"/>
      </font>
      <numFmt numFmtId="0" formatCode="General"/>
      <alignment horizontal="right" vertical="center"/>
      <border>
        <left/>
        <right/>
        <top/>
        <bottom style="hair">
          <color rgb="FFD9D9D9"/>
        </bottom>
        <vertical/>
        <horizontal/>
      </border>
    </dxf>
    <dxf>
      <numFmt numFmtId="171" formatCode="dd/mm/yy;@"/>
    </dxf>
    <dxf>
      <numFmt numFmtId="171" formatCode="dd/mm/yy;@"/>
    </dxf>
    <dxf>
      <font>
        <strike val="0"/>
        <condense val="0"/>
        <extend val="0"/>
        <outline val="0"/>
        <shadow val="0"/>
        <vertAlign val="baseline"/>
        <sz val="10"/>
        <color rgb="FF000000"/>
        <name val="Calibri"/>
        <family val="2"/>
      </font>
      <numFmt numFmtId="171" formatCode="dd/mm/yy;@"/>
      <alignment horizontal="center" vertical="center"/>
      <border>
        <left/>
        <right/>
        <top/>
        <bottom style="hair">
          <color rgb="FFD9D9D9"/>
        </bottom>
        <vertical/>
        <horizontal/>
      </border>
    </dxf>
    <dxf>
      <numFmt numFmtId="2" formatCode="0.00"/>
    </dxf>
    <dxf>
      <font>
        <b/>
      </font>
    </dxf>
    <dxf>
      <font>
        <b/>
      </font>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strike val="0"/>
        <condense val="0"/>
        <extend val="0"/>
        <outline val="0"/>
        <shadow val="0"/>
        <vertAlign val="baseline"/>
        <sz val="10"/>
        <color rgb="FF000000"/>
        <name val="Calibri"/>
        <family val="2"/>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strike val="0"/>
        <condense val="0"/>
        <extend val="0"/>
        <outline val="0"/>
        <shadow val="0"/>
        <vertAlign val="baseline"/>
        <sz val="10"/>
        <color rgb="FF000000"/>
        <name val="Calibri"/>
        <family val="2"/>
      </font>
      <alignment horizontal="left" vertical="center"/>
    </dxf>
    <dxf>
      <font>
        <strike val="0"/>
        <condense val="0"/>
        <extend val="0"/>
        <outline val="0"/>
        <shadow val="0"/>
        <vertAlign val="baseline"/>
        <sz val="10"/>
        <color rgb="FF000000"/>
        <name val="Calibri"/>
        <family val="2"/>
      </font>
      <alignment horizontal="left" vertical="center"/>
    </dxf>
    <dxf>
      <alignment horizontal="center" vertical="center"/>
    </dxf>
    <dxf>
      <alignment horizontal="center" vertical="center"/>
    </dxf>
    <dxf>
      <font>
        <b/>
      </font>
      <alignment horizontal="center" vertical="center"/>
    </dxf>
    <dxf>
      <font>
        <b/>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1 — Directional Accuracy by Arm</a:t>
            </a:r>
          </a:p>
        </c:rich>
      </c:tx>
      <c:overlay val="1"/>
    </c:title>
    <c:autoTitleDeleted val="0"/>
    <c:plotArea>
      <c:layout/>
      <c:barChart>
        <c:barDir val="col"/>
        <c:grouping val="clustered"/>
        <c:varyColors val="1"/>
        <c:ser>
          <c:idx val="0"/>
          <c:order val="0"/>
          <c:tx>
            <c:strRef>
              <c:f>Charts!$C$5</c:f>
              <c:strCache>
                <c:ptCount val="1"/>
                <c:pt idx="0">
                  <c:v>% Correct</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Charts!$A$6:$A$13</c:f>
              <c:strCache>
                <c:ptCount val="8"/>
                <c:pt idx="0">
                  <c:v>Anna</c:v>
                </c:pt>
                <c:pt idx="1">
                  <c:v>Abdul</c:v>
                </c:pt>
                <c:pt idx="2">
                  <c:v>Nigel</c:v>
                </c:pt>
                <c:pt idx="3">
                  <c:v>Meriem</c:v>
                </c:pt>
                <c:pt idx="4">
                  <c:v>David</c:v>
                </c:pt>
                <c:pt idx="5">
                  <c:v>Dragos</c:v>
                </c:pt>
                <c:pt idx="6">
                  <c:v>Ben/DeepSeek</c:v>
                </c:pt>
                <c:pt idx="7">
                  <c:v>All Humans</c:v>
                </c:pt>
              </c:strCache>
            </c:strRef>
          </c:cat>
          <c:val>
            <c:numRef>
              <c:f>Charts!$C$6:$C$13</c:f>
              <c:numCache>
                <c:formatCode>0.0%</c:formatCode>
                <c:ptCount val="8"/>
                <c:pt idx="0">
                  <c:v>0.3188405797101449</c:v>
                </c:pt>
                <c:pt idx="1">
                  <c:v>0.52631578947368418</c:v>
                </c:pt>
                <c:pt idx="2">
                  <c:v>0.25806451612903225</c:v>
                </c:pt>
                <c:pt idx="3">
                  <c:v>0.41176470588235292</c:v>
                </c:pt>
                <c:pt idx="4">
                  <c:v>0.38372093023255816</c:v>
                </c:pt>
                <c:pt idx="5">
                  <c:v>0.35789473684210527</c:v>
                </c:pt>
                <c:pt idx="6">
                  <c:v>0.42222222222222222</c:v>
                </c:pt>
                <c:pt idx="7">
                  <c:v>0.37142857142857144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50E-B447-8961-CE51E048C0F9}"/>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Charts!$D$5</c:f>
              <c:strCache>
                <c:ptCount val="1"/>
                <c:pt idx="0">
                  <c:v>Naive Floor</c:v>
                </c:pt>
              </c:strCache>
            </c:strRef>
          </c:tx>
          <c:spPr>
            <a:ln w="20000">
              <a:solidFill>
                <a:srgbClr val="C00000"/>
              </a:solidFill>
              <a:prstDash val="dash"/>
            </a:ln>
          </c:spPr>
          <c:marker>
            <c:symbol val="none"/>
          </c:marker>
          <c:val>
            <c:numRef>
              <c:f>Charts!$D$6:$D$13</c:f>
              <c:numCache>
                <c:formatCode>0.0%</c:formatCode>
                <c:ptCount val="8"/>
                <c:pt idx="0">
                  <c:v>0.5</c:v>
                </c:pt>
                <c:pt idx="1">
                  <c:v>0.5</c:v>
                </c:pt>
                <c:pt idx="2">
                  <c:v>0.5</c:v>
                </c:pt>
                <c:pt idx="3">
                  <c:v>0.5</c:v>
                </c:pt>
                <c:pt idx="4">
                  <c:v>0.5</c:v>
                </c:pt>
                <c:pt idx="5">
                  <c:v>0.5</c:v>
                </c:pt>
                <c:pt idx="6">
                  <c:v>0.5</c:v>
                </c:pt>
                <c:pt idx="7">
                  <c:v>0.5</c:v>
                </c:pt>
              </c:numCache>
            </c:numRef>
          </c:val>
          <c:smooth val="1"/>
          <c:extLst>
            <c:ext xmlns:c16="http://schemas.microsoft.com/office/drawing/2014/chart" uri="{C3380CC4-5D6E-409C-BE32-E72D297353CC}">
              <c16:uniqueId val="{00000001-A50E-B447-8961-CE51E048C0F9}"/>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2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2 — Accuracy by Decision Type</a:t>
            </a:r>
          </a:p>
        </c:rich>
      </c:tx>
      <c:overlay val="1"/>
    </c:title>
    <c:autoTitleDeleted val="0"/>
    <c:plotArea>
      <c:layout/>
      <c:barChart>
        <c:barDir val="col"/>
        <c:grouping val="clustered"/>
        <c:varyColors val="1"/>
        <c:ser>
          <c:idx val="0"/>
          <c:order val="0"/>
          <c:tx>
            <c:strRef>
              <c:f>Charts!$G$5</c:f>
              <c:strCache>
                <c:ptCount val="1"/>
                <c:pt idx="0">
                  <c:v>Human %</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Charts!$G$6:$G$8</c:f>
              <c:numCache>
                <c:formatCode>0.0%</c:formatCode>
                <c:ptCount val="3"/>
                <c:pt idx="0">
                  <c:v>0.24369747899159663</c:v>
                </c:pt>
                <c:pt idx="1">
                  <c:v>0.64035087719298245</c:v>
                </c:pt>
                <c:pt idx="2">
                  <c:v>0.36764705882352944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50E-604E-AD11-297331588BE5}"/>
            </c:ext>
          </c:extLst>
        </c:ser>
        <c:ser>
          <c:idx val="1"/>
          <c:order val="1"/>
          <c:tx>
            <c:strRef>
              <c:f>Charts!$H$5</c:f>
              <c:strCache>
                <c:ptCount val="1"/>
                <c:pt idx="0">
                  <c:v>LLM %</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Charts!$H$6:$H$8</c:f>
              <c:numCache>
                <c:formatCode>0.0%</c:formatCode>
                <c:ptCount val="3"/>
                <c:pt idx="0">
                  <c:v>0.45454545454545453</c:v>
                </c:pt>
                <c:pt idx="1">
                  <c:v>0.37373737373737376</c:v>
                </c:pt>
                <c:pt idx="2">
                  <c:v>0.44578313253012047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150E-604E-AD11-297331588BE5}"/>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3 — Decision Mix (count of calls)</a:t>
            </a:r>
          </a:p>
        </c:rich>
      </c:tx>
      <c:overlay val="1"/>
    </c:title>
    <c:autoTitleDeleted val="0"/>
    <c:plotArea>
      <c:layout/>
      <c:barChart>
        <c:barDir val="col"/>
        <c:grouping val="stacked"/>
        <c:varyColors val="1"/>
        <c:ser>
          <c:idx val="0"/>
          <c:order val="0"/>
          <c:tx>
            <c:strRef>
              <c:f>Charts!$L$5</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Charts!$L$6:$L$8</c:f>
              <c:numCache>
                <c:formatCode>General</c:formatCode>
                <c:ptCount val="3"/>
                <c:pt idx="0">
                  <c:v>238</c:v>
                </c:pt>
                <c:pt idx="1">
                  <c:v>114</c:v>
                </c:pt>
                <c:pt idx="2">
                  <c:v>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161-5440-95E0-9E24A60E6D80}"/>
            </c:ext>
          </c:extLst>
        </c:ser>
        <c:ser>
          <c:idx val="1"/>
          <c:order val="1"/>
          <c:tx>
            <c:strRef>
              <c:f>Charts!$M$5</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Charts!$M$6:$M$8</c:f>
              <c:numCache>
                <c:formatCode>General</c:formatCode>
                <c:ptCount val="3"/>
                <c:pt idx="0">
                  <c:v>105</c:v>
                </c:pt>
                <c:pt idx="1">
                  <c:v>158</c:v>
                </c:pt>
                <c:pt idx="2">
                  <c:v>98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161-5440-95E0-9E24A60E6D80}"/>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calls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4 — Mean Sentiment Score by Realised Direction</a:t>
            </a:r>
          </a:p>
        </c:rich>
      </c:tx>
      <c:overlay val="1"/>
    </c:title>
    <c:autoTitleDeleted val="0"/>
    <c:plotArea>
      <c:layout/>
      <c:lineChart>
        <c:grouping val="standard"/>
        <c:varyColors val="1"/>
        <c:ser>
          <c:idx val="0"/>
          <c:order val="0"/>
          <c:tx>
            <c:strRef>
              <c:f>Charts!$P$5</c:f>
              <c:strCache>
                <c:ptCount val="1"/>
                <c:pt idx="0">
                  <c:v>Human</c:v>
                </c:pt>
              </c:strCache>
            </c:strRef>
          </c:tx>
          <c:spPr>
            <a:ln w="25000">
              <a:solidFill>
                <a:srgbClr val="4472C4"/>
              </a:solidFill>
              <a:prstDash val="solid"/>
            </a:ln>
          </c:spPr>
          <c:marker>
            <c:symbol val="circl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Charts!$P$6:$P$8</c:f>
              <c:numCache>
                <c:formatCode>0.00</c:formatCode>
                <c:ptCount val="3"/>
                <c:pt idx="0">
                  <c:v>0.2064102564102564</c:v>
                </c:pt>
                <c:pt idx="1">
                  <c:v>0.26080952380952388</c:v>
                </c:pt>
                <c:pt idx="2">
                  <c:v>0.24709677419354839</c:v>
                </c:pt>
              </c:numCache>
            </c:numRef>
          </c:val>
          <c:smooth val="1"/>
          <c:extLst>
            <c:ext xmlns:c16="http://schemas.microsoft.com/office/drawing/2014/chart" uri="{C3380CC4-5D6E-409C-BE32-E72D297353CC}">
              <c16:uniqueId val="{00000000-911F-D248-BBDD-60C94FFD7669}"/>
            </c:ext>
          </c:extLst>
        </c:ser>
        <c:ser>
          <c:idx val="1"/>
          <c:order val="1"/>
          <c:tx>
            <c:strRef>
              <c:f>Charts!$Q$5</c:f>
              <c:strCache>
                <c:ptCount val="1"/>
                <c:pt idx="0">
                  <c:v>LLM</c:v>
                </c:pt>
              </c:strCache>
            </c:strRef>
          </c:tx>
          <c:spPr>
            <a:ln w="25000">
              <a:solidFill>
                <a:srgbClr val="ED7D31"/>
              </a:solidFill>
              <a:prstDash val="solid"/>
            </a:ln>
          </c:spPr>
          <c:marker>
            <c:symbol val="squar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Charts!$Q$6:$Q$8</c:f>
              <c:numCache>
                <c:formatCode>0.00</c:formatCode>
                <c:ptCount val="3"/>
                <c:pt idx="0">
                  <c:v>5.2849462365591397E-2</c:v>
                </c:pt>
                <c:pt idx="1">
                  <c:v>7.4946236559139762E-2</c:v>
                </c:pt>
                <c:pt idx="2">
                  <c:v>0.17283132530120479</c:v>
                </c:pt>
              </c:numCache>
            </c:numRef>
          </c:val>
          <c:smooth val="1"/>
          <c:extLst>
            <c:ext xmlns:c16="http://schemas.microsoft.com/office/drawing/2014/chart" uri="{C3380CC4-5D6E-409C-BE32-E72D297353CC}">
              <c16:uniqueId val="{00000001-911F-D248-BBDD-60C94FFD7669}"/>
            </c:ext>
          </c:extLst>
        </c:ser>
        <c:dLbls>
          <c:showLegendKey val="1"/>
          <c:showVal val="1"/>
          <c:showCatName val="1"/>
          <c:showSerName val="1"/>
          <c:showPercent val="1"/>
          <c:showBubbleSize val="1"/>
        </c:dLbls>
        <c:marker val="1"/>
        <c:smooth val="0"/>
        <c:axId val="10"/>
        <c:axId val="100"/>
      </c:lineChart>
      <c:catAx>
        <c:axId val="10"/>
        <c:scaling>
          <c:orientation val="minMax"/>
        </c:scaling>
        <c:delete val="0"/>
        <c:axPos val="b"/>
        <c:title>
          <c:tx>
            <c:rich>
              <a:bodyPr/>
              <a:lstStyle/>
              <a:p>
                <a:pPr>
                  <a:defRPr/>
                </a:pPr>
                <a:r>
                  <a:rPr lang="en-GB"/>
                  <a:t>Realised overnight direction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Mean sentiment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5 — Average Return per Trade by Arm</a:t>
            </a:r>
          </a:p>
        </c:rich>
      </c:tx>
      <c:overlay val="1"/>
    </c:title>
    <c:autoTitleDeleted val="0"/>
    <c:plotArea>
      <c:layout/>
      <c:barChart>
        <c:barDir val="col"/>
        <c:grouping val="clustered"/>
        <c:varyColors val="1"/>
        <c:ser>
          <c:idx val="0"/>
          <c:order val="0"/>
          <c:tx>
            <c:strRef>
              <c:f>Charts!$B$18</c:f>
              <c:strCache>
                <c:ptCount val="1"/>
                <c:pt idx="0">
                  <c:v>Avg %/Trade</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Charts!$A$19:$A$25</c:f>
              <c:strCache>
                <c:ptCount val="7"/>
                <c:pt idx="0">
                  <c:v>Anna</c:v>
                </c:pt>
                <c:pt idx="1">
                  <c:v>Abdul</c:v>
                </c:pt>
                <c:pt idx="2">
                  <c:v>Nigel</c:v>
                </c:pt>
                <c:pt idx="3">
                  <c:v>Meriem</c:v>
                </c:pt>
                <c:pt idx="4">
                  <c:v>Dragos</c:v>
                </c:pt>
                <c:pt idx="5">
                  <c:v>David</c:v>
                </c:pt>
                <c:pt idx="6">
                  <c:v>LLM (DeepSeek)</c:v>
                </c:pt>
              </c:strCache>
            </c:strRef>
          </c:cat>
          <c:val>
            <c:numRef>
              <c:f>Charts!$B$19:$B$25</c:f>
              <c:numCache>
                <c:formatCode>0.00%</c:formatCode>
                <c:ptCount val="7"/>
                <c:pt idx="0">
                  <c:v>7.1999999999999998E-3</c:v>
                </c:pt>
                <c:pt idx="1">
                  <c:v>2.1662499999999998E-2</c:v>
                </c:pt>
                <c:pt idx="2">
                  <c:v>-5.9923076923076917E-3</c:v>
                </c:pt>
                <c:pt idx="3">
                  <c:v>1.6691666666666671E-2</c:v>
                </c:pt>
                <c:pt idx="4">
                  <c:v>1.1923076923076917E-3</c:v>
                </c:pt>
                <c:pt idx="5">
                  <c:v>-3.2249999999999994E-2</c:v>
                </c:pt>
                <c:pt idx="6">
                  <c:v>1.9735046783625729E-2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DE8-2347-93F3-2FB16D9729AD}"/>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Avg % per trade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6 — Head-to-Head Outcomes on Shared Events</a:t>
            </a:r>
          </a:p>
        </c:rich>
      </c:tx>
      <c:overlay val="1"/>
    </c:title>
    <c:autoTitleDeleted val="0"/>
    <c:plotArea>
      <c:layout/>
      <c:barChart>
        <c:barDir val="col"/>
        <c:grouping val="clustered"/>
        <c:varyColors val="1"/>
        <c:ser>
          <c:idx val="0"/>
          <c:order val="0"/>
          <c:tx>
            <c:strRef>
              <c:f>Efficiency!$B$37</c:f>
              <c:strCache>
                <c:ptCount val="1"/>
                <c:pt idx="0">
                  <c:v>Events</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Efficiency!$A$38:$A$41</c:f>
              <c:strCache>
                <c:ptCount val="4"/>
                <c:pt idx="0">
                  <c:v>Both correct</c:v>
                </c:pt>
                <c:pt idx="1">
                  <c:v>Human only correct</c:v>
                </c:pt>
                <c:pt idx="2">
                  <c:v>LLM only correct</c:v>
                </c:pt>
                <c:pt idx="3">
                  <c:v>Neither correct</c:v>
                </c:pt>
              </c:strCache>
            </c:strRef>
          </c:cat>
          <c:val>
            <c:numRef>
              <c:f>Efficiency!$B$38:$B$41</c:f>
              <c:numCache>
                <c:formatCode>0</c:formatCode>
                <c:ptCount val="4"/>
                <c:pt idx="0">
                  <c:v>48</c:v>
                </c:pt>
                <c:pt idx="1">
                  <c:v>59</c:v>
                </c:pt>
                <c:pt idx="2">
                  <c:v>77</c:v>
                </c:pt>
                <c:pt idx="3">
                  <c:v>113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BE7-E04C-82A2-49734DFED011}"/>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events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7 — Accuracy by Time Spent (human)</a:t>
            </a:r>
          </a:p>
        </c:rich>
      </c:tx>
      <c:overlay val="1"/>
    </c:title>
    <c:autoTitleDeleted val="0"/>
    <c:plotArea>
      <c:layout/>
      <c:barChart>
        <c:barDir val="col"/>
        <c:grouping val="clustered"/>
        <c:varyColors val="1"/>
        <c:ser>
          <c:idx val="0"/>
          <c:order val="0"/>
          <c:tx>
            <c:strRef>
              <c:f>Efficiency!$C$62</c:f>
              <c:strCache>
                <c:ptCount val="1"/>
                <c:pt idx="0">
                  <c:v>Accuracy</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Efficiency!$A$63:$A$68</c:f>
              <c:strCache>
                <c:ptCount val="6"/>
                <c:pt idx="0">
                  <c:v>Under 20</c:v>
                </c:pt>
                <c:pt idx="1">
                  <c:v>20 to 29</c:v>
                </c:pt>
                <c:pt idx="2">
                  <c:v>30 to 39</c:v>
                </c:pt>
                <c:pt idx="3">
                  <c:v>40 to 49</c:v>
                </c:pt>
                <c:pt idx="4">
                  <c:v>50 to 59</c:v>
                </c:pt>
                <c:pt idx="5">
                  <c:v>60 and over</c:v>
                </c:pt>
              </c:strCache>
            </c:strRef>
          </c:cat>
          <c:val>
            <c:numRef>
              <c:f>Efficiency!$C$63:$C$68</c:f>
              <c:numCache>
                <c:formatCode>0.0%</c:formatCode>
                <c:ptCount val="6"/>
                <c:pt idx="0">
                  <c:v>0.32</c:v>
                </c:pt>
                <c:pt idx="1">
                  <c:v>0.39130434782608697</c:v>
                </c:pt>
                <c:pt idx="2">
                  <c:v>0.4</c:v>
                </c:pt>
                <c:pt idx="3">
                  <c:v>0.33333333333333331</c:v>
                </c:pt>
                <c:pt idx="4">
                  <c:v>0.3888888888888889</c:v>
                </c:pt>
                <c:pt idx="5">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C71-C449-A48D-F931311BBDBD}"/>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Efficiency!$B$62</c:f>
              <c:strCache>
                <c:ptCount val="1"/>
                <c:pt idx="0">
                  <c:v>Readings</c:v>
                </c:pt>
              </c:strCache>
            </c:strRef>
          </c:tx>
          <c:spPr>
            <a:ln w="20000">
              <a:solidFill>
                <a:srgbClr val="A5A5A5"/>
              </a:solidFill>
              <a:prstDash val="solid"/>
            </a:ln>
          </c:spPr>
          <c:marker>
            <c:symbol val="circle"/>
            <c:size val="6"/>
            <c:spPr>
              <a:ln>
                <a:prstDash val="solid"/>
              </a:ln>
            </c:spPr>
          </c:marker>
          <c:val>
            <c:numRef>
              <c:f>Efficiency!$B$63:$B$68</c:f>
              <c:numCache>
                <c:formatCode>0</c:formatCode>
                <c:ptCount val="6"/>
                <c:pt idx="0">
                  <c:v>100</c:v>
                </c:pt>
                <c:pt idx="1">
                  <c:v>161</c:v>
                </c:pt>
                <c:pt idx="2">
                  <c:v>85</c:v>
                </c:pt>
                <c:pt idx="3">
                  <c:v>42</c:v>
                </c:pt>
                <c:pt idx="4">
                  <c:v>18</c:v>
                </c:pt>
                <c:pt idx="5">
                  <c:v>14</c:v>
                </c:pt>
              </c:numCache>
            </c:numRef>
          </c:val>
          <c:smooth val="1"/>
          <c:extLst>
            <c:ext xmlns:c16="http://schemas.microsoft.com/office/drawing/2014/chart" uri="{C3380CC4-5D6E-409C-BE32-E72D297353CC}">
              <c16:uniqueId val="{00000001-EC71-C449-A48D-F931311BBDBD}"/>
            </c:ext>
          </c:extLst>
        </c:ser>
        <c:dLbls>
          <c:showLegendKey val="0"/>
          <c:showVal val="0"/>
          <c:showCatName val="0"/>
          <c:showSerName val="0"/>
          <c:showPercent val="0"/>
          <c:showBubbleSize val="0"/>
        </c:dLbls>
        <c:marker val="1"/>
        <c:smooth val="0"/>
        <c:axId val="10"/>
        <c:axId val="300"/>
      </c:lineChart>
      <c:catAx>
        <c:axId val="10"/>
        <c:scaling>
          <c:orientation val="minMax"/>
        </c:scaling>
        <c:delete val="0"/>
        <c:axPos val="b"/>
        <c:title>
          <c:tx>
            <c:rich>
              <a:bodyPr/>
              <a:lstStyle/>
              <a:p>
                <a:pPr>
                  <a:defRPr/>
                </a:pPr>
                <a:r>
                  <a:rPr lang="en-GB"/>
                  <a:t>Minutes per document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300"/>
        <c:scaling>
          <c:orientation val="minMax"/>
        </c:scaling>
        <c:delete val="1"/>
        <c:axPos val="l"/>
        <c:title>
          <c:tx>
            <c:rich>
              <a:bodyPr/>
              <a:lstStyle/>
              <a:p>
                <a:pPr>
                  <a:defRPr/>
                </a:pPr>
                <a:r>
                  <a:rPr lang="en-GB"/>
                  <a:t>Readings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8 — Throughput (documents per hour)</a:t>
            </a:r>
          </a:p>
        </c:rich>
      </c:tx>
      <c:overlay val="1"/>
    </c:title>
    <c:autoTitleDeleted val="0"/>
    <c:plotArea>
      <c:layout>
        <c:manualLayout>
          <c:layoutTarget val="inner"/>
          <c:xMode val="edge"/>
          <c:yMode val="edge"/>
          <c:x val="0.13731194444444439"/>
          <c:y val="7.0555555555555552E-2"/>
          <c:w val="0.83199194444444446"/>
          <c:h val="0.84102222222222223"/>
        </c:manualLayout>
      </c:layout>
      <c:barChart>
        <c:barDir val="bar"/>
        <c:grouping val="clustered"/>
        <c:varyColors val="1"/>
        <c:ser>
          <c:idx val="0"/>
          <c:order val="0"/>
          <c:tx>
            <c:strRef>
              <c:f>Efficiency!$I$73</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Efficiency!$I$74</c:f>
              <c:numCache>
                <c:formatCode>0.0</c:formatCode>
                <c:ptCount val="1"/>
                <c:pt idx="0">
                  <c:v>2.150537634408602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7D1-DA40-8EE1-93DF4969885E}"/>
            </c:ext>
          </c:extLst>
        </c:ser>
        <c:ser>
          <c:idx val="1"/>
          <c:order val="1"/>
          <c:tx>
            <c:strRef>
              <c:f>Efficiency!$J$73</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Efficiency!$J$74</c:f>
              <c:numCache>
                <c:formatCode>0.0</c:formatCode>
                <c:ptCount val="1"/>
                <c:pt idx="0">
                  <c:v>450.00000000000006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7D1-DA40-8EE1-93DF4969885E}"/>
            </c:ext>
          </c:extLst>
        </c:ser>
        <c:dLbls>
          <c:showLegendKey val="1"/>
          <c:showVal val="1"/>
          <c:showCatName val="1"/>
          <c:showSerName val="1"/>
          <c:showPercent val="1"/>
          <c:showBubbleSize val="1"/>
        </c:dLbls>
        <c:gapWidth val="150"/>
        <c:axId val="10"/>
        <c:axId val="100"/>
      </c:barChart>
      <c:catAx>
        <c:axId val="10"/>
        <c:scaling>
          <c:orientation val="minMax"/>
        </c:scaling>
        <c:delete val="0"/>
        <c:axPos val="l"/>
        <c:title>
          <c:tx>
            <c:rich>
              <a:bodyPr/>
              <a:lstStyle/>
              <a:p>
                <a:pPr>
                  <a:defRPr/>
                </a:pPr>
                <a:r>
                  <a:rPr lang="en-GB"/>
                  <a:t>Documents per hour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E8E8E8"/>
              </a:solidFill>
              <a:prstDash val="solid"/>
            </a:ln>
          </c:spPr>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9 — Return per Analyst Hour</a:t>
            </a:r>
          </a:p>
        </c:rich>
      </c:tx>
      <c:overlay val="1"/>
    </c:title>
    <c:autoTitleDeleted val="0"/>
    <c:plotArea>
      <c:layout/>
      <c:barChart>
        <c:barDir val="col"/>
        <c:grouping val="clustered"/>
        <c:varyColors val="1"/>
        <c:ser>
          <c:idx val="0"/>
          <c:order val="0"/>
          <c:tx>
            <c:strRef>
              <c:f>Efficiency!$I$80</c:f>
              <c:strCache>
                <c:ptCount val="1"/>
                <c:pt idx="0">
                  <c:v>Return per hour</c:v>
                </c:pt>
              </c:strCache>
            </c:strRef>
          </c:tx>
          <c:spPr>
            <a:solidFill>
              <a:srgbClr val="FFC000"/>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Efficiency!$H$81:$H$82</c:f>
              <c:strCache>
                <c:ptCount val="2"/>
                <c:pt idx="0">
                  <c:v>Human</c:v>
                </c:pt>
                <c:pt idx="1">
                  <c:v>LLM</c:v>
                </c:pt>
              </c:strCache>
            </c:strRef>
          </c:cat>
          <c:val>
            <c:numRef>
              <c:f>Efficiency!$I$81:$I$82</c:f>
              <c:numCache>
                <c:formatCode>0.00%</c:formatCode>
                <c:ptCount val="2"/>
                <c:pt idx="0">
                  <c:v>-2.3860727086532851E-4</c:v>
                </c:pt>
                <c:pt idx="1">
                  <c:v>4.2066810249307478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B1B-FB4D-ABDE-A70091808443}"/>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Sum of returns per hour of effort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vs Selectivity Accuracy by Arm</a:t>
            </a:r>
          </a:p>
        </c:rich>
      </c:tx>
      <c:overlay val="1"/>
    </c:title>
    <c:autoTitleDeleted val="0"/>
    <c:plotArea>
      <c:layout/>
      <c:barChart>
        <c:barDir val="col"/>
        <c:grouping val="clustered"/>
        <c:varyColors val="1"/>
        <c:ser>
          <c:idx val="0"/>
          <c:order val="0"/>
          <c:tx>
            <c:strRef>
              <c:f>Accuracy_Conventions!$B$32</c:f>
              <c:strCache>
                <c:ptCount val="1"/>
                <c:pt idx="0">
                  <c:v>Coverage acc</c:v>
                </c:pt>
              </c:strCache>
            </c:strRef>
          </c:tx>
          <c:spPr>
            <a:ln>
              <a:prstDash val="solid"/>
            </a:ln>
          </c:spPr>
          <c:invertIfNegative val="1"/>
          <c:cat>
            <c:strRef>
              <c:f>Accuracy_Conventions!$A$33:$A$34</c:f>
              <c:strCache>
                <c:ptCount val="2"/>
                <c:pt idx="0">
                  <c:v>LLM</c:v>
                </c:pt>
                <c:pt idx="1">
                  <c:v>Human (All)</c:v>
                </c:pt>
              </c:strCache>
            </c:strRef>
          </c:cat>
          <c:val>
            <c:numRef>
              <c:f>Accuracy_Conventions!$B$33:$B$34</c:f>
              <c:numCache>
                <c:formatCode>General</c:formatCode>
                <c:ptCount val="2"/>
                <c:pt idx="0">
                  <c:v>0.31578947368421051</c:v>
                </c:pt>
                <c:pt idx="1">
                  <c:v>0.2988505747126437</c:v>
                </c:pt>
              </c:numCache>
            </c:numRef>
          </c:val>
          <c:extLst>
            <c:ext xmlns:c16="http://schemas.microsoft.com/office/drawing/2014/chart" uri="{C3380CC4-5D6E-409C-BE32-E72D297353CC}">
              <c16:uniqueId val="{00000000-19D6-A34A-A86D-72CFBA6EDA5C}"/>
            </c:ext>
          </c:extLst>
        </c:ser>
        <c:ser>
          <c:idx val="1"/>
          <c:order val="1"/>
          <c:tx>
            <c:strRef>
              <c:f>Accuracy_Conventions!$C$32</c:f>
              <c:strCache>
                <c:ptCount val="1"/>
                <c:pt idx="0">
                  <c:v>Selectivity acc</c:v>
                </c:pt>
              </c:strCache>
            </c:strRef>
          </c:tx>
          <c:spPr>
            <a:ln>
              <a:prstDash val="solid"/>
            </a:ln>
          </c:spPr>
          <c:invertIfNegative val="1"/>
          <c:cat>
            <c:strRef>
              <c:f>Accuracy_Conventions!$A$33:$A$34</c:f>
              <c:strCache>
                <c:ptCount val="2"/>
                <c:pt idx="0">
                  <c:v>LLM</c:v>
                </c:pt>
                <c:pt idx="1">
                  <c:v>Human (All)</c:v>
                </c:pt>
              </c:strCache>
            </c:strRef>
          </c:cat>
          <c:val>
            <c:numRef>
              <c:f>Accuracy_Conventions!$C$33:$C$34</c:f>
              <c:numCache>
                <c:formatCode>General</c:formatCode>
                <c:ptCount val="2"/>
                <c:pt idx="0">
                  <c:v>0.66956521739130437</c:v>
                </c:pt>
                <c:pt idx="1">
                  <c:v>0.4911242603550296</c:v>
                </c:pt>
              </c:numCache>
            </c:numRef>
          </c:val>
          <c:extLst>
            <c:ext xmlns:c16="http://schemas.microsoft.com/office/drawing/2014/chart" uri="{C3380CC4-5D6E-409C-BE32-E72D297353CC}">
              <c16:uniqueId val="{00000001-19D6-A34A-A86D-72CFBA6EDA5C}"/>
            </c:ext>
          </c:extLst>
        </c:ser>
        <c:ser>
          <c:idx val="2"/>
          <c:order val="2"/>
          <c:tx>
            <c:strRef>
              <c:f>Accuracy_Conventions!$D$32</c:f>
              <c:strCache>
                <c:ptCount val="1"/>
                <c:pt idx="0">
                  <c:v>Coverage floor</c:v>
                </c:pt>
              </c:strCache>
            </c:strRef>
          </c:tx>
          <c:spPr>
            <a:ln>
              <a:prstDash val="solid"/>
            </a:ln>
          </c:spPr>
          <c:invertIfNegative val="1"/>
          <c:cat>
            <c:strRef>
              <c:f>Accuracy_Conventions!$A$33:$A$34</c:f>
              <c:strCache>
                <c:ptCount val="2"/>
                <c:pt idx="0">
                  <c:v>LLM</c:v>
                </c:pt>
                <c:pt idx="1">
                  <c:v>Human (All)</c:v>
                </c:pt>
              </c:strCache>
            </c:strRef>
          </c:cat>
          <c:val>
            <c:numRef>
              <c:f>Accuracy_Conventions!$D$33:$D$34</c:f>
              <c:numCache>
                <c:formatCode>General</c:formatCode>
                <c:ptCount val="2"/>
                <c:pt idx="0">
                  <c:v>0.25761772853185594</c:v>
                </c:pt>
                <c:pt idx="1">
                  <c:v>0.22413793103448276</c:v>
                </c:pt>
              </c:numCache>
            </c:numRef>
          </c:val>
          <c:extLst>
            <c:ext xmlns:c16="http://schemas.microsoft.com/office/drawing/2014/chart" uri="{C3380CC4-5D6E-409C-BE32-E72D297353CC}">
              <c16:uniqueId val="{00000002-19D6-A34A-A86D-72CFBA6EDA5C}"/>
            </c:ext>
          </c:extLst>
        </c:ser>
        <c:ser>
          <c:idx val="3"/>
          <c:order val="3"/>
          <c:tx>
            <c:strRef>
              <c:f>Accuracy_Conventions!$E$32</c:f>
              <c:strCache>
                <c:ptCount val="1"/>
                <c:pt idx="0">
                  <c:v>Selectivity floor</c:v>
                </c:pt>
              </c:strCache>
            </c:strRef>
          </c:tx>
          <c:spPr>
            <a:ln>
              <a:prstDash val="solid"/>
            </a:ln>
          </c:spPr>
          <c:invertIfNegative val="1"/>
          <c:cat>
            <c:strRef>
              <c:f>Accuracy_Conventions!$A$33:$A$34</c:f>
              <c:strCache>
                <c:ptCount val="2"/>
                <c:pt idx="0">
                  <c:v>LLM</c:v>
                </c:pt>
                <c:pt idx="1">
                  <c:v>Human (All)</c:v>
                </c:pt>
              </c:strCache>
            </c:strRef>
          </c:cat>
          <c:val>
            <c:numRef>
              <c:f>Accuracy_Conventions!$E$33:$E$34</c:f>
              <c:numCache>
                <c:formatCode>General</c:formatCode>
                <c:ptCount val="2"/>
                <c:pt idx="0">
                  <c:v>0.52173913043478259</c:v>
                </c:pt>
                <c:pt idx="1">
                  <c:v>0.53846153846153844</c:v>
                </c:pt>
              </c:numCache>
            </c:numRef>
          </c:val>
          <c:extLst>
            <c:ext xmlns:c16="http://schemas.microsoft.com/office/drawing/2014/chart" uri="{C3380CC4-5D6E-409C-BE32-E72D297353CC}">
              <c16:uniqueId val="{00000003-19D6-A34A-A86D-72CFBA6EDA5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Arm</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Accuracy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26</xdr:col>
      <xdr:colOff>254000</xdr:colOff>
      <xdr:row>26</xdr:row>
      <xdr:rowOff>127000</xdr:rowOff>
    </xdr:from>
    <xdr:ext cx="720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26</xdr:col>
      <xdr:colOff>254000</xdr:colOff>
      <xdr:row>48</xdr:row>
      <xdr:rowOff>101600</xdr:rowOff>
    </xdr:from>
    <xdr:ext cx="720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7200000" cy="36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49</xdr:row>
      <xdr:rowOff>0</xdr:rowOff>
    </xdr:from>
    <xdr:ext cx="7200000" cy="360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71</xdr:row>
      <xdr:rowOff>0</xdr:rowOff>
    </xdr:from>
    <xdr:ext cx="7200000" cy="360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13</xdr:col>
      <xdr:colOff>444500</xdr:colOff>
      <xdr:row>128</xdr:row>
      <xdr:rowOff>152400</xdr:rowOff>
    </xdr:from>
    <xdr:ext cx="7200000" cy="36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190500</xdr:colOff>
      <xdr:row>71</xdr:row>
      <xdr:rowOff>101600</xdr:rowOff>
    </xdr:from>
    <xdr:ext cx="7200000" cy="360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609600</xdr:colOff>
      <xdr:row>155</xdr:row>
      <xdr:rowOff>38100</xdr:rowOff>
    </xdr:from>
    <xdr:ext cx="7200000" cy="288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419100</xdr:colOff>
      <xdr:row>110</xdr:row>
      <xdr:rowOff>0</xdr:rowOff>
    </xdr:from>
    <xdr:ext cx="7200000" cy="2880000"/>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35</xdr:row>
      <xdr:rowOff>0</xdr:rowOff>
    </xdr:from>
    <xdr:ext cx="7200000" cy="432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_Entry" displayName="Human_Entry" ref="A2:V324">
  <autoFilter ref="A2:V324" xr:uid="{00000000-0009-0000-0100-000001000000}"/>
  <tableColumns count="22">
    <tableColumn id="1" xr3:uid="{00000000-0010-0000-0000-000001000000}" name="Company" dataDxfId="49"/>
    <tableColumn id="2" xr3:uid="{00000000-0010-0000-0000-000002000000}" name="Ticker" dataDxfId="48"/>
    <tableColumn id="3" xr3:uid="{00000000-0010-0000-0000-000003000000}" name="Year" dataDxfId="47"/>
    <tableColumn id="4" xr3:uid="{00000000-0010-0000-0000-000004000000}" name="Quarter" dataDxfId="46"/>
    <tableColumn id="22" xr3:uid="{00000000-0010-0000-0000-000016000000}" name="Document" dataDxfId="45"/>
    <tableColumn id="23" xr3:uid="{00000000-0010-0000-0000-000017000000}" name="Section" dataDxfId="44"/>
    <tableColumn id="5" xr3:uid="{00000000-0010-0000-0000-000005000000}" name="Rater" dataDxfId="43"/>
    <tableColumn id="6" xr3:uid="{00000000-0010-0000-0000-000006000000}" name="Type (Human/LLM)" dataDxfId="42"/>
    <tableColumn id="7" xr3:uid="{00000000-0010-0000-0000-000007000000}" name="Sentiment Score (−1 to +1)" dataDxfId="41"/>
    <tableColumn id="8" xr3:uid="{00000000-0010-0000-0000-000008000000}" name="Decision (BUY/HOLD/SELL)" dataDxfId="40">
      <calculatedColumnFormula>IF(OR(I3="",Settings!$B$6=""),"",IF(I3&gt;Settings!$B$6,"BUY",IF(I3&lt;-Settings!$B$6,"SELL","HOLD")))</calculatedColumnFormula>
    </tableColumn>
    <tableColumn id="9" xr3:uid="{00000000-0010-0000-0000-000009000000}" name="Time (mins)_x000a_" dataDxfId="39"/>
    <tableColumn id="20" xr3:uid="{00000000-0010-0000-0000-000014000000}" name="Document Date" dataDxfId="38"/>
    <tableColumn id="10" xr3:uid="{00000000-0010-0000-0000-00000A000000}" name="Prior Closing Date" dataDxfId="37"/>
    <tableColumn id="11" xr3:uid="{00000000-0010-0000-0000-00000B000000}" name="Prior_x000a_Close ($)" dataDxfId="36"/>
    <tableColumn id="12" xr3:uid="{00000000-0010-0000-0000-00000C000000}" name="Next Opening Date" dataDxfId="35"/>
    <tableColumn id="13" xr3:uid="{00000000-0010-0000-0000-00000D000000}" name="Next Day_x000a_Open ($)" dataDxfId="34"/>
    <tableColumn id="14" xr3:uid="{00000000-0010-0000-0000-00000E000000}" name="Actual % Change" dataDxfId="33"/>
    <tableColumn id="15" xr3:uid="{00000000-0010-0000-0000-00000F000000}" name="Actual Direction" dataDxfId="32"/>
    <tableColumn id="16" xr3:uid="{00000000-0010-0000-0000-000010000000}" name="Prediction Correct?" dataDxfId="31"/>
    <tableColumn id="17" xr3:uid="{00000000-0010-0000-0000-000011000000}" name="Position" dataDxfId="30"/>
    <tableColumn id="18" xr3:uid="{00000000-0010-0000-0000-000012000000}" name="Net P&amp;L" dataDxfId="29"/>
    <tableColumn id="19" xr3:uid="{00000000-0010-0000-0000-000013000000}" name="Notes / Risks Flagg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LM_Entry" displayName="LLM_Entry" ref="A2:V363">
  <autoFilter ref="A2:V363" xr:uid="{00000000-0009-0000-0100-000002000000}"/>
  <tableColumns count="22">
    <tableColumn id="1" xr3:uid="{00000000-0010-0000-0100-000001000000}" name="Company" dataDxfId="28"/>
    <tableColumn id="2" xr3:uid="{00000000-0010-0000-0100-000002000000}" name="Ticker" dataDxfId="27"/>
    <tableColumn id="3" xr3:uid="{00000000-0010-0000-0100-000003000000}" name="Year"/>
    <tableColumn id="4" xr3:uid="{00000000-0010-0000-0100-000004000000}" name="Quarter"/>
    <tableColumn id="5" xr3:uid="{00000000-0010-0000-0100-000005000000}" name="Rater"/>
    <tableColumn id="6" xr3:uid="{00000000-0010-0000-0100-000006000000}" name="Type (Human/LLM)"/>
    <tableColumn id="7" xr3:uid="{00000000-0010-0000-0100-000007000000}" name="Sentiment Score (−1 to +1)"/>
    <tableColumn id="8" xr3:uid="{00000000-0010-0000-0100-000008000000}" name="Decision (BUY/HOLD/SELL)"/>
    <tableColumn id="9" xr3:uid="{00000000-0010-0000-0100-000009000000}" name="Time (seconds)_x000a_" dataDxfId="26"/>
    <tableColumn id="20" xr3:uid="{00000000-0010-0000-0100-000014000000}" name="Document Date" dataDxfId="25"/>
    <tableColumn id="10" xr3:uid="{00000000-0010-0000-0100-00000A000000}" name="Closing Date" dataDxfId="24"/>
    <tableColumn id="11" xr3:uid="{00000000-0010-0000-0100-00000B000000}" name="Prior_x000a_Close ($)"/>
    <tableColumn id="12" xr3:uid="{00000000-0010-0000-0100-00000C000000}" name="Opening Date" dataDxfId="23"/>
    <tableColumn id="13" xr3:uid="{00000000-0010-0000-0100-00000D000000}" name="Next Day_x000a_Open ($)"/>
    <tableColumn id="21" xr3:uid="{00000000-0010-0000-0100-000015000000}" name="Token Cost ($)" dataDxfId="22"/>
    <tableColumn id="14" xr3:uid="{00000000-0010-0000-0100-00000E000000}" name="Actual % Change"/>
    <tableColumn id="15" xr3:uid="{00000000-0010-0000-0100-00000F000000}" name="Actual Direction"/>
    <tableColumn id="16" xr3:uid="{00000000-0010-0000-0100-000010000000}" name="Prediction Correct?"/>
    <tableColumn id="17" xr3:uid="{00000000-0010-0000-0100-000011000000}" name="Position"/>
    <tableColumn id="18" xr3:uid="{00000000-0010-0000-0100-000012000000}" name="Net P&amp;L"/>
    <tableColumn id="19" xr3:uid="{00000000-0010-0000-0100-000013000000}" name="Notes / Risks Flagged"/>
    <tableColumn id="22" xr3:uid="{00000000-0010-0000-0100-000016000000}" name="Event Set"/>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ter_Accuracy" displayName="Rater_Accuracy" ref="A4:G13">
  <autoFilter ref="A4:G13" xr:uid="{00000000-0009-0000-0100-000003000000}"/>
  <tableColumns count="7">
    <tableColumn id="1" xr3:uid="{00000000-0010-0000-0200-000001000000}" name="Rater"/>
    <tableColumn id="2" xr3:uid="{00000000-0010-0000-0200-000002000000}" name="Type"/>
    <tableColumn id="3" xr3:uid="{00000000-0010-0000-0200-000003000000}" name="# Predictions"/>
    <tableColumn id="4" xr3:uid="{00000000-0010-0000-0200-000004000000}" name="# Correct"/>
    <tableColumn id="5" xr3:uid="{00000000-0010-0000-0200-000005000000}" name="# Incorrect"/>
    <tableColumn id="6" xr3:uid="{00000000-0010-0000-0200-000006000000}" name="% Correct"/>
    <tableColumn id="7" xr3:uid="{00000000-0010-0000-0200-000007000000}" name="% Incorrect"/>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r_PL" displayName="Rater_PL" ref="I4:R13">
  <autoFilter ref="I4:R13" xr:uid="{00000000-0009-0000-0100-000004000000}"/>
  <tableColumns count="10">
    <tableColumn id="9" xr3:uid="{00000000-0010-0000-0300-000009000000}" name="Rater"/>
    <tableColumn id="10" xr3:uid="{00000000-0010-0000-0300-00000A000000}" name="Type"/>
    <tableColumn id="11" xr3:uid="{00000000-0010-0000-0300-00000B000000}" name="# Trades"/>
    <tableColumn id="12" xr3:uid="{00000000-0010-0000-0300-00000C000000}" name="Trade Rate %"/>
    <tableColumn id="14" xr3:uid="{00000000-0010-0000-0300-00000E000000}" name="Avg %/Trade"/>
    <tableColumn id="1" xr3:uid="{00000000-0010-0000-0300-000001000000}" name="Std Dev %/Trade" dataDxfId="21">
      <calculatedColumnFormula array="1">IFERROR(STDEV(IF((LLM_Data_Entry!$E$3:$E$548=I5)*(LLM_Data_Entry!$H$3:$H$548&lt;&gt;"HOLD")*(LLM_Data_Entry!$T$3:$T$548&lt;&gt;""),LLM_Data_Entry!$T$3:$T$548)),"")</calculatedColumnFormula>
    </tableColumn>
    <tableColumn id="15" xr3:uid="{00000000-0010-0000-0300-00000F000000}" name="Dir. Hit Rate %"/>
    <tableColumn id="16" xr3:uid="{00000000-0010-0000-0300-000010000000}" name="Correct"/>
    <tableColumn id="17" xr3:uid="{00000000-0010-0000-0300-000011000000}" name="Flat"/>
    <tableColumn id="18" xr3:uid="{00000000-0010-0000-0300-000012000000}" name="Wrong"/>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ny_PL" displayName="Company_PL" ref="I17:O108">
  <autoFilter ref="I17:O108" xr:uid="{00000000-0009-0000-0100-000005000000}"/>
  <tableColumns count="7">
    <tableColumn id="9" xr3:uid="{00000000-0010-0000-0400-000009000000}" name="Company"/>
    <tableColumn id="10" xr3:uid="{00000000-0010-0000-0400-00000A000000}" name="Human #Trades"/>
    <tableColumn id="11" xr3:uid="{00000000-0010-0000-0400-00000B000000}" name="Human Avg%/Trade"/>
    <tableColumn id="12" xr3:uid="{00000000-0010-0000-0400-00000C000000}" name="Human Total Return% (sum)"/>
    <tableColumn id="13" xr3:uid="{00000000-0010-0000-0400-00000D000000}" name="LLM #Trades"/>
    <tableColumn id="14" xr3:uid="{00000000-0010-0000-0400-00000E000000}" name="LLM Avg%/Trade"/>
    <tableColumn id="15" xr3:uid="{00000000-0010-0000-0400-00000F000000}" name="LLM Total Return% (su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ny_Accuracy" displayName="Company_Accuracy" ref="A17:G108">
  <autoFilter ref="A17:G108" xr:uid="{00000000-0009-0000-0100-000006000000}"/>
  <tableColumns count="7">
    <tableColumn id="1" xr3:uid="{00000000-0010-0000-0500-000001000000}" name="Company"/>
    <tableColumn id="2" xr3:uid="{00000000-0010-0000-0500-000002000000}" name="Human_x000a_# Pred"/>
    <tableColumn id="3" xr3:uid="{00000000-0010-0000-0500-000003000000}" name="Human_x000a_# Correct"/>
    <tableColumn id="4" xr3:uid="{00000000-0010-0000-0500-000004000000}" name="Human_x000a_% Correct"/>
    <tableColumn id="5" xr3:uid="{00000000-0010-0000-0500-000005000000}" name="LLM_x000a_# Pred"/>
    <tableColumn id="6" xr3:uid="{00000000-0010-0000-0500-000006000000}" name="LLM_x000a_# Correct"/>
    <tableColumn id="7" xr3:uid="{00000000-0010-0000-0500-000007000000}" name="LLM_x000a_% Correct"/>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2:C206" totalsRowShown="0">
  <autoFilter ref="A2:C206" xr:uid="{00000000-0009-0000-0100-000007000000}"/>
  <tableColumns count="3">
    <tableColumn id="1" xr3:uid="{00000000-0010-0000-0600-000001000000}" name="Company"/>
    <tableColumn id="2" xr3:uid="{00000000-0010-0000-0600-000002000000}" name="Ticker"/>
    <tableColumn id="3" xr3:uid="{00000000-0010-0000-0600-000003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2" displayName="Table12" ref="E2:F8" totalsRowShown="0">
  <autoFilter ref="E2:F8" xr:uid="{00000000-0009-0000-0100-000008000000}"/>
  <tableColumns count="2">
    <tableColumn id="1" xr3:uid="{00000000-0010-0000-0700-000001000000}" name="Rater" dataDxfId="20">
      <calculatedColumnFormula array="1">_xlfn._xlws.SORT(_xlfn.UNIQUE(_xlfn._xlws.FILTER($C$3:$C$200,$C$3:$C$200&lt;&gt;"")))</calculatedColumnFormula>
    </tableColumn>
    <tableColumn id="2" xr3:uid="{00000000-0010-0000-0700-000002000000}" name="Company Count" dataDxfId="19">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aters" displayName="tblRaters" ref="A7:B14">
  <autoFilter ref="A7:B14" xr:uid="{00000000-0009-0000-0100-000009000000}"/>
  <tableColumns count="2">
    <tableColumn id="1" xr3:uid="{00000000-0010-0000-0800-000001000000}" name="Rater Name" dataDxfId="18"/>
    <tableColumn id="2" xr3:uid="{00000000-0010-0000-0800-000002000000}" name="Typ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Decisions" displayName="tblDecisions" ref="D7:D10" dataDxfId="17">
  <autoFilter ref="D7:D10" xr:uid="{00000000-0009-0000-0100-00000A000000}"/>
  <tableColumns count="1">
    <tableColumn id="4" xr3:uid="{00000000-0010-0000-0900-000004000000}" name="Decision" dataDxfId="16"/>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Years" displayName="tblYears" ref="F7:F14">
  <autoFilter ref="F7:F14" xr:uid="{00000000-0009-0000-0100-00000B000000}"/>
  <tableColumns count="1">
    <tableColumn id="6" xr3:uid="{00000000-0010-0000-0A00-000006000000}" name="Year"/>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Quarters" displayName="tblQuarters" ref="G7:I12">
  <autoFilter ref="G7:I12" xr:uid="{00000000-0009-0000-0100-00000C000000}"/>
  <tableColumns count="3">
    <tableColumn id="7" xr3:uid="{00000000-0010-0000-0B00-000007000000}" name="Quarter"/>
    <tableColumn id="1" xr3:uid="{00000000-0010-0000-0B00-000001000000}" name="Section" dataDxfId="15"/>
    <tableColumn id="2" xr3:uid="{00000000-0010-0000-0B00-000002000000}" name="Document" dataDxfId="14"/>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524"/>
  <sheetViews>
    <sheetView tabSelected="1" zoomScale="86" zoomScaleNormal="100" workbookViewId="0">
      <pane xSplit="2" ySplit="2" topLeftCell="C136" activePane="bottomRight" state="frozen"/>
      <selection pane="topRight" activeCell="F1" sqref="F1"/>
      <selection pane="bottomLeft" activeCell="A3" sqref="A3"/>
      <selection pane="bottomRight" activeCell="V205" sqref="V205"/>
    </sheetView>
  </sheetViews>
  <sheetFormatPr baseColWidth="10" defaultColWidth="8.6640625" defaultRowHeight="15" x14ac:dyDescent="0.2"/>
  <cols>
    <col min="1" max="1" width="20" style="97" customWidth="1"/>
    <col min="2" max="2" width="9" style="141" customWidth="1"/>
    <col min="3" max="3" width="7" style="143" customWidth="1"/>
    <col min="4" max="4" width="8" style="143" customWidth="1"/>
    <col min="5" max="5" width="19.33203125" style="144" bestFit="1" customWidth="1"/>
    <col min="6" max="6" width="14.5" style="144" bestFit="1" customWidth="1"/>
    <col min="7" max="7" width="15" style="143" customWidth="1"/>
    <col min="8" max="8" width="10" style="143" customWidth="1"/>
    <col min="9" max="9" width="10" style="145" customWidth="1"/>
    <col min="10" max="10" width="12" style="145" customWidth="1"/>
    <col min="11" max="11" width="9" style="145" bestFit="1" customWidth="1"/>
    <col min="12" max="12" width="14" style="140" customWidth="1"/>
    <col min="13" max="13" width="12" style="140" customWidth="1"/>
    <col min="14" max="14" width="12" style="147" customWidth="1"/>
    <col min="15" max="15" width="12" style="140" customWidth="1"/>
    <col min="16" max="16" width="12" style="145" customWidth="1"/>
    <col min="17" max="17" width="11" style="2" customWidth="1"/>
    <col min="18" max="19" width="11" style="143" customWidth="1"/>
    <col min="20" max="20" width="9" style="143" customWidth="1"/>
    <col min="21" max="21" width="11" style="143" customWidth="1"/>
    <col min="22" max="22" width="255.6640625" style="7" bestFit="1" customWidth="1"/>
    <col min="23" max="23" width="40.6640625" bestFit="1" customWidth="1"/>
    <col min="24" max="24" width="26" style="92" customWidth="1"/>
    <col min="25" max="26" width="13" style="92" customWidth="1"/>
    <col min="27" max="27" width="48" customWidth="1"/>
    <col min="28" max="28" width="10" customWidth="1"/>
    <col min="64" max="64" width="23.33203125" customWidth="1"/>
  </cols>
  <sheetData>
    <row r="1" spans="1:72" ht="22.25" customHeight="1" x14ac:dyDescent="0.3">
      <c r="A1" s="156" t="s">
        <v>459</v>
      </c>
      <c r="W1" t="s">
        <v>460</v>
      </c>
      <c r="X1" s="169" t="s">
        <v>461</v>
      </c>
      <c r="Y1" s="170"/>
      <c r="Z1" s="170"/>
      <c r="AB1" t="s">
        <v>462</v>
      </c>
      <c r="AL1" t="s">
        <v>463</v>
      </c>
    </row>
    <row r="2" spans="1:72" ht="30" customHeight="1" x14ac:dyDescent="0.2">
      <c r="A2" s="17" t="s">
        <v>464</v>
      </c>
      <c r="B2" s="17" t="s">
        <v>465</v>
      </c>
      <c r="C2" s="17" t="s">
        <v>466</v>
      </c>
      <c r="D2" s="17" t="s">
        <v>467</v>
      </c>
      <c r="E2" s="135" t="s">
        <v>468</v>
      </c>
      <c r="F2" s="135" t="s">
        <v>469</v>
      </c>
      <c r="G2" s="17" t="s">
        <v>470</v>
      </c>
      <c r="H2" s="17" t="s">
        <v>471</v>
      </c>
      <c r="I2" s="137" t="s">
        <v>472</v>
      </c>
      <c r="J2" s="137" t="s">
        <v>473</v>
      </c>
      <c r="K2" s="137" t="s">
        <v>474</v>
      </c>
      <c r="L2" s="122" t="s">
        <v>475</v>
      </c>
      <c r="M2" s="122" t="s">
        <v>476</v>
      </c>
      <c r="N2" s="146" t="s">
        <v>477</v>
      </c>
      <c r="O2" s="122" t="s">
        <v>478</v>
      </c>
      <c r="P2" s="137" t="s">
        <v>479</v>
      </c>
      <c r="Q2" s="17" t="s">
        <v>480</v>
      </c>
      <c r="R2" s="17" t="s">
        <v>481</v>
      </c>
      <c r="S2" s="17" t="s">
        <v>482</v>
      </c>
      <c r="T2" s="17" t="s">
        <v>483</v>
      </c>
      <c r="U2" s="17" t="s">
        <v>484</v>
      </c>
      <c r="V2" s="17" t="s">
        <v>485</v>
      </c>
      <c r="W2" s="17" t="s">
        <v>486</v>
      </c>
      <c r="X2" s="90" t="s">
        <v>487</v>
      </c>
      <c r="Y2" s="90" t="s">
        <v>488</v>
      </c>
      <c r="Z2" s="90" t="s">
        <v>489</v>
      </c>
      <c r="AA2" s="18" t="s">
        <v>490</v>
      </c>
      <c r="AB2" t="s">
        <v>491</v>
      </c>
      <c r="AC2" t="s">
        <v>492</v>
      </c>
      <c r="AD2" t="s">
        <v>493</v>
      </c>
      <c r="AE2" t="s">
        <v>494</v>
      </c>
      <c r="AF2" t="s">
        <v>495</v>
      </c>
      <c r="AG2" t="s">
        <v>496</v>
      </c>
      <c r="AH2" t="s">
        <v>497</v>
      </c>
      <c r="AI2" t="s">
        <v>498</v>
      </c>
      <c r="AJ2" t="s">
        <v>499</v>
      </c>
      <c r="AK2" t="s">
        <v>500</v>
      </c>
      <c r="AL2" t="s">
        <v>501</v>
      </c>
      <c r="AM2" t="s">
        <v>502</v>
      </c>
      <c r="AN2" s="155" t="s">
        <v>503</v>
      </c>
      <c r="AO2" s="155" t="s">
        <v>504</v>
      </c>
      <c r="AP2" t="s">
        <v>505</v>
      </c>
      <c r="AQ2" t="s">
        <v>506</v>
      </c>
      <c r="AR2" t="s">
        <v>507</v>
      </c>
      <c r="AS2" t="s">
        <v>508</v>
      </c>
      <c r="AT2" t="s">
        <v>509</v>
      </c>
      <c r="AU2" t="s">
        <v>510</v>
      </c>
      <c r="AV2" t="s">
        <v>511</v>
      </c>
      <c r="AW2" t="s">
        <v>512</v>
      </c>
      <c r="AX2" t="s">
        <v>513</v>
      </c>
      <c r="AY2" t="s">
        <v>514</v>
      </c>
      <c r="AZ2" t="s">
        <v>515</v>
      </c>
      <c r="BA2" t="s">
        <v>516</v>
      </c>
      <c r="BB2" t="s">
        <v>517</v>
      </c>
      <c r="BC2" t="s">
        <v>518</v>
      </c>
      <c r="BD2" t="s">
        <v>519</v>
      </c>
      <c r="BE2" t="s">
        <v>520</v>
      </c>
      <c r="BF2" t="s">
        <v>521</v>
      </c>
      <c r="BG2" t="s">
        <v>522</v>
      </c>
      <c r="BH2" t="s">
        <v>523</v>
      </c>
      <c r="BI2" t="s">
        <v>524</v>
      </c>
      <c r="BJ2" t="s">
        <v>525</v>
      </c>
      <c r="BK2" t="s">
        <v>526</v>
      </c>
      <c r="BL2" t="s">
        <v>527</v>
      </c>
      <c r="BM2" t="s">
        <v>528</v>
      </c>
      <c r="BN2" t="s">
        <v>529</v>
      </c>
      <c r="BO2" t="s">
        <v>530</v>
      </c>
      <c r="BP2" t="s">
        <v>531</v>
      </c>
      <c r="BQ2" t="s">
        <v>532</v>
      </c>
      <c r="BR2" t="s">
        <v>533</v>
      </c>
      <c r="BS2" t="s">
        <v>534</v>
      </c>
      <c r="BT2" t="s">
        <v>535</v>
      </c>
    </row>
    <row r="3" spans="1:72" ht="16.25" customHeight="1" x14ac:dyDescent="0.2">
      <c r="A3" s="95" t="s">
        <v>536</v>
      </c>
      <c r="B3" s="96" t="str">
        <f>IF(A3="","",_xlfn.XLOOKUP(A3, Company_List!$A:$A, Company_List!$B:$B, ""))</f>
        <v>NFLX</v>
      </c>
      <c r="C3" s="108">
        <v>2026</v>
      </c>
      <c r="D3" s="104" t="s">
        <v>537</v>
      </c>
      <c r="E3" s="136" t="s">
        <v>538</v>
      </c>
      <c r="F3" s="19" t="s">
        <v>538</v>
      </c>
      <c r="G3" s="20" t="s">
        <v>539</v>
      </c>
      <c r="H3" s="20" t="s">
        <v>540</v>
      </c>
      <c r="I3" s="127">
        <v>0.5</v>
      </c>
      <c r="J3" s="145" t="str">
        <f>IF(OR(I3="",Settings!$B$6=""),"",IF(I3&gt;Settings!$B$6,"BUY",IF(I3&lt;-Settings!$B$6,"SELL","HOLD")))</f>
        <v>BUY</v>
      </c>
      <c r="K3" s="139">
        <v>38</v>
      </c>
      <c r="L3" s="123">
        <v>46128</v>
      </c>
      <c r="M3" s="123">
        <v>46128</v>
      </c>
      <c r="N3" s="127">
        <v>107.79</v>
      </c>
      <c r="O3" s="123">
        <v>46129</v>
      </c>
      <c r="P3" s="22">
        <v>96.37</v>
      </c>
      <c r="Q3" s="148">
        <f t="shared" ref="Q3:Q34" si="0">IF(OR(N3="",P3=""),"",ROUND((P3-N3)/N3,4))</f>
        <v>-0.10589999999999999</v>
      </c>
      <c r="R3" s="20" t="str">
        <f>IF(OR(N3="",P3=""),"",IF(Q3&gt;Settings!$B$3/100,"UP",IF(Q3&lt;-Settings!$B$3/100,"DOWN","FLAT")))</f>
        <v>DOWN</v>
      </c>
      <c r="S3" s="20" t="str">
        <f t="shared" ref="S3:S66" si="1">IF(OR(N3="",P3="",J3=""),"",IF(OR(AND(J3="BUY",R3="UP"),AND(J3="SELL",R3="DOWN"),AND(J3="HOLD",R3="FLAT")),"YES","NO"))</f>
        <v>NO</v>
      </c>
      <c r="T3" s="21">
        <f t="shared" ref="T3:T66" si="2">IF(J3="","",IF(J3="BUY",1,IF(J3="SELL",-1,0)))</f>
        <v>1</v>
      </c>
      <c r="U3" s="148">
        <f>IFERROR(IF(OR(J3="",N3="",P3=""),"",IF(T3=0,0,T3*Q3-Settings!$B$4/10000-IF(T3&lt;0,Settings!$B$5/10000,0))),"")</f>
        <v>-0.1069</v>
      </c>
      <c r="V3" s="23"/>
      <c r="W3" s="21">
        <f t="shared" ref="W3:W66" si="3">IF($K3="","",$K3*60)</f>
        <v>2280</v>
      </c>
      <c r="X3" s="91" t="str">
        <f t="shared" ref="X3:X66" si="4">IF($A3="","",$A3&amp;"|"&amp;$C3&amp;"|"&amp;$D3)</f>
        <v>Netflix|2026|Q1</v>
      </c>
      <c r="Y3" s="91" t="str">
        <f>IFERROR(IF($X3="","",INDEX(LLM_Data_Entry!$H$3:$H$548,MATCH($X3,INDEX(LLM_Data_Entry!$A$3:$A$548&amp;"|"&amp;LLM_Data_Entry!$C$3:$C$548&amp;"|"&amp;LLM_Data_Entry!$D$3:$D$548,0),0))),"")</f>
        <v>SELL</v>
      </c>
      <c r="Z3" s="91" t="str">
        <f>IFERROR(IF($X3="","",INDEX(LLM_Data_Entry!$R$3:$R$548,MATCH($X3,INDEX(LLM_Data_Entry!$A$3:$A$548&amp;"|"&amp;LLM_Data_Entry!$C$3:$C$548&amp;"|"&amp;LLM_Data_Entry!$D$3:$D$548,0),0))),"")</f>
        <v>YES</v>
      </c>
      <c r="AB3" t="s">
        <v>541</v>
      </c>
      <c r="AC3" t="s">
        <v>542</v>
      </c>
      <c r="AD3" t="s">
        <v>543</v>
      </c>
      <c r="AE3">
        <v>107.79</v>
      </c>
      <c r="AF3" t="s">
        <v>544</v>
      </c>
      <c r="AG3">
        <v>96.37</v>
      </c>
      <c r="AH3">
        <v>-0.10594672876939661</v>
      </c>
      <c r="AI3" t="s">
        <v>545</v>
      </c>
      <c r="AJ3" t="s">
        <v>546</v>
      </c>
      <c r="AK3">
        <v>-0.106947</v>
      </c>
      <c r="AL3" t="str">
        <f>IF($A3="","",IFERROR(INDEX(Company_List!$G$3:$G$207,MATCH($A3,Company_List!$A$3:$A$207,0)),"unassigned"))</f>
        <v>P2</v>
      </c>
      <c r="AM3" t="s">
        <v>547</v>
      </c>
      <c r="AO3" t="s">
        <v>548</v>
      </c>
      <c r="AP3" t="str">
        <f>IF($A3="","",IF(COUNTIFS(LLM_Data_Entry!$A$3:$A$548,$A3)&gt;0,"YES","NO"))</f>
        <v>YES</v>
      </c>
      <c r="AQ3" t="str">
        <f>IF($A3="","",IF(COUNTIFS($A$3:$A3,$A3,$C$3:$C3,$C3,$D$3:$D3,$D3)=1,"YES","NO"))</f>
        <v>YES</v>
      </c>
      <c r="AR3" t="str">
        <f>IF($A3="","",IF(AND($C3&amp;"-"&amp;$D3&gt;=Settings!$B$19,$C3&amp;"-"&amp;$D3&lt;=Settings!$B$20),"IN","OUT"))</f>
        <v>IN</v>
      </c>
      <c r="AS3" t="str">
        <f t="shared" ref="AS3:AS66" si="5">IF($A3="","",IF($F3="Financial Results","financials",IF($F3="Outlook/Guidance","guidance",IF($F3="Transcript Q&amp;A","qanda",IF($F3="","unrecorded",IF($E3="All","full",IF($E3="","unrecorded",LOWER($E3)&amp;" only")))))))</f>
        <v>full</v>
      </c>
      <c r="AT3">
        <f t="shared" ref="AT3:AT66" si="6">IF(AND(OR($J3="BUY",$J3="SELL"),ISNUMBER($U3)),$U3,"")</f>
        <v>-0.1069</v>
      </c>
      <c r="AU3">
        <f t="shared" ref="AU3:AU66" si="7">IF(AND(OR($J3="BUY",$J3="SELL"),ISNUMBER($AK3)),$AK3,"")</f>
        <v>-0.106947</v>
      </c>
      <c r="AV3">
        <f>IF(ISNUMBER($AT3),ABS(IF(ISNUMBER($I3),$I3,0)-Settings!$B$24),"")</f>
        <v>0.5</v>
      </c>
      <c r="AW3">
        <f t="shared" ref="AW3:AW66" si="8">IF(ISNUMBER($AV3),$AV3*$AT3,"")</f>
        <v>-5.3449999999999998E-2</v>
      </c>
      <c r="AX3">
        <f>IF(ISNUMBER($AU3),ABS(IF(ISNUMBER($I3),$I3,0)-Settings!$B$24),"")</f>
        <v>0.5</v>
      </c>
      <c r="AY3" t="s">
        <v>549</v>
      </c>
      <c r="AZ3" t="str">
        <f>IF($A3="","",IFERROR(INDEX(Company_List!$H$3:$H$207,MATCH($A3,Company_List!$A$3:$A$207,0)),"unassigned"))</f>
        <v>Communication Services</v>
      </c>
      <c r="BC3">
        <f>IF($A3="","",IF(COUNTIFS($A$3:$A3,$A3,$C$3:$C3,$C3,$D$3:$D3,$D3,$G$3:$G3,$G3)=1,1,0))</f>
        <v>1</v>
      </c>
      <c r="BG3" t="s">
        <v>550</v>
      </c>
      <c r="BK3">
        <f t="shared" ref="BK3:BK66" si="9">IF(OR($H3&lt;&gt;"Human",$S3="",$J3="",$Y3="",$Z3=""),"",IF(EXACT(UPPER($J3),UPPER($Y3)),1,0))</f>
        <v>0</v>
      </c>
      <c r="BL3" t="s">
        <v>551</v>
      </c>
      <c r="BM3">
        <v>1</v>
      </c>
      <c r="BN3" t="s">
        <v>552</v>
      </c>
      <c r="BO3" t="s">
        <v>553</v>
      </c>
      <c r="BP3" t="s">
        <v>550</v>
      </c>
      <c r="BQ3" t="s">
        <v>550</v>
      </c>
      <c r="BS3" t="s">
        <v>554</v>
      </c>
    </row>
    <row r="4" spans="1:72" ht="16.25" customHeight="1" x14ac:dyDescent="0.2">
      <c r="A4" s="95" t="s">
        <v>536</v>
      </c>
      <c r="B4" s="96" t="str">
        <f>IF(A4="","",_xlfn.XLOOKUP(A4, Company_List!$A:$A, Company_List!$B:$B, ""))</f>
        <v>NFLX</v>
      </c>
      <c r="C4" s="108">
        <v>2025</v>
      </c>
      <c r="D4" s="104" t="s">
        <v>555</v>
      </c>
      <c r="E4" s="136" t="s">
        <v>538</v>
      </c>
      <c r="F4" s="19" t="s">
        <v>538</v>
      </c>
      <c r="G4" s="20" t="s">
        <v>539</v>
      </c>
      <c r="H4" s="20" t="s">
        <v>540</v>
      </c>
      <c r="I4" s="127">
        <v>0.2</v>
      </c>
      <c r="J4" s="145" t="str">
        <f>IF(OR(I4="",Settings!$B$6=""),"",IF(I4&gt;Settings!$B$6,"BUY",IF(I4&lt;-Settings!$B$6,"SELL","HOLD")))</f>
        <v>HOLD</v>
      </c>
      <c r="K4" s="139">
        <v>26</v>
      </c>
      <c r="L4" s="123">
        <v>45855</v>
      </c>
      <c r="M4" s="123">
        <v>45855</v>
      </c>
      <c r="N4" s="127">
        <v>127.417</v>
      </c>
      <c r="O4" s="123">
        <v>45856</v>
      </c>
      <c r="P4" s="22">
        <v>124.2</v>
      </c>
      <c r="Q4" s="148">
        <f t="shared" si="0"/>
        <v>-2.52E-2</v>
      </c>
      <c r="R4" s="20" t="str">
        <f>IF(OR(N4="",P4=""),"",IF(Q4&gt;Settings!$B$3/100,"UP",IF(Q4&lt;-Settings!$B$3/100,"DOWN","FLAT")))</f>
        <v>DOWN</v>
      </c>
      <c r="S4" s="20" t="str">
        <f t="shared" si="1"/>
        <v>NO</v>
      </c>
      <c r="T4" s="21">
        <f t="shared" si="2"/>
        <v>0</v>
      </c>
      <c r="U4" s="148">
        <f>IFERROR(IF(OR(J4="",N4="",P4=""),"",IF(T4=0,0,T4*Q4-Settings!$B$4/10000-IF(T4&lt;0,Settings!$B$5/10000,0))),"")</f>
        <v>0</v>
      </c>
      <c r="V4" s="23"/>
      <c r="W4" s="21">
        <f t="shared" si="3"/>
        <v>1560</v>
      </c>
      <c r="X4" s="91" t="str">
        <f t="shared" si="4"/>
        <v>Netflix|2025|Q2</v>
      </c>
      <c r="Y4" s="91" t="str">
        <f>IFERROR(IF($X4="","",INDEX(LLM_Data_Entry!$H$3:$H$548,MATCH($X4,INDEX(LLM_Data_Entry!$A$3:$A$548&amp;"|"&amp;LLM_Data_Entry!$C$3:$C$548&amp;"|"&amp;LLM_Data_Entry!$D$3:$D$548,0),0))),"")</f>
        <v>HOLD</v>
      </c>
      <c r="Z4" s="91" t="str">
        <f>IFERROR(IF($X4="","",INDEX(LLM_Data_Entry!$R$3:$R$548,MATCH($X4,INDEX(LLM_Data_Entry!$A$3:$A$548&amp;"|"&amp;LLM_Data_Entry!$C$3:$C$548&amp;"|"&amp;LLM_Data_Entry!$D$3:$D$548,0),0))),"")</f>
        <v>NO</v>
      </c>
      <c r="AB4" t="s">
        <v>541</v>
      </c>
      <c r="AC4" t="s">
        <v>542</v>
      </c>
      <c r="AD4" t="s">
        <v>556</v>
      </c>
      <c r="AE4">
        <v>127.417</v>
      </c>
      <c r="AF4" t="s">
        <v>557</v>
      </c>
      <c r="AG4">
        <v>124.196</v>
      </c>
      <c r="AH4">
        <v>-2.527920921070188E-2</v>
      </c>
      <c r="AI4" t="s">
        <v>545</v>
      </c>
      <c r="AJ4" t="s">
        <v>546</v>
      </c>
      <c r="AK4">
        <v>0</v>
      </c>
      <c r="AL4" t="str">
        <f>IF($A4="","",IFERROR(INDEX(Company_List!$G$3:$G$207,MATCH($A4,Company_List!$A$3:$A$207,0)),"unassigned"))</f>
        <v>P2</v>
      </c>
      <c r="AM4" t="s">
        <v>558</v>
      </c>
      <c r="AN4" t="s">
        <v>559</v>
      </c>
      <c r="AO4" t="s">
        <v>560</v>
      </c>
      <c r="AP4" t="str">
        <f>IF($A4="","",IF(COUNTIFS(LLM_Data_Entry!$A$3:$A$548,$A4)&gt;0,"YES","NO"))</f>
        <v>YES</v>
      </c>
      <c r="AQ4" t="str">
        <f>IF($A4="","",IF(COUNTIFS($A$3:$A4,$A4,$C$3:$C4,$C4,$D$3:$D4,$D4)=1,"YES","NO"))</f>
        <v>YES</v>
      </c>
      <c r="AR4" t="str">
        <f>IF($A4="","",IF(AND($C4&amp;"-"&amp;$D4&gt;=Settings!$B$19,$C4&amp;"-"&amp;$D4&lt;=Settings!$B$20),"IN","OUT"))</f>
        <v>IN</v>
      </c>
      <c r="AS4" t="str">
        <f t="shared" si="5"/>
        <v>full</v>
      </c>
      <c r="AT4" t="str">
        <f t="shared" si="6"/>
        <v/>
      </c>
      <c r="AU4" t="str">
        <f t="shared" si="7"/>
        <v/>
      </c>
      <c r="AV4" t="str">
        <f>IF(ISNUMBER($AT4),ABS(IF(ISNUMBER($I4),$I4,0)-Settings!$B$24),"")</f>
        <v/>
      </c>
      <c r="AW4" t="str">
        <f t="shared" si="8"/>
        <v/>
      </c>
      <c r="AX4" t="str">
        <f>IF(ISNUMBER($AU4),ABS(IF(ISNUMBER($I4),$I4,0)-Settings!$B$24),"")</f>
        <v/>
      </c>
      <c r="AY4" t="s">
        <v>549</v>
      </c>
      <c r="AZ4" t="str">
        <f>IF($A4="","",IFERROR(INDEX(Company_List!$H$3:$H$207,MATCH($A4,Company_List!$A$3:$A$207,0)),"unassigned"))</f>
        <v>Communication Services</v>
      </c>
      <c r="BC4">
        <f>IF($A4="","",IF(COUNTIFS($A$3:$A4,$A4,$C$3:$C4,$C4,$D$3:$D4,$D4,$G$3:$G4,$G4)=1,1,0))</f>
        <v>1</v>
      </c>
      <c r="BG4" t="s">
        <v>550</v>
      </c>
      <c r="BK4">
        <f t="shared" si="9"/>
        <v>1</v>
      </c>
      <c r="BL4" t="s">
        <v>551</v>
      </c>
      <c r="BM4">
        <v>1</v>
      </c>
      <c r="BN4" t="s">
        <v>561</v>
      </c>
      <c r="BO4" t="s">
        <v>561</v>
      </c>
      <c r="BP4" t="s">
        <v>550</v>
      </c>
      <c r="BQ4" t="s">
        <v>562</v>
      </c>
      <c r="BS4" t="s">
        <v>554</v>
      </c>
    </row>
    <row r="5" spans="1:72" ht="16.25" customHeight="1" x14ac:dyDescent="0.2">
      <c r="A5" s="95" t="s">
        <v>536</v>
      </c>
      <c r="B5" s="96" t="str">
        <f>IF(A5="","",_xlfn.XLOOKUP(A5, Company_List!$A:$A, Company_List!$B:$B, ""))</f>
        <v>NFLX</v>
      </c>
      <c r="C5" s="108">
        <v>2025</v>
      </c>
      <c r="D5" s="104" t="s">
        <v>563</v>
      </c>
      <c r="E5" s="136" t="s">
        <v>538</v>
      </c>
      <c r="F5" s="19" t="s">
        <v>538</v>
      </c>
      <c r="G5" s="20" t="s">
        <v>539</v>
      </c>
      <c r="H5" s="20" t="s">
        <v>540</v>
      </c>
      <c r="I5" s="127">
        <v>-0.2</v>
      </c>
      <c r="J5" s="145" t="str">
        <f>IF(OR(I5="",Settings!$B$6=""),"",IF(I5&gt;Settings!$B$6,"BUY",IF(I5&lt;-Settings!$B$6,"SELL","HOLD")))</f>
        <v>HOLD</v>
      </c>
      <c r="K5" s="139">
        <v>24</v>
      </c>
      <c r="L5" s="123">
        <v>45951</v>
      </c>
      <c r="M5" s="123">
        <v>45951</v>
      </c>
      <c r="N5" s="127">
        <v>124.13500000000001</v>
      </c>
      <c r="O5" s="123">
        <v>45952</v>
      </c>
      <c r="P5" s="22">
        <v>114.29</v>
      </c>
      <c r="Q5" s="148">
        <f t="shared" si="0"/>
        <v>-7.9299999999999995E-2</v>
      </c>
      <c r="R5" s="20" t="str">
        <f>IF(OR(N5="",P5=""),"",IF(Q5&gt;Settings!$B$3/100,"UP",IF(Q5&lt;-Settings!$B$3/100,"DOWN","FLAT")))</f>
        <v>DOWN</v>
      </c>
      <c r="S5" s="20" t="str">
        <f t="shared" si="1"/>
        <v>NO</v>
      </c>
      <c r="T5" s="21">
        <f t="shared" si="2"/>
        <v>0</v>
      </c>
      <c r="U5" s="148">
        <f>IFERROR(IF(OR(J5="",N5="",P5=""),"",IF(T5=0,0,T5*Q5-Settings!$B$4/10000-IF(T5&lt;0,Settings!$B$5/10000,0))),"")</f>
        <v>0</v>
      </c>
      <c r="V5" s="23"/>
      <c r="W5" s="21">
        <f t="shared" si="3"/>
        <v>1440</v>
      </c>
      <c r="X5" s="91" t="str">
        <f t="shared" si="4"/>
        <v>Netflix|2025|Q3</v>
      </c>
      <c r="Y5" s="91" t="str">
        <f>IFERROR(IF($X5="","",INDEX(LLM_Data_Entry!$H$3:$H$548,MATCH($X5,INDEX(LLM_Data_Entry!$A$3:$A$548&amp;"|"&amp;LLM_Data_Entry!$C$3:$C$548&amp;"|"&amp;LLM_Data_Entry!$D$3:$D$548,0),0))),"")</f>
        <v>HOLD</v>
      </c>
      <c r="Z5" s="91" t="str">
        <f>IFERROR(IF($X5="","",INDEX(LLM_Data_Entry!$R$3:$R$548,MATCH($X5,INDEX(LLM_Data_Entry!$A$3:$A$548&amp;"|"&amp;LLM_Data_Entry!$C$3:$C$548&amp;"|"&amp;LLM_Data_Entry!$D$3:$D$548,0),0))),"")</f>
        <v>NO</v>
      </c>
      <c r="AB5" t="s">
        <v>564</v>
      </c>
      <c r="AC5" t="s">
        <v>542</v>
      </c>
      <c r="AD5" t="s">
        <v>565</v>
      </c>
      <c r="AE5">
        <v>124.13500000000001</v>
      </c>
      <c r="AF5" t="s">
        <v>566</v>
      </c>
      <c r="AG5">
        <v>114.29</v>
      </c>
      <c r="AH5">
        <v>-7.9308823791697444E-2</v>
      </c>
      <c r="AI5" t="s">
        <v>545</v>
      </c>
      <c r="AJ5" t="s">
        <v>546</v>
      </c>
      <c r="AK5">
        <v>0</v>
      </c>
      <c r="AL5" t="str">
        <f>IF($A5="","",IFERROR(INDEX(Company_List!$G$3:$G$207,MATCH($A5,Company_List!$A$3:$A$207,0)),"unassigned"))</f>
        <v>P2</v>
      </c>
      <c r="AM5" t="s">
        <v>567</v>
      </c>
      <c r="AN5" t="s">
        <v>568</v>
      </c>
      <c r="AO5" t="s">
        <v>560</v>
      </c>
      <c r="AP5" t="str">
        <f>IF($A5="","",IF(COUNTIFS(LLM_Data_Entry!$A$3:$A$548,$A5)&gt;0,"YES","NO"))</f>
        <v>YES</v>
      </c>
      <c r="AQ5" t="str">
        <f>IF($A5="","",IF(COUNTIFS($A$3:$A5,$A5,$C$3:$C5,$C5,$D$3:$D5,$D5)=1,"YES","NO"))</f>
        <v>YES</v>
      </c>
      <c r="AR5" t="str">
        <f>IF($A5="","",IF(AND($C5&amp;"-"&amp;$D5&gt;=Settings!$B$19,$C5&amp;"-"&amp;$D5&lt;=Settings!$B$20),"IN","OUT"))</f>
        <v>IN</v>
      </c>
      <c r="AS5" t="str">
        <f t="shared" si="5"/>
        <v>full</v>
      </c>
      <c r="AT5" t="str">
        <f t="shared" si="6"/>
        <v/>
      </c>
      <c r="AU5" t="str">
        <f t="shared" si="7"/>
        <v/>
      </c>
      <c r="AV5" t="str">
        <f>IF(ISNUMBER($AT5),ABS(IF(ISNUMBER($I5),$I5,0)-Settings!$B$24),"")</f>
        <v/>
      </c>
      <c r="AW5" t="str">
        <f t="shared" si="8"/>
        <v/>
      </c>
      <c r="AX5" t="str">
        <f>IF(ISNUMBER($AU5),ABS(IF(ISNUMBER($I5),$I5,0)-Settings!$B$24),"")</f>
        <v/>
      </c>
      <c r="AY5" t="s">
        <v>549</v>
      </c>
      <c r="AZ5" t="str">
        <f>IF($A5="","",IFERROR(INDEX(Company_List!$H$3:$H$207,MATCH($A5,Company_List!$A$3:$A$207,0)),"unassigned"))</f>
        <v>Communication Services</v>
      </c>
      <c r="BC5">
        <f>IF($A5="","",IF(COUNTIFS($A$3:$A5,$A5,$C$3:$C5,$C5,$D$3:$D5,$D5,$G$3:$G5,$G5)=1,1,0))</f>
        <v>1</v>
      </c>
      <c r="BG5" t="s">
        <v>550</v>
      </c>
      <c r="BK5">
        <f t="shared" si="9"/>
        <v>1</v>
      </c>
      <c r="BL5" t="s">
        <v>551</v>
      </c>
      <c r="BM5">
        <v>1</v>
      </c>
      <c r="BN5" t="s">
        <v>561</v>
      </c>
      <c r="BO5" t="s">
        <v>561</v>
      </c>
      <c r="BP5" t="s">
        <v>550</v>
      </c>
      <c r="BQ5" t="s">
        <v>562</v>
      </c>
      <c r="BS5" t="s">
        <v>554</v>
      </c>
    </row>
    <row r="6" spans="1:72" ht="16.25" customHeight="1" x14ac:dyDescent="0.2">
      <c r="A6" s="95" t="s">
        <v>536</v>
      </c>
      <c r="B6" s="96" t="str">
        <f>IF(A6="","",_xlfn.XLOOKUP(A6, Company_List!$A:$A, Company_List!$B:$B, ""))</f>
        <v>NFLX</v>
      </c>
      <c r="C6" s="108">
        <v>2025</v>
      </c>
      <c r="D6" s="104" t="s">
        <v>569</v>
      </c>
      <c r="E6" s="136" t="s">
        <v>538</v>
      </c>
      <c r="F6" s="19" t="s">
        <v>538</v>
      </c>
      <c r="G6" s="20" t="s">
        <v>539</v>
      </c>
      <c r="H6" s="20" t="s">
        <v>540</v>
      </c>
      <c r="I6" s="127">
        <v>0.6</v>
      </c>
      <c r="J6" s="145" t="str">
        <f>IF(OR(I6="",Settings!$B$6=""),"",IF(I6&gt;Settings!$B$6,"BUY",IF(I6&lt;-Settings!$B$6,"SELL","HOLD")))</f>
        <v>BUY</v>
      </c>
      <c r="K6" s="139">
        <v>25</v>
      </c>
      <c r="L6" s="123">
        <v>46042</v>
      </c>
      <c r="M6" s="123">
        <v>46042</v>
      </c>
      <c r="N6" s="127">
        <v>87.26</v>
      </c>
      <c r="O6" s="123">
        <v>46043</v>
      </c>
      <c r="P6" s="22">
        <v>82.52</v>
      </c>
      <c r="Q6" s="148">
        <f t="shared" si="0"/>
        <v>-5.4300000000000001E-2</v>
      </c>
      <c r="R6" s="20" t="str">
        <f>IF(OR(N6="",P6=""),"",IF(Q6&gt;Settings!$B$3/100,"UP",IF(Q6&lt;-Settings!$B$3/100,"DOWN","FLAT")))</f>
        <v>DOWN</v>
      </c>
      <c r="S6" s="20" t="str">
        <f t="shared" si="1"/>
        <v>NO</v>
      </c>
      <c r="T6" s="21">
        <f t="shared" si="2"/>
        <v>1</v>
      </c>
      <c r="U6" s="148">
        <f>IFERROR(IF(OR(J6="",N6="",P6=""),"",IF(T6=0,0,T6*Q6-Settings!$B$4/10000-IF(T6&lt;0,Settings!$B$5/10000,0))),"")</f>
        <v>-5.5300000000000002E-2</v>
      </c>
      <c r="V6" s="23"/>
      <c r="W6" s="21">
        <f t="shared" si="3"/>
        <v>1500</v>
      </c>
      <c r="X6" s="91" t="str">
        <f t="shared" si="4"/>
        <v>Netflix|2025|Q4</v>
      </c>
      <c r="Y6" s="91" t="str">
        <f>IFERROR(IF($X6="","",INDEX(LLM_Data_Entry!$H$3:$H$548,MATCH($X6,INDEX(LLM_Data_Entry!$A$3:$A$548&amp;"|"&amp;LLM_Data_Entry!$C$3:$C$548&amp;"|"&amp;LLM_Data_Entry!$D$3:$D$548,0),0))),"")</f>
        <v>BUY</v>
      </c>
      <c r="Z6" s="91" t="str">
        <f>IFERROR(IF($X6="","",INDEX(LLM_Data_Entry!$R$3:$R$548,MATCH($X6,INDEX(LLM_Data_Entry!$A$3:$A$548&amp;"|"&amp;LLM_Data_Entry!$C$3:$C$548&amp;"|"&amp;LLM_Data_Entry!$D$3:$D$548,0),0))),"")</f>
        <v>NO</v>
      </c>
      <c r="AB6" t="s">
        <v>564</v>
      </c>
      <c r="AC6" t="s">
        <v>542</v>
      </c>
      <c r="AD6" t="s">
        <v>570</v>
      </c>
      <c r="AE6">
        <v>87.26</v>
      </c>
      <c r="AF6" t="s">
        <v>571</v>
      </c>
      <c r="AG6">
        <v>82.52</v>
      </c>
      <c r="AH6">
        <v>-5.4320477783165719E-2</v>
      </c>
      <c r="AI6" t="s">
        <v>545</v>
      </c>
      <c r="AJ6" t="s">
        <v>546</v>
      </c>
      <c r="AK6">
        <v>-5.5320000000000001E-2</v>
      </c>
      <c r="AL6" t="str">
        <f>IF($A6="","",IFERROR(INDEX(Company_List!$G$3:$G$207,MATCH($A6,Company_List!$A$3:$A$207,0)),"unassigned"))</f>
        <v>P2</v>
      </c>
      <c r="AM6" t="s">
        <v>572</v>
      </c>
      <c r="AN6" t="s">
        <v>573</v>
      </c>
      <c r="AO6" t="s">
        <v>560</v>
      </c>
      <c r="AP6" t="str">
        <f>IF($A6="","",IF(COUNTIFS(LLM_Data_Entry!$A$3:$A$548,$A6)&gt;0,"YES","NO"))</f>
        <v>YES</v>
      </c>
      <c r="AQ6" t="str">
        <f>IF($A6="","",IF(COUNTIFS($A$3:$A6,$A6,$C$3:$C6,$C6,$D$3:$D6,$D6)=1,"YES","NO"))</f>
        <v>YES</v>
      </c>
      <c r="AR6" t="str">
        <f>IF($A6="","",IF(AND($C6&amp;"-"&amp;$D6&gt;=Settings!$B$19,$C6&amp;"-"&amp;$D6&lt;=Settings!$B$20),"IN","OUT"))</f>
        <v>IN</v>
      </c>
      <c r="AS6" t="str">
        <f t="shared" si="5"/>
        <v>full</v>
      </c>
      <c r="AT6">
        <f t="shared" si="6"/>
        <v>-5.5300000000000002E-2</v>
      </c>
      <c r="AU6">
        <f t="shared" si="7"/>
        <v>-5.5320000000000001E-2</v>
      </c>
      <c r="AV6">
        <f>IF(ISNUMBER($AT6),ABS(IF(ISNUMBER($I6),$I6,0)-Settings!$B$24),"")</f>
        <v>0.6</v>
      </c>
      <c r="AW6">
        <f t="shared" si="8"/>
        <v>-3.3180000000000001E-2</v>
      </c>
      <c r="AX6">
        <f>IF(ISNUMBER($AU6),ABS(IF(ISNUMBER($I6),$I6,0)-Settings!$B$24),"")</f>
        <v>0.6</v>
      </c>
      <c r="AY6" t="s">
        <v>549</v>
      </c>
      <c r="AZ6" t="str">
        <f>IF($A6="","",IFERROR(INDEX(Company_List!$H$3:$H$207,MATCH($A6,Company_List!$A$3:$A$207,0)),"unassigned"))</f>
        <v>Communication Services</v>
      </c>
      <c r="BC6">
        <f>IF($A6="","",IF(COUNTIFS($A$3:$A6,$A6,$C$3:$C6,$C6,$D$3:$D6,$D6,$G$3:$G6,$G6)=1,1,0))</f>
        <v>1</v>
      </c>
      <c r="BG6" t="s">
        <v>550</v>
      </c>
      <c r="BK6">
        <f t="shared" si="9"/>
        <v>1</v>
      </c>
      <c r="BL6" t="s">
        <v>551</v>
      </c>
      <c r="BM6">
        <v>1</v>
      </c>
      <c r="BN6" t="s">
        <v>561</v>
      </c>
      <c r="BO6" t="s">
        <v>561</v>
      </c>
      <c r="BP6" t="s">
        <v>550</v>
      </c>
      <c r="BQ6" t="s">
        <v>562</v>
      </c>
      <c r="BS6" t="s">
        <v>554</v>
      </c>
    </row>
    <row r="7" spans="1:72" ht="16.25" customHeight="1" x14ac:dyDescent="0.2">
      <c r="A7" s="95" t="s">
        <v>536</v>
      </c>
      <c r="B7" s="96" t="str">
        <f>IF(A7="","",_xlfn.XLOOKUP(A7, Company_List!$A:$A, Company_List!$B:$B, ""))</f>
        <v>NFLX</v>
      </c>
      <c r="C7" s="21">
        <v>2026</v>
      </c>
      <c r="D7" s="20" t="s">
        <v>537</v>
      </c>
      <c r="E7" s="136" t="s">
        <v>538</v>
      </c>
      <c r="F7" s="19" t="s">
        <v>538</v>
      </c>
      <c r="G7" s="20" t="s">
        <v>574</v>
      </c>
      <c r="H7" s="20" t="s">
        <v>540</v>
      </c>
      <c r="I7" s="127">
        <v>0.6</v>
      </c>
      <c r="J7" s="145" t="str">
        <f>IF(OR(I7="",Settings!$B$6=""),"",IF(I7&gt;Settings!$B$6,"BUY",IF(I7&lt;-Settings!$B$6,"SELL","HOLD")))</f>
        <v>BUY</v>
      </c>
      <c r="K7" s="139">
        <v>35</v>
      </c>
      <c r="L7" s="123">
        <v>46128</v>
      </c>
      <c r="M7" s="123">
        <v>46128</v>
      </c>
      <c r="N7" s="127">
        <v>107.79</v>
      </c>
      <c r="O7" s="123">
        <v>46129</v>
      </c>
      <c r="P7" s="22">
        <v>96.37</v>
      </c>
      <c r="Q7" s="148">
        <f t="shared" si="0"/>
        <v>-0.10589999999999999</v>
      </c>
      <c r="R7" s="20" t="str">
        <f>IF(OR(N7="",P7=""),"",IF(Q7&gt;Settings!$B$3/100,"UP",IF(Q7&lt;-Settings!$B$3/100,"DOWN","FLAT")))</f>
        <v>DOWN</v>
      </c>
      <c r="S7" s="20" t="str">
        <f t="shared" si="1"/>
        <v>NO</v>
      </c>
      <c r="T7" s="21">
        <f t="shared" si="2"/>
        <v>1</v>
      </c>
      <c r="U7" s="148">
        <f>IFERROR(IF(OR(J7="",N7="",P7=""),"",IF(T7=0,0,T7*Q7-Settings!$B$4/10000-IF(T7&lt;0,Settings!$B$5/10000,0))),"")</f>
        <v>-0.1069</v>
      </c>
      <c r="V7" s="23"/>
      <c r="W7" s="21">
        <f t="shared" si="3"/>
        <v>2100</v>
      </c>
      <c r="X7" s="91" t="str">
        <f t="shared" si="4"/>
        <v>Netflix|2026|Q1</v>
      </c>
      <c r="Y7" s="91" t="str">
        <f>IFERROR(IF($X7="","",INDEX(LLM_Data_Entry!$H$3:$H$548,MATCH($X7,INDEX(LLM_Data_Entry!$A$3:$A$548&amp;"|"&amp;LLM_Data_Entry!$C$3:$C$548&amp;"|"&amp;LLM_Data_Entry!$D$3:$D$548,0),0))),"")</f>
        <v>SELL</v>
      </c>
      <c r="Z7" s="91" t="str">
        <f>IFERROR(IF($X7="","",INDEX(LLM_Data_Entry!$R$3:$R$548,MATCH($X7,INDEX(LLM_Data_Entry!$A$3:$A$548&amp;"|"&amp;LLM_Data_Entry!$C$3:$C$548&amp;"|"&amp;LLM_Data_Entry!$D$3:$D$548,0),0))),"")</f>
        <v>YES</v>
      </c>
      <c r="AB7" t="s">
        <v>541</v>
      </c>
      <c r="AC7" t="s">
        <v>542</v>
      </c>
      <c r="AD7" t="s">
        <v>543</v>
      </c>
      <c r="AE7">
        <v>107.79</v>
      </c>
      <c r="AF7" t="s">
        <v>544</v>
      </c>
      <c r="AG7">
        <v>96.37</v>
      </c>
      <c r="AH7">
        <v>-0.10594672876939661</v>
      </c>
      <c r="AI7" t="s">
        <v>545</v>
      </c>
      <c r="AJ7" t="s">
        <v>546</v>
      </c>
      <c r="AK7">
        <v>-0.106947</v>
      </c>
      <c r="AL7" t="str">
        <f>IF($A7="","",IFERROR(INDEX(Company_List!$G$3:$G$207,MATCH($A7,Company_List!$A$3:$A$207,0)),"unassigned"))</f>
        <v>P2</v>
      </c>
      <c r="AM7" t="s">
        <v>547</v>
      </c>
      <c r="AO7" t="s">
        <v>548</v>
      </c>
      <c r="AP7" t="str">
        <f>IF($A7="","",IF(COUNTIFS(LLM_Data_Entry!$A$3:$A$548,$A7)&gt;0,"YES","NO"))</f>
        <v>YES</v>
      </c>
      <c r="AQ7" t="str">
        <f>IF($A7="","",IF(COUNTIFS($A$3:$A7,$A7,$C$3:$C7,$C7,$D$3:$D7,$D7)=1,"YES","NO"))</f>
        <v>NO</v>
      </c>
      <c r="AR7" t="str">
        <f>IF($A7="","",IF(AND($C7&amp;"-"&amp;$D7&gt;=Settings!$B$19,$C7&amp;"-"&amp;$D7&lt;=Settings!$B$20),"IN","OUT"))</f>
        <v>IN</v>
      </c>
      <c r="AS7" t="str">
        <f t="shared" si="5"/>
        <v>full</v>
      </c>
      <c r="AT7">
        <f t="shared" si="6"/>
        <v>-0.1069</v>
      </c>
      <c r="AU7">
        <f t="shared" si="7"/>
        <v>-0.106947</v>
      </c>
      <c r="AV7">
        <f>IF(ISNUMBER($AT7),ABS(IF(ISNUMBER($I7),$I7,0)-Settings!$B$24),"")</f>
        <v>0.6</v>
      </c>
      <c r="AW7">
        <f t="shared" si="8"/>
        <v>-6.4139999999999989E-2</v>
      </c>
      <c r="AX7">
        <f>IF(ISNUMBER($AU7),ABS(IF(ISNUMBER($I7),$I7,0)-Settings!$B$24),"")</f>
        <v>0.6</v>
      </c>
      <c r="AY7" t="s">
        <v>549</v>
      </c>
      <c r="AZ7" t="str">
        <f>IF($A7="","",IFERROR(INDEX(Company_List!$H$3:$H$207,MATCH($A7,Company_List!$A$3:$A$207,0)),"unassigned"))</f>
        <v>Communication Services</v>
      </c>
      <c r="BC7">
        <f>IF($A7="","",IF(COUNTIFS($A$3:$A7,$A7,$C$3:$C7,$C7,$D$3:$D7,$D7,$G$3:$G7,$G7)=1,1,0))</f>
        <v>1</v>
      </c>
      <c r="BG7" t="s">
        <v>550</v>
      </c>
      <c r="BK7">
        <f t="shared" si="9"/>
        <v>0</v>
      </c>
      <c r="BL7" t="s">
        <v>551</v>
      </c>
      <c r="BM7">
        <v>1</v>
      </c>
      <c r="BN7" t="s">
        <v>552</v>
      </c>
      <c r="BO7" t="s">
        <v>553</v>
      </c>
      <c r="BP7" t="s">
        <v>550</v>
      </c>
      <c r="BQ7" t="s">
        <v>550</v>
      </c>
      <c r="BS7" t="s">
        <v>554</v>
      </c>
    </row>
    <row r="8" spans="1:72" ht="16.25" customHeight="1" x14ac:dyDescent="0.2">
      <c r="A8" s="95" t="s">
        <v>536</v>
      </c>
      <c r="B8" s="96" t="str">
        <f>IF(A8="","",_xlfn.XLOOKUP(A8, Company_List!$A:$A, Company_List!$B:$B, ""))</f>
        <v>NFLX</v>
      </c>
      <c r="C8" s="21">
        <v>2025</v>
      </c>
      <c r="D8" s="20" t="s">
        <v>555</v>
      </c>
      <c r="E8" s="19" t="s">
        <v>538</v>
      </c>
      <c r="F8" s="19" t="s">
        <v>538</v>
      </c>
      <c r="G8" s="20" t="s">
        <v>574</v>
      </c>
      <c r="H8" s="20" t="s">
        <v>540</v>
      </c>
      <c r="I8" s="127">
        <v>0.7</v>
      </c>
      <c r="J8" s="145" t="str">
        <f>IF(OR(I8="",Settings!$B$6=""),"",IF(I8&gt;Settings!$B$6,"BUY",IF(I8&lt;-Settings!$B$6,"SELL","HOLD")))</f>
        <v>BUY</v>
      </c>
      <c r="K8" s="139">
        <v>55</v>
      </c>
      <c r="L8" s="123">
        <v>45855</v>
      </c>
      <c r="M8" s="123">
        <v>45855</v>
      </c>
      <c r="N8" s="127">
        <v>127.417</v>
      </c>
      <c r="O8" s="123">
        <v>45856</v>
      </c>
      <c r="P8" s="22">
        <v>124.2</v>
      </c>
      <c r="Q8" s="148">
        <f t="shared" si="0"/>
        <v>-2.52E-2</v>
      </c>
      <c r="R8" s="20" t="str">
        <f>IF(OR(N8="",P8=""),"",IF(Q8&gt;Settings!$B$3/100,"UP",IF(Q8&lt;-Settings!$B$3/100,"DOWN","FLAT")))</f>
        <v>DOWN</v>
      </c>
      <c r="S8" s="20" t="str">
        <f t="shared" si="1"/>
        <v>NO</v>
      </c>
      <c r="T8" s="21">
        <f t="shared" si="2"/>
        <v>1</v>
      </c>
      <c r="U8" s="148">
        <f>IFERROR(IF(OR(J8="",N8="",P8=""),"",IF(T8=0,0,T8*Q8-Settings!$B$4/10000-IF(T8&lt;0,Settings!$B$5/10000,0))),"")</f>
        <v>-2.6200000000000001E-2</v>
      </c>
      <c r="V8" s="23"/>
      <c r="W8" s="21">
        <f t="shared" si="3"/>
        <v>3300</v>
      </c>
      <c r="X8" s="91" t="str">
        <f t="shared" si="4"/>
        <v>Netflix|2025|Q2</v>
      </c>
      <c r="Y8" s="91" t="str">
        <f>IFERROR(IF($X8="","",INDEX(LLM_Data_Entry!$H$3:$H$548,MATCH($X8,INDEX(LLM_Data_Entry!$A$3:$A$548&amp;"|"&amp;LLM_Data_Entry!$C$3:$C$548&amp;"|"&amp;LLM_Data_Entry!$D$3:$D$548,0),0))),"")</f>
        <v>HOLD</v>
      </c>
      <c r="Z8" s="91" t="str">
        <f>IFERROR(IF($X8="","",INDEX(LLM_Data_Entry!$R$3:$R$548,MATCH($X8,INDEX(LLM_Data_Entry!$A$3:$A$548&amp;"|"&amp;LLM_Data_Entry!$C$3:$C$548&amp;"|"&amp;LLM_Data_Entry!$D$3:$D$548,0),0))),"")</f>
        <v>NO</v>
      </c>
      <c r="AB8" t="s">
        <v>541</v>
      </c>
      <c r="AC8" t="s">
        <v>542</v>
      </c>
      <c r="AD8" t="s">
        <v>556</v>
      </c>
      <c r="AE8">
        <v>127.417</v>
      </c>
      <c r="AF8" t="s">
        <v>557</v>
      </c>
      <c r="AG8">
        <v>124.196</v>
      </c>
      <c r="AH8">
        <v>-2.527920921070188E-2</v>
      </c>
      <c r="AI8" t="s">
        <v>545</v>
      </c>
      <c r="AJ8" t="s">
        <v>546</v>
      </c>
      <c r="AK8">
        <v>-2.6279E-2</v>
      </c>
      <c r="AL8" t="str">
        <f>IF($A8="","",IFERROR(INDEX(Company_List!$G$3:$G$207,MATCH($A8,Company_List!$A$3:$A$207,0)),"unassigned"))</f>
        <v>P2</v>
      </c>
      <c r="AM8" t="s">
        <v>558</v>
      </c>
      <c r="AN8" t="s">
        <v>559</v>
      </c>
      <c r="AO8" t="s">
        <v>560</v>
      </c>
      <c r="AP8" t="str">
        <f>IF($A8="","",IF(COUNTIFS(LLM_Data_Entry!$A$3:$A$548,$A8)&gt;0,"YES","NO"))</f>
        <v>YES</v>
      </c>
      <c r="AQ8" t="str">
        <f>IF($A8="","",IF(COUNTIFS($A$3:$A8,$A8,$C$3:$C8,$C8,$D$3:$D8,$D8)=1,"YES","NO"))</f>
        <v>NO</v>
      </c>
      <c r="AR8" t="str">
        <f>IF($A8="","",IF(AND($C8&amp;"-"&amp;$D8&gt;=Settings!$B$19,$C8&amp;"-"&amp;$D8&lt;=Settings!$B$20),"IN","OUT"))</f>
        <v>IN</v>
      </c>
      <c r="AS8" t="str">
        <f t="shared" si="5"/>
        <v>full</v>
      </c>
      <c r="AT8">
        <f t="shared" si="6"/>
        <v>-2.6200000000000001E-2</v>
      </c>
      <c r="AU8">
        <f t="shared" si="7"/>
        <v>-2.6279E-2</v>
      </c>
      <c r="AV8">
        <f>IF(ISNUMBER($AT8),ABS(IF(ISNUMBER($I8),$I8,0)-Settings!$B$24),"")</f>
        <v>0.7</v>
      </c>
      <c r="AW8">
        <f t="shared" si="8"/>
        <v>-1.8339999999999999E-2</v>
      </c>
      <c r="AX8">
        <f>IF(ISNUMBER($AU8),ABS(IF(ISNUMBER($I8),$I8,0)-Settings!$B$24),"")</f>
        <v>0.7</v>
      </c>
      <c r="AY8" t="s">
        <v>549</v>
      </c>
      <c r="AZ8" t="str">
        <f>IF($A8="","",IFERROR(INDEX(Company_List!$H$3:$H$207,MATCH($A8,Company_List!$A$3:$A$207,0)),"unassigned"))</f>
        <v>Communication Services</v>
      </c>
      <c r="BC8">
        <f>IF($A8="","",IF(COUNTIFS($A$3:$A8,$A8,$C$3:$C8,$C8,$D$3:$D8,$D8,$G$3:$G8,$G8)=1,1,0))</f>
        <v>1</v>
      </c>
      <c r="BG8" t="s">
        <v>550</v>
      </c>
      <c r="BK8">
        <f t="shared" si="9"/>
        <v>0</v>
      </c>
      <c r="BL8" t="s">
        <v>551</v>
      </c>
      <c r="BM8">
        <v>1</v>
      </c>
      <c r="BN8" t="s">
        <v>561</v>
      </c>
      <c r="BO8" t="s">
        <v>561</v>
      </c>
      <c r="BP8" t="s">
        <v>550</v>
      </c>
      <c r="BQ8" t="s">
        <v>562</v>
      </c>
      <c r="BS8" t="s">
        <v>554</v>
      </c>
    </row>
    <row r="9" spans="1:72" ht="16.25" customHeight="1" x14ac:dyDescent="0.2">
      <c r="A9" s="95" t="s">
        <v>536</v>
      </c>
      <c r="B9" s="96" t="str">
        <f>IF(A9="","",_xlfn.XLOOKUP(A9, Company_List!$A:$A, Company_List!$B:$B, ""))</f>
        <v>NFLX</v>
      </c>
      <c r="C9" s="21">
        <v>2025</v>
      </c>
      <c r="D9" s="20" t="s">
        <v>563</v>
      </c>
      <c r="E9" s="19" t="s">
        <v>538</v>
      </c>
      <c r="F9" s="19" t="s">
        <v>538</v>
      </c>
      <c r="G9" s="20" t="s">
        <v>574</v>
      </c>
      <c r="H9" s="20" t="s">
        <v>540</v>
      </c>
      <c r="I9" s="127">
        <v>-0.5</v>
      </c>
      <c r="J9" s="145" t="str">
        <f>IF(OR(I9="",Settings!$B$6=""),"",IF(I9&gt;Settings!$B$6,"BUY",IF(I9&lt;-Settings!$B$6,"SELL","HOLD")))</f>
        <v>SELL</v>
      </c>
      <c r="K9" s="139">
        <v>38</v>
      </c>
      <c r="L9" s="123">
        <v>45951</v>
      </c>
      <c r="M9" s="123">
        <v>45951</v>
      </c>
      <c r="N9" s="127">
        <v>124.13500000000001</v>
      </c>
      <c r="O9" s="123">
        <v>45952</v>
      </c>
      <c r="P9" s="22">
        <v>114.29</v>
      </c>
      <c r="Q9" s="148">
        <f t="shared" si="0"/>
        <v>-7.9299999999999995E-2</v>
      </c>
      <c r="R9" s="20" t="str">
        <f>IF(OR(N9="",P9=""),"",IF(Q9&gt;Settings!$B$3/100,"UP",IF(Q9&lt;-Settings!$B$3/100,"DOWN","FLAT")))</f>
        <v>DOWN</v>
      </c>
      <c r="S9" s="20" t="str">
        <f t="shared" si="1"/>
        <v>YES</v>
      </c>
      <c r="T9" s="21">
        <f t="shared" si="2"/>
        <v>-1</v>
      </c>
      <c r="U9" s="148">
        <f>IFERROR(IF(OR(J9="",N9="",P9=""),"",IF(T9=0,0,T9*Q9-Settings!$B$4/10000-IF(T9&lt;0,Settings!$B$5/10000,0))),"")</f>
        <v>7.8299999999999995E-2</v>
      </c>
      <c r="V9" s="23"/>
      <c r="W9" s="21">
        <f t="shared" si="3"/>
        <v>2280</v>
      </c>
      <c r="X9" s="91" t="str">
        <f t="shared" si="4"/>
        <v>Netflix|2025|Q3</v>
      </c>
      <c r="Y9" s="91" t="str">
        <f>IFERROR(IF($X9="","",INDEX(LLM_Data_Entry!$H$3:$H$548,MATCH($X9,INDEX(LLM_Data_Entry!$A$3:$A$548&amp;"|"&amp;LLM_Data_Entry!$C$3:$C$548&amp;"|"&amp;LLM_Data_Entry!$D$3:$D$548,0),0))),"")</f>
        <v>HOLD</v>
      </c>
      <c r="Z9" s="91" t="str">
        <f>IFERROR(IF($X9="","",INDEX(LLM_Data_Entry!$R$3:$R$548,MATCH($X9,INDEX(LLM_Data_Entry!$A$3:$A$548&amp;"|"&amp;LLM_Data_Entry!$C$3:$C$548&amp;"|"&amp;LLM_Data_Entry!$D$3:$D$548,0),0))),"")</f>
        <v>NO</v>
      </c>
      <c r="AB9" t="s">
        <v>564</v>
      </c>
      <c r="AC9" t="s">
        <v>542</v>
      </c>
      <c r="AD9" t="s">
        <v>565</v>
      </c>
      <c r="AE9">
        <v>124.13500000000001</v>
      </c>
      <c r="AF9" t="s">
        <v>566</v>
      </c>
      <c r="AG9">
        <v>114.29</v>
      </c>
      <c r="AH9">
        <v>-7.9308823791697444E-2</v>
      </c>
      <c r="AI9" t="s">
        <v>545</v>
      </c>
      <c r="AJ9" t="s">
        <v>554</v>
      </c>
      <c r="AK9">
        <v>7.8309000000000004E-2</v>
      </c>
      <c r="AL9" t="str">
        <f>IF($A9="","",IFERROR(INDEX(Company_List!$G$3:$G$207,MATCH($A9,Company_List!$A$3:$A$207,0)),"unassigned"))</f>
        <v>P2</v>
      </c>
      <c r="AM9" t="s">
        <v>567</v>
      </c>
      <c r="AN9" t="s">
        <v>568</v>
      </c>
      <c r="AO9" t="s">
        <v>560</v>
      </c>
      <c r="AP9" t="str">
        <f>IF($A9="","",IF(COUNTIFS(LLM_Data_Entry!$A$3:$A$548,$A9)&gt;0,"YES","NO"))</f>
        <v>YES</v>
      </c>
      <c r="AQ9" t="str">
        <f>IF($A9="","",IF(COUNTIFS($A$3:$A9,$A9,$C$3:$C9,$C9,$D$3:$D9,$D9)=1,"YES","NO"))</f>
        <v>NO</v>
      </c>
      <c r="AR9" t="str">
        <f>IF($A9="","",IF(AND($C9&amp;"-"&amp;$D9&gt;=Settings!$B$19,$C9&amp;"-"&amp;$D9&lt;=Settings!$B$20),"IN","OUT"))</f>
        <v>IN</v>
      </c>
      <c r="AS9" t="str">
        <f t="shared" si="5"/>
        <v>full</v>
      </c>
      <c r="AT9">
        <f t="shared" si="6"/>
        <v>7.8299999999999995E-2</v>
      </c>
      <c r="AU9">
        <f t="shared" si="7"/>
        <v>7.8309000000000004E-2</v>
      </c>
      <c r="AV9">
        <f>IF(ISNUMBER($AT9),ABS(IF(ISNUMBER($I9),$I9,0)-Settings!$B$24),"")</f>
        <v>0.5</v>
      </c>
      <c r="AW9">
        <f t="shared" si="8"/>
        <v>3.9149999999999997E-2</v>
      </c>
      <c r="AX9">
        <f>IF(ISNUMBER($AU9),ABS(IF(ISNUMBER($I9),$I9,0)-Settings!$B$24),"")</f>
        <v>0.5</v>
      </c>
      <c r="AY9" t="s">
        <v>549</v>
      </c>
      <c r="AZ9" t="str">
        <f>IF($A9="","",IFERROR(INDEX(Company_List!$H$3:$H$207,MATCH($A9,Company_List!$A$3:$A$207,0)),"unassigned"))</f>
        <v>Communication Services</v>
      </c>
      <c r="BC9">
        <f>IF($A9="","",IF(COUNTIFS($A$3:$A9,$A9,$C$3:$C9,$C9,$D$3:$D9,$D9,$G$3:$G9,$G9)=1,1,0))</f>
        <v>1</v>
      </c>
      <c r="BG9" t="s">
        <v>550</v>
      </c>
      <c r="BK9">
        <f t="shared" si="9"/>
        <v>0</v>
      </c>
      <c r="BL9" t="s">
        <v>551</v>
      </c>
      <c r="BM9">
        <v>1</v>
      </c>
      <c r="BN9" t="s">
        <v>561</v>
      </c>
      <c r="BO9" t="s">
        <v>561</v>
      </c>
      <c r="BP9" t="s">
        <v>550</v>
      </c>
      <c r="BQ9" t="s">
        <v>562</v>
      </c>
      <c r="BS9" t="s">
        <v>554</v>
      </c>
    </row>
    <row r="10" spans="1:72" ht="16.25" customHeight="1" x14ac:dyDescent="0.2">
      <c r="A10" s="95" t="s">
        <v>536</v>
      </c>
      <c r="B10" s="96" t="str">
        <f>IF(A10="","",_xlfn.XLOOKUP(A10, Company_List!$A:$A, Company_List!$B:$B, ""))</f>
        <v>NFLX</v>
      </c>
      <c r="C10" s="21">
        <v>2025</v>
      </c>
      <c r="D10" s="20" t="s">
        <v>569</v>
      </c>
      <c r="E10" s="19" t="s">
        <v>538</v>
      </c>
      <c r="F10" s="19" t="s">
        <v>538</v>
      </c>
      <c r="G10" s="20" t="s">
        <v>574</v>
      </c>
      <c r="H10" s="20" t="s">
        <v>540</v>
      </c>
      <c r="I10" s="127">
        <v>0.2</v>
      </c>
      <c r="J10" s="145" t="str">
        <f>IF(OR(I10="",Settings!$B$6=""),"",IF(I10&gt;Settings!$B$6,"BUY",IF(I10&lt;-Settings!$B$6,"SELL","HOLD")))</f>
        <v>HOLD</v>
      </c>
      <c r="K10" s="139">
        <v>40</v>
      </c>
      <c r="L10" s="123">
        <v>46042</v>
      </c>
      <c r="M10" s="123">
        <v>46042</v>
      </c>
      <c r="N10" s="127">
        <v>87.26</v>
      </c>
      <c r="O10" s="123">
        <v>46043</v>
      </c>
      <c r="P10" s="22">
        <v>82.52</v>
      </c>
      <c r="Q10" s="148">
        <f t="shared" si="0"/>
        <v>-5.4300000000000001E-2</v>
      </c>
      <c r="R10" s="20" t="str">
        <f>IF(OR(N10="",P10=""),"",IF(Q10&gt;Settings!$B$3/100,"UP",IF(Q10&lt;-Settings!$B$3/100,"DOWN","FLAT")))</f>
        <v>DOWN</v>
      </c>
      <c r="S10" s="20" t="str">
        <f t="shared" si="1"/>
        <v>NO</v>
      </c>
      <c r="T10" s="21">
        <f t="shared" si="2"/>
        <v>0</v>
      </c>
      <c r="U10" s="148">
        <f>IFERROR(IF(OR(J10="",N10="",P10=""),"",IF(T10=0,0,T10*Q10-Settings!$B$4/10000-IF(T10&lt;0,Settings!$B$5/10000,0))),"")</f>
        <v>0</v>
      </c>
      <c r="V10" s="23"/>
      <c r="W10" s="21">
        <f t="shared" si="3"/>
        <v>2400</v>
      </c>
      <c r="X10" s="91" t="str">
        <f t="shared" si="4"/>
        <v>Netflix|2025|Q4</v>
      </c>
      <c r="Y10" s="91" t="str">
        <f>IFERROR(IF($X10="","",INDEX(LLM_Data_Entry!$H$3:$H$548,MATCH($X10,INDEX(LLM_Data_Entry!$A$3:$A$548&amp;"|"&amp;LLM_Data_Entry!$C$3:$C$548&amp;"|"&amp;LLM_Data_Entry!$D$3:$D$548,0),0))),"")</f>
        <v>BUY</v>
      </c>
      <c r="Z10" s="91" t="str">
        <f>IFERROR(IF($X10="","",INDEX(LLM_Data_Entry!$R$3:$R$548,MATCH($X10,INDEX(LLM_Data_Entry!$A$3:$A$548&amp;"|"&amp;LLM_Data_Entry!$C$3:$C$548&amp;"|"&amp;LLM_Data_Entry!$D$3:$D$548,0),0))),"")</f>
        <v>NO</v>
      </c>
      <c r="AB10" t="s">
        <v>564</v>
      </c>
      <c r="AC10" t="s">
        <v>542</v>
      </c>
      <c r="AD10" t="s">
        <v>570</v>
      </c>
      <c r="AE10">
        <v>87.26</v>
      </c>
      <c r="AF10" t="s">
        <v>571</v>
      </c>
      <c r="AG10">
        <v>82.52</v>
      </c>
      <c r="AH10">
        <v>-5.4320477783165719E-2</v>
      </c>
      <c r="AI10" t="s">
        <v>545</v>
      </c>
      <c r="AJ10" t="s">
        <v>546</v>
      </c>
      <c r="AK10">
        <v>0</v>
      </c>
      <c r="AL10" t="str">
        <f>IF($A10="","",IFERROR(INDEX(Company_List!$G$3:$G$207,MATCH($A10,Company_List!$A$3:$A$207,0)),"unassigned"))</f>
        <v>P2</v>
      </c>
      <c r="AM10" t="s">
        <v>572</v>
      </c>
      <c r="AN10" t="s">
        <v>573</v>
      </c>
      <c r="AO10" t="s">
        <v>560</v>
      </c>
      <c r="AP10" t="str">
        <f>IF($A10="","",IF(COUNTIFS(LLM_Data_Entry!$A$3:$A$548,$A10)&gt;0,"YES","NO"))</f>
        <v>YES</v>
      </c>
      <c r="AQ10" t="str">
        <f>IF($A10="","",IF(COUNTIFS($A$3:$A10,$A10,$C$3:$C10,$C10,$D$3:$D10,$D10)=1,"YES","NO"))</f>
        <v>NO</v>
      </c>
      <c r="AR10" t="str">
        <f>IF($A10="","",IF(AND($C10&amp;"-"&amp;$D10&gt;=Settings!$B$19,$C10&amp;"-"&amp;$D10&lt;=Settings!$B$20),"IN","OUT"))</f>
        <v>IN</v>
      </c>
      <c r="AS10" t="str">
        <f t="shared" si="5"/>
        <v>full</v>
      </c>
      <c r="AT10" t="str">
        <f t="shared" si="6"/>
        <v/>
      </c>
      <c r="AU10" t="str">
        <f t="shared" si="7"/>
        <v/>
      </c>
      <c r="AV10" t="str">
        <f>IF(ISNUMBER($AT10),ABS(IF(ISNUMBER($I10),$I10,0)-Settings!$B$24),"")</f>
        <v/>
      </c>
      <c r="AW10" t="str">
        <f t="shared" si="8"/>
        <v/>
      </c>
      <c r="AX10" t="str">
        <f>IF(ISNUMBER($AU10),ABS(IF(ISNUMBER($I10),$I10,0)-Settings!$B$24),"")</f>
        <v/>
      </c>
      <c r="AY10" t="s">
        <v>549</v>
      </c>
      <c r="AZ10" t="str">
        <f>IF($A10="","",IFERROR(INDEX(Company_List!$H$3:$H$207,MATCH($A10,Company_List!$A$3:$A$207,0)),"unassigned"))</f>
        <v>Communication Services</v>
      </c>
      <c r="BC10">
        <f>IF($A10="","",IF(COUNTIFS($A$3:$A10,$A10,$C$3:$C10,$C10,$D$3:$D10,$D10,$G$3:$G10,$G10)=1,1,0))</f>
        <v>1</v>
      </c>
      <c r="BG10" t="s">
        <v>550</v>
      </c>
      <c r="BK10">
        <f t="shared" si="9"/>
        <v>0</v>
      </c>
      <c r="BL10" t="s">
        <v>551</v>
      </c>
      <c r="BM10">
        <v>1</v>
      </c>
      <c r="BN10" t="s">
        <v>561</v>
      </c>
      <c r="BO10" t="s">
        <v>561</v>
      </c>
      <c r="BP10" t="s">
        <v>550</v>
      </c>
      <c r="BQ10" t="s">
        <v>562</v>
      </c>
      <c r="BS10" t="s">
        <v>554</v>
      </c>
    </row>
    <row r="11" spans="1:72" ht="16.25" customHeight="1" x14ac:dyDescent="0.2">
      <c r="A11" s="95" t="s">
        <v>536</v>
      </c>
      <c r="B11" s="96" t="str">
        <f>IF(A11="","",_xlfn.XLOOKUP(A11, Company_List!$A:$A, Company_List!$B:$B, ""))</f>
        <v>NFLX</v>
      </c>
      <c r="C11" s="21">
        <v>2025</v>
      </c>
      <c r="D11" s="20" t="s">
        <v>537</v>
      </c>
      <c r="E11" s="19" t="s">
        <v>538</v>
      </c>
      <c r="F11" s="19" t="s">
        <v>538</v>
      </c>
      <c r="G11" s="20" t="s">
        <v>575</v>
      </c>
      <c r="H11" s="20" t="s">
        <v>540</v>
      </c>
      <c r="I11" s="127">
        <v>0.65</v>
      </c>
      <c r="J11" s="145" t="str">
        <f>IF(OR(I11="",Settings!$B$6=""),"",IF(I11&gt;Settings!$B$6,"BUY",IF(I11&lt;-Settings!$B$6,"SELL","HOLD")))</f>
        <v>BUY</v>
      </c>
      <c r="K11" s="139">
        <v>42</v>
      </c>
      <c r="L11" s="123">
        <v>45764</v>
      </c>
      <c r="M11" s="123">
        <v>45764</v>
      </c>
      <c r="N11" s="127">
        <v>97.302999999999997</v>
      </c>
      <c r="O11" s="123">
        <v>45765</v>
      </c>
      <c r="P11" s="22">
        <v>98.44</v>
      </c>
      <c r="Q11" s="148">
        <f t="shared" si="0"/>
        <v>1.17E-2</v>
      </c>
      <c r="R11" s="20" t="str">
        <f>IF(OR(N11="",P11=""),"",IF(Q11&gt;Settings!$B$3/100,"UP",IF(Q11&lt;-Settings!$B$3/100,"DOWN","FLAT")))</f>
        <v>FLAT</v>
      </c>
      <c r="S11" s="20" t="str">
        <f t="shared" si="1"/>
        <v>NO</v>
      </c>
      <c r="T11" s="21">
        <f t="shared" si="2"/>
        <v>1</v>
      </c>
      <c r="U11" s="148">
        <f>IFERROR(IF(OR(J11="",N11="",P11=""),"",IF(T11=0,0,T11*Q11-Settings!$B$4/10000-IF(T11&lt;0,Settings!$B$5/10000,0))),"")</f>
        <v>1.0700000000000001E-2</v>
      </c>
      <c r="V11" s="23" t="s">
        <v>576</v>
      </c>
      <c r="W11" s="21">
        <f t="shared" si="3"/>
        <v>2520</v>
      </c>
      <c r="X11" s="91" t="str">
        <f t="shared" si="4"/>
        <v>Netflix|2025|Q1</v>
      </c>
      <c r="Y11" s="91" t="str">
        <f>IFERROR(IF($X11="","",INDEX(LLM_Data_Entry!$H$3:$H$548,MATCH($X11,INDEX(LLM_Data_Entry!$A$3:$A$548&amp;"|"&amp;LLM_Data_Entry!$C$3:$C$548&amp;"|"&amp;LLM_Data_Entry!$D$3:$D$548,0),0))),"")</f>
        <v>SELL</v>
      </c>
      <c r="Z11" s="91" t="str">
        <f>IFERROR(IF($X11="","",INDEX(LLM_Data_Entry!$R$3:$R$548,MATCH($X11,INDEX(LLM_Data_Entry!$A$3:$A$548&amp;"|"&amp;LLM_Data_Entry!$C$3:$C$548&amp;"|"&amp;LLM_Data_Entry!$D$3:$D$548,0),0))),"")</f>
        <v>NO</v>
      </c>
      <c r="AB11" t="s">
        <v>564</v>
      </c>
      <c r="AC11" t="s">
        <v>542</v>
      </c>
      <c r="AD11" t="s">
        <v>577</v>
      </c>
      <c r="AE11">
        <v>97.302999999999997</v>
      </c>
      <c r="AF11" t="s">
        <v>578</v>
      </c>
      <c r="AG11">
        <v>98.44</v>
      </c>
      <c r="AH11">
        <v>1.168515861088423E-2</v>
      </c>
      <c r="AI11" t="s">
        <v>579</v>
      </c>
      <c r="AJ11" t="s">
        <v>546</v>
      </c>
      <c r="AK11">
        <v>1.0685E-2</v>
      </c>
      <c r="AL11" t="str">
        <f>IF($A11="","",IFERROR(INDEX(Company_List!$G$3:$G$207,MATCH($A11,Company_List!$A$3:$A$207,0)),"unassigned"))</f>
        <v>P2</v>
      </c>
      <c r="AM11" t="s">
        <v>580</v>
      </c>
      <c r="AN11" t="s">
        <v>581</v>
      </c>
      <c r="AO11" t="s">
        <v>560</v>
      </c>
      <c r="AP11" t="str">
        <f>IF($A11="","",IF(COUNTIFS(LLM_Data_Entry!$A$3:$A$548,$A11)&gt;0,"YES","NO"))</f>
        <v>YES</v>
      </c>
      <c r="AQ11" t="str">
        <f>IF($A11="","",IF(COUNTIFS($A$3:$A11,$A11,$C$3:$C11,$C11,$D$3:$D11,$D11)=1,"YES","NO"))</f>
        <v>YES</v>
      </c>
      <c r="AR11" t="str">
        <f>IF($A11="","",IF(AND($C11&amp;"-"&amp;$D11&gt;=Settings!$B$19,$C11&amp;"-"&amp;$D11&lt;=Settings!$B$20),"IN","OUT"))</f>
        <v>IN</v>
      </c>
      <c r="AS11" t="str">
        <f t="shared" si="5"/>
        <v>full</v>
      </c>
      <c r="AT11">
        <f t="shared" si="6"/>
        <v>1.0700000000000001E-2</v>
      </c>
      <c r="AU11">
        <f t="shared" si="7"/>
        <v>1.0685E-2</v>
      </c>
      <c r="AV11">
        <f>IF(ISNUMBER($AT11),ABS(IF(ISNUMBER($I11),$I11,0)-Settings!$B$24),"")</f>
        <v>0.65</v>
      </c>
      <c r="AW11">
        <f t="shared" si="8"/>
        <v>6.9550000000000011E-3</v>
      </c>
      <c r="AX11">
        <f>IF(ISNUMBER($AU11),ABS(IF(ISNUMBER($I11),$I11,0)-Settings!$B$24),"")</f>
        <v>0.65</v>
      </c>
      <c r="AY11" t="s">
        <v>549</v>
      </c>
      <c r="AZ11" t="str">
        <f>IF($A11="","",IFERROR(INDEX(Company_List!$H$3:$H$207,MATCH($A11,Company_List!$A$3:$A$207,0)),"unassigned"))</f>
        <v>Communication Services</v>
      </c>
      <c r="BC11">
        <f>IF($A11="","",IF(COUNTIFS($A$3:$A11,$A11,$C$3:$C11,$C11,$D$3:$D11,$D11,$G$3:$G11,$G11)=1,1,0))</f>
        <v>1</v>
      </c>
      <c r="BG11" t="s">
        <v>550</v>
      </c>
      <c r="BK11">
        <f t="shared" si="9"/>
        <v>0</v>
      </c>
      <c r="BL11" t="s">
        <v>551</v>
      </c>
      <c r="BM11">
        <v>1</v>
      </c>
      <c r="BN11" t="s">
        <v>561</v>
      </c>
      <c r="BO11" t="s">
        <v>561</v>
      </c>
      <c r="BP11" t="s">
        <v>550</v>
      </c>
      <c r="BQ11" t="s">
        <v>562</v>
      </c>
      <c r="BS11" t="s">
        <v>554</v>
      </c>
    </row>
    <row r="12" spans="1:72" ht="16.25" customHeight="1" x14ac:dyDescent="0.2">
      <c r="A12" s="95" t="s">
        <v>536</v>
      </c>
      <c r="B12" s="96" t="str">
        <f>IF(A12="","",_xlfn.XLOOKUP(A12, Company_List!$A:$A, Company_List!$B:$B, ""))</f>
        <v>NFLX</v>
      </c>
      <c r="C12" s="21">
        <v>2025</v>
      </c>
      <c r="D12" s="20" t="s">
        <v>555</v>
      </c>
      <c r="E12" s="19" t="s">
        <v>538</v>
      </c>
      <c r="F12" s="19" t="s">
        <v>538</v>
      </c>
      <c r="G12" s="20" t="s">
        <v>575</v>
      </c>
      <c r="H12" s="20" t="s">
        <v>540</v>
      </c>
      <c r="I12" s="127">
        <v>0.55000000000000004</v>
      </c>
      <c r="J12" s="145" t="str">
        <f>IF(OR(I12="",Settings!$B$6=""),"",IF(I12&gt;Settings!$B$6,"BUY",IF(I12&lt;-Settings!$B$6,"SELL","HOLD")))</f>
        <v>BUY</v>
      </c>
      <c r="K12" s="139">
        <v>38</v>
      </c>
      <c r="L12" s="123">
        <v>45855</v>
      </c>
      <c r="M12" s="123">
        <v>45855</v>
      </c>
      <c r="N12" s="127">
        <v>127.417</v>
      </c>
      <c r="O12" s="123">
        <v>45856</v>
      </c>
      <c r="P12" s="22">
        <v>124.2</v>
      </c>
      <c r="Q12" s="148">
        <f t="shared" si="0"/>
        <v>-2.52E-2</v>
      </c>
      <c r="R12" s="20" t="str">
        <f>IF(OR(N12="",P12=""),"",IF(Q12&gt;Settings!$B$3/100,"UP",IF(Q12&lt;-Settings!$B$3/100,"DOWN","FLAT")))</f>
        <v>DOWN</v>
      </c>
      <c r="S12" s="20" t="str">
        <f t="shared" si="1"/>
        <v>NO</v>
      </c>
      <c r="T12" s="21">
        <f t="shared" si="2"/>
        <v>1</v>
      </c>
      <c r="U12" s="148">
        <f>IFERROR(IF(OR(J12="",N12="",P12=""),"",IF(T12=0,0,T12*Q12-Settings!$B$4/10000-IF(T12&lt;0,Settings!$B$5/10000,0))),"")</f>
        <v>-2.6200000000000001E-2</v>
      </c>
      <c r="V12" s="23" t="s">
        <v>582</v>
      </c>
      <c r="W12" s="21">
        <f t="shared" si="3"/>
        <v>2280</v>
      </c>
      <c r="X12" s="91" t="str">
        <f t="shared" si="4"/>
        <v>Netflix|2025|Q2</v>
      </c>
      <c r="Y12" s="91" t="str">
        <f>IFERROR(IF($X12="","",INDEX(LLM_Data_Entry!$H$3:$H$548,MATCH($X12,INDEX(LLM_Data_Entry!$A$3:$A$548&amp;"|"&amp;LLM_Data_Entry!$C$3:$C$548&amp;"|"&amp;LLM_Data_Entry!$D$3:$D$548,0),0))),"")</f>
        <v>HOLD</v>
      </c>
      <c r="Z12" s="91" t="str">
        <f>IFERROR(IF($X12="","",INDEX(LLM_Data_Entry!$R$3:$R$548,MATCH($X12,INDEX(LLM_Data_Entry!$A$3:$A$548&amp;"|"&amp;LLM_Data_Entry!$C$3:$C$548&amp;"|"&amp;LLM_Data_Entry!$D$3:$D$548,0),0))),"")</f>
        <v>NO</v>
      </c>
      <c r="AB12" t="s">
        <v>541</v>
      </c>
      <c r="AC12" t="s">
        <v>542</v>
      </c>
      <c r="AD12" t="s">
        <v>556</v>
      </c>
      <c r="AE12">
        <v>127.417</v>
      </c>
      <c r="AF12" t="s">
        <v>557</v>
      </c>
      <c r="AG12">
        <v>124.196</v>
      </c>
      <c r="AH12">
        <v>-2.527920921070188E-2</v>
      </c>
      <c r="AI12" t="s">
        <v>545</v>
      </c>
      <c r="AJ12" t="s">
        <v>546</v>
      </c>
      <c r="AK12">
        <v>-2.6279E-2</v>
      </c>
      <c r="AL12" t="str">
        <f>IF($A12="","",IFERROR(INDEX(Company_List!$G$3:$G$207,MATCH($A12,Company_List!$A$3:$A$207,0)),"unassigned"))</f>
        <v>P2</v>
      </c>
      <c r="AM12" t="s">
        <v>558</v>
      </c>
      <c r="AN12" t="s">
        <v>559</v>
      </c>
      <c r="AO12" t="s">
        <v>560</v>
      </c>
      <c r="AP12" t="str">
        <f>IF($A12="","",IF(COUNTIFS(LLM_Data_Entry!$A$3:$A$548,$A12)&gt;0,"YES","NO"))</f>
        <v>YES</v>
      </c>
      <c r="AQ12" t="str">
        <f>IF($A12="","",IF(COUNTIFS($A$3:$A12,$A12,$C$3:$C12,$C12,$D$3:$D12,$D12)=1,"YES","NO"))</f>
        <v>NO</v>
      </c>
      <c r="AR12" t="str">
        <f>IF($A12="","",IF(AND($C12&amp;"-"&amp;$D12&gt;=Settings!$B$19,$C12&amp;"-"&amp;$D12&lt;=Settings!$B$20),"IN","OUT"))</f>
        <v>IN</v>
      </c>
      <c r="AS12" t="str">
        <f t="shared" si="5"/>
        <v>full</v>
      </c>
      <c r="AT12">
        <f t="shared" si="6"/>
        <v>-2.6200000000000001E-2</v>
      </c>
      <c r="AU12">
        <f t="shared" si="7"/>
        <v>-2.6279E-2</v>
      </c>
      <c r="AV12">
        <f>IF(ISNUMBER($AT12),ABS(IF(ISNUMBER($I12),$I12,0)-Settings!$B$24),"")</f>
        <v>0.55000000000000004</v>
      </c>
      <c r="AW12">
        <f t="shared" si="8"/>
        <v>-1.4410000000000001E-2</v>
      </c>
      <c r="AX12">
        <f>IF(ISNUMBER($AU12),ABS(IF(ISNUMBER($I12),$I12,0)-Settings!$B$24),"")</f>
        <v>0.55000000000000004</v>
      </c>
      <c r="AY12" t="s">
        <v>549</v>
      </c>
      <c r="AZ12" t="str">
        <f>IF($A12="","",IFERROR(INDEX(Company_List!$H$3:$H$207,MATCH($A12,Company_List!$A$3:$A$207,0)),"unassigned"))</f>
        <v>Communication Services</v>
      </c>
      <c r="BC12">
        <f>IF($A12="","",IF(COUNTIFS($A$3:$A12,$A12,$C$3:$C12,$C12,$D$3:$D12,$D12,$G$3:$G12,$G12)=1,1,0))</f>
        <v>1</v>
      </c>
      <c r="BG12" t="s">
        <v>550</v>
      </c>
      <c r="BK12">
        <f t="shared" si="9"/>
        <v>0</v>
      </c>
      <c r="BL12" t="s">
        <v>583</v>
      </c>
      <c r="BM12">
        <v>1</v>
      </c>
      <c r="BN12" t="s">
        <v>561</v>
      </c>
      <c r="BO12" t="s">
        <v>561</v>
      </c>
      <c r="BP12" t="s">
        <v>550</v>
      </c>
      <c r="BQ12" t="s">
        <v>562</v>
      </c>
      <c r="BS12" t="s">
        <v>554</v>
      </c>
    </row>
    <row r="13" spans="1:72" ht="16.25" customHeight="1" x14ac:dyDescent="0.2">
      <c r="A13" s="95" t="s">
        <v>536</v>
      </c>
      <c r="B13" s="96" t="str">
        <f>IF(A13="","",_xlfn.XLOOKUP(A13, Company_List!$A:$A, Company_List!$B:$B, ""))</f>
        <v>NFLX</v>
      </c>
      <c r="C13" s="21">
        <v>2025</v>
      </c>
      <c r="D13" s="20" t="s">
        <v>563</v>
      </c>
      <c r="E13" s="19" t="s">
        <v>538</v>
      </c>
      <c r="F13" s="19" t="s">
        <v>538</v>
      </c>
      <c r="G13" s="20" t="s">
        <v>575</v>
      </c>
      <c r="H13" s="20" t="s">
        <v>540</v>
      </c>
      <c r="I13" s="127">
        <v>0.45</v>
      </c>
      <c r="J13" s="145" t="str">
        <f>IF(OR(I13="",Settings!$B$6=""),"",IF(I13&gt;Settings!$B$6,"BUY",IF(I13&lt;-Settings!$B$6,"SELL","HOLD")))</f>
        <v>BUY</v>
      </c>
      <c r="K13" s="139">
        <v>55</v>
      </c>
      <c r="L13" s="123">
        <v>45951</v>
      </c>
      <c r="M13" s="123">
        <v>45951</v>
      </c>
      <c r="N13" s="127">
        <v>124.13500000000001</v>
      </c>
      <c r="O13" s="123">
        <v>45952</v>
      </c>
      <c r="P13" s="22">
        <v>114.29</v>
      </c>
      <c r="Q13" s="148">
        <f t="shared" si="0"/>
        <v>-7.9299999999999995E-2</v>
      </c>
      <c r="R13" s="20" t="str">
        <f>IF(OR(N13="",P13=""),"",IF(Q13&gt;Settings!$B$3/100,"UP",IF(Q13&lt;-Settings!$B$3/100,"DOWN","FLAT")))</f>
        <v>DOWN</v>
      </c>
      <c r="S13" s="20" t="str">
        <f t="shared" si="1"/>
        <v>NO</v>
      </c>
      <c r="T13" s="21">
        <f t="shared" si="2"/>
        <v>1</v>
      </c>
      <c r="U13" s="148">
        <f>IFERROR(IF(OR(J13="",N13="",P13=""),"",IF(T13=0,0,T13*Q13-Settings!$B$4/10000-IF(T13&lt;0,Settings!$B$5/10000,0))),"")</f>
        <v>-8.0299999999999996E-2</v>
      </c>
      <c r="V13" s="23" t="s">
        <v>584</v>
      </c>
      <c r="W13" s="21">
        <f t="shared" si="3"/>
        <v>3300</v>
      </c>
      <c r="X13" s="91" t="str">
        <f t="shared" si="4"/>
        <v>Netflix|2025|Q3</v>
      </c>
      <c r="Y13" s="91" t="str">
        <f>IFERROR(IF($X13="","",INDEX(LLM_Data_Entry!$H$3:$H$548,MATCH($X13,INDEX(LLM_Data_Entry!$A$3:$A$548&amp;"|"&amp;LLM_Data_Entry!$C$3:$C$548&amp;"|"&amp;LLM_Data_Entry!$D$3:$D$548,0),0))),"")</f>
        <v>HOLD</v>
      </c>
      <c r="Z13" s="91" t="str">
        <f>IFERROR(IF($X13="","",INDEX(LLM_Data_Entry!$R$3:$R$548,MATCH($X13,INDEX(LLM_Data_Entry!$A$3:$A$548&amp;"|"&amp;LLM_Data_Entry!$C$3:$C$548&amp;"|"&amp;LLM_Data_Entry!$D$3:$D$548,0),0))),"")</f>
        <v>NO</v>
      </c>
      <c r="AB13" t="s">
        <v>564</v>
      </c>
      <c r="AC13" t="s">
        <v>542</v>
      </c>
      <c r="AD13" t="s">
        <v>565</v>
      </c>
      <c r="AE13">
        <v>124.13500000000001</v>
      </c>
      <c r="AF13" t="s">
        <v>566</v>
      </c>
      <c r="AG13">
        <v>114.29</v>
      </c>
      <c r="AH13">
        <v>-7.9308823791697444E-2</v>
      </c>
      <c r="AI13" t="s">
        <v>545</v>
      </c>
      <c r="AJ13" t="s">
        <v>546</v>
      </c>
      <c r="AK13">
        <v>-8.0309000000000005E-2</v>
      </c>
      <c r="AL13" t="str">
        <f>IF($A13="","",IFERROR(INDEX(Company_List!$G$3:$G$207,MATCH($A13,Company_List!$A$3:$A$207,0)),"unassigned"))</f>
        <v>P2</v>
      </c>
      <c r="AM13" t="s">
        <v>567</v>
      </c>
      <c r="AN13" t="s">
        <v>568</v>
      </c>
      <c r="AO13" t="s">
        <v>560</v>
      </c>
      <c r="AP13" t="str">
        <f>IF($A13="","",IF(COUNTIFS(LLM_Data_Entry!$A$3:$A$548,$A13)&gt;0,"YES","NO"))</f>
        <v>YES</v>
      </c>
      <c r="AQ13" t="str">
        <f>IF($A13="","",IF(COUNTIFS($A$3:$A13,$A13,$C$3:$C13,$C13,$D$3:$D13,$D13)=1,"YES","NO"))</f>
        <v>NO</v>
      </c>
      <c r="AR13" t="str">
        <f>IF($A13="","",IF(AND($C13&amp;"-"&amp;$D13&gt;=Settings!$B$19,$C13&amp;"-"&amp;$D13&lt;=Settings!$B$20),"IN","OUT"))</f>
        <v>IN</v>
      </c>
      <c r="AS13" t="str">
        <f t="shared" si="5"/>
        <v>full</v>
      </c>
      <c r="AT13">
        <f t="shared" si="6"/>
        <v>-8.0299999999999996E-2</v>
      </c>
      <c r="AU13">
        <f t="shared" si="7"/>
        <v>-8.0309000000000005E-2</v>
      </c>
      <c r="AV13">
        <f>IF(ISNUMBER($AT13),ABS(IF(ISNUMBER($I13),$I13,0)-Settings!$B$24),"")</f>
        <v>0.45</v>
      </c>
      <c r="AW13">
        <f t="shared" si="8"/>
        <v>-3.6135E-2</v>
      </c>
      <c r="AX13">
        <f>IF(ISNUMBER($AU13),ABS(IF(ISNUMBER($I13),$I13,0)-Settings!$B$24),"")</f>
        <v>0.45</v>
      </c>
      <c r="AY13" t="s">
        <v>549</v>
      </c>
      <c r="AZ13" t="str">
        <f>IF($A13="","",IFERROR(INDEX(Company_List!$H$3:$H$207,MATCH($A13,Company_List!$A$3:$A$207,0)),"unassigned"))</f>
        <v>Communication Services</v>
      </c>
      <c r="BC13">
        <f>IF($A13="","",IF(COUNTIFS($A$3:$A13,$A13,$C$3:$C13,$C13,$D$3:$D13,$D13,$G$3:$G13,$G13)=1,1,0))</f>
        <v>1</v>
      </c>
      <c r="BG13" t="s">
        <v>550</v>
      </c>
      <c r="BK13">
        <f t="shared" si="9"/>
        <v>0</v>
      </c>
      <c r="BL13" t="s">
        <v>551</v>
      </c>
      <c r="BM13">
        <v>1</v>
      </c>
      <c r="BN13" t="s">
        <v>561</v>
      </c>
      <c r="BO13" t="s">
        <v>561</v>
      </c>
      <c r="BP13" t="s">
        <v>550</v>
      </c>
      <c r="BQ13" t="s">
        <v>562</v>
      </c>
      <c r="BS13" t="s">
        <v>554</v>
      </c>
    </row>
    <row r="14" spans="1:72" ht="16.25" customHeight="1" x14ac:dyDescent="0.2">
      <c r="A14" s="95" t="s">
        <v>536</v>
      </c>
      <c r="B14" s="96" t="str">
        <f>IF(A14="","",_xlfn.XLOOKUP(A14, Company_List!$A:$A, Company_List!$B:$B, ""))</f>
        <v>NFLX</v>
      </c>
      <c r="C14" s="21">
        <v>2025</v>
      </c>
      <c r="D14" s="20" t="s">
        <v>569</v>
      </c>
      <c r="E14" s="19" t="s">
        <v>538</v>
      </c>
      <c r="F14" s="19" t="s">
        <v>538</v>
      </c>
      <c r="G14" s="20" t="s">
        <v>575</v>
      </c>
      <c r="H14" s="20" t="s">
        <v>540</v>
      </c>
      <c r="I14" s="127">
        <v>0.6</v>
      </c>
      <c r="J14" s="145" t="str">
        <f>IF(OR(I14="",Settings!$B$6=""),"",IF(I14&gt;Settings!$B$6,"BUY",IF(I14&lt;-Settings!$B$6,"SELL","HOLD")))</f>
        <v>BUY</v>
      </c>
      <c r="K14" s="139">
        <v>45</v>
      </c>
      <c r="L14" s="123">
        <v>46042</v>
      </c>
      <c r="M14" s="123">
        <v>46042</v>
      </c>
      <c r="N14" s="127">
        <v>87.26</v>
      </c>
      <c r="O14" s="123">
        <v>46043</v>
      </c>
      <c r="P14" s="22">
        <v>82.52</v>
      </c>
      <c r="Q14" s="148">
        <f t="shared" si="0"/>
        <v>-5.4300000000000001E-2</v>
      </c>
      <c r="R14" s="20" t="str">
        <f>IF(OR(N14="",P14=""),"",IF(Q14&gt;Settings!$B$3/100,"UP",IF(Q14&lt;-Settings!$B$3/100,"DOWN","FLAT")))</f>
        <v>DOWN</v>
      </c>
      <c r="S14" s="20" t="str">
        <f t="shared" si="1"/>
        <v>NO</v>
      </c>
      <c r="T14" s="21">
        <f t="shared" si="2"/>
        <v>1</v>
      </c>
      <c r="U14" s="148">
        <f>IFERROR(IF(OR(J14="",N14="",P14=""),"",IF(T14=0,0,T14*Q14-Settings!$B$4/10000-IF(T14&lt;0,Settings!$B$5/10000,0))),"")</f>
        <v>-5.5300000000000002E-2</v>
      </c>
      <c r="V14" s="23" t="s">
        <v>585</v>
      </c>
      <c r="W14" s="21">
        <f t="shared" si="3"/>
        <v>2700</v>
      </c>
      <c r="X14" s="91" t="str">
        <f t="shared" si="4"/>
        <v>Netflix|2025|Q4</v>
      </c>
      <c r="Y14" s="91" t="str">
        <f>IFERROR(IF($X14="","",INDEX(LLM_Data_Entry!$H$3:$H$548,MATCH($X14,INDEX(LLM_Data_Entry!$A$3:$A$548&amp;"|"&amp;LLM_Data_Entry!$C$3:$C$548&amp;"|"&amp;LLM_Data_Entry!$D$3:$D$548,0),0))),"")</f>
        <v>BUY</v>
      </c>
      <c r="Z14" s="91" t="str">
        <f>IFERROR(IF($X14="","",INDEX(LLM_Data_Entry!$R$3:$R$548,MATCH($X14,INDEX(LLM_Data_Entry!$A$3:$A$548&amp;"|"&amp;LLM_Data_Entry!$C$3:$C$548&amp;"|"&amp;LLM_Data_Entry!$D$3:$D$548,0),0))),"")</f>
        <v>NO</v>
      </c>
      <c r="AB14" t="s">
        <v>564</v>
      </c>
      <c r="AC14" t="s">
        <v>542</v>
      </c>
      <c r="AD14" t="s">
        <v>570</v>
      </c>
      <c r="AE14">
        <v>87.26</v>
      </c>
      <c r="AF14" t="s">
        <v>571</v>
      </c>
      <c r="AG14">
        <v>82.52</v>
      </c>
      <c r="AH14">
        <v>-5.4320477783165719E-2</v>
      </c>
      <c r="AI14" t="s">
        <v>545</v>
      </c>
      <c r="AJ14" t="s">
        <v>546</v>
      </c>
      <c r="AK14">
        <v>-5.5320000000000001E-2</v>
      </c>
      <c r="AL14" t="str">
        <f>IF($A14="","",IFERROR(INDEX(Company_List!$G$3:$G$207,MATCH($A14,Company_List!$A$3:$A$207,0)),"unassigned"))</f>
        <v>P2</v>
      </c>
      <c r="AM14" t="s">
        <v>572</v>
      </c>
      <c r="AN14" t="s">
        <v>573</v>
      </c>
      <c r="AO14" t="s">
        <v>560</v>
      </c>
      <c r="AP14" t="str">
        <f>IF($A14="","",IF(COUNTIFS(LLM_Data_Entry!$A$3:$A$548,$A14)&gt;0,"YES","NO"))</f>
        <v>YES</v>
      </c>
      <c r="AQ14" t="str">
        <f>IF($A14="","",IF(COUNTIFS($A$3:$A14,$A14,$C$3:$C14,$C14,$D$3:$D14,$D14)=1,"YES","NO"))</f>
        <v>NO</v>
      </c>
      <c r="AR14" t="str">
        <f>IF($A14="","",IF(AND($C14&amp;"-"&amp;$D14&gt;=Settings!$B$19,$C14&amp;"-"&amp;$D14&lt;=Settings!$B$20),"IN","OUT"))</f>
        <v>IN</v>
      </c>
      <c r="AS14" t="str">
        <f t="shared" si="5"/>
        <v>full</v>
      </c>
      <c r="AT14">
        <f t="shared" si="6"/>
        <v>-5.5300000000000002E-2</v>
      </c>
      <c r="AU14">
        <f t="shared" si="7"/>
        <v>-5.5320000000000001E-2</v>
      </c>
      <c r="AV14">
        <f>IF(ISNUMBER($AT14),ABS(IF(ISNUMBER($I14),$I14,0)-Settings!$B$24),"")</f>
        <v>0.6</v>
      </c>
      <c r="AW14">
        <f t="shared" si="8"/>
        <v>-3.3180000000000001E-2</v>
      </c>
      <c r="AX14">
        <f>IF(ISNUMBER($AU14),ABS(IF(ISNUMBER($I14),$I14,0)-Settings!$B$24),"")</f>
        <v>0.6</v>
      </c>
      <c r="AY14" t="s">
        <v>549</v>
      </c>
      <c r="AZ14" t="str">
        <f>IF($A14="","",IFERROR(INDEX(Company_List!$H$3:$H$207,MATCH($A14,Company_List!$A$3:$A$207,0)),"unassigned"))</f>
        <v>Communication Services</v>
      </c>
      <c r="BC14">
        <f>IF($A14="","",IF(COUNTIFS($A$3:$A14,$A14,$C$3:$C14,$C14,$D$3:$D14,$D14,$G$3:$G14,$G14)=1,1,0))</f>
        <v>1</v>
      </c>
      <c r="BG14" t="s">
        <v>550</v>
      </c>
      <c r="BK14">
        <f t="shared" si="9"/>
        <v>1</v>
      </c>
      <c r="BL14" t="s">
        <v>551</v>
      </c>
      <c r="BM14">
        <v>1</v>
      </c>
      <c r="BN14" t="s">
        <v>561</v>
      </c>
      <c r="BO14" t="s">
        <v>561</v>
      </c>
      <c r="BP14" t="s">
        <v>550</v>
      </c>
      <c r="BQ14" t="s">
        <v>562</v>
      </c>
      <c r="BS14" t="s">
        <v>554</v>
      </c>
    </row>
    <row r="15" spans="1:72" ht="16.25" customHeight="1" x14ac:dyDescent="0.2">
      <c r="A15" s="95" t="s">
        <v>586</v>
      </c>
      <c r="B15" s="96" t="str">
        <f>IF(A15="","",_xlfn.XLOOKUP(A15, Company_List!$A:$A, Company_List!$B:$B, ""))</f>
        <v>NVDA</v>
      </c>
      <c r="C15" s="21">
        <v>2025</v>
      </c>
      <c r="D15" s="20" t="s">
        <v>537</v>
      </c>
      <c r="E15" s="19" t="s">
        <v>538</v>
      </c>
      <c r="F15" s="19" t="s">
        <v>538</v>
      </c>
      <c r="G15" s="20" t="s">
        <v>575</v>
      </c>
      <c r="H15" s="20" t="s">
        <v>540</v>
      </c>
      <c r="I15" s="127">
        <v>0.55000000000000004</v>
      </c>
      <c r="J15" s="145" t="str">
        <f>IF(OR(I15="",Settings!$B$6=""),"",IF(I15&gt;Settings!$B$6,"BUY",IF(I15&lt;-Settings!$B$6,"SELL","HOLD")))</f>
        <v>BUY</v>
      </c>
      <c r="K15" s="139">
        <v>50</v>
      </c>
      <c r="L15" s="123">
        <v>45714</v>
      </c>
      <c r="M15" s="123">
        <v>45714</v>
      </c>
      <c r="N15" s="127">
        <v>131.28</v>
      </c>
      <c r="O15" s="123">
        <v>45715</v>
      </c>
      <c r="P15" s="22">
        <v>135</v>
      </c>
      <c r="Q15" s="148">
        <f t="shared" si="0"/>
        <v>2.8299999999999999E-2</v>
      </c>
      <c r="R15" s="20" t="str">
        <f>IF(OR(N15="",P15=""),"",IF(Q15&gt;Settings!$B$3/100,"UP",IF(Q15&lt;-Settings!$B$3/100,"DOWN","FLAT")))</f>
        <v>UP</v>
      </c>
      <c r="S15" s="20" t="str">
        <f t="shared" si="1"/>
        <v>YES</v>
      </c>
      <c r="T15" s="21">
        <f t="shared" si="2"/>
        <v>1</v>
      </c>
      <c r="U15" s="148">
        <f>IFERROR(IF(OR(J15="",N15="",P15=""),"",IF(T15=0,0,T15*Q15-Settings!$B$4/10000-IF(T15&lt;0,Settings!$B$5/10000,0))),"")</f>
        <v>2.7299999999999998E-2</v>
      </c>
      <c r="V15" s="23" t="s">
        <v>587</v>
      </c>
      <c r="W15" s="21">
        <f t="shared" si="3"/>
        <v>3000</v>
      </c>
      <c r="X15" s="91" t="str">
        <f t="shared" si="4"/>
        <v>Nvidia|2025|Q1</v>
      </c>
      <c r="Y15" s="91" t="str">
        <f>IFERROR(IF($X15="","",INDEX(LLM_Data_Entry!$H$3:$H$548,MATCH($X15,INDEX(LLM_Data_Entry!$A$3:$A$548&amp;"|"&amp;LLM_Data_Entry!$C$3:$C$548&amp;"|"&amp;LLM_Data_Entry!$D$3:$D$548,0),0))),"")</f>
        <v>SELL</v>
      </c>
      <c r="Z15" s="91" t="str">
        <f>IFERROR(IF($X15="","",INDEX(LLM_Data_Entry!$R$3:$R$548,MATCH($X15,INDEX(LLM_Data_Entry!$A$3:$A$548&amp;"|"&amp;LLM_Data_Entry!$C$3:$C$548&amp;"|"&amp;LLM_Data_Entry!$D$3:$D$548,0),0))),"")</f>
        <v>NO</v>
      </c>
      <c r="AB15" t="s">
        <v>564</v>
      </c>
      <c r="AC15" t="s">
        <v>588</v>
      </c>
      <c r="AD15" t="s">
        <v>589</v>
      </c>
      <c r="AE15">
        <v>131.08420000000001</v>
      </c>
      <c r="AF15" t="s">
        <v>590</v>
      </c>
      <c r="AG15">
        <v>134.7987</v>
      </c>
      <c r="AH15">
        <v>2.83364750524236E-2</v>
      </c>
      <c r="AI15" t="s">
        <v>591</v>
      </c>
      <c r="AJ15" t="s">
        <v>554</v>
      </c>
      <c r="AK15">
        <v>2.7335999999999999E-2</v>
      </c>
      <c r="AL15" t="str">
        <f>IF($A15="","",IFERROR(INDEX(Company_List!$G$3:$G$207,MATCH($A15,Company_List!$A$3:$A$207,0)),"unassigned"))</f>
        <v>P2</v>
      </c>
      <c r="AM15" t="s">
        <v>592</v>
      </c>
      <c r="AO15" t="s">
        <v>593</v>
      </c>
      <c r="AP15" t="str">
        <f>IF($A15="","",IF(COUNTIFS(LLM_Data_Entry!$A$3:$A$548,$A15)&gt;0,"YES","NO"))</f>
        <v>YES</v>
      </c>
      <c r="AQ15" t="str">
        <f>IF($A15="","",IF(COUNTIFS($A$3:$A15,$A15,$C$3:$C15,$C15,$D$3:$D15,$D15)=1,"YES","NO"))</f>
        <v>YES</v>
      </c>
      <c r="AR15" t="str">
        <f>IF($A15="","",IF(AND($C15&amp;"-"&amp;$D15&gt;=Settings!$B$19,$C15&amp;"-"&amp;$D15&lt;=Settings!$B$20),"IN","OUT"))</f>
        <v>IN</v>
      </c>
      <c r="AS15" t="str">
        <f t="shared" si="5"/>
        <v>full</v>
      </c>
      <c r="AT15">
        <f t="shared" si="6"/>
        <v>2.7299999999999998E-2</v>
      </c>
      <c r="AU15">
        <f t="shared" si="7"/>
        <v>2.7335999999999999E-2</v>
      </c>
      <c r="AV15">
        <f>IF(ISNUMBER($AT15),ABS(IF(ISNUMBER($I15),$I15,0)-Settings!$B$24),"")</f>
        <v>0.55000000000000004</v>
      </c>
      <c r="AW15">
        <f t="shared" si="8"/>
        <v>1.5015000000000001E-2</v>
      </c>
      <c r="AX15">
        <f>IF(ISNUMBER($AU15),ABS(IF(ISNUMBER($I15),$I15,0)-Settings!$B$24),"")</f>
        <v>0.55000000000000004</v>
      </c>
      <c r="AY15" t="s">
        <v>549</v>
      </c>
      <c r="AZ15" t="str">
        <f>IF($A15="","",IFERROR(INDEX(Company_List!$H$3:$H$207,MATCH($A15,Company_List!$A$3:$A$207,0)),"unassigned"))</f>
        <v>Information Technology</v>
      </c>
      <c r="BC15">
        <f>IF($A15="","",IF(COUNTIFS($A$3:$A15,$A15,$C$3:$C15,$C15,$D$3:$D15,$D15,$G$3:$G15,$G15)=1,1,0))</f>
        <v>1</v>
      </c>
      <c r="BG15" t="s">
        <v>550</v>
      </c>
      <c r="BK15">
        <f t="shared" si="9"/>
        <v>0</v>
      </c>
      <c r="BL15" t="s">
        <v>594</v>
      </c>
      <c r="BM15">
        <v>6</v>
      </c>
      <c r="BN15" t="s">
        <v>595</v>
      </c>
      <c r="BO15" t="s">
        <v>596</v>
      </c>
      <c r="BP15" t="s">
        <v>550</v>
      </c>
      <c r="BQ15" t="s">
        <v>562</v>
      </c>
      <c r="BS15" t="s">
        <v>554</v>
      </c>
    </row>
    <row r="16" spans="1:72" ht="16.25" customHeight="1" x14ac:dyDescent="0.2">
      <c r="A16" s="95" t="s">
        <v>586</v>
      </c>
      <c r="B16" s="96" t="str">
        <f>IF(A16="","",_xlfn.XLOOKUP(A16, Company_List!$A:$A, Company_List!$B:$B, ""))</f>
        <v>NVDA</v>
      </c>
      <c r="C16" s="21">
        <v>2025</v>
      </c>
      <c r="D16" s="20" t="s">
        <v>555</v>
      </c>
      <c r="E16" s="19" t="s">
        <v>538</v>
      </c>
      <c r="F16" s="19" t="s">
        <v>538</v>
      </c>
      <c r="G16" s="20" t="s">
        <v>575</v>
      </c>
      <c r="H16" s="20" t="s">
        <v>540</v>
      </c>
      <c r="I16" s="127">
        <v>0.35</v>
      </c>
      <c r="J16" s="145" t="str">
        <f>IF(OR(I16="",Settings!$B$6=""),"",IF(I16&gt;Settings!$B$6,"BUY",IF(I16&lt;-Settings!$B$6,"SELL","HOLD")))</f>
        <v>BUY</v>
      </c>
      <c r="K16" s="139">
        <v>48</v>
      </c>
      <c r="L16" s="123">
        <v>45805</v>
      </c>
      <c r="M16" s="123">
        <v>45805</v>
      </c>
      <c r="N16" s="127">
        <v>134.81</v>
      </c>
      <c r="O16" s="123">
        <v>45806</v>
      </c>
      <c r="P16" s="22">
        <v>142.25</v>
      </c>
      <c r="Q16" s="148">
        <f t="shared" si="0"/>
        <v>5.5199999999999999E-2</v>
      </c>
      <c r="R16" s="20" t="str">
        <f>IF(OR(N16="",P16=""),"",IF(Q16&gt;Settings!$B$3/100,"UP",IF(Q16&lt;-Settings!$B$3/100,"DOWN","FLAT")))</f>
        <v>UP</v>
      </c>
      <c r="S16" s="20" t="str">
        <f t="shared" si="1"/>
        <v>YES</v>
      </c>
      <c r="T16" s="21">
        <f t="shared" si="2"/>
        <v>1</v>
      </c>
      <c r="U16" s="148">
        <f>IFERROR(IF(OR(J16="",N16="",P16=""),"",IF(T16=0,0,T16*Q16-Settings!$B$4/10000-IF(T16&lt;0,Settings!$B$5/10000,0))),"")</f>
        <v>5.4199999999999998E-2</v>
      </c>
      <c r="V16" s="23" t="s">
        <v>597</v>
      </c>
      <c r="W16" s="21">
        <f t="shared" si="3"/>
        <v>2880</v>
      </c>
      <c r="X16" s="91" t="str">
        <f t="shared" si="4"/>
        <v>Nvidia|2025|Q2</v>
      </c>
      <c r="Y16" s="91" t="str">
        <f>IFERROR(IF($X16="","",INDEX(LLM_Data_Entry!$H$3:$H$548,MATCH($X16,INDEX(LLM_Data_Entry!$A$3:$A$548&amp;"|"&amp;LLM_Data_Entry!$C$3:$C$548&amp;"|"&amp;LLM_Data_Entry!$D$3:$D$548,0),0))),"")</f>
        <v>HOLD</v>
      </c>
      <c r="Z16" s="91" t="str">
        <f>IFERROR(IF($X16="","",INDEX(LLM_Data_Entry!$R$3:$R$548,MATCH($X16,INDEX(LLM_Data_Entry!$A$3:$A$548&amp;"|"&amp;LLM_Data_Entry!$C$3:$C$548&amp;"|"&amp;LLM_Data_Entry!$D$3:$D$548,0),0))),"")</f>
        <v>NO</v>
      </c>
      <c r="AB16" t="s">
        <v>564</v>
      </c>
      <c r="AC16" t="s">
        <v>588</v>
      </c>
      <c r="AD16" t="s">
        <v>598</v>
      </c>
      <c r="AE16">
        <v>134.62129999999999</v>
      </c>
      <c r="AF16" t="s">
        <v>599</v>
      </c>
      <c r="AG16">
        <v>142.05090000000001</v>
      </c>
      <c r="AH16">
        <v>5.5188774068767169E-2</v>
      </c>
      <c r="AI16" t="s">
        <v>591</v>
      </c>
      <c r="AJ16" t="s">
        <v>554</v>
      </c>
      <c r="AK16">
        <v>5.4189000000000001E-2</v>
      </c>
      <c r="AL16" t="str">
        <f>IF($A16="","",IFERROR(INDEX(Company_List!$G$3:$G$207,MATCH($A16,Company_List!$A$3:$A$207,0)),"unassigned"))</f>
        <v>P2</v>
      </c>
      <c r="AM16" t="s">
        <v>600</v>
      </c>
      <c r="AO16" t="s">
        <v>593</v>
      </c>
      <c r="AP16" t="str">
        <f>IF($A16="","",IF(COUNTIFS(LLM_Data_Entry!$A$3:$A$548,$A16)&gt;0,"YES","NO"))</f>
        <v>YES</v>
      </c>
      <c r="AQ16" t="str">
        <f>IF($A16="","",IF(COUNTIFS($A$3:$A16,$A16,$C$3:$C16,$C16,$D$3:$D16,$D16)=1,"YES","NO"))</f>
        <v>YES</v>
      </c>
      <c r="AR16" t="str">
        <f>IF($A16="","",IF(AND($C16&amp;"-"&amp;$D16&gt;=Settings!$B$19,$C16&amp;"-"&amp;$D16&lt;=Settings!$B$20),"IN","OUT"))</f>
        <v>IN</v>
      </c>
      <c r="AS16" t="str">
        <f t="shared" si="5"/>
        <v>full</v>
      </c>
      <c r="AT16">
        <f t="shared" si="6"/>
        <v>5.4199999999999998E-2</v>
      </c>
      <c r="AU16">
        <f t="shared" si="7"/>
        <v>5.4189000000000001E-2</v>
      </c>
      <c r="AV16">
        <f>IF(ISNUMBER($AT16),ABS(IF(ISNUMBER($I16),$I16,0)-Settings!$B$24),"")</f>
        <v>0.35</v>
      </c>
      <c r="AW16">
        <f t="shared" si="8"/>
        <v>1.8969999999999997E-2</v>
      </c>
      <c r="AX16">
        <f>IF(ISNUMBER($AU16),ABS(IF(ISNUMBER($I16),$I16,0)-Settings!$B$24),"")</f>
        <v>0.35</v>
      </c>
      <c r="AY16" t="s">
        <v>549</v>
      </c>
      <c r="AZ16" t="str">
        <f>IF($A16="","",IFERROR(INDEX(Company_List!$H$3:$H$207,MATCH($A16,Company_List!$A$3:$A$207,0)),"unassigned"))</f>
        <v>Information Technology</v>
      </c>
      <c r="BC16">
        <f>IF($A16="","",IF(COUNTIFS($A$3:$A16,$A16,$C$3:$C16,$C16,$D$3:$D16,$D16,$G$3:$G16,$G16)=1,1,0))</f>
        <v>1</v>
      </c>
      <c r="BG16" t="s">
        <v>550</v>
      </c>
      <c r="BK16">
        <f t="shared" si="9"/>
        <v>0</v>
      </c>
      <c r="BL16" t="s">
        <v>551</v>
      </c>
      <c r="BM16">
        <v>6</v>
      </c>
      <c r="BN16" t="s">
        <v>561</v>
      </c>
      <c r="BO16" t="s">
        <v>561</v>
      </c>
      <c r="BP16" t="s">
        <v>550</v>
      </c>
      <c r="BQ16" t="s">
        <v>562</v>
      </c>
      <c r="BS16" t="s">
        <v>554</v>
      </c>
    </row>
    <row r="17" spans="1:71" ht="16.25" customHeight="1" x14ac:dyDescent="0.2">
      <c r="A17" s="95" t="s">
        <v>586</v>
      </c>
      <c r="B17" s="96" t="str">
        <f>IF(A17="","",_xlfn.XLOOKUP(A17, Company_List!$A:$A, Company_List!$B:$B, ""))</f>
        <v>NVDA</v>
      </c>
      <c r="C17" s="21">
        <v>2025</v>
      </c>
      <c r="D17" s="20" t="s">
        <v>563</v>
      </c>
      <c r="E17" s="19" t="s">
        <v>538</v>
      </c>
      <c r="F17" s="19" t="s">
        <v>538</v>
      </c>
      <c r="G17" s="20" t="s">
        <v>575</v>
      </c>
      <c r="H17" s="20" t="s">
        <v>540</v>
      </c>
      <c r="I17" s="127">
        <v>0.6</v>
      </c>
      <c r="J17" s="145" t="str">
        <f>IF(OR(I17="",Settings!$B$6=""),"",IF(I17&gt;Settings!$B$6,"BUY",IF(I17&lt;-Settings!$B$6,"SELL","HOLD")))</f>
        <v>BUY</v>
      </c>
      <c r="K17" s="139">
        <v>40</v>
      </c>
      <c r="L17" s="123">
        <v>45896</v>
      </c>
      <c r="M17" s="123">
        <v>45896</v>
      </c>
      <c r="N17" s="127">
        <v>181.6</v>
      </c>
      <c r="O17" s="123">
        <v>45897</v>
      </c>
      <c r="P17" s="22">
        <v>180.82</v>
      </c>
      <c r="Q17" s="148">
        <f t="shared" si="0"/>
        <v>-4.3E-3</v>
      </c>
      <c r="R17" s="20" t="str">
        <f>IF(OR(N17="",P17=""),"",IF(Q17&gt;Settings!$B$3/100,"UP",IF(Q17&lt;-Settings!$B$3/100,"DOWN","FLAT")))</f>
        <v>FLAT</v>
      </c>
      <c r="S17" s="20" t="str">
        <f t="shared" si="1"/>
        <v>NO</v>
      </c>
      <c r="T17" s="21">
        <f t="shared" si="2"/>
        <v>1</v>
      </c>
      <c r="U17" s="148">
        <f>IFERROR(IF(OR(J17="",N17="",P17=""),"",IF(T17=0,0,T17*Q17-Settings!$B$4/10000-IF(T17&lt;0,Settings!$B$5/10000,0))),"")</f>
        <v>-5.3E-3</v>
      </c>
      <c r="V17" s="23" t="s">
        <v>601</v>
      </c>
      <c r="W17" s="21">
        <f t="shared" si="3"/>
        <v>2400</v>
      </c>
      <c r="X17" s="91" t="str">
        <f t="shared" si="4"/>
        <v>Nvidia|2025|Q3</v>
      </c>
      <c r="Y17" s="91" t="str">
        <f>IFERROR(IF($X17="","",INDEX(LLM_Data_Entry!$H$3:$H$548,MATCH($X17,INDEX(LLM_Data_Entry!$A$3:$A$548&amp;"|"&amp;LLM_Data_Entry!$C$3:$C$548&amp;"|"&amp;LLM_Data_Entry!$D$3:$D$548,0),0))),"")</f>
        <v>BUY</v>
      </c>
      <c r="Z17" s="91" t="str">
        <f>IFERROR(IF($X17="","",INDEX(LLM_Data_Entry!$R$3:$R$548,MATCH($X17,INDEX(LLM_Data_Entry!$A$3:$A$548&amp;"|"&amp;LLM_Data_Entry!$C$3:$C$548&amp;"|"&amp;LLM_Data_Entry!$D$3:$D$548,0),0))),"")</f>
        <v>NO</v>
      </c>
      <c r="AB17" t="s">
        <v>564</v>
      </c>
      <c r="AC17" t="s">
        <v>588</v>
      </c>
      <c r="AD17" t="s">
        <v>602</v>
      </c>
      <c r="AE17">
        <v>181.35849999999999</v>
      </c>
      <c r="AF17" t="s">
        <v>603</v>
      </c>
      <c r="AG17">
        <v>180.5795</v>
      </c>
      <c r="AH17">
        <v>-4.2951986741127449E-3</v>
      </c>
      <c r="AI17" t="s">
        <v>579</v>
      </c>
      <c r="AJ17" t="s">
        <v>546</v>
      </c>
      <c r="AK17">
        <v>-5.2950000000000002E-3</v>
      </c>
      <c r="AL17" t="str">
        <f>IF($A17="","",IFERROR(INDEX(Company_List!$G$3:$G$207,MATCH($A17,Company_List!$A$3:$A$207,0)),"unassigned"))</f>
        <v>P2</v>
      </c>
      <c r="AM17" t="s">
        <v>604</v>
      </c>
      <c r="AO17" t="s">
        <v>593</v>
      </c>
      <c r="AP17" t="str">
        <f>IF($A17="","",IF(COUNTIFS(LLM_Data_Entry!$A$3:$A$548,$A17)&gt;0,"YES","NO"))</f>
        <v>YES</v>
      </c>
      <c r="AQ17" t="str">
        <f>IF($A17="","",IF(COUNTIFS($A$3:$A17,$A17,$C$3:$C17,$C17,$D$3:$D17,$D17)=1,"YES","NO"))</f>
        <v>YES</v>
      </c>
      <c r="AR17" t="str">
        <f>IF($A17="","",IF(AND($C17&amp;"-"&amp;$D17&gt;=Settings!$B$19,$C17&amp;"-"&amp;$D17&lt;=Settings!$B$20),"IN","OUT"))</f>
        <v>IN</v>
      </c>
      <c r="AS17" t="str">
        <f t="shared" si="5"/>
        <v>full</v>
      </c>
      <c r="AT17">
        <f t="shared" si="6"/>
        <v>-5.3E-3</v>
      </c>
      <c r="AU17">
        <f t="shared" si="7"/>
        <v>-5.2950000000000002E-3</v>
      </c>
      <c r="AV17">
        <f>IF(ISNUMBER($AT17),ABS(IF(ISNUMBER($I17),$I17,0)-Settings!$B$24),"")</f>
        <v>0.6</v>
      </c>
      <c r="AW17">
        <f t="shared" si="8"/>
        <v>-3.1800000000000001E-3</v>
      </c>
      <c r="AX17">
        <f>IF(ISNUMBER($AU17),ABS(IF(ISNUMBER($I17),$I17,0)-Settings!$B$24),"")</f>
        <v>0.6</v>
      </c>
      <c r="AY17" t="s">
        <v>549</v>
      </c>
      <c r="AZ17" t="str">
        <f>IF($A17="","",IFERROR(INDEX(Company_List!$H$3:$H$207,MATCH($A17,Company_List!$A$3:$A$207,0)),"unassigned"))</f>
        <v>Information Technology</v>
      </c>
      <c r="BC17">
        <f>IF($A17="","",IF(COUNTIFS($A$3:$A17,$A17,$C$3:$C17,$C17,$D$3:$D17,$D17,$G$3:$G17,$G17)=1,1,0))</f>
        <v>1</v>
      </c>
      <c r="BG17" t="s">
        <v>550</v>
      </c>
      <c r="BK17">
        <f t="shared" si="9"/>
        <v>1</v>
      </c>
      <c r="BL17" t="s">
        <v>594</v>
      </c>
      <c r="BM17">
        <v>6</v>
      </c>
      <c r="BN17" t="s">
        <v>595</v>
      </c>
      <c r="BO17" t="s">
        <v>596</v>
      </c>
      <c r="BP17" t="s">
        <v>550</v>
      </c>
      <c r="BQ17" t="s">
        <v>562</v>
      </c>
      <c r="BS17" t="s">
        <v>554</v>
      </c>
    </row>
    <row r="18" spans="1:71" ht="16.25" customHeight="1" x14ac:dyDescent="0.2">
      <c r="A18" s="95" t="s">
        <v>586</v>
      </c>
      <c r="B18" s="96" t="str">
        <f>IF(A18="","",_xlfn.XLOOKUP(A18, Company_List!$A:$A, Company_List!$B:$B, ""))</f>
        <v>NVDA</v>
      </c>
      <c r="C18" s="21">
        <v>2025</v>
      </c>
      <c r="D18" s="20" t="s">
        <v>569</v>
      </c>
      <c r="E18" s="19" t="s">
        <v>538</v>
      </c>
      <c r="F18" s="19" t="s">
        <v>538</v>
      </c>
      <c r="G18" s="20" t="s">
        <v>575</v>
      </c>
      <c r="H18" s="20" t="s">
        <v>540</v>
      </c>
      <c r="I18" s="127">
        <v>0.75</v>
      </c>
      <c r="J18" s="145" t="str">
        <f>IF(OR(I18="",Settings!$B$6=""),"",IF(I18&gt;Settings!$B$6,"BUY",IF(I18&lt;-Settings!$B$6,"SELL","HOLD")))</f>
        <v>BUY</v>
      </c>
      <c r="K18" s="139">
        <v>44</v>
      </c>
      <c r="L18" s="123">
        <v>45980</v>
      </c>
      <c r="M18" s="123">
        <v>45980</v>
      </c>
      <c r="N18" s="127">
        <v>186.52</v>
      </c>
      <c r="O18" s="123">
        <v>45981</v>
      </c>
      <c r="P18" s="22">
        <v>195.95</v>
      </c>
      <c r="Q18" s="148">
        <f t="shared" si="0"/>
        <v>5.0599999999999999E-2</v>
      </c>
      <c r="R18" s="20" t="str">
        <f>IF(OR(N18="",P18=""),"",IF(Q18&gt;Settings!$B$3/100,"UP",IF(Q18&lt;-Settings!$B$3/100,"DOWN","FLAT")))</f>
        <v>UP</v>
      </c>
      <c r="S18" s="20" t="str">
        <f t="shared" si="1"/>
        <v>YES</v>
      </c>
      <c r="T18" s="21">
        <f t="shared" si="2"/>
        <v>1</v>
      </c>
      <c r="U18" s="148">
        <f>IFERROR(IF(OR(J18="",N18="",P18=""),"",IF(T18=0,0,T18*Q18-Settings!$B$4/10000-IF(T18&lt;0,Settings!$B$5/10000,0))),"")</f>
        <v>4.9599999999999998E-2</v>
      </c>
      <c r="V18" s="23" t="s">
        <v>605</v>
      </c>
      <c r="W18" s="21">
        <f t="shared" si="3"/>
        <v>2640</v>
      </c>
      <c r="X18" s="91" t="str">
        <f t="shared" si="4"/>
        <v>Nvidia|2025|Q4</v>
      </c>
      <c r="Y18" s="91" t="str">
        <f>IFERROR(IF($X18="","",INDEX(LLM_Data_Entry!$H$3:$H$548,MATCH($X18,INDEX(LLM_Data_Entry!$A$3:$A$548&amp;"|"&amp;LLM_Data_Entry!$C$3:$C$548&amp;"|"&amp;LLM_Data_Entry!$D$3:$D$548,0),0))),"")</f>
        <v>BUY</v>
      </c>
      <c r="Z18" s="91" t="str">
        <f>IFERROR(IF($X18="","",INDEX(LLM_Data_Entry!$R$3:$R$548,MATCH($X18,INDEX(LLM_Data_Entry!$A$3:$A$548&amp;"|"&amp;LLM_Data_Entry!$C$3:$C$548&amp;"|"&amp;LLM_Data_Entry!$D$3:$D$548,0),0))),"")</f>
        <v>YES</v>
      </c>
      <c r="AB18" t="s">
        <v>564</v>
      </c>
      <c r="AC18" t="s">
        <v>588</v>
      </c>
      <c r="AD18" t="s">
        <v>606</v>
      </c>
      <c r="AE18">
        <v>186.2824</v>
      </c>
      <c r="AF18" t="s">
        <v>607</v>
      </c>
      <c r="AG18">
        <v>195.7004</v>
      </c>
      <c r="AH18">
        <v>5.0557553393474099E-2</v>
      </c>
      <c r="AI18" t="s">
        <v>591</v>
      </c>
      <c r="AJ18" t="s">
        <v>554</v>
      </c>
      <c r="AK18">
        <v>4.9557999999999998E-2</v>
      </c>
      <c r="AL18" t="str">
        <f>IF($A18="","",IFERROR(INDEX(Company_List!$G$3:$G$207,MATCH($A18,Company_List!$A$3:$A$207,0)),"unassigned"))</f>
        <v>P2</v>
      </c>
      <c r="AM18" t="s">
        <v>608</v>
      </c>
      <c r="AO18" t="s">
        <v>593</v>
      </c>
      <c r="AP18" t="str">
        <f>IF($A18="","",IF(COUNTIFS(LLM_Data_Entry!$A$3:$A$548,$A18)&gt;0,"YES","NO"))</f>
        <v>YES</v>
      </c>
      <c r="AQ18" t="str">
        <f>IF($A18="","",IF(COUNTIFS($A$3:$A18,$A18,$C$3:$C18,$C18,$D$3:$D18,$D18)=1,"YES","NO"))</f>
        <v>YES</v>
      </c>
      <c r="AR18" t="str">
        <f>IF($A18="","",IF(AND($C18&amp;"-"&amp;$D18&gt;=Settings!$B$19,$C18&amp;"-"&amp;$D18&lt;=Settings!$B$20),"IN","OUT"))</f>
        <v>IN</v>
      </c>
      <c r="AS18" t="str">
        <f t="shared" si="5"/>
        <v>full</v>
      </c>
      <c r="AT18">
        <f t="shared" si="6"/>
        <v>4.9599999999999998E-2</v>
      </c>
      <c r="AU18">
        <f t="shared" si="7"/>
        <v>4.9557999999999998E-2</v>
      </c>
      <c r="AV18">
        <f>IF(ISNUMBER($AT18),ABS(IF(ISNUMBER($I18),$I18,0)-Settings!$B$24),"")</f>
        <v>0.75</v>
      </c>
      <c r="AW18">
        <f t="shared" si="8"/>
        <v>3.7199999999999997E-2</v>
      </c>
      <c r="AX18">
        <f>IF(ISNUMBER($AU18),ABS(IF(ISNUMBER($I18),$I18,0)-Settings!$B$24),"")</f>
        <v>0.75</v>
      </c>
      <c r="AY18" t="s">
        <v>549</v>
      </c>
      <c r="AZ18" t="str">
        <f>IF($A18="","",IFERROR(INDEX(Company_List!$H$3:$H$207,MATCH($A18,Company_List!$A$3:$A$207,0)),"unassigned"))</f>
        <v>Information Technology</v>
      </c>
      <c r="BC18">
        <f>IF($A18="","",IF(COUNTIFS($A$3:$A18,$A18,$C$3:$C18,$C18,$D$3:$D18,$D18,$G$3:$G18,$G18)=1,1,0))</f>
        <v>1</v>
      </c>
      <c r="BG18" t="s">
        <v>550</v>
      </c>
      <c r="BK18">
        <f t="shared" si="9"/>
        <v>1</v>
      </c>
      <c r="BL18" t="s">
        <v>551</v>
      </c>
      <c r="BM18">
        <v>6</v>
      </c>
      <c r="BN18" t="s">
        <v>595</v>
      </c>
      <c r="BO18" t="s">
        <v>596</v>
      </c>
      <c r="BP18" t="s">
        <v>550</v>
      </c>
      <c r="BQ18" t="s">
        <v>562</v>
      </c>
      <c r="BS18" t="s">
        <v>554</v>
      </c>
    </row>
    <row r="19" spans="1:71" ht="16.25" customHeight="1" x14ac:dyDescent="0.2">
      <c r="A19" s="95" t="s">
        <v>609</v>
      </c>
      <c r="B19" s="96" t="str">
        <f>IF(A19="","",_xlfn.XLOOKUP(A19, Company_List!$A:$A, Company_List!$B:$B, ""))</f>
        <v>BA</v>
      </c>
      <c r="C19" s="21">
        <v>2025</v>
      </c>
      <c r="D19" s="20" t="s">
        <v>537</v>
      </c>
      <c r="E19" s="19" t="s">
        <v>538</v>
      </c>
      <c r="F19" s="19" t="s">
        <v>538</v>
      </c>
      <c r="G19" s="20" t="s">
        <v>610</v>
      </c>
      <c r="H19" s="20" t="s">
        <v>540</v>
      </c>
      <c r="I19" s="127">
        <v>-0.5</v>
      </c>
      <c r="J19" s="145" t="str">
        <f>IF(OR(I19="",Settings!$B$6=""),"",IF(I19&gt;Settings!$B$6,"BUY",IF(I19&lt;-Settings!$B$6,"SELL","HOLD")))</f>
        <v>SELL</v>
      </c>
      <c r="K19" s="139">
        <v>32</v>
      </c>
      <c r="L19" s="123">
        <v>45770</v>
      </c>
      <c r="M19" s="123">
        <v>45769</v>
      </c>
      <c r="N19" s="127">
        <v>162.52000000000001</v>
      </c>
      <c r="O19" s="123">
        <v>45770</v>
      </c>
      <c r="P19" s="22">
        <v>174</v>
      </c>
      <c r="Q19" s="148">
        <f t="shared" si="0"/>
        <v>7.0599999999999996E-2</v>
      </c>
      <c r="R19" s="20" t="str">
        <f>IF(OR(N19="",P19=""),"",IF(Q19&gt;Settings!$B$3/100,"UP",IF(Q19&lt;-Settings!$B$3/100,"DOWN","FLAT")))</f>
        <v>UP</v>
      </c>
      <c r="S19" s="20" t="str">
        <f t="shared" si="1"/>
        <v>NO</v>
      </c>
      <c r="T19" s="21">
        <f t="shared" si="2"/>
        <v>-1</v>
      </c>
      <c r="U19" s="148">
        <f>IFERROR(IF(OR(J19="",N19="",P19=""),"",IF(T19=0,0,T19*Q19-Settings!$B$4/10000-IF(T19&lt;0,Settings!$B$5/10000,0))),"")</f>
        <v>-7.1599999999999997E-2</v>
      </c>
      <c r="V19" s="15" t="s">
        <v>611</v>
      </c>
      <c r="W19" s="21">
        <f t="shared" si="3"/>
        <v>1920</v>
      </c>
      <c r="X19" s="91" t="str">
        <f t="shared" si="4"/>
        <v>Boeing|2025|Q1</v>
      </c>
      <c r="Y19" s="91" t="str">
        <f>IFERROR(IF($X19="","",INDEX(LLM_Data_Entry!$H$3:$H$548,MATCH($X19,INDEX(LLM_Data_Entry!$A$3:$A$548&amp;"|"&amp;LLM_Data_Entry!$C$3:$C$548&amp;"|"&amp;LLM_Data_Entry!$D$3:$D$548,0),0))),"")</f>
        <v>HOLD</v>
      </c>
      <c r="Z19" s="91" t="str">
        <f>IFERROR(IF($X19="","",INDEX(LLM_Data_Entry!$R$3:$R$548,MATCH($X19,INDEX(LLM_Data_Entry!$A$3:$A$548&amp;"|"&amp;LLM_Data_Entry!$C$3:$C$548&amp;"|"&amp;LLM_Data_Entry!$D$3:$D$548,0),0))),"")</f>
        <v>NO</v>
      </c>
      <c r="AB19" t="s">
        <v>612</v>
      </c>
      <c r="AC19" t="s">
        <v>613</v>
      </c>
      <c r="AD19" t="s">
        <v>614</v>
      </c>
      <c r="AE19">
        <v>162.52000000000001</v>
      </c>
      <c r="AF19" t="s">
        <v>615</v>
      </c>
      <c r="AG19">
        <v>174</v>
      </c>
      <c r="AH19">
        <v>7.063743365401344E-2</v>
      </c>
      <c r="AI19" t="s">
        <v>591</v>
      </c>
      <c r="AJ19" t="s">
        <v>546</v>
      </c>
      <c r="AK19">
        <v>-7.1637000000000006E-2</v>
      </c>
      <c r="AL19" t="str">
        <f>IF($A19="","",IFERROR(INDEX(Company_List!$G$3:$G$207,MATCH($A19,Company_List!$A$3:$A$207,0)),"unassigned"))</f>
        <v>P2</v>
      </c>
      <c r="AM19" t="s">
        <v>616</v>
      </c>
      <c r="AO19" t="s">
        <v>548</v>
      </c>
      <c r="AP19" t="str">
        <f>IF($A19="","",IF(COUNTIFS(LLM_Data_Entry!$A$3:$A$548,$A19)&gt;0,"YES","NO"))</f>
        <v>YES</v>
      </c>
      <c r="AQ19" t="str">
        <f>IF($A19="","",IF(COUNTIFS($A$3:$A19,$A19,$C$3:$C19,$C19,$D$3:$D19,$D19)=1,"YES","NO"))</f>
        <v>YES</v>
      </c>
      <c r="AR19" t="str">
        <f>IF($A19="","",IF(AND($C19&amp;"-"&amp;$D19&gt;=Settings!$B$19,$C19&amp;"-"&amp;$D19&lt;=Settings!$B$20),"IN","OUT"))</f>
        <v>IN</v>
      </c>
      <c r="AS19" t="str">
        <f t="shared" si="5"/>
        <v>full</v>
      </c>
      <c r="AT19">
        <f t="shared" si="6"/>
        <v>-7.1599999999999997E-2</v>
      </c>
      <c r="AU19">
        <f t="shared" si="7"/>
        <v>-7.1637000000000006E-2</v>
      </c>
      <c r="AV19">
        <f>IF(ISNUMBER($AT19),ABS(IF(ISNUMBER($I19),$I19,0)-Settings!$B$24),"")</f>
        <v>0.5</v>
      </c>
      <c r="AW19">
        <f t="shared" si="8"/>
        <v>-3.5799999999999998E-2</v>
      </c>
      <c r="AX19">
        <f>IF(ISNUMBER($AU19),ABS(IF(ISNUMBER($I19),$I19,0)-Settings!$B$24),"")</f>
        <v>0.5</v>
      </c>
      <c r="AY19" t="s">
        <v>549</v>
      </c>
      <c r="AZ19" t="str">
        <f>IF($A19="","",IFERROR(INDEX(Company_List!$H$3:$H$207,MATCH($A19,Company_List!$A$3:$A$207,0)),"unassigned"))</f>
        <v>Industrials</v>
      </c>
      <c r="BC19">
        <f>IF($A19="","",IF(COUNTIFS($A$3:$A19,$A19,$C$3:$C19,$C19,$D$3:$D19,$D19,$G$3:$G19,$G19)=1,1,0))</f>
        <v>1</v>
      </c>
      <c r="BG19" t="s">
        <v>550</v>
      </c>
      <c r="BK19">
        <f t="shared" si="9"/>
        <v>0</v>
      </c>
      <c r="BL19" t="s">
        <v>551</v>
      </c>
      <c r="BM19">
        <v>1</v>
      </c>
      <c r="BN19" t="s">
        <v>617</v>
      </c>
      <c r="BO19" t="s">
        <v>553</v>
      </c>
      <c r="BP19" t="s">
        <v>550</v>
      </c>
      <c r="BQ19" t="s">
        <v>550</v>
      </c>
      <c r="BS19" t="s">
        <v>554</v>
      </c>
    </row>
    <row r="20" spans="1:71" ht="16.25" customHeight="1" x14ac:dyDescent="0.2">
      <c r="A20" s="95" t="s">
        <v>609</v>
      </c>
      <c r="B20" s="96" t="str">
        <f>IF(A20="","",_xlfn.XLOOKUP(A20, Company_List!$A:$A, Company_List!$B:$B, ""))</f>
        <v>BA</v>
      </c>
      <c r="C20" s="21">
        <v>2025</v>
      </c>
      <c r="D20" s="20" t="s">
        <v>555</v>
      </c>
      <c r="E20" s="19" t="s">
        <v>538</v>
      </c>
      <c r="F20" s="19" t="s">
        <v>538</v>
      </c>
      <c r="G20" s="20" t="s">
        <v>610</v>
      </c>
      <c r="H20" s="20" t="s">
        <v>540</v>
      </c>
      <c r="I20" s="127">
        <v>0.6</v>
      </c>
      <c r="J20" s="145" t="str">
        <f>IF(OR(I20="",Settings!$B$6=""),"",IF(I20&gt;Settings!$B$6,"BUY",IF(I20&lt;-Settings!$B$6,"SELL","HOLD")))</f>
        <v>BUY</v>
      </c>
      <c r="K20" s="139">
        <v>28</v>
      </c>
      <c r="L20" s="123">
        <v>45867</v>
      </c>
      <c r="M20" s="123">
        <v>45866</v>
      </c>
      <c r="N20" s="127">
        <v>236.41</v>
      </c>
      <c r="O20" s="123">
        <v>45867</v>
      </c>
      <c r="P20" s="22">
        <v>239.5</v>
      </c>
      <c r="Q20" s="148">
        <f t="shared" si="0"/>
        <v>1.3100000000000001E-2</v>
      </c>
      <c r="R20" s="20" t="str">
        <f>IF(OR(N20="",P20=""),"",IF(Q20&gt;Settings!$B$3/100,"UP",IF(Q20&lt;-Settings!$B$3/100,"DOWN","FLAT")))</f>
        <v>FLAT</v>
      </c>
      <c r="S20" s="20" t="str">
        <f t="shared" si="1"/>
        <v>NO</v>
      </c>
      <c r="T20" s="21">
        <f t="shared" si="2"/>
        <v>1</v>
      </c>
      <c r="U20" s="148">
        <f>IFERROR(IF(OR(J20="",N20="",P20=""),"",IF(T20=0,0,T20*Q20-Settings!$B$4/10000-IF(T20&lt;0,Settings!$B$5/10000,0))),"")</f>
        <v>1.21E-2</v>
      </c>
      <c r="V20" s="15" t="s">
        <v>618</v>
      </c>
      <c r="W20" s="21">
        <f t="shared" si="3"/>
        <v>1680</v>
      </c>
      <c r="X20" s="91" t="str">
        <f t="shared" si="4"/>
        <v>Boeing|2025|Q2</v>
      </c>
      <c r="Y20" s="91" t="str">
        <f>IFERROR(IF($X20="","",INDEX(LLM_Data_Entry!$H$3:$H$548,MATCH($X20,INDEX(LLM_Data_Entry!$A$3:$A$548&amp;"|"&amp;LLM_Data_Entry!$C$3:$C$548&amp;"|"&amp;LLM_Data_Entry!$D$3:$D$548,0),0))),"")</f>
        <v>HOLD</v>
      </c>
      <c r="Z20" s="91" t="str">
        <f>IFERROR(IF($X20="","",INDEX(LLM_Data_Entry!$R$3:$R$548,MATCH($X20,INDEX(LLM_Data_Entry!$A$3:$A$548&amp;"|"&amp;LLM_Data_Entry!$C$3:$C$548&amp;"|"&amp;LLM_Data_Entry!$D$3:$D$548,0),0))),"")</f>
        <v>YES</v>
      </c>
      <c r="AB20" t="s">
        <v>612</v>
      </c>
      <c r="AC20" t="s">
        <v>613</v>
      </c>
      <c r="AD20" t="s">
        <v>619</v>
      </c>
      <c r="AE20">
        <v>236.41</v>
      </c>
      <c r="AF20" t="s">
        <v>620</v>
      </c>
      <c r="AG20">
        <v>239.5</v>
      </c>
      <c r="AH20">
        <v>1.3070495950755051E-2</v>
      </c>
      <c r="AI20" t="s">
        <v>579</v>
      </c>
      <c r="AJ20" t="s">
        <v>546</v>
      </c>
      <c r="AK20">
        <v>1.2070000000000001E-2</v>
      </c>
      <c r="AL20" t="str">
        <f>IF($A20="","",IFERROR(INDEX(Company_List!$G$3:$G$207,MATCH($A20,Company_List!$A$3:$A$207,0)),"unassigned"))</f>
        <v>P2</v>
      </c>
      <c r="AM20" t="s">
        <v>621</v>
      </c>
      <c r="AN20" t="s">
        <v>622</v>
      </c>
      <c r="AO20" t="s">
        <v>560</v>
      </c>
      <c r="AP20" t="str">
        <f>IF($A20="","",IF(COUNTIFS(LLM_Data_Entry!$A$3:$A$548,$A20)&gt;0,"YES","NO"))</f>
        <v>YES</v>
      </c>
      <c r="AQ20" t="str">
        <f>IF($A20="","",IF(COUNTIFS($A$3:$A20,$A20,$C$3:$C20,$C20,$D$3:$D20,$D20)=1,"YES","NO"))</f>
        <v>YES</v>
      </c>
      <c r="AR20" t="str">
        <f>IF($A20="","",IF(AND($C20&amp;"-"&amp;$D20&gt;=Settings!$B$19,$C20&amp;"-"&amp;$D20&lt;=Settings!$B$20),"IN","OUT"))</f>
        <v>IN</v>
      </c>
      <c r="AS20" t="str">
        <f t="shared" si="5"/>
        <v>full</v>
      </c>
      <c r="AT20">
        <f t="shared" si="6"/>
        <v>1.21E-2</v>
      </c>
      <c r="AU20">
        <f t="shared" si="7"/>
        <v>1.2070000000000001E-2</v>
      </c>
      <c r="AV20">
        <f>IF(ISNUMBER($AT20),ABS(IF(ISNUMBER($I20),$I20,0)-Settings!$B$24),"")</f>
        <v>0.6</v>
      </c>
      <c r="AW20">
        <f t="shared" si="8"/>
        <v>7.2599999999999991E-3</v>
      </c>
      <c r="AX20">
        <f>IF(ISNUMBER($AU20),ABS(IF(ISNUMBER($I20),$I20,0)-Settings!$B$24),"")</f>
        <v>0.6</v>
      </c>
      <c r="AY20" t="s">
        <v>549</v>
      </c>
      <c r="AZ20" t="str">
        <f>IF($A20="","",IFERROR(INDEX(Company_List!$H$3:$H$207,MATCH($A20,Company_List!$A$3:$A$207,0)),"unassigned"))</f>
        <v>Industrials</v>
      </c>
      <c r="BC20">
        <f>IF($A20="","",IF(COUNTIFS($A$3:$A20,$A20,$C$3:$C20,$C20,$D$3:$D20,$D20,$G$3:$G20,$G20)=1,1,0))</f>
        <v>1</v>
      </c>
      <c r="BG20" t="s">
        <v>550</v>
      </c>
      <c r="BK20">
        <f t="shared" si="9"/>
        <v>0</v>
      </c>
      <c r="BL20" t="s">
        <v>551</v>
      </c>
      <c r="BM20">
        <v>1</v>
      </c>
      <c r="BN20" t="s">
        <v>561</v>
      </c>
      <c r="BO20" t="s">
        <v>561</v>
      </c>
      <c r="BP20" t="s">
        <v>550</v>
      </c>
      <c r="BQ20" t="s">
        <v>562</v>
      </c>
      <c r="BS20" t="s">
        <v>554</v>
      </c>
    </row>
    <row r="21" spans="1:71" ht="16.25" customHeight="1" x14ac:dyDescent="0.2">
      <c r="A21" s="95" t="s">
        <v>609</v>
      </c>
      <c r="B21" s="96" t="str">
        <f>IF(A21="","",_xlfn.XLOOKUP(A21, Company_List!$A:$A, Company_List!$B:$B, ""))</f>
        <v>BA</v>
      </c>
      <c r="C21" s="21">
        <v>2025</v>
      </c>
      <c r="D21" s="20" t="s">
        <v>563</v>
      </c>
      <c r="E21" s="19" t="s">
        <v>538</v>
      </c>
      <c r="F21" s="19" t="s">
        <v>538</v>
      </c>
      <c r="G21" s="20" t="s">
        <v>610</v>
      </c>
      <c r="H21" s="20" t="s">
        <v>540</v>
      </c>
      <c r="I21" s="127">
        <v>-0.1</v>
      </c>
      <c r="J21" s="145" t="str">
        <f>IF(OR(I21="",Settings!$B$6=""),"",IF(I21&gt;Settings!$B$6,"BUY",IF(I21&lt;-Settings!$B$6,"SELL","HOLD")))</f>
        <v>HOLD</v>
      </c>
      <c r="K21" s="139">
        <v>26</v>
      </c>
      <c r="L21" s="123">
        <v>45959</v>
      </c>
      <c r="M21" s="123">
        <v>45958</v>
      </c>
      <c r="N21" s="127">
        <v>223.33</v>
      </c>
      <c r="O21" s="123">
        <v>45959</v>
      </c>
      <c r="P21" s="22">
        <v>221.36</v>
      </c>
      <c r="Q21" s="148">
        <f t="shared" si="0"/>
        <v>-8.8000000000000005E-3</v>
      </c>
      <c r="R21" s="20" t="str">
        <f>IF(OR(N21="",P21=""),"",IF(Q21&gt;Settings!$B$3/100,"UP",IF(Q21&lt;-Settings!$B$3/100,"DOWN","FLAT")))</f>
        <v>FLAT</v>
      </c>
      <c r="S21" s="20" t="str">
        <f t="shared" si="1"/>
        <v>YES</v>
      </c>
      <c r="T21" s="21">
        <f t="shared" si="2"/>
        <v>0</v>
      </c>
      <c r="U21" s="148">
        <f>IFERROR(IF(OR(J21="",N21="",P21=""),"",IF(T21=0,0,T21*Q21-Settings!$B$4/10000-IF(T21&lt;0,Settings!$B$5/10000,0))),"")</f>
        <v>0</v>
      </c>
      <c r="V21" s="15" t="s">
        <v>623</v>
      </c>
      <c r="W21" s="21">
        <f t="shared" si="3"/>
        <v>1560</v>
      </c>
      <c r="X21" s="91" t="str">
        <f t="shared" si="4"/>
        <v>Boeing|2025|Q3</v>
      </c>
      <c r="Y21" s="91" t="str">
        <f>IFERROR(IF($X21="","",INDEX(LLM_Data_Entry!$H$3:$H$548,MATCH($X21,INDEX(LLM_Data_Entry!$A$3:$A$548&amp;"|"&amp;LLM_Data_Entry!$C$3:$C$548&amp;"|"&amp;LLM_Data_Entry!$D$3:$D$548,0),0))),"")</f>
        <v>SELL</v>
      </c>
      <c r="Z21" s="91" t="str">
        <f>IFERROR(IF($X21="","",INDEX(LLM_Data_Entry!$R$3:$R$548,MATCH($X21,INDEX(LLM_Data_Entry!$A$3:$A$548&amp;"|"&amp;LLM_Data_Entry!$C$3:$C$548&amp;"|"&amp;LLM_Data_Entry!$D$3:$D$548,0),0))),"")</f>
        <v>NO</v>
      </c>
      <c r="AB21" t="s">
        <v>624</v>
      </c>
      <c r="AC21" t="s">
        <v>613</v>
      </c>
      <c r="AD21" t="s">
        <v>625</v>
      </c>
      <c r="AE21">
        <v>223.33</v>
      </c>
      <c r="AF21" t="s">
        <v>626</v>
      </c>
      <c r="AG21">
        <v>221.36</v>
      </c>
      <c r="AH21">
        <v>-8.8210315781934046E-3</v>
      </c>
      <c r="AI21" t="s">
        <v>579</v>
      </c>
      <c r="AJ21" t="s">
        <v>554</v>
      </c>
      <c r="AK21">
        <v>0</v>
      </c>
      <c r="AL21" t="str">
        <f>IF($A21="","",IFERROR(INDEX(Company_List!$G$3:$G$207,MATCH($A21,Company_List!$A$3:$A$207,0)),"unassigned"))</f>
        <v>P2</v>
      </c>
      <c r="AM21" t="s">
        <v>627</v>
      </c>
      <c r="AN21" t="s">
        <v>628</v>
      </c>
      <c r="AO21" t="s">
        <v>560</v>
      </c>
      <c r="AP21" t="str">
        <f>IF($A21="","",IF(COUNTIFS(LLM_Data_Entry!$A$3:$A$548,$A21)&gt;0,"YES","NO"))</f>
        <v>YES</v>
      </c>
      <c r="AQ21" t="str">
        <f>IF($A21="","",IF(COUNTIFS($A$3:$A21,$A21,$C$3:$C21,$C21,$D$3:$D21,$D21)=1,"YES","NO"))</f>
        <v>YES</v>
      </c>
      <c r="AR21" t="str">
        <f>IF($A21="","",IF(AND($C21&amp;"-"&amp;$D21&gt;=Settings!$B$19,$C21&amp;"-"&amp;$D21&lt;=Settings!$B$20),"IN","OUT"))</f>
        <v>IN</v>
      </c>
      <c r="AS21" t="str">
        <f t="shared" si="5"/>
        <v>full</v>
      </c>
      <c r="AT21" t="str">
        <f t="shared" si="6"/>
        <v/>
      </c>
      <c r="AU21" t="str">
        <f t="shared" si="7"/>
        <v/>
      </c>
      <c r="AV21" t="str">
        <f>IF(ISNUMBER($AT21),ABS(IF(ISNUMBER($I21),$I21,0)-Settings!$B$24),"")</f>
        <v/>
      </c>
      <c r="AW21" t="str">
        <f t="shared" si="8"/>
        <v/>
      </c>
      <c r="AX21" t="str">
        <f>IF(ISNUMBER($AU21),ABS(IF(ISNUMBER($I21),$I21,0)-Settings!$B$24),"")</f>
        <v/>
      </c>
      <c r="AY21" t="s">
        <v>549</v>
      </c>
      <c r="AZ21" t="str">
        <f>IF($A21="","",IFERROR(INDEX(Company_List!$H$3:$H$207,MATCH($A21,Company_List!$A$3:$A$207,0)),"unassigned"))</f>
        <v>Industrials</v>
      </c>
      <c r="BC21">
        <f>IF($A21="","",IF(COUNTIFS($A$3:$A21,$A21,$C$3:$C21,$C21,$D$3:$D21,$D21,$G$3:$G21,$G21)=1,1,0))</f>
        <v>1</v>
      </c>
      <c r="BG21" t="s">
        <v>550</v>
      </c>
      <c r="BK21">
        <f t="shared" si="9"/>
        <v>0</v>
      </c>
      <c r="BL21" t="s">
        <v>551</v>
      </c>
      <c r="BM21">
        <v>1</v>
      </c>
      <c r="BN21" t="s">
        <v>561</v>
      </c>
      <c r="BO21" t="s">
        <v>561</v>
      </c>
      <c r="BP21" t="s">
        <v>550</v>
      </c>
      <c r="BQ21" t="s">
        <v>562</v>
      </c>
      <c r="BS21" t="s">
        <v>554</v>
      </c>
    </row>
    <row r="22" spans="1:71" ht="16.25" customHeight="1" x14ac:dyDescent="0.2">
      <c r="A22" s="95" t="s">
        <v>609</v>
      </c>
      <c r="B22" s="96" t="str">
        <f>IF(A22="","",_xlfn.XLOOKUP(A22, Company_List!$A:$A, Company_List!$B:$B, ""))</f>
        <v>BA</v>
      </c>
      <c r="C22" s="21">
        <v>2025</v>
      </c>
      <c r="D22" s="20" t="s">
        <v>569</v>
      </c>
      <c r="E22" s="19" t="s">
        <v>538</v>
      </c>
      <c r="F22" s="19" t="s">
        <v>538</v>
      </c>
      <c r="G22" s="20" t="s">
        <v>610</v>
      </c>
      <c r="H22" s="20" t="s">
        <v>540</v>
      </c>
      <c r="I22" s="127">
        <v>0.7</v>
      </c>
      <c r="J22" s="145" t="str">
        <f>IF(OR(I22="",Settings!$B$6=""),"",IF(I22&gt;Settings!$B$6,"BUY",IF(I22&lt;-Settings!$B$6,"SELL","HOLD")))</f>
        <v>BUY</v>
      </c>
      <c r="K22" s="139">
        <v>18</v>
      </c>
      <c r="L22" s="123">
        <v>46049</v>
      </c>
      <c r="M22" s="123">
        <v>46048</v>
      </c>
      <c r="N22" s="127">
        <v>248.43</v>
      </c>
      <c r="O22" s="123">
        <v>46049</v>
      </c>
      <c r="P22" s="22">
        <v>242.5</v>
      </c>
      <c r="Q22" s="148">
        <f t="shared" si="0"/>
        <v>-2.3900000000000001E-2</v>
      </c>
      <c r="R22" s="20" t="str">
        <f>IF(OR(N22="",P22=""),"",IF(Q22&gt;Settings!$B$3/100,"UP",IF(Q22&lt;-Settings!$B$3/100,"DOWN","FLAT")))</f>
        <v>DOWN</v>
      </c>
      <c r="S22" s="20" t="str">
        <f t="shared" si="1"/>
        <v>NO</v>
      </c>
      <c r="T22" s="21">
        <f t="shared" si="2"/>
        <v>1</v>
      </c>
      <c r="U22" s="148">
        <f>IFERROR(IF(OR(J22="",N22="",P22=""),"",IF(T22=0,0,T22*Q22-Settings!$B$4/10000-IF(T22&lt;0,Settings!$B$5/10000,0))),"")</f>
        <v>-2.4900000000000002E-2</v>
      </c>
      <c r="V22" s="15" t="s">
        <v>629</v>
      </c>
      <c r="W22" s="21">
        <f t="shared" si="3"/>
        <v>1080</v>
      </c>
      <c r="X22" s="91" t="str">
        <f t="shared" si="4"/>
        <v>Boeing|2025|Q4</v>
      </c>
      <c r="Y22" s="91" t="str">
        <f>IFERROR(IF($X22="","",INDEX(LLM_Data_Entry!$H$3:$H$548,MATCH($X22,INDEX(LLM_Data_Entry!$A$3:$A$548&amp;"|"&amp;LLM_Data_Entry!$C$3:$C$548&amp;"|"&amp;LLM_Data_Entry!$D$3:$D$548,0),0))),"")</f>
        <v>HOLD</v>
      </c>
      <c r="Z22" s="91" t="str">
        <f>IFERROR(IF($X22="","",INDEX(LLM_Data_Entry!$R$3:$R$548,MATCH($X22,INDEX(LLM_Data_Entry!$A$3:$A$548&amp;"|"&amp;LLM_Data_Entry!$C$3:$C$548&amp;"|"&amp;LLM_Data_Entry!$D$3:$D$548,0),0))),"")</f>
        <v>NO</v>
      </c>
      <c r="AB22" t="s">
        <v>630</v>
      </c>
      <c r="AC22" t="s">
        <v>613</v>
      </c>
      <c r="AD22" t="s">
        <v>631</v>
      </c>
      <c r="AE22">
        <v>248.43</v>
      </c>
      <c r="AF22" t="s">
        <v>632</v>
      </c>
      <c r="AG22">
        <v>242.5</v>
      </c>
      <c r="AH22">
        <v>-2.386987548641116E-2</v>
      </c>
      <c r="AI22" t="s">
        <v>545</v>
      </c>
      <c r="AJ22" t="s">
        <v>546</v>
      </c>
      <c r="AK22">
        <v>-2.487E-2</v>
      </c>
      <c r="AL22" t="str">
        <f>IF($A22="","",IFERROR(INDEX(Company_List!$G$3:$G$207,MATCH($A22,Company_List!$A$3:$A$207,0)),"unassigned"))</f>
        <v>P2</v>
      </c>
      <c r="AM22" t="s">
        <v>633</v>
      </c>
      <c r="AN22" t="s">
        <v>634</v>
      </c>
      <c r="AO22" t="s">
        <v>560</v>
      </c>
      <c r="AP22" t="str">
        <f>IF($A22="","",IF(COUNTIFS(LLM_Data_Entry!$A$3:$A$548,$A22)&gt;0,"YES","NO"))</f>
        <v>YES</v>
      </c>
      <c r="AQ22" t="str">
        <f>IF($A22="","",IF(COUNTIFS($A$3:$A22,$A22,$C$3:$C22,$C22,$D$3:$D22,$D22)=1,"YES","NO"))</f>
        <v>YES</v>
      </c>
      <c r="AR22" t="str">
        <f>IF($A22="","",IF(AND($C22&amp;"-"&amp;$D22&gt;=Settings!$B$19,$C22&amp;"-"&amp;$D22&lt;=Settings!$B$20),"IN","OUT"))</f>
        <v>IN</v>
      </c>
      <c r="AS22" t="str">
        <f t="shared" si="5"/>
        <v>full</v>
      </c>
      <c r="AT22">
        <f t="shared" si="6"/>
        <v>-2.4900000000000002E-2</v>
      </c>
      <c r="AU22">
        <f t="shared" si="7"/>
        <v>-2.487E-2</v>
      </c>
      <c r="AV22">
        <f>IF(ISNUMBER($AT22),ABS(IF(ISNUMBER($I22),$I22,0)-Settings!$B$24),"")</f>
        <v>0.7</v>
      </c>
      <c r="AW22">
        <f t="shared" si="8"/>
        <v>-1.7430000000000001E-2</v>
      </c>
      <c r="AX22">
        <f>IF(ISNUMBER($AU22),ABS(IF(ISNUMBER($I22),$I22,0)-Settings!$B$24),"")</f>
        <v>0.7</v>
      </c>
      <c r="AY22" t="s">
        <v>549</v>
      </c>
      <c r="AZ22" t="str">
        <f>IF($A22="","",IFERROR(INDEX(Company_List!$H$3:$H$207,MATCH($A22,Company_List!$A$3:$A$207,0)),"unassigned"))</f>
        <v>Industrials</v>
      </c>
      <c r="BC22">
        <f>IF($A22="","",IF(COUNTIFS($A$3:$A22,$A22,$C$3:$C22,$C22,$D$3:$D22,$D22,$G$3:$G22,$G22)=1,1,0))</f>
        <v>1</v>
      </c>
      <c r="BG22" t="s">
        <v>550</v>
      </c>
      <c r="BK22">
        <f t="shared" si="9"/>
        <v>0</v>
      </c>
      <c r="BL22" t="s">
        <v>551</v>
      </c>
      <c r="BM22">
        <v>1</v>
      </c>
      <c r="BN22" t="s">
        <v>561</v>
      </c>
      <c r="BO22" t="s">
        <v>561</v>
      </c>
      <c r="BP22" t="s">
        <v>550</v>
      </c>
      <c r="BQ22" t="s">
        <v>562</v>
      </c>
      <c r="BS22" t="s">
        <v>554</v>
      </c>
    </row>
    <row r="23" spans="1:71" ht="16.25" customHeight="1" x14ac:dyDescent="0.2">
      <c r="A23" s="95" t="s">
        <v>635</v>
      </c>
      <c r="B23" s="96" t="str">
        <f>IF(A23="","",_xlfn.XLOOKUP(A23, Company_List!$A:$A, Company_List!$B:$B, ""))</f>
        <v>DIS</v>
      </c>
      <c r="C23" s="21">
        <v>2025</v>
      </c>
      <c r="D23" s="20" t="s">
        <v>537</v>
      </c>
      <c r="E23" s="19" t="s">
        <v>538</v>
      </c>
      <c r="F23" s="19" t="s">
        <v>538</v>
      </c>
      <c r="G23" s="20" t="s">
        <v>574</v>
      </c>
      <c r="H23" s="20" t="s">
        <v>540</v>
      </c>
      <c r="I23" s="127">
        <v>0.4</v>
      </c>
      <c r="J23" s="145" t="str">
        <f>IF(OR(I23="",Settings!$B$6=""),"",IF(I23&gt;Settings!$B$6,"BUY",IF(I23&lt;-Settings!$B$6,"SELL","HOLD")))</f>
        <v>BUY</v>
      </c>
      <c r="K23" s="139">
        <v>60</v>
      </c>
      <c r="L23" s="123">
        <v>45693</v>
      </c>
      <c r="M23" s="123">
        <v>45692</v>
      </c>
      <c r="N23" s="127">
        <v>113.3</v>
      </c>
      <c r="O23" s="123">
        <v>45693</v>
      </c>
      <c r="P23" s="22">
        <v>115.7</v>
      </c>
      <c r="Q23" s="148">
        <f t="shared" si="0"/>
        <v>2.12E-2</v>
      </c>
      <c r="R23" s="20" t="str">
        <f>IF(OR(N23="",P23=""),"",IF(Q23&gt;Settings!$B$3/100,"UP",IF(Q23&lt;-Settings!$B$3/100,"DOWN","FLAT")))</f>
        <v>UP</v>
      </c>
      <c r="S23" s="20" t="str">
        <f t="shared" si="1"/>
        <v>YES</v>
      </c>
      <c r="T23" s="21">
        <f t="shared" si="2"/>
        <v>1</v>
      </c>
      <c r="U23" s="148">
        <f>IFERROR(IF(OR(J23="",N23="",P23=""),"",IF(T23=0,0,T23*Q23-Settings!$B$4/10000-IF(T23&lt;0,Settings!$B$5/10000,0))),"")</f>
        <v>2.0199999999999999E-2</v>
      </c>
      <c r="V23" s="23"/>
      <c r="W23" s="21">
        <f t="shared" si="3"/>
        <v>3600</v>
      </c>
      <c r="X23" s="91" t="str">
        <f t="shared" si="4"/>
        <v>Disney|2025|Q1</v>
      </c>
      <c r="Y23" s="91" t="str">
        <f>IFERROR(IF($X23="","",INDEX(LLM_Data_Entry!$H$3:$H$548,MATCH($X23,INDEX(LLM_Data_Entry!$A$3:$A$548&amp;"|"&amp;LLM_Data_Entry!$C$3:$C$548&amp;"|"&amp;LLM_Data_Entry!$D$3:$D$548,0),0))),"")</f>
        <v>HOLD</v>
      </c>
      <c r="Z23" s="91" t="str">
        <f>IFERROR(IF($X23="","",INDEX(LLM_Data_Entry!$R$3:$R$548,MATCH($X23,INDEX(LLM_Data_Entry!$A$3:$A$548&amp;"|"&amp;LLM_Data_Entry!$C$3:$C$548&amp;"|"&amp;LLM_Data_Entry!$D$3:$D$548,0),0))),"")</f>
        <v>NO</v>
      </c>
      <c r="AB23" t="s">
        <v>636</v>
      </c>
      <c r="AC23" t="s">
        <v>637</v>
      </c>
      <c r="AD23" t="s">
        <v>638</v>
      </c>
      <c r="AE23">
        <v>111.2086</v>
      </c>
      <c r="AF23" t="s">
        <v>639</v>
      </c>
      <c r="AG23">
        <v>113.5643</v>
      </c>
      <c r="AH23">
        <v>2.1182587780951119E-2</v>
      </c>
      <c r="AI23" t="s">
        <v>591</v>
      </c>
      <c r="AJ23" t="s">
        <v>554</v>
      </c>
      <c r="AK23">
        <v>2.0183E-2</v>
      </c>
      <c r="AL23" t="str">
        <f>IF($A23="","",IFERROR(INDEX(Company_List!$G$3:$G$207,MATCH($A23,Company_List!$A$3:$A$207,0)),"unassigned"))</f>
        <v>P2</v>
      </c>
      <c r="AM23" t="s">
        <v>640</v>
      </c>
      <c r="AO23" t="s">
        <v>548</v>
      </c>
      <c r="AP23" t="str">
        <f>IF($A23="","",IF(COUNTIFS(LLM_Data_Entry!$A$3:$A$548,$A23)&gt;0,"YES","NO"))</f>
        <v>YES</v>
      </c>
      <c r="AQ23" t="str">
        <f>IF($A23="","",IF(COUNTIFS($A$3:$A23,$A23,$C$3:$C23,$C23,$D$3:$D23,$D23)=1,"YES","NO"))</f>
        <v>YES</v>
      </c>
      <c r="AR23" t="str">
        <f>IF($A23="","",IF(AND($C23&amp;"-"&amp;$D23&gt;=Settings!$B$19,$C23&amp;"-"&amp;$D23&lt;=Settings!$B$20),"IN","OUT"))</f>
        <v>IN</v>
      </c>
      <c r="AS23" t="str">
        <f t="shared" si="5"/>
        <v>full</v>
      </c>
      <c r="AT23">
        <f t="shared" si="6"/>
        <v>2.0199999999999999E-2</v>
      </c>
      <c r="AU23">
        <f t="shared" si="7"/>
        <v>2.0183E-2</v>
      </c>
      <c r="AV23">
        <f>IF(ISNUMBER($AT23),ABS(IF(ISNUMBER($I23),$I23,0)-Settings!$B$24),"")</f>
        <v>0.4</v>
      </c>
      <c r="AW23">
        <f t="shared" si="8"/>
        <v>8.0800000000000004E-3</v>
      </c>
      <c r="AX23">
        <f>IF(ISNUMBER($AU23),ABS(IF(ISNUMBER($I23),$I23,0)-Settings!$B$24),"")</f>
        <v>0.4</v>
      </c>
      <c r="AY23" t="s">
        <v>549</v>
      </c>
      <c r="AZ23" t="str">
        <f>IF($A23="","",IFERROR(INDEX(Company_List!$H$3:$H$207,MATCH($A23,Company_List!$A$3:$A$207,0)),"unassigned"))</f>
        <v>Communication Services</v>
      </c>
      <c r="BC23">
        <f>IF($A23="","",IF(COUNTIFS($A$3:$A23,$A23,$C$3:$C23,$C23,$D$3:$D23,$D23,$G$3:$G23,$G23)=1,1,0))</f>
        <v>1</v>
      </c>
      <c r="BG23" t="s">
        <v>550</v>
      </c>
      <c r="BK23">
        <f t="shared" si="9"/>
        <v>0</v>
      </c>
      <c r="BL23" t="s">
        <v>551</v>
      </c>
      <c r="BM23">
        <v>1</v>
      </c>
      <c r="BN23" t="s">
        <v>595</v>
      </c>
      <c r="BO23" t="s">
        <v>596</v>
      </c>
      <c r="BP23" t="s">
        <v>550</v>
      </c>
      <c r="BQ23" t="s">
        <v>550</v>
      </c>
      <c r="BS23" t="s">
        <v>554</v>
      </c>
    </row>
    <row r="24" spans="1:71" ht="16.25" customHeight="1" x14ac:dyDescent="0.2">
      <c r="A24" s="95" t="s">
        <v>635</v>
      </c>
      <c r="B24" s="96" t="str">
        <f>IF(A24="","",_xlfn.XLOOKUP(A24, Company_List!$A:$A, Company_List!$B:$B, ""))</f>
        <v>DIS</v>
      </c>
      <c r="C24" s="21">
        <v>2025</v>
      </c>
      <c r="D24" s="20" t="s">
        <v>563</v>
      </c>
      <c r="E24" s="19" t="s">
        <v>538</v>
      </c>
      <c r="F24" s="19" t="s">
        <v>538</v>
      </c>
      <c r="G24" s="20" t="s">
        <v>574</v>
      </c>
      <c r="H24" s="20" t="s">
        <v>540</v>
      </c>
      <c r="I24" s="127">
        <v>0.5</v>
      </c>
      <c r="J24" s="145" t="str">
        <f>IF(OR(I24="",Settings!$B$6=""),"",IF(I24&gt;Settings!$B$6,"BUY",IF(I24&lt;-Settings!$B$6,"SELL","HOLD")))</f>
        <v>BUY</v>
      </c>
      <c r="K24" s="139">
        <v>45</v>
      </c>
      <c r="L24" s="123">
        <v>45875</v>
      </c>
      <c r="M24" s="123">
        <v>45874</v>
      </c>
      <c r="N24" s="127">
        <v>118.32</v>
      </c>
      <c r="O24" s="123">
        <v>45875</v>
      </c>
      <c r="P24" s="22">
        <v>115.78</v>
      </c>
      <c r="Q24" s="148">
        <f t="shared" si="0"/>
        <v>-2.1499999999999998E-2</v>
      </c>
      <c r="R24" s="20" t="str">
        <f>IF(OR(N24="",P24=""),"",IF(Q24&gt;Settings!$B$3/100,"UP",IF(Q24&lt;-Settings!$B$3/100,"DOWN","FLAT")))</f>
        <v>DOWN</v>
      </c>
      <c r="S24" s="20" t="str">
        <f t="shared" si="1"/>
        <v>NO</v>
      </c>
      <c r="T24" s="21">
        <f t="shared" si="2"/>
        <v>1</v>
      </c>
      <c r="U24" s="148">
        <f>IFERROR(IF(OR(J24="",N24="",P24=""),"",IF(T24=0,0,T24*Q24-Settings!$B$4/10000-IF(T24&lt;0,Settings!$B$5/10000,0))),"")</f>
        <v>-2.2499999999999999E-2</v>
      </c>
      <c r="V24" s="23"/>
      <c r="W24" s="21">
        <f t="shared" si="3"/>
        <v>2700</v>
      </c>
      <c r="X24" s="91" t="str">
        <f t="shared" si="4"/>
        <v>Disney|2025|Q3</v>
      </c>
      <c r="Y24" s="91" t="str">
        <f>IFERROR(IF($X24="","",INDEX(LLM_Data_Entry!$H$3:$H$548,MATCH($X24,INDEX(LLM_Data_Entry!$A$3:$A$548&amp;"|"&amp;LLM_Data_Entry!$C$3:$C$548&amp;"|"&amp;LLM_Data_Entry!$D$3:$D$548,0),0))),"")</f>
        <v>HOLD</v>
      </c>
      <c r="Z24" s="91" t="str">
        <f>IFERROR(IF($X24="","",INDEX(LLM_Data_Entry!$R$3:$R$548,MATCH($X24,INDEX(LLM_Data_Entry!$A$3:$A$548&amp;"|"&amp;LLM_Data_Entry!$C$3:$C$548&amp;"|"&amp;LLM_Data_Entry!$D$3:$D$548,0),0))),"")</f>
        <v>NO</v>
      </c>
      <c r="AB24" t="s">
        <v>541</v>
      </c>
      <c r="AC24" t="s">
        <v>637</v>
      </c>
      <c r="AD24" t="s">
        <v>641</v>
      </c>
      <c r="AE24">
        <v>116.63120000000001</v>
      </c>
      <c r="AF24" t="s">
        <v>642</v>
      </c>
      <c r="AG24">
        <v>114.12739999999999</v>
      </c>
      <c r="AH24">
        <v>-2.1467297103971241E-2</v>
      </c>
      <c r="AI24" t="s">
        <v>545</v>
      </c>
      <c r="AJ24" t="s">
        <v>546</v>
      </c>
      <c r="AK24">
        <v>-2.2467000000000001E-2</v>
      </c>
      <c r="AL24" t="str">
        <f>IF($A24="","",IFERROR(INDEX(Company_List!$G$3:$G$207,MATCH($A24,Company_List!$A$3:$A$207,0)),"unassigned"))</f>
        <v>P2</v>
      </c>
      <c r="AM24" t="s">
        <v>643</v>
      </c>
      <c r="AO24" t="s">
        <v>548</v>
      </c>
      <c r="AP24" t="str">
        <f>IF($A24="","",IF(COUNTIFS(LLM_Data_Entry!$A$3:$A$548,$A24)&gt;0,"YES","NO"))</f>
        <v>YES</v>
      </c>
      <c r="AQ24" t="str">
        <f>IF($A24="","",IF(COUNTIFS($A$3:$A24,$A24,$C$3:$C24,$C24,$D$3:$D24,$D24)=1,"YES","NO"))</f>
        <v>YES</v>
      </c>
      <c r="AR24" t="str">
        <f>IF($A24="","",IF(AND($C24&amp;"-"&amp;$D24&gt;=Settings!$B$19,$C24&amp;"-"&amp;$D24&lt;=Settings!$B$20),"IN","OUT"))</f>
        <v>IN</v>
      </c>
      <c r="AS24" t="str">
        <f t="shared" si="5"/>
        <v>full</v>
      </c>
      <c r="AT24">
        <f t="shared" si="6"/>
        <v>-2.2499999999999999E-2</v>
      </c>
      <c r="AU24">
        <f t="shared" si="7"/>
        <v>-2.2467000000000001E-2</v>
      </c>
      <c r="AV24">
        <f>IF(ISNUMBER($AT24),ABS(IF(ISNUMBER($I24),$I24,0)-Settings!$B$24),"")</f>
        <v>0.5</v>
      </c>
      <c r="AW24">
        <f t="shared" si="8"/>
        <v>-1.125E-2</v>
      </c>
      <c r="AX24">
        <f>IF(ISNUMBER($AU24),ABS(IF(ISNUMBER($I24),$I24,0)-Settings!$B$24),"")</f>
        <v>0.5</v>
      </c>
      <c r="AY24" t="s">
        <v>549</v>
      </c>
      <c r="AZ24" t="str">
        <f>IF($A24="","",IFERROR(INDEX(Company_List!$H$3:$H$207,MATCH($A24,Company_List!$A$3:$A$207,0)),"unassigned"))</f>
        <v>Communication Services</v>
      </c>
      <c r="BC24">
        <f>IF($A24="","",IF(COUNTIFS($A$3:$A24,$A24,$C$3:$C24,$C24,$D$3:$D24,$D24,$G$3:$G24,$G24)=1,1,0))</f>
        <v>1</v>
      </c>
      <c r="BG24" t="s">
        <v>550</v>
      </c>
      <c r="BK24">
        <f t="shared" si="9"/>
        <v>0</v>
      </c>
      <c r="BL24" t="s">
        <v>551</v>
      </c>
      <c r="BM24">
        <v>1</v>
      </c>
      <c r="BN24" t="s">
        <v>561</v>
      </c>
      <c r="BO24" t="s">
        <v>561</v>
      </c>
      <c r="BP24" t="s">
        <v>550</v>
      </c>
      <c r="BQ24" t="s">
        <v>550</v>
      </c>
      <c r="BS24" t="s">
        <v>554</v>
      </c>
    </row>
    <row r="25" spans="1:71" ht="16.25" customHeight="1" x14ac:dyDescent="0.2">
      <c r="A25" s="95" t="s">
        <v>635</v>
      </c>
      <c r="B25" s="96" t="str">
        <f>IF(A25="","",_xlfn.XLOOKUP(A25, Company_List!$A:$A, Company_List!$B:$B, ""))</f>
        <v>DIS</v>
      </c>
      <c r="C25" s="21">
        <v>2025</v>
      </c>
      <c r="D25" s="20" t="s">
        <v>569</v>
      </c>
      <c r="E25" s="19" t="s">
        <v>538</v>
      </c>
      <c r="F25" s="19" t="s">
        <v>538</v>
      </c>
      <c r="G25" s="20" t="s">
        <v>574</v>
      </c>
      <c r="H25" s="20" t="s">
        <v>540</v>
      </c>
      <c r="I25" s="127">
        <v>0.6</v>
      </c>
      <c r="J25" s="145" t="str">
        <f>IF(OR(I25="",Settings!$B$6=""),"",IF(I25&gt;Settings!$B$6,"BUY",IF(I25&lt;-Settings!$B$6,"SELL","HOLD")))</f>
        <v>BUY</v>
      </c>
      <c r="K25" s="139">
        <v>60</v>
      </c>
      <c r="L25" s="123">
        <v>45974</v>
      </c>
      <c r="M25" s="123">
        <v>45973</v>
      </c>
      <c r="N25" s="127">
        <v>116.65</v>
      </c>
      <c r="O25" s="123">
        <v>45974</v>
      </c>
      <c r="P25" s="22">
        <v>108.89</v>
      </c>
      <c r="Q25" s="148">
        <f t="shared" si="0"/>
        <v>-6.6500000000000004E-2</v>
      </c>
      <c r="R25" s="20" t="str">
        <f>IF(OR(N25="",P25=""),"",IF(Q25&gt;Settings!$B$3/100,"UP",IF(Q25&lt;-Settings!$B$3/100,"DOWN","FLAT")))</f>
        <v>DOWN</v>
      </c>
      <c r="S25" s="20" t="str">
        <f t="shared" si="1"/>
        <v>NO</v>
      </c>
      <c r="T25" s="21">
        <f t="shared" si="2"/>
        <v>1</v>
      </c>
      <c r="U25" s="148">
        <f>IFERROR(IF(OR(J25="",N25="",P25=""),"",IF(T25=0,0,T25*Q25-Settings!$B$4/10000-IF(T25&lt;0,Settings!$B$5/10000,0))),"")</f>
        <v>-6.7500000000000004E-2</v>
      </c>
      <c r="V25" s="23"/>
      <c r="W25" s="21">
        <f t="shared" si="3"/>
        <v>3600</v>
      </c>
      <c r="X25" s="91" t="str">
        <f t="shared" si="4"/>
        <v>Disney|2025|Q4</v>
      </c>
      <c r="Y25" s="91" t="str">
        <f>IFERROR(IF($X25="","",INDEX(LLM_Data_Entry!$H$3:$H$548,MATCH($X25,INDEX(LLM_Data_Entry!$A$3:$A$548&amp;"|"&amp;LLM_Data_Entry!$C$3:$C$548&amp;"|"&amp;LLM_Data_Entry!$D$3:$D$548,0),0))),"")</f>
        <v>BUY</v>
      </c>
      <c r="Z25" s="91" t="str">
        <f>IFERROR(IF($X25="","",INDEX(LLM_Data_Entry!$R$3:$R$548,MATCH($X25,INDEX(LLM_Data_Entry!$A$3:$A$548&amp;"|"&amp;LLM_Data_Entry!$C$3:$C$548&amp;"|"&amp;LLM_Data_Entry!$D$3:$D$548,0),0))),"")</f>
        <v>NO</v>
      </c>
      <c r="AB25" t="s">
        <v>541</v>
      </c>
      <c r="AC25" t="s">
        <v>637</v>
      </c>
      <c r="AD25" t="s">
        <v>644</v>
      </c>
      <c r="AE25">
        <v>114.985</v>
      </c>
      <c r="AF25" t="s">
        <v>645</v>
      </c>
      <c r="AG25">
        <v>107.33580000000001</v>
      </c>
      <c r="AH25">
        <v>-6.6523850976772464E-2</v>
      </c>
      <c r="AI25" t="s">
        <v>545</v>
      </c>
      <c r="AJ25" t="s">
        <v>546</v>
      </c>
      <c r="AK25">
        <v>-6.7524000000000001E-2</v>
      </c>
      <c r="AL25" t="str">
        <f>IF($A25="","",IFERROR(INDEX(Company_List!$G$3:$G$207,MATCH($A25,Company_List!$A$3:$A$207,0)),"unassigned"))</f>
        <v>P2</v>
      </c>
      <c r="AM25" t="s">
        <v>646</v>
      </c>
      <c r="AO25" t="s">
        <v>548</v>
      </c>
      <c r="AP25" t="str">
        <f>IF($A25="","",IF(COUNTIFS(LLM_Data_Entry!$A$3:$A$548,$A25)&gt;0,"YES","NO"))</f>
        <v>YES</v>
      </c>
      <c r="AQ25" t="str">
        <f>IF($A25="","",IF(COUNTIFS($A$3:$A25,$A25,$C$3:$C25,$C25,$D$3:$D25,$D25)=1,"YES","NO"))</f>
        <v>YES</v>
      </c>
      <c r="AR25" t="str">
        <f>IF($A25="","",IF(AND($C25&amp;"-"&amp;$D25&gt;=Settings!$B$19,$C25&amp;"-"&amp;$D25&lt;=Settings!$B$20),"IN","OUT"))</f>
        <v>IN</v>
      </c>
      <c r="AS25" t="str">
        <f t="shared" si="5"/>
        <v>full</v>
      </c>
      <c r="AT25">
        <f t="shared" si="6"/>
        <v>-6.7500000000000004E-2</v>
      </c>
      <c r="AU25">
        <f t="shared" si="7"/>
        <v>-6.7524000000000001E-2</v>
      </c>
      <c r="AV25">
        <f>IF(ISNUMBER($AT25),ABS(IF(ISNUMBER($I25),$I25,0)-Settings!$B$24),"")</f>
        <v>0.6</v>
      </c>
      <c r="AW25">
        <f t="shared" si="8"/>
        <v>-4.0500000000000001E-2</v>
      </c>
      <c r="AX25">
        <f>IF(ISNUMBER($AU25),ABS(IF(ISNUMBER($I25),$I25,0)-Settings!$B$24),"")</f>
        <v>0.6</v>
      </c>
      <c r="AY25" t="s">
        <v>549</v>
      </c>
      <c r="AZ25" t="str">
        <f>IF($A25="","",IFERROR(INDEX(Company_List!$H$3:$H$207,MATCH($A25,Company_List!$A$3:$A$207,0)),"unassigned"))</f>
        <v>Communication Services</v>
      </c>
      <c r="BC25">
        <f>IF($A25="","",IF(COUNTIFS($A$3:$A25,$A25,$C$3:$C25,$C25,$D$3:$D25,$D25,$G$3:$G25,$G25)=1,1,0))</f>
        <v>1</v>
      </c>
      <c r="BG25" t="s">
        <v>550</v>
      </c>
      <c r="BK25">
        <f t="shared" si="9"/>
        <v>1</v>
      </c>
      <c r="BL25" t="s">
        <v>551</v>
      </c>
      <c r="BM25">
        <v>1</v>
      </c>
      <c r="BN25" t="s">
        <v>561</v>
      </c>
      <c r="BO25" t="s">
        <v>561</v>
      </c>
      <c r="BP25" t="s">
        <v>550</v>
      </c>
      <c r="BQ25" t="s">
        <v>550</v>
      </c>
      <c r="BS25" t="s">
        <v>554</v>
      </c>
    </row>
    <row r="26" spans="1:71" ht="16.25" customHeight="1" x14ac:dyDescent="0.2">
      <c r="A26" s="95" t="s">
        <v>536</v>
      </c>
      <c r="B26" s="96" t="str">
        <f>IF(A26="","",_xlfn.XLOOKUP(A26, Company_List!$A:$A, Company_List!$B:$B, ""))</f>
        <v>NFLX</v>
      </c>
      <c r="C26" s="21">
        <v>2025</v>
      </c>
      <c r="D26" s="20" t="s">
        <v>563</v>
      </c>
      <c r="E26" s="19" t="s">
        <v>647</v>
      </c>
      <c r="F26" s="19" t="s">
        <v>538</v>
      </c>
      <c r="G26" s="20" t="s">
        <v>648</v>
      </c>
      <c r="H26" s="20" t="s">
        <v>540</v>
      </c>
      <c r="I26" s="127">
        <v>0.5</v>
      </c>
      <c r="J26" s="145" t="str">
        <f>IF(OR(I26="",Settings!$B$6=""),"",IF(I26&gt;Settings!$B$6,"BUY",IF(I26&lt;-Settings!$B$6,"SELL","HOLD")))</f>
        <v>BUY</v>
      </c>
      <c r="K26" s="139">
        <v>62</v>
      </c>
      <c r="L26" s="123">
        <v>45951</v>
      </c>
      <c r="M26" s="123">
        <v>45951</v>
      </c>
      <c r="N26" s="127">
        <v>124.13500000000001</v>
      </c>
      <c r="O26" s="123">
        <v>45952</v>
      </c>
      <c r="P26" s="22">
        <v>114.29</v>
      </c>
      <c r="Q26" s="148">
        <f t="shared" si="0"/>
        <v>-7.9299999999999995E-2</v>
      </c>
      <c r="R26" s="20" t="str">
        <f>IF(OR(N26="",P26=""),"",IF(Q26&gt;Settings!$B$3/100,"UP",IF(Q26&lt;-Settings!$B$3/100,"DOWN","FLAT")))</f>
        <v>DOWN</v>
      </c>
      <c r="S26" s="20" t="str">
        <f t="shared" si="1"/>
        <v>NO</v>
      </c>
      <c r="T26" s="21">
        <f t="shared" si="2"/>
        <v>1</v>
      </c>
      <c r="U26" s="148">
        <f>IFERROR(IF(OR(J26="",N26="",P26=""),"",IF(T26=0,0,T26*Q26-Settings!$B$4/10000-IF(T26&lt;0,Settings!$B$5/10000,0))),"")</f>
        <v>-8.0299999999999996E-2</v>
      </c>
      <c r="V26" s="23"/>
      <c r="W26" s="21">
        <f t="shared" si="3"/>
        <v>3720</v>
      </c>
      <c r="X26" s="91" t="str">
        <f t="shared" si="4"/>
        <v>Netflix|2025|Q3</v>
      </c>
      <c r="Y26" s="91" t="str">
        <f>IFERROR(IF($X26="","",INDEX(LLM_Data_Entry!$H$3:$H$548,MATCH($X26,INDEX(LLM_Data_Entry!$A$3:$A$548&amp;"|"&amp;LLM_Data_Entry!$C$3:$C$548&amp;"|"&amp;LLM_Data_Entry!$D$3:$D$548,0),0))),"")</f>
        <v>HOLD</v>
      </c>
      <c r="Z26" s="91" t="str">
        <f>IFERROR(IF($X26="","",INDEX(LLM_Data_Entry!$R$3:$R$548,MATCH($X26,INDEX(LLM_Data_Entry!$A$3:$A$548&amp;"|"&amp;LLM_Data_Entry!$C$3:$C$548&amp;"|"&amp;LLM_Data_Entry!$D$3:$D$548,0),0))),"")</f>
        <v>NO</v>
      </c>
      <c r="AB26" t="s">
        <v>564</v>
      </c>
      <c r="AC26" t="s">
        <v>542</v>
      </c>
      <c r="AD26" t="s">
        <v>565</v>
      </c>
      <c r="AE26">
        <v>124.13500000000001</v>
      </c>
      <c r="AF26" t="s">
        <v>566</v>
      </c>
      <c r="AG26">
        <v>114.29</v>
      </c>
      <c r="AH26">
        <v>-7.9308823791697444E-2</v>
      </c>
      <c r="AI26" t="s">
        <v>545</v>
      </c>
      <c r="AJ26" t="s">
        <v>546</v>
      </c>
      <c r="AK26">
        <v>-8.0309000000000005E-2</v>
      </c>
      <c r="AL26" t="str">
        <f>IF($A26="","",IFERROR(INDEX(Company_List!$G$3:$G$207,MATCH($A26,Company_List!$A$3:$A$207,0)),"unassigned"))</f>
        <v>P2</v>
      </c>
      <c r="AM26" t="s">
        <v>567</v>
      </c>
      <c r="AN26" t="s">
        <v>568</v>
      </c>
      <c r="AO26" t="s">
        <v>560</v>
      </c>
      <c r="AP26" t="str">
        <f>IF($A26="","",IF(COUNTIFS(LLM_Data_Entry!$A$3:$A$548,$A26)&gt;0,"YES","NO"))</f>
        <v>YES</v>
      </c>
      <c r="AQ26" t="str">
        <f>IF($A26="","",IF(COUNTIFS($A$3:$A26,$A26,$C$3:$C26,$C26,$D$3:$D26,$D26)=1,"YES","NO"))</f>
        <v>NO</v>
      </c>
      <c r="AR26" t="str">
        <f>IF($A26="","",IF(AND($C26&amp;"-"&amp;$D26&gt;=Settings!$B$19,$C26&amp;"-"&amp;$D26&lt;=Settings!$B$20),"IN","OUT"))</f>
        <v>IN</v>
      </c>
      <c r="AS26" t="str">
        <f t="shared" si="5"/>
        <v>transcript only</v>
      </c>
      <c r="AT26">
        <f t="shared" si="6"/>
        <v>-8.0299999999999996E-2</v>
      </c>
      <c r="AU26">
        <f t="shared" si="7"/>
        <v>-8.0309000000000005E-2</v>
      </c>
      <c r="AV26">
        <f>IF(ISNUMBER($AT26),ABS(IF(ISNUMBER($I26),$I26,0)-Settings!$B$24),"")</f>
        <v>0.5</v>
      </c>
      <c r="AW26">
        <f t="shared" si="8"/>
        <v>-4.0149999999999998E-2</v>
      </c>
      <c r="AX26">
        <f>IF(ISNUMBER($AU26),ABS(IF(ISNUMBER($I26),$I26,0)-Settings!$B$24),"")</f>
        <v>0.5</v>
      </c>
      <c r="AY26" t="s">
        <v>549</v>
      </c>
      <c r="AZ26" t="str">
        <f>IF($A26="","",IFERROR(INDEX(Company_List!$H$3:$H$207,MATCH($A26,Company_List!$A$3:$A$207,0)),"unassigned"))</f>
        <v>Communication Services</v>
      </c>
      <c r="BC26">
        <f>IF($A26="","",IF(COUNTIFS($A$3:$A26,$A26,$C$3:$C26,$C26,$D$3:$D26,$D26,$G$3:$G26,$G26)=1,1,0))</f>
        <v>1</v>
      </c>
      <c r="BG26" t="s">
        <v>550</v>
      </c>
      <c r="BK26">
        <f t="shared" si="9"/>
        <v>0</v>
      </c>
      <c r="BL26" t="s">
        <v>551</v>
      </c>
      <c r="BM26">
        <v>1</v>
      </c>
      <c r="BN26" t="s">
        <v>561</v>
      </c>
      <c r="BO26" t="s">
        <v>561</v>
      </c>
      <c r="BP26" t="s">
        <v>550</v>
      </c>
      <c r="BQ26" t="s">
        <v>562</v>
      </c>
      <c r="BR26" t="s">
        <v>649</v>
      </c>
      <c r="BS26" t="s">
        <v>554</v>
      </c>
    </row>
    <row r="27" spans="1:71" ht="16.25" customHeight="1" x14ac:dyDescent="0.2">
      <c r="A27" s="95" t="s">
        <v>536</v>
      </c>
      <c r="B27" s="96" t="str">
        <f>IF(A27="","",_xlfn.XLOOKUP(A27, Company_List!$A:$A, Company_List!$B:$B, ""))</f>
        <v>NFLX</v>
      </c>
      <c r="C27" s="21">
        <v>2025</v>
      </c>
      <c r="D27" s="20" t="s">
        <v>569</v>
      </c>
      <c r="E27" s="19" t="s">
        <v>647</v>
      </c>
      <c r="F27" s="19" t="s">
        <v>538</v>
      </c>
      <c r="G27" s="20" t="s">
        <v>648</v>
      </c>
      <c r="H27" s="20" t="s">
        <v>540</v>
      </c>
      <c r="I27" s="127">
        <v>0.6</v>
      </c>
      <c r="J27" s="145" t="str">
        <f>IF(OR(I27="",Settings!$B$6=""),"",IF(I27&gt;Settings!$B$6,"BUY",IF(I27&lt;-Settings!$B$6,"SELL","HOLD")))</f>
        <v>BUY</v>
      </c>
      <c r="K27" s="139">
        <v>60</v>
      </c>
      <c r="L27" s="123">
        <v>46042</v>
      </c>
      <c r="M27" s="123">
        <v>46042</v>
      </c>
      <c r="N27" s="127">
        <v>87.26</v>
      </c>
      <c r="O27" s="123">
        <v>46043</v>
      </c>
      <c r="P27" s="22">
        <v>82.52</v>
      </c>
      <c r="Q27" s="148">
        <f t="shared" si="0"/>
        <v>-5.4300000000000001E-2</v>
      </c>
      <c r="R27" s="20" t="str">
        <f>IF(OR(N27="",P27=""),"",IF(Q27&gt;Settings!$B$3/100,"UP",IF(Q27&lt;-Settings!$B$3/100,"DOWN","FLAT")))</f>
        <v>DOWN</v>
      </c>
      <c r="S27" s="20" t="str">
        <f t="shared" si="1"/>
        <v>NO</v>
      </c>
      <c r="T27" s="21">
        <f t="shared" si="2"/>
        <v>1</v>
      </c>
      <c r="U27" s="148">
        <f>IFERROR(IF(OR(J27="",N27="",P27=""),"",IF(T27=0,0,T27*Q27-Settings!$B$4/10000-IF(T27&lt;0,Settings!$B$5/10000,0))),"")</f>
        <v>-5.5300000000000002E-2</v>
      </c>
      <c r="V27" s="23"/>
      <c r="W27" s="21">
        <f t="shared" si="3"/>
        <v>3600</v>
      </c>
      <c r="X27" s="91" t="str">
        <f t="shared" si="4"/>
        <v>Netflix|2025|Q4</v>
      </c>
      <c r="Y27" s="91" t="str">
        <f>IFERROR(IF($X27="","",INDEX(LLM_Data_Entry!$H$3:$H$548,MATCH($X27,INDEX(LLM_Data_Entry!$A$3:$A$548&amp;"|"&amp;LLM_Data_Entry!$C$3:$C$548&amp;"|"&amp;LLM_Data_Entry!$D$3:$D$548,0),0))),"")</f>
        <v>BUY</v>
      </c>
      <c r="Z27" s="91" t="str">
        <f>IFERROR(IF($X27="","",INDEX(LLM_Data_Entry!$R$3:$R$548,MATCH($X27,INDEX(LLM_Data_Entry!$A$3:$A$548&amp;"|"&amp;LLM_Data_Entry!$C$3:$C$548&amp;"|"&amp;LLM_Data_Entry!$D$3:$D$548,0),0))),"")</f>
        <v>NO</v>
      </c>
      <c r="AB27" t="s">
        <v>564</v>
      </c>
      <c r="AC27" t="s">
        <v>542</v>
      </c>
      <c r="AD27" t="s">
        <v>570</v>
      </c>
      <c r="AE27">
        <v>87.26</v>
      </c>
      <c r="AF27" t="s">
        <v>571</v>
      </c>
      <c r="AG27">
        <v>82.52</v>
      </c>
      <c r="AH27">
        <v>-5.4320477783165719E-2</v>
      </c>
      <c r="AI27" t="s">
        <v>545</v>
      </c>
      <c r="AJ27" t="s">
        <v>546</v>
      </c>
      <c r="AK27">
        <v>-5.5320000000000001E-2</v>
      </c>
      <c r="AL27" t="str">
        <f>IF($A27="","",IFERROR(INDEX(Company_List!$G$3:$G$207,MATCH($A27,Company_List!$A$3:$A$207,0)),"unassigned"))</f>
        <v>P2</v>
      </c>
      <c r="AM27" t="s">
        <v>572</v>
      </c>
      <c r="AN27" t="s">
        <v>573</v>
      </c>
      <c r="AO27" t="s">
        <v>560</v>
      </c>
      <c r="AP27" t="str">
        <f>IF($A27="","",IF(COUNTIFS(LLM_Data_Entry!$A$3:$A$548,$A27)&gt;0,"YES","NO"))</f>
        <v>YES</v>
      </c>
      <c r="AQ27" t="str">
        <f>IF($A27="","",IF(COUNTIFS($A$3:$A27,$A27,$C$3:$C27,$C27,$D$3:$D27,$D27)=1,"YES","NO"))</f>
        <v>NO</v>
      </c>
      <c r="AR27" t="str">
        <f>IF($A27="","",IF(AND($C27&amp;"-"&amp;$D27&gt;=Settings!$B$19,$C27&amp;"-"&amp;$D27&lt;=Settings!$B$20),"IN","OUT"))</f>
        <v>IN</v>
      </c>
      <c r="AS27" t="str">
        <f t="shared" si="5"/>
        <v>transcript only</v>
      </c>
      <c r="AT27">
        <f t="shared" si="6"/>
        <v>-5.5300000000000002E-2</v>
      </c>
      <c r="AU27">
        <f t="shared" si="7"/>
        <v>-5.5320000000000001E-2</v>
      </c>
      <c r="AV27">
        <f>IF(ISNUMBER($AT27),ABS(IF(ISNUMBER($I27),$I27,0)-Settings!$B$24),"")</f>
        <v>0.6</v>
      </c>
      <c r="AW27">
        <f t="shared" si="8"/>
        <v>-3.3180000000000001E-2</v>
      </c>
      <c r="AX27">
        <f>IF(ISNUMBER($AU27),ABS(IF(ISNUMBER($I27),$I27,0)-Settings!$B$24),"")</f>
        <v>0.6</v>
      </c>
      <c r="AY27" t="s">
        <v>549</v>
      </c>
      <c r="AZ27" t="str">
        <f>IF($A27="","",IFERROR(INDEX(Company_List!$H$3:$H$207,MATCH($A27,Company_List!$A$3:$A$207,0)),"unassigned"))</f>
        <v>Communication Services</v>
      </c>
      <c r="BC27">
        <f>IF($A27="","",IF(COUNTIFS($A$3:$A27,$A27,$C$3:$C27,$C27,$D$3:$D27,$D27,$G$3:$G27,$G27)=1,1,0))</f>
        <v>1</v>
      </c>
      <c r="BG27" t="s">
        <v>550</v>
      </c>
      <c r="BK27">
        <f t="shared" si="9"/>
        <v>1</v>
      </c>
      <c r="BL27" t="s">
        <v>551</v>
      </c>
      <c r="BM27">
        <v>1</v>
      </c>
      <c r="BN27" t="s">
        <v>561</v>
      </c>
      <c r="BO27" t="s">
        <v>561</v>
      </c>
      <c r="BP27" t="s">
        <v>550</v>
      </c>
      <c r="BQ27" t="s">
        <v>562</v>
      </c>
      <c r="BR27" t="s">
        <v>649</v>
      </c>
      <c r="BS27" t="s">
        <v>554</v>
      </c>
    </row>
    <row r="28" spans="1:71" ht="16.25" customHeight="1" x14ac:dyDescent="0.2">
      <c r="A28" s="95" t="s">
        <v>536</v>
      </c>
      <c r="B28" s="96" t="str">
        <f>IF(A28="","",_xlfn.XLOOKUP(A28, Company_List!$A:$A, Company_List!$B:$B, ""))</f>
        <v>NFLX</v>
      </c>
      <c r="C28" s="21">
        <v>2024</v>
      </c>
      <c r="D28" s="20" t="s">
        <v>569</v>
      </c>
      <c r="E28" s="19" t="s">
        <v>647</v>
      </c>
      <c r="F28" s="19" t="s">
        <v>538</v>
      </c>
      <c r="G28" s="20" t="s">
        <v>648</v>
      </c>
      <c r="H28" s="20" t="s">
        <v>540</v>
      </c>
      <c r="I28" s="127">
        <v>0.8</v>
      </c>
      <c r="J28" s="145" t="str">
        <f>IF(OR(I28="",Settings!$B$6=""),"",IF(I28&gt;Settings!$B$6,"BUY",IF(I28&lt;-Settings!$B$6,"SELL","HOLD")))</f>
        <v>BUY</v>
      </c>
      <c r="K28" s="139">
        <v>47</v>
      </c>
      <c r="L28" s="123">
        <v>45678</v>
      </c>
      <c r="M28" s="123">
        <v>45678</v>
      </c>
      <c r="N28" s="127">
        <v>86.968000000000004</v>
      </c>
      <c r="O28" s="123">
        <v>45679</v>
      </c>
      <c r="P28" s="22">
        <v>99.8</v>
      </c>
      <c r="Q28" s="148">
        <f t="shared" si="0"/>
        <v>0.14749999999999999</v>
      </c>
      <c r="R28" s="20" t="str">
        <f>IF(OR(N28="",P28=""),"",IF(Q28&gt;Settings!$B$3/100,"UP",IF(Q28&lt;-Settings!$B$3/100,"DOWN","FLAT")))</f>
        <v>UP</v>
      </c>
      <c r="S28" s="20" t="str">
        <f t="shared" si="1"/>
        <v>YES</v>
      </c>
      <c r="T28" s="21">
        <f t="shared" si="2"/>
        <v>1</v>
      </c>
      <c r="U28" s="148">
        <f>IFERROR(IF(OR(J28="",N28="",P28=""),"",IF(T28=0,0,T28*Q28-Settings!$B$4/10000-IF(T28&lt;0,Settings!$B$5/10000,0))),"")</f>
        <v>0.14649999999999999</v>
      </c>
      <c r="V28" s="23"/>
      <c r="W28" s="21">
        <f t="shared" si="3"/>
        <v>2820</v>
      </c>
      <c r="X28" s="91" t="str">
        <f t="shared" si="4"/>
        <v>Netflix|2024|Q4</v>
      </c>
      <c r="Y28" s="91" t="str">
        <f>IFERROR(IF($X28="","",INDEX(LLM_Data_Entry!$H$3:$H$548,MATCH($X28,INDEX(LLM_Data_Entry!$A$3:$A$548&amp;"|"&amp;LLM_Data_Entry!$C$3:$C$548&amp;"|"&amp;LLM_Data_Entry!$D$3:$D$548,0),0))),"")</f>
        <v>BUY</v>
      </c>
      <c r="Z28" s="91" t="str">
        <f>IFERROR(IF($X28="","",INDEX(LLM_Data_Entry!$R$3:$R$548,MATCH($X28,INDEX(LLM_Data_Entry!$A$3:$A$548&amp;"|"&amp;LLM_Data_Entry!$C$3:$C$548&amp;"|"&amp;LLM_Data_Entry!$D$3:$D$548,0),0))),"")</f>
        <v>YES</v>
      </c>
      <c r="AB28" t="s">
        <v>564</v>
      </c>
      <c r="AC28" t="s">
        <v>542</v>
      </c>
      <c r="AD28" t="s">
        <v>650</v>
      </c>
      <c r="AE28">
        <v>86.968000000000004</v>
      </c>
      <c r="AF28" t="s">
        <v>651</v>
      </c>
      <c r="AG28">
        <v>99.802999999999997</v>
      </c>
      <c r="AH28">
        <v>0.14758300414904321</v>
      </c>
      <c r="AI28" t="s">
        <v>591</v>
      </c>
      <c r="AJ28" t="s">
        <v>554</v>
      </c>
      <c r="AK28">
        <v>0.14658299999999999</v>
      </c>
      <c r="AL28" t="str">
        <f>IF($A28="","",IFERROR(INDEX(Company_List!$G$3:$G$207,MATCH($A28,Company_List!$A$3:$A$207,0)),"unassigned"))</f>
        <v>P2</v>
      </c>
      <c r="AM28" t="s">
        <v>652</v>
      </c>
      <c r="AN28" t="s">
        <v>653</v>
      </c>
      <c r="AO28" t="s">
        <v>560</v>
      </c>
      <c r="AP28" t="str">
        <f>IF($A28="","",IF(COUNTIFS(LLM_Data_Entry!$A$3:$A$548,$A28)&gt;0,"YES","NO"))</f>
        <v>YES</v>
      </c>
      <c r="AQ28" t="str">
        <f>IF($A28="","",IF(COUNTIFS($A$3:$A28,$A28,$C$3:$C28,$C28,$D$3:$D28,$D28)=1,"YES","NO"))</f>
        <v>YES</v>
      </c>
      <c r="AR28" t="str">
        <f>IF($A28="","",IF(AND($C28&amp;"-"&amp;$D28&gt;=Settings!$B$19,$C28&amp;"-"&amp;$D28&lt;=Settings!$B$20),"IN","OUT"))</f>
        <v>IN</v>
      </c>
      <c r="AS28" t="str">
        <f t="shared" si="5"/>
        <v>transcript only</v>
      </c>
      <c r="AT28">
        <f t="shared" si="6"/>
        <v>0.14649999999999999</v>
      </c>
      <c r="AU28">
        <f t="shared" si="7"/>
        <v>0.14658299999999999</v>
      </c>
      <c r="AV28">
        <f>IF(ISNUMBER($AT28),ABS(IF(ISNUMBER($I28),$I28,0)-Settings!$B$24),"")</f>
        <v>0.8</v>
      </c>
      <c r="AW28">
        <f t="shared" si="8"/>
        <v>0.1172</v>
      </c>
      <c r="AX28">
        <f>IF(ISNUMBER($AU28),ABS(IF(ISNUMBER($I28),$I28,0)-Settings!$B$24),"")</f>
        <v>0.8</v>
      </c>
      <c r="AY28" t="s">
        <v>549</v>
      </c>
      <c r="AZ28" t="str">
        <f>IF($A28="","",IFERROR(INDEX(Company_List!$H$3:$H$207,MATCH($A28,Company_List!$A$3:$A$207,0)),"unassigned"))</f>
        <v>Communication Services</v>
      </c>
      <c r="BC28">
        <f>IF($A28="","",IF(COUNTIFS($A$3:$A28,$A28,$C$3:$C28,$C28,$D$3:$D28,$D28,$G$3:$G28,$G28)=1,1,0))</f>
        <v>1</v>
      </c>
      <c r="BG28" t="s">
        <v>550</v>
      </c>
      <c r="BK28">
        <f t="shared" si="9"/>
        <v>1</v>
      </c>
      <c r="BL28" t="s">
        <v>551</v>
      </c>
      <c r="BM28">
        <v>1</v>
      </c>
      <c r="BN28" t="s">
        <v>561</v>
      </c>
      <c r="BO28" t="s">
        <v>561</v>
      </c>
      <c r="BP28" t="s">
        <v>550</v>
      </c>
      <c r="BQ28" t="s">
        <v>562</v>
      </c>
      <c r="BR28" t="s">
        <v>649</v>
      </c>
      <c r="BS28" t="s">
        <v>554</v>
      </c>
    </row>
    <row r="29" spans="1:71" ht="16.25" customHeight="1" x14ac:dyDescent="0.2">
      <c r="A29" s="95" t="s">
        <v>654</v>
      </c>
      <c r="B29" s="96" t="str">
        <f>IF(A29="","",_xlfn.XLOOKUP(A29, Company_List!$A:$A, Company_List!$B:$B, ""))</f>
        <v>AMZN</v>
      </c>
      <c r="C29" s="21">
        <v>2026</v>
      </c>
      <c r="D29" s="20" t="s">
        <v>537</v>
      </c>
      <c r="E29" s="19" t="s">
        <v>538</v>
      </c>
      <c r="F29" s="19" t="s">
        <v>538</v>
      </c>
      <c r="G29" s="20" t="s">
        <v>648</v>
      </c>
      <c r="H29" s="20" t="s">
        <v>540</v>
      </c>
      <c r="I29" s="127">
        <v>0.8</v>
      </c>
      <c r="J29" s="145" t="str">
        <f>IF(OR(I29="",Settings!$B$6=""),"",IF(I29&gt;Settings!$B$6,"BUY",IF(I29&lt;-Settings!$B$6,"SELL","HOLD")))</f>
        <v>BUY</v>
      </c>
      <c r="K29" s="139">
        <v>52</v>
      </c>
      <c r="L29" s="123">
        <v>46141</v>
      </c>
      <c r="M29" s="123">
        <v>46141</v>
      </c>
      <c r="N29" s="127">
        <v>263.04000000000002</v>
      </c>
      <c r="O29" s="123">
        <v>46142</v>
      </c>
      <c r="P29" s="22">
        <v>273.17</v>
      </c>
      <c r="Q29" s="148">
        <f t="shared" si="0"/>
        <v>3.85E-2</v>
      </c>
      <c r="R29" s="20" t="str">
        <f>IF(OR(N29="",P29=""),"",IF(Q29&gt;Settings!$B$3/100,"UP",IF(Q29&lt;-Settings!$B$3/100,"DOWN","FLAT")))</f>
        <v>UP</v>
      </c>
      <c r="S29" s="20" t="str">
        <f t="shared" si="1"/>
        <v>YES</v>
      </c>
      <c r="T29" s="21">
        <f t="shared" si="2"/>
        <v>1</v>
      </c>
      <c r="U29" s="148">
        <f>IFERROR(IF(OR(J29="",N29="",P29=""),"",IF(T29=0,0,T29*Q29-Settings!$B$4/10000-IF(T29&lt;0,Settings!$B$5/10000,0))),"")</f>
        <v>3.7499999999999999E-2</v>
      </c>
      <c r="V29" s="23"/>
      <c r="W29" s="21">
        <f t="shared" si="3"/>
        <v>3120</v>
      </c>
      <c r="X29" s="91" t="str">
        <f t="shared" si="4"/>
        <v>Amazon|2026|Q1</v>
      </c>
      <c r="Y29" s="91" t="str">
        <f>IFERROR(IF($X29="","",INDEX(LLM_Data_Entry!$H$3:$H$548,MATCH($X29,INDEX(LLM_Data_Entry!$A$3:$A$548&amp;"|"&amp;LLM_Data_Entry!$C$3:$C$548&amp;"|"&amp;LLM_Data_Entry!$D$3:$D$548,0),0))),"")</f>
        <v>BUY</v>
      </c>
      <c r="Z29" s="91" t="str">
        <f>IFERROR(IF($X29="","",INDEX(LLM_Data_Entry!$R$3:$R$548,MATCH($X29,INDEX(LLM_Data_Entry!$A$3:$A$548&amp;"|"&amp;LLM_Data_Entry!$C$3:$C$548&amp;"|"&amp;LLM_Data_Entry!$D$3:$D$548,0),0))),"")</f>
        <v>YES</v>
      </c>
      <c r="AB29" t="s">
        <v>564</v>
      </c>
      <c r="AC29" t="s">
        <v>655</v>
      </c>
      <c r="AD29" t="s">
        <v>656</v>
      </c>
      <c r="AE29">
        <v>263.04000000000002</v>
      </c>
      <c r="AF29" t="s">
        <v>657</v>
      </c>
      <c r="AG29">
        <v>273.17</v>
      </c>
      <c r="AH29">
        <v>3.8511266930499478E-2</v>
      </c>
      <c r="AI29" t="s">
        <v>591</v>
      </c>
      <c r="AJ29" t="s">
        <v>554</v>
      </c>
      <c r="AK29">
        <v>3.7511000000000003E-2</v>
      </c>
      <c r="AL29" t="str">
        <f>IF($A29="","",IFERROR(INDEX(Company_List!$G$3:$G$207,MATCH($A29,Company_List!$A$3:$A$207,0)),"unassigned"))</f>
        <v>P2</v>
      </c>
      <c r="AM29" t="s">
        <v>658</v>
      </c>
      <c r="AN29" t="s">
        <v>659</v>
      </c>
      <c r="AO29" t="s">
        <v>560</v>
      </c>
      <c r="AP29" t="str">
        <f>IF($A29="","",IF(COUNTIFS(LLM_Data_Entry!$A$3:$A$548,$A29)&gt;0,"YES","NO"))</f>
        <v>YES</v>
      </c>
      <c r="AQ29" t="str">
        <f>IF($A29="","",IF(COUNTIFS($A$3:$A29,$A29,$C$3:$C29,$C29,$D$3:$D29,$D29)=1,"YES","NO"))</f>
        <v>YES</v>
      </c>
      <c r="AR29" t="str">
        <f>IF($A29="","",IF(AND($C29&amp;"-"&amp;$D29&gt;=Settings!$B$19,$C29&amp;"-"&amp;$D29&lt;=Settings!$B$20),"IN","OUT"))</f>
        <v>IN</v>
      </c>
      <c r="AS29" t="str">
        <f t="shared" si="5"/>
        <v>full</v>
      </c>
      <c r="AT29">
        <f t="shared" si="6"/>
        <v>3.7499999999999999E-2</v>
      </c>
      <c r="AU29">
        <f t="shared" si="7"/>
        <v>3.7511000000000003E-2</v>
      </c>
      <c r="AV29">
        <f>IF(ISNUMBER($AT29),ABS(IF(ISNUMBER($I29),$I29,0)-Settings!$B$24),"")</f>
        <v>0.8</v>
      </c>
      <c r="AW29">
        <f t="shared" si="8"/>
        <v>0.03</v>
      </c>
      <c r="AX29">
        <f>IF(ISNUMBER($AU29),ABS(IF(ISNUMBER($I29),$I29,0)-Settings!$B$24),"")</f>
        <v>0.8</v>
      </c>
      <c r="AY29" t="s">
        <v>549</v>
      </c>
      <c r="AZ29" t="str">
        <f>IF($A29="","",IFERROR(INDEX(Company_List!$H$3:$H$207,MATCH($A29,Company_List!$A$3:$A$207,0)),"unassigned"))</f>
        <v>Consumer Discretionary</v>
      </c>
      <c r="BC29">
        <f>IF($A29="","",IF(COUNTIFS($A$3:$A29,$A29,$C$3:$C29,$C29,$D$3:$D29,$D29,$G$3:$G29,$G29)=1,1,0))</f>
        <v>1</v>
      </c>
      <c r="BG29" t="s">
        <v>550</v>
      </c>
      <c r="BK29">
        <f t="shared" si="9"/>
        <v>1</v>
      </c>
      <c r="BL29" t="s">
        <v>551</v>
      </c>
      <c r="BM29">
        <v>1</v>
      </c>
      <c r="BN29" t="s">
        <v>561</v>
      </c>
      <c r="BO29" t="s">
        <v>561</v>
      </c>
      <c r="BP29" t="s">
        <v>550</v>
      </c>
      <c r="BQ29" t="s">
        <v>562</v>
      </c>
      <c r="BR29" t="s">
        <v>649</v>
      </c>
      <c r="BS29" t="s">
        <v>554</v>
      </c>
    </row>
    <row r="30" spans="1:71" ht="16.25" customHeight="1" x14ac:dyDescent="0.2">
      <c r="A30" s="95" t="s">
        <v>654</v>
      </c>
      <c r="B30" s="96" t="str">
        <f>IF(A30="","",_xlfn.XLOOKUP(A30, Company_List!$A:$A, Company_List!$B:$B, ""))</f>
        <v>AMZN</v>
      </c>
      <c r="C30" s="21">
        <v>2025</v>
      </c>
      <c r="D30" s="20" t="s">
        <v>563</v>
      </c>
      <c r="E30" s="19" t="s">
        <v>538</v>
      </c>
      <c r="F30" s="19" t="s">
        <v>538</v>
      </c>
      <c r="G30" s="20" t="s">
        <v>648</v>
      </c>
      <c r="H30" s="20" t="s">
        <v>540</v>
      </c>
      <c r="I30" s="127">
        <v>-0.5</v>
      </c>
      <c r="J30" s="145" t="str">
        <f>IF(OR(I30="",Settings!$B$6=""),"",IF(I30&gt;Settings!$B$6,"BUY",IF(I30&lt;-Settings!$B$6,"SELL","HOLD")))</f>
        <v>SELL</v>
      </c>
      <c r="K30" s="139">
        <v>47</v>
      </c>
      <c r="L30" s="123">
        <v>45960</v>
      </c>
      <c r="M30" s="123">
        <v>45960</v>
      </c>
      <c r="N30" s="127">
        <v>222.86</v>
      </c>
      <c r="O30" s="123">
        <v>45961</v>
      </c>
      <c r="P30" s="22">
        <v>250.1</v>
      </c>
      <c r="Q30" s="148">
        <f t="shared" si="0"/>
        <v>0.1222</v>
      </c>
      <c r="R30" s="20" t="str">
        <f>IF(OR(N30="",P30=""),"",IF(Q30&gt;Settings!$B$3/100,"UP",IF(Q30&lt;-Settings!$B$3/100,"DOWN","FLAT")))</f>
        <v>UP</v>
      </c>
      <c r="S30" s="20" t="str">
        <f t="shared" si="1"/>
        <v>NO</v>
      </c>
      <c r="T30" s="21">
        <f t="shared" si="2"/>
        <v>-1</v>
      </c>
      <c r="U30" s="148">
        <f>IFERROR(IF(OR(J30="",N30="",P30=""),"",IF(T30=0,0,T30*Q30-Settings!$B$4/10000-IF(T30&lt;0,Settings!$B$5/10000,0))),"")</f>
        <v>-0.1232</v>
      </c>
      <c r="V30" s="23"/>
      <c r="W30" s="21">
        <f t="shared" si="3"/>
        <v>2820</v>
      </c>
      <c r="X30" s="91" t="str">
        <f t="shared" si="4"/>
        <v>Amazon|2025|Q3</v>
      </c>
      <c r="Y30" s="91" t="str">
        <f>IFERROR(IF($X30="","",INDEX(LLM_Data_Entry!$H$3:$H$548,MATCH($X30,INDEX(LLM_Data_Entry!$A$3:$A$548&amp;"|"&amp;LLM_Data_Entry!$C$3:$C$548&amp;"|"&amp;LLM_Data_Entry!$D$3:$D$548,0),0))),"")</f>
        <v>SELL</v>
      </c>
      <c r="Z30" s="91" t="str">
        <f>IFERROR(IF($X30="","",INDEX(LLM_Data_Entry!$R$3:$R$548,MATCH($X30,INDEX(LLM_Data_Entry!$A$3:$A$548&amp;"|"&amp;LLM_Data_Entry!$C$3:$C$548&amp;"|"&amp;LLM_Data_Entry!$D$3:$D$548,0),0))),"")</f>
        <v>NO</v>
      </c>
      <c r="AB30" t="s">
        <v>564</v>
      </c>
      <c r="AC30" t="s">
        <v>655</v>
      </c>
      <c r="AD30" t="s">
        <v>660</v>
      </c>
      <c r="AE30">
        <v>222.86</v>
      </c>
      <c r="AF30" t="s">
        <v>661</v>
      </c>
      <c r="AG30">
        <v>250.1</v>
      </c>
      <c r="AH30">
        <v>0.1222292240768679</v>
      </c>
      <c r="AI30" t="s">
        <v>591</v>
      </c>
      <c r="AJ30" t="s">
        <v>546</v>
      </c>
      <c r="AK30">
        <v>-0.12322900000000001</v>
      </c>
      <c r="AL30" t="str">
        <f>IF($A30="","",IFERROR(INDEX(Company_List!$G$3:$G$207,MATCH($A30,Company_List!$A$3:$A$207,0)),"unassigned"))</f>
        <v>P2</v>
      </c>
      <c r="AM30" t="s">
        <v>662</v>
      </c>
      <c r="AN30" t="s">
        <v>663</v>
      </c>
      <c r="AO30" t="s">
        <v>560</v>
      </c>
      <c r="AP30" t="str">
        <f>IF($A30="","",IF(COUNTIFS(LLM_Data_Entry!$A$3:$A$548,$A30)&gt;0,"YES","NO"))</f>
        <v>YES</v>
      </c>
      <c r="AQ30" t="str">
        <f>IF($A30="","",IF(COUNTIFS($A$3:$A30,$A30,$C$3:$C30,$C30,$D$3:$D30,$D30)=1,"YES","NO"))</f>
        <v>YES</v>
      </c>
      <c r="AR30" t="str">
        <f>IF($A30="","",IF(AND($C30&amp;"-"&amp;$D30&gt;=Settings!$B$19,$C30&amp;"-"&amp;$D30&lt;=Settings!$B$20),"IN","OUT"))</f>
        <v>IN</v>
      </c>
      <c r="AS30" t="str">
        <f t="shared" si="5"/>
        <v>full</v>
      </c>
      <c r="AT30">
        <f t="shared" si="6"/>
        <v>-0.1232</v>
      </c>
      <c r="AU30">
        <f t="shared" si="7"/>
        <v>-0.12322900000000001</v>
      </c>
      <c r="AV30">
        <f>IF(ISNUMBER($AT30),ABS(IF(ISNUMBER($I30),$I30,0)-Settings!$B$24),"")</f>
        <v>0.5</v>
      </c>
      <c r="AW30">
        <f t="shared" si="8"/>
        <v>-6.1600000000000002E-2</v>
      </c>
      <c r="AX30">
        <f>IF(ISNUMBER($AU30),ABS(IF(ISNUMBER($I30),$I30,0)-Settings!$B$24),"")</f>
        <v>0.5</v>
      </c>
      <c r="AY30" t="s">
        <v>549</v>
      </c>
      <c r="AZ30" t="str">
        <f>IF($A30="","",IFERROR(INDEX(Company_List!$H$3:$H$207,MATCH($A30,Company_List!$A$3:$A$207,0)),"unassigned"))</f>
        <v>Consumer Discretionary</v>
      </c>
      <c r="BC30">
        <f>IF($A30="","",IF(COUNTIFS($A$3:$A30,$A30,$C$3:$C30,$C30,$D$3:$D30,$D30,$G$3:$G30,$G30)=1,1,0))</f>
        <v>1</v>
      </c>
      <c r="BG30" t="s">
        <v>550</v>
      </c>
      <c r="BK30">
        <f t="shared" si="9"/>
        <v>1</v>
      </c>
      <c r="BL30" t="s">
        <v>551</v>
      </c>
      <c r="BM30">
        <v>1</v>
      </c>
      <c r="BN30" t="s">
        <v>561</v>
      </c>
      <c r="BO30" t="s">
        <v>561</v>
      </c>
      <c r="BP30" t="s">
        <v>550</v>
      </c>
      <c r="BQ30" t="s">
        <v>562</v>
      </c>
      <c r="BR30" t="s">
        <v>649</v>
      </c>
      <c r="BS30" t="s">
        <v>554</v>
      </c>
    </row>
    <row r="31" spans="1:71" ht="16.25" customHeight="1" x14ac:dyDescent="0.2">
      <c r="A31" s="95" t="s">
        <v>654</v>
      </c>
      <c r="B31" s="96" t="str">
        <f>IF(A31="","",_xlfn.XLOOKUP(A31, Company_List!$A:$A, Company_List!$B:$B, ""))</f>
        <v>AMZN</v>
      </c>
      <c r="C31" s="21">
        <v>2025</v>
      </c>
      <c r="D31" s="20" t="s">
        <v>569</v>
      </c>
      <c r="E31" s="19" t="s">
        <v>538</v>
      </c>
      <c r="F31" s="19" t="s">
        <v>538</v>
      </c>
      <c r="G31" s="20" t="s">
        <v>648</v>
      </c>
      <c r="H31" s="20" t="s">
        <v>540</v>
      </c>
      <c r="I31" s="127">
        <v>0.3</v>
      </c>
      <c r="J31" s="145" t="str">
        <f>IF(OR(I31="",Settings!$B$6=""),"",IF(I31&gt;Settings!$B$6,"BUY",IF(I31&lt;-Settings!$B$6,"SELL","HOLD")))</f>
        <v>BUY</v>
      </c>
      <c r="K31" s="139">
        <v>58</v>
      </c>
      <c r="L31" s="123">
        <v>46058</v>
      </c>
      <c r="M31" s="123">
        <v>46058</v>
      </c>
      <c r="N31" s="127">
        <v>222.69</v>
      </c>
      <c r="O31" s="123">
        <v>46059</v>
      </c>
      <c r="P31" s="22">
        <v>202.7</v>
      </c>
      <c r="Q31" s="148">
        <f t="shared" si="0"/>
        <v>-8.9800000000000005E-2</v>
      </c>
      <c r="R31" s="20" t="str">
        <f>IF(OR(N31="",P31=""),"",IF(Q31&gt;Settings!$B$3/100,"UP",IF(Q31&lt;-Settings!$B$3/100,"DOWN","FLAT")))</f>
        <v>DOWN</v>
      </c>
      <c r="S31" s="20" t="str">
        <f t="shared" si="1"/>
        <v>NO</v>
      </c>
      <c r="T31" s="21">
        <f t="shared" si="2"/>
        <v>1</v>
      </c>
      <c r="U31" s="148">
        <f>IFERROR(IF(OR(J31="",N31="",P31=""),"",IF(T31=0,0,T31*Q31-Settings!$B$4/10000-IF(T31&lt;0,Settings!$B$5/10000,0))),"")</f>
        <v>-9.0800000000000006E-2</v>
      </c>
      <c r="V31" s="23"/>
      <c r="W31" s="21">
        <f t="shared" si="3"/>
        <v>3480</v>
      </c>
      <c r="X31" s="91" t="str">
        <f t="shared" si="4"/>
        <v>Amazon|2025|Q4</v>
      </c>
      <c r="Y31" s="91" t="str">
        <f>IFERROR(IF($X31="","",INDEX(LLM_Data_Entry!$H$3:$H$548,MATCH($X31,INDEX(LLM_Data_Entry!$A$3:$A$548&amp;"|"&amp;LLM_Data_Entry!$C$3:$C$548&amp;"|"&amp;LLM_Data_Entry!$D$3:$D$548,0),0))),"")</f>
        <v>SELL</v>
      </c>
      <c r="Z31" s="91" t="str">
        <f>IFERROR(IF($X31="","",INDEX(LLM_Data_Entry!$R$3:$R$548,MATCH($X31,INDEX(LLM_Data_Entry!$A$3:$A$548&amp;"|"&amp;LLM_Data_Entry!$C$3:$C$548&amp;"|"&amp;LLM_Data_Entry!$D$3:$D$548,0),0))),"")</f>
        <v>YES</v>
      </c>
      <c r="AB31" t="s">
        <v>630</v>
      </c>
      <c r="AC31" t="s">
        <v>655</v>
      </c>
      <c r="AD31" t="s">
        <v>664</v>
      </c>
      <c r="AE31">
        <v>222.69</v>
      </c>
      <c r="AF31" t="s">
        <v>665</v>
      </c>
      <c r="AG31">
        <v>202.7</v>
      </c>
      <c r="AH31">
        <v>-8.9766064127117823E-2</v>
      </c>
      <c r="AI31" t="s">
        <v>545</v>
      </c>
      <c r="AJ31" t="s">
        <v>546</v>
      </c>
      <c r="AK31">
        <v>-9.0765999999999999E-2</v>
      </c>
      <c r="AL31" t="str">
        <f>IF($A31="","",IFERROR(INDEX(Company_List!$G$3:$G$207,MATCH($A31,Company_List!$A$3:$A$207,0)),"unassigned"))</f>
        <v>P2</v>
      </c>
      <c r="AM31" t="s">
        <v>666</v>
      </c>
      <c r="AN31" t="s">
        <v>667</v>
      </c>
      <c r="AO31" t="s">
        <v>560</v>
      </c>
      <c r="AP31" t="str">
        <f>IF($A31="","",IF(COUNTIFS(LLM_Data_Entry!$A$3:$A$548,$A31)&gt;0,"YES","NO"))</f>
        <v>YES</v>
      </c>
      <c r="AQ31" t="str">
        <f>IF($A31="","",IF(COUNTIFS($A$3:$A31,$A31,$C$3:$C31,$C31,$D$3:$D31,$D31)=1,"YES","NO"))</f>
        <v>YES</v>
      </c>
      <c r="AR31" t="str">
        <f>IF($A31="","",IF(AND($C31&amp;"-"&amp;$D31&gt;=Settings!$B$19,$C31&amp;"-"&amp;$D31&lt;=Settings!$B$20),"IN","OUT"))</f>
        <v>IN</v>
      </c>
      <c r="AS31" t="str">
        <f t="shared" si="5"/>
        <v>full</v>
      </c>
      <c r="AT31">
        <f t="shared" si="6"/>
        <v>-9.0800000000000006E-2</v>
      </c>
      <c r="AU31">
        <f t="shared" si="7"/>
        <v>-9.0765999999999999E-2</v>
      </c>
      <c r="AV31">
        <f>IF(ISNUMBER($AT31),ABS(IF(ISNUMBER($I31),$I31,0)-Settings!$B$24),"")</f>
        <v>0.3</v>
      </c>
      <c r="AW31">
        <f t="shared" si="8"/>
        <v>-2.724E-2</v>
      </c>
      <c r="AX31">
        <f>IF(ISNUMBER($AU31),ABS(IF(ISNUMBER($I31),$I31,0)-Settings!$B$24),"")</f>
        <v>0.3</v>
      </c>
      <c r="AY31" t="s">
        <v>549</v>
      </c>
      <c r="AZ31" t="str">
        <f>IF($A31="","",IFERROR(INDEX(Company_List!$H$3:$H$207,MATCH($A31,Company_List!$A$3:$A$207,0)),"unassigned"))</f>
        <v>Consumer Discretionary</v>
      </c>
      <c r="BC31">
        <f>IF($A31="","",IF(COUNTIFS($A$3:$A31,$A31,$C$3:$C31,$C31,$D$3:$D31,$D31,$G$3:$G31,$G31)=1,1,0))</f>
        <v>1</v>
      </c>
      <c r="BG31" t="s">
        <v>550</v>
      </c>
      <c r="BK31">
        <f t="shared" si="9"/>
        <v>0</v>
      </c>
      <c r="BL31" t="s">
        <v>551</v>
      </c>
      <c r="BM31">
        <v>1</v>
      </c>
      <c r="BN31" t="s">
        <v>561</v>
      </c>
      <c r="BO31" t="s">
        <v>561</v>
      </c>
      <c r="BP31" t="s">
        <v>550</v>
      </c>
      <c r="BQ31" t="s">
        <v>562</v>
      </c>
      <c r="BR31" t="s">
        <v>649</v>
      </c>
      <c r="BS31" t="s">
        <v>554</v>
      </c>
    </row>
    <row r="32" spans="1:71" ht="16.25" customHeight="1" x14ac:dyDescent="0.2">
      <c r="A32" s="95" t="s">
        <v>668</v>
      </c>
      <c r="B32" s="96" t="str">
        <f>IF(A32="","",_xlfn.XLOOKUP(A32, Company_List!$A:$A, Company_List!$B:$B, ""))</f>
        <v>MCD</v>
      </c>
      <c r="C32" s="21">
        <v>2024</v>
      </c>
      <c r="D32" s="20" t="s">
        <v>569</v>
      </c>
      <c r="E32" s="19" t="s">
        <v>538</v>
      </c>
      <c r="F32" s="19" t="s">
        <v>538</v>
      </c>
      <c r="G32" s="20" t="s">
        <v>574</v>
      </c>
      <c r="H32" s="20" t="s">
        <v>540</v>
      </c>
      <c r="I32" s="127">
        <v>-0.5</v>
      </c>
      <c r="J32" s="145" t="str">
        <f>IF(OR(I32="",Settings!$B$6=""),"",IF(I32&gt;Settings!$B$6,"BUY",IF(I32&lt;-Settings!$B$6,"SELL","HOLD")))</f>
        <v>SELL</v>
      </c>
      <c r="K32" s="139">
        <v>30</v>
      </c>
      <c r="L32" s="123">
        <v>45698</v>
      </c>
      <c r="M32" s="123">
        <v>45695</v>
      </c>
      <c r="N32" s="127">
        <v>294.3</v>
      </c>
      <c r="O32" s="123">
        <v>45698</v>
      </c>
      <c r="P32" s="22">
        <v>302.27</v>
      </c>
      <c r="Q32" s="148">
        <f t="shared" si="0"/>
        <v>2.7099999999999999E-2</v>
      </c>
      <c r="R32" s="20" t="str">
        <f>IF(OR(N32="",P32=""),"",IF(Q32&gt;Settings!$B$3/100,"UP",IF(Q32&lt;-Settings!$B$3/100,"DOWN","FLAT")))</f>
        <v>UP</v>
      </c>
      <c r="S32" s="20" t="str">
        <f t="shared" si="1"/>
        <v>NO</v>
      </c>
      <c r="T32" s="21">
        <f t="shared" si="2"/>
        <v>-1</v>
      </c>
      <c r="U32" s="148">
        <f>IFERROR(IF(OR(J32="",N32="",P32=""),"",IF(T32=0,0,T32*Q32-Settings!$B$4/10000-IF(T32&lt;0,Settings!$B$5/10000,0))),"")</f>
        <v>-2.81E-2</v>
      </c>
      <c r="V32" s="23" t="s">
        <v>669</v>
      </c>
      <c r="W32" s="21">
        <f t="shared" si="3"/>
        <v>1800</v>
      </c>
      <c r="X32" s="91" t="str">
        <f t="shared" si="4"/>
        <v>McDonald's|2024|Q4</v>
      </c>
      <c r="Y32" s="91" t="str">
        <f>IFERROR(IF($X32="","",INDEX(LLM_Data_Entry!$H$3:$H$548,MATCH($X32,INDEX(LLM_Data_Entry!$A$3:$A$548&amp;"|"&amp;LLM_Data_Entry!$C$3:$C$548&amp;"|"&amp;LLM_Data_Entry!$D$3:$D$548,0),0))),"")</f>
        <v>SELL</v>
      </c>
      <c r="Z32" s="91" t="str">
        <f>IFERROR(IF($X32="","",INDEX(LLM_Data_Entry!$R$3:$R$548,MATCH($X32,INDEX(LLM_Data_Entry!$A$3:$A$548&amp;"|"&amp;LLM_Data_Entry!$C$3:$C$548&amp;"|"&amp;LLM_Data_Entry!$D$3:$D$548,0),0))),"")</f>
        <v>NO</v>
      </c>
      <c r="AB32" t="s">
        <v>541</v>
      </c>
      <c r="AC32" t="s">
        <v>670</v>
      </c>
      <c r="AD32" t="s">
        <v>671</v>
      </c>
      <c r="AE32">
        <v>284.06779999999998</v>
      </c>
      <c r="AF32" t="s">
        <v>672</v>
      </c>
      <c r="AG32">
        <v>291.76069999999999</v>
      </c>
      <c r="AH32">
        <v>2.7081169021436129E-2</v>
      </c>
      <c r="AI32" t="s">
        <v>591</v>
      </c>
      <c r="AJ32" t="s">
        <v>546</v>
      </c>
      <c r="AK32">
        <v>-2.8080999999999998E-2</v>
      </c>
      <c r="AL32" t="str">
        <f>IF($A32="","",IFERROR(INDEX(Company_List!$G$3:$G$207,MATCH($A32,Company_List!$A$3:$A$207,0)),"unassigned"))</f>
        <v>P2</v>
      </c>
      <c r="AM32" t="s">
        <v>673</v>
      </c>
      <c r="AO32" t="s">
        <v>593</v>
      </c>
      <c r="AP32" t="str">
        <f>IF($A32="","",IF(COUNTIFS(LLM_Data_Entry!$A$3:$A$548,$A32)&gt;0,"YES","NO"))</f>
        <v>YES</v>
      </c>
      <c r="AQ32" t="str">
        <f>IF($A32="","",IF(COUNTIFS($A$3:$A32,$A32,$C$3:$C32,$C32,$D$3:$D32,$D32)=1,"YES","NO"))</f>
        <v>YES</v>
      </c>
      <c r="AR32" t="str">
        <f>IF($A32="","",IF(AND($C32&amp;"-"&amp;$D32&gt;=Settings!$B$19,$C32&amp;"-"&amp;$D32&lt;=Settings!$B$20),"IN","OUT"))</f>
        <v>IN</v>
      </c>
      <c r="AS32" t="str">
        <f t="shared" si="5"/>
        <v>full</v>
      </c>
      <c r="AT32">
        <f t="shared" si="6"/>
        <v>-2.81E-2</v>
      </c>
      <c r="AU32">
        <f t="shared" si="7"/>
        <v>-2.8080999999999998E-2</v>
      </c>
      <c r="AV32">
        <f>IF(ISNUMBER($AT32),ABS(IF(ISNUMBER($I32),$I32,0)-Settings!$B$24),"")</f>
        <v>0.5</v>
      </c>
      <c r="AW32">
        <f t="shared" si="8"/>
        <v>-1.405E-2</v>
      </c>
      <c r="AX32">
        <f>IF(ISNUMBER($AU32),ABS(IF(ISNUMBER($I32),$I32,0)-Settings!$B$24),"")</f>
        <v>0.5</v>
      </c>
      <c r="AY32" t="s">
        <v>549</v>
      </c>
      <c r="AZ32" t="str">
        <f>IF($A32="","",IFERROR(INDEX(Company_List!$H$3:$H$207,MATCH($A32,Company_List!$A$3:$A$207,0)),"unassigned"))</f>
        <v>Consumer Discretionary</v>
      </c>
      <c r="BC32">
        <f>IF($A32="","",IF(COUNTIFS($A$3:$A32,$A32,$C$3:$C32,$C32,$D$3:$D32,$D32,$G$3:$G32,$G32)=1,1,0))</f>
        <v>1</v>
      </c>
      <c r="BG32" t="s">
        <v>550</v>
      </c>
      <c r="BK32">
        <f t="shared" si="9"/>
        <v>1</v>
      </c>
      <c r="BL32" t="s">
        <v>551</v>
      </c>
      <c r="BM32">
        <v>2</v>
      </c>
      <c r="BN32" t="s">
        <v>595</v>
      </c>
      <c r="BO32" t="s">
        <v>596</v>
      </c>
      <c r="BP32" t="s">
        <v>550</v>
      </c>
      <c r="BQ32" t="s">
        <v>550</v>
      </c>
      <c r="BS32" t="s">
        <v>554</v>
      </c>
    </row>
    <row r="33" spans="1:71" ht="16.25" customHeight="1" x14ac:dyDescent="0.2">
      <c r="A33" s="95" t="s">
        <v>668</v>
      </c>
      <c r="B33" s="96" t="str">
        <f>IF(A33="","",_xlfn.XLOOKUP(A33, Company_List!$A:$A, Company_List!$B:$B, ""))</f>
        <v>MCD</v>
      </c>
      <c r="C33" s="21">
        <v>2025</v>
      </c>
      <c r="D33" s="20" t="s">
        <v>569</v>
      </c>
      <c r="E33" s="19" t="s">
        <v>538</v>
      </c>
      <c r="F33" s="19" t="s">
        <v>538</v>
      </c>
      <c r="G33" s="20" t="s">
        <v>574</v>
      </c>
      <c r="H33" s="20" t="s">
        <v>540</v>
      </c>
      <c r="I33" s="127">
        <v>0.3</v>
      </c>
      <c r="J33" s="145" t="str">
        <f>IF(OR(I33="",Settings!$B$6=""),"",IF(I33&gt;Settings!$B$6,"BUY",IF(I33&lt;-Settings!$B$6,"SELL","HOLD")))</f>
        <v>BUY</v>
      </c>
      <c r="K33" s="139">
        <v>20</v>
      </c>
      <c r="L33" s="123">
        <v>46064</v>
      </c>
      <c r="M33" s="123">
        <v>46063</v>
      </c>
      <c r="N33" s="127">
        <v>325.97000000000003</v>
      </c>
      <c r="O33" s="123">
        <v>46064</v>
      </c>
      <c r="P33" s="22">
        <v>323.58</v>
      </c>
      <c r="Q33" s="148">
        <f t="shared" si="0"/>
        <v>-7.3000000000000001E-3</v>
      </c>
      <c r="R33" s="20" t="str">
        <f>IF(OR(N33="",P33=""),"",IF(Q33&gt;Settings!$B$3/100,"UP",IF(Q33&lt;-Settings!$B$3/100,"DOWN","FLAT")))</f>
        <v>FLAT</v>
      </c>
      <c r="S33" s="20" t="str">
        <f t="shared" si="1"/>
        <v>NO</v>
      </c>
      <c r="T33" s="21">
        <f t="shared" si="2"/>
        <v>1</v>
      </c>
      <c r="U33" s="148">
        <f>IFERROR(IF(OR(J33="",N33="",P33=""),"",IF(T33=0,0,T33*Q33-Settings!$B$4/10000-IF(T33&lt;0,Settings!$B$5/10000,0))),"")</f>
        <v>-8.3000000000000001E-3</v>
      </c>
      <c r="V33" s="23" t="s">
        <v>674</v>
      </c>
      <c r="W33" s="21">
        <f t="shared" si="3"/>
        <v>1200</v>
      </c>
      <c r="X33" s="91" t="str">
        <f t="shared" si="4"/>
        <v>McDonald's|2025|Q4</v>
      </c>
      <c r="Y33" s="91" t="str">
        <f>IFERROR(IF($X33="","",INDEX(LLM_Data_Entry!$H$3:$H$548,MATCH($X33,INDEX(LLM_Data_Entry!$A$3:$A$548&amp;"|"&amp;LLM_Data_Entry!$C$3:$C$548&amp;"|"&amp;LLM_Data_Entry!$D$3:$D$548,0),0))),"")</f>
        <v>HOLD</v>
      </c>
      <c r="Z33" s="91" t="str">
        <f>IFERROR(IF($X33="","",INDEX(LLM_Data_Entry!$R$3:$R$548,MATCH($X33,INDEX(LLM_Data_Entry!$A$3:$A$548&amp;"|"&amp;LLM_Data_Entry!$C$3:$C$548&amp;"|"&amp;LLM_Data_Entry!$D$3:$D$548,0),0))),"")</f>
        <v>YES</v>
      </c>
      <c r="AB33" t="s">
        <v>675</v>
      </c>
      <c r="AC33" t="s">
        <v>670</v>
      </c>
      <c r="AD33" t="s">
        <v>676</v>
      </c>
      <c r="AE33">
        <v>319.24930000000001</v>
      </c>
      <c r="AF33" t="s">
        <v>677</v>
      </c>
      <c r="AG33">
        <v>325.78820000000002</v>
      </c>
      <c r="AH33">
        <v>2.0481999938269369E-2</v>
      </c>
      <c r="AI33" t="s">
        <v>591</v>
      </c>
      <c r="AJ33" t="s">
        <v>554</v>
      </c>
      <c r="AK33">
        <v>1.9481999999999999E-2</v>
      </c>
      <c r="AL33" t="str">
        <f>IF($A33="","",IFERROR(INDEX(Company_List!$G$3:$G$207,MATCH($A33,Company_List!$A$3:$A$207,0)),"unassigned"))</f>
        <v>P2</v>
      </c>
      <c r="AM33" t="s">
        <v>678</v>
      </c>
      <c r="AO33" t="s">
        <v>593</v>
      </c>
      <c r="AP33" t="str">
        <f>IF($A33="","",IF(COUNTIFS(LLM_Data_Entry!$A$3:$A$548,$A33)&gt;0,"YES","NO"))</f>
        <v>YES</v>
      </c>
      <c r="AQ33" t="str">
        <f>IF($A33="","",IF(COUNTIFS($A$3:$A33,$A33,$C$3:$C33,$C33,$D$3:$D33,$D33)=1,"YES","NO"))</f>
        <v>YES</v>
      </c>
      <c r="AR33" t="str">
        <f>IF($A33="","",IF(AND($C33&amp;"-"&amp;$D33&gt;=Settings!$B$19,$C33&amp;"-"&amp;$D33&lt;=Settings!$B$20),"IN","OUT"))</f>
        <v>IN</v>
      </c>
      <c r="AS33" t="str">
        <f t="shared" si="5"/>
        <v>full</v>
      </c>
      <c r="AT33">
        <f t="shared" si="6"/>
        <v>-8.3000000000000001E-3</v>
      </c>
      <c r="AU33">
        <f t="shared" si="7"/>
        <v>1.9481999999999999E-2</v>
      </c>
      <c r="AV33">
        <f>IF(ISNUMBER($AT33),ABS(IF(ISNUMBER($I33),$I33,0)-Settings!$B$24),"")</f>
        <v>0.3</v>
      </c>
      <c r="AW33">
        <f t="shared" si="8"/>
        <v>-2.49E-3</v>
      </c>
      <c r="AX33">
        <f>IF(ISNUMBER($AU33),ABS(IF(ISNUMBER($I33),$I33,0)-Settings!$B$24),"")</f>
        <v>0.3</v>
      </c>
      <c r="AY33" t="s">
        <v>549</v>
      </c>
      <c r="AZ33" t="str">
        <f>IF($A33="","",IFERROR(INDEX(Company_List!$H$3:$H$207,MATCH($A33,Company_List!$A$3:$A$207,0)),"unassigned"))</f>
        <v>Consumer Discretionary</v>
      </c>
      <c r="BC33">
        <f>IF($A33="","",IF(COUNTIFS($A$3:$A33,$A33,$C$3:$C33,$C33,$D$3:$D33,$D33,$G$3:$G33,$G33)=1,1,0))</f>
        <v>1</v>
      </c>
      <c r="BG33" t="s">
        <v>550</v>
      </c>
      <c r="BK33">
        <f t="shared" si="9"/>
        <v>0</v>
      </c>
      <c r="BL33" t="s">
        <v>551</v>
      </c>
      <c r="BM33">
        <v>2</v>
      </c>
      <c r="BN33" t="s">
        <v>595</v>
      </c>
      <c r="BO33" t="s">
        <v>596</v>
      </c>
      <c r="BP33" t="s">
        <v>550</v>
      </c>
      <c r="BQ33" t="s">
        <v>550</v>
      </c>
      <c r="BS33" t="s">
        <v>554</v>
      </c>
    </row>
    <row r="34" spans="1:71" ht="16.25" customHeight="1" x14ac:dyDescent="0.2">
      <c r="A34" s="95" t="s">
        <v>668</v>
      </c>
      <c r="B34" s="96" t="str">
        <f>IF(A34="","",_xlfn.XLOOKUP(A34, Company_List!$A:$A, Company_List!$B:$B, ""))</f>
        <v>MCD</v>
      </c>
      <c r="C34" s="21">
        <v>2026</v>
      </c>
      <c r="D34" s="20" t="s">
        <v>537</v>
      </c>
      <c r="E34" s="19" t="s">
        <v>538</v>
      </c>
      <c r="F34" s="19" t="s">
        <v>538</v>
      </c>
      <c r="G34" s="20" t="s">
        <v>574</v>
      </c>
      <c r="H34" s="20" t="s">
        <v>540</v>
      </c>
      <c r="I34" s="127">
        <v>0.2</v>
      </c>
      <c r="J34" s="145" t="str">
        <f>IF(OR(I34="",Settings!$B$6=""),"",IF(I34&gt;Settings!$B$6,"BUY",IF(I34&lt;-Settings!$B$6,"SELL","HOLD")))</f>
        <v>HOLD</v>
      </c>
      <c r="K34" s="139">
        <v>34</v>
      </c>
      <c r="L34" s="123">
        <v>46149</v>
      </c>
      <c r="M34" s="123">
        <v>46148</v>
      </c>
      <c r="N34" s="127">
        <v>284.10000000000002</v>
      </c>
      <c r="O34" s="123">
        <v>46149</v>
      </c>
      <c r="P34" s="22">
        <v>287.83</v>
      </c>
      <c r="Q34" s="148">
        <f t="shared" si="0"/>
        <v>1.3100000000000001E-2</v>
      </c>
      <c r="R34" s="20" t="str">
        <f>IF(OR(N34="",P34=""),"",IF(Q34&gt;Settings!$B$3/100,"UP",IF(Q34&lt;-Settings!$B$3/100,"DOWN","FLAT")))</f>
        <v>FLAT</v>
      </c>
      <c r="S34" s="20" t="str">
        <f t="shared" si="1"/>
        <v>YES</v>
      </c>
      <c r="T34" s="21">
        <f t="shared" si="2"/>
        <v>0</v>
      </c>
      <c r="U34" s="148">
        <f>IFERROR(IF(OR(J34="",N34="",P34=""),"",IF(T34=0,0,T34*Q34-Settings!$B$4/10000-IF(T34&lt;0,Settings!$B$5/10000,0))),"")</f>
        <v>0</v>
      </c>
      <c r="V34" s="23" t="s">
        <v>679</v>
      </c>
      <c r="W34" s="21">
        <f t="shared" si="3"/>
        <v>2040</v>
      </c>
      <c r="X34" s="91" t="str">
        <f t="shared" si="4"/>
        <v>McDonald's|2026|Q1</v>
      </c>
      <c r="Y34" s="91" t="str">
        <f>IFERROR(IF($X34="","",INDEX(LLM_Data_Entry!$H$3:$H$548,MATCH($X34,INDEX(LLM_Data_Entry!$A$3:$A$548&amp;"|"&amp;LLM_Data_Entry!$C$3:$C$548&amp;"|"&amp;LLM_Data_Entry!$D$3:$D$548,0),0))),"")</f>
        <v>SELL</v>
      </c>
      <c r="Z34" s="91" t="str">
        <f>IFERROR(IF($X34="","",INDEX(LLM_Data_Entry!$R$3:$R$548,MATCH($X34,INDEX(LLM_Data_Entry!$A$3:$A$548&amp;"|"&amp;LLM_Data_Entry!$C$3:$C$548&amp;"|"&amp;LLM_Data_Entry!$D$3:$D$548,0),0))),"")</f>
        <v>NO</v>
      </c>
      <c r="AB34" t="s">
        <v>636</v>
      </c>
      <c r="AC34" t="s">
        <v>670</v>
      </c>
      <c r="AD34" t="s">
        <v>680</v>
      </c>
      <c r="AE34">
        <v>282.18619999999999</v>
      </c>
      <c r="AF34" t="s">
        <v>681</v>
      </c>
      <c r="AG34">
        <v>285.89100000000002</v>
      </c>
      <c r="AH34">
        <v>1.3129078450883199E-2</v>
      </c>
      <c r="AI34" t="s">
        <v>579</v>
      </c>
      <c r="AJ34" t="s">
        <v>554</v>
      </c>
      <c r="AK34">
        <v>0</v>
      </c>
      <c r="AL34" t="str">
        <f>IF($A34="","",IFERROR(INDEX(Company_List!$G$3:$G$207,MATCH($A34,Company_List!$A$3:$A$207,0)),"unassigned"))</f>
        <v>P2</v>
      </c>
      <c r="AM34" t="s">
        <v>682</v>
      </c>
      <c r="AO34" t="s">
        <v>593</v>
      </c>
      <c r="AP34" t="str">
        <f>IF($A34="","",IF(COUNTIFS(LLM_Data_Entry!$A$3:$A$548,$A34)&gt;0,"YES","NO"))</f>
        <v>YES</v>
      </c>
      <c r="AQ34" t="str">
        <f>IF($A34="","",IF(COUNTIFS($A$3:$A34,$A34,$C$3:$C34,$C34,$D$3:$D34,$D34)=1,"YES","NO"))</f>
        <v>YES</v>
      </c>
      <c r="AR34" t="str">
        <f>IF($A34="","",IF(AND($C34&amp;"-"&amp;$D34&gt;=Settings!$B$19,$C34&amp;"-"&amp;$D34&lt;=Settings!$B$20),"IN","OUT"))</f>
        <v>IN</v>
      </c>
      <c r="AS34" t="str">
        <f t="shared" si="5"/>
        <v>full</v>
      </c>
      <c r="AT34" t="str">
        <f t="shared" si="6"/>
        <v/>
      </c>
      <c r="AU34" t="str">
        <f t="shared" si="7"/>
        <v/>
      </c>
      <c r="AV34" t="str">
        <f>IF(ISNUMBER($AT34),ABS(IF(ISNUMBER($I34),$I34,0)-Settings!$B$24),"")</f>
        <v/>
      </c>
      <c r="AW34" t="str">
        <f t="shared" si="8"/>
        <v/>
      </c>
      <c r="AX34" t="str">
        <f>IF(ISNUMBER($AU34),ABS(IF(ISNUMBER($I34),$I34,0)-Settings!$B$24),"")</f>
        <v/>
      </c>
      <c r="AY34" t="s">
        <v>549</v>
      </c>
      <c r="AZ34" t="str">
        <f>IF($A34="","",IFERROR(INDEX(Company_List!$H$3:$H$207,MATCH($A34,Company_List!$A$3:$A$207,0)),"unassigned"))</f>
        <v>Consumer Discretionary</v>
      </c>
      <c r="BC34">
        <f>IF($A34="","",IF(COUNTIFS($A$3:$A34,$A34,$C$3:$C34,$C34,$D$3:$D34,$D34,$G$3:$G34,$G34)=1,1,0))</f>
        <v>1</v>
      </c>
      <c r="BG34" t="s">
        <v>550</v>
      </c>
      <c r="BK34">
        <f t="shared" si="9"/>
        <v>0</v>
      </c>
      <c r="BL34" t="s">
        <v>551</v>
      </c>
      <c r="BM34">
        <v>2</v>
      </c>
      <c r="BN34" t="s">
        <v>595</v>
      </c>
      <c r="BO34" t="s">
        <v>596</v>
      </c>
      <c r="BP34" t="s">
        <v>550</v>
      </c>
      <c r="BQ34" t="s">
        <v>550</v>
      </c>
      <c r="BS34" t="s">
        <v>554</v>
      </c>
    </row>
    <row r="35" spans="1:71" ht="16.25" customHeight="1" x14ac:dyDescent="0.2">
      <c r="A35" s="95" t="s">
        <v>683</v>
      </c>
      <c r="B35" s="96" t="str">
        <f>IF(A35="","",_xlfn.XLOOKUP(A35, Company_List!$A:$A, Company_List!$B:$B, ""))</f>
        <v>AAPL</v>
      </c>
      <c r="C35" s="21">
        <v>2025</v>
      </c>
      <c r="D35" s="20" t="s">
        <v>563</v>
      </c>
      <c r="E35" s="19" t="s">
        <v>538</v>
      </c>
      <c r="F35" s="19" t="s">
        <v>538</v>
      </c>
      <c r="G35" s="20" t="s">
        <v>574</v>
      </c>
      <c r="H35" s="20" t="s">
        <v>540</v>
      </c>
      <c r="I35" s="127">
        <v>-0.3</v>
      </c>
      <c r="J35" s="145" t="str">
        <f>IF(OR(I35="",Settings!$B$6=""),"",IF(I35&gt;Settings!$B$6,"BUY",IF(I35&lt;-Settings!$B$6,"SELL","HOLD")))</f>
        <v>SELL</v>
      </c>
      <c r="K35" s="139">
        <v>25</v>
      </c>
      <c r="L35" s="123">
        <v>45869</v>
      </c>
      <c r="M35" s="123">
        <v>45869</v>
      </c>
      <c r="N35" s="127">
        <v>207.57</v>
      </c>
      <c r="O35" s="123">
        <v>45870</v>
      </c>
      <c r="P35" s="22">
        <v>210.87</v>
      </c>
      <c r="Q35" s="148">
        <f t="shared" ref="Q35:Q66" si="10">IF(OR(N35="",P35=""),"",ROUND((P35-N35)/N35,4))</f>
        <v>1.5900000000000001E-2</v>
      </c>
      <c r="R35" s="20" t="str">
        <f>IF(OR(N35="",P35=""),"",IF(Q35&gt;Settings!$B$3/100,"UP",IF(Q35&lt;-Settings!$B$3/100,"DOWN","FLAT")))</f>
        <v>FLAT</v>
      </c>
      <c r="S35" s="20" t="str">
        <f t="shared" si="1"/>
        <v>NO</v>
      </c>
      <c r="T35" s="21">
        <f t="shared" si="2"/>
        <v>-1</v>
      </c>
      <c r="U35" s="148">
        <f>IFERROR(IF(OR(J35="",N35="",P35=""),"",IF(T35=0,0,T35*Q35-Settings!$B$4/10000-IF(T35&lt;0,Settings!$B$5/10000,0))),"")</f>
        <v>-1.6900000000000002E-2</v>
      </c>
      <c r="V35" s="23" t="s">
        <v>684</v>
      </c>
      <c r="W35" s="21">
        <f t="shared" si="3"/>
        <v>1500</v>
      </c>
      <c r="X35" s="91" t="str">
        <f t="shared" si="4"/>
        <v>Apple|2025|Q3</v>
      </c>
      <c r="Y35" s="91" t="str">
        <f>IFERROR(IF($X35="","",INDEX(LLM_Data_Entry!$H$3:$H$548,MATCH($X35,INDEX(LLM_Data_Entry!$A$3:$A$548&amp;"|"&amp;LLM_Data_Entry!$C$3:$C$548&amp;"|"&amp;LLM_Data_Entry!$D$3:$D$548,0),0))),"")</f>
        <v>HOLD</v>
      </c>
      <c r="Z35" s="91" t="str">
        <f>IFERROR(IF($X35="","",INDEX(LLM_Data_Entry!$R$3:$R$548,MATCH($X35,INDEX(LLM_Data_Entry!$A$3:$A$548&amp;"|"&amp;LLM_Data_Entry!$C$3:$C$548&amp;"|"&amp;LLM_Data_Entry!$D$3:$D$548,0),0))),"")</f>
        <v>YES</v>
      </c>
      <c r="AB35" t="s">
        <v>685</v>
      </c>
      <c r="AC35" t="s">
        <v>686</v>
      </c>
      <c r="AD35" t="s">
        <v>687</v>
      </c>
      <c r="AE35">
        <v>206.74979999999999</v>
      </c>
      <c r="AF35" t="s">
        <v>688</v>
      </c>
      <c r="AG35">
        <v>210.0367</v>
      </c>
      <c r="AH35">
        <v>1.5898265940454879E-2</v>
      </c>
      <c r="AI35" t="s">
        <v>579</v>
      </c>
      <c r="AJ35" t="s">
        <v>546</v>
      </c>
      <c r="AK35">
        <v>-1.6898E-2</v>
      </c>
      <c r="AL35" t="str">
        <f>IF($A35="","",IFERROR(INDEX(Company_List!$G$3:$G$207,MATCH($A35,Company_List!$A$3:$A$207,0)),"unassigned"))</f>
        <v>P2</v>
      </c>
      <c r="AM35" t="s">
        <v>689</v>
      </c>
      <c r="AO35" t="s">
        <v>593</v>
      </c>
      <c r="AP35" t="str">
        <f>IF($A35="","",IF(COUNTIFS(LLM_Data_Entry!$A$3:$A$548,$A35)&gt;0,"YES","NO"))</f>
        <v>YES</v>
      </c>
      <c r="AQ35" t="str">
        <f>IF($A35="","",IF(COUNTIFS($A$3:$A35,$A35,$C$3:$C35,$C35,$D$3:$D35,$D35)=1,"YES","NO"))</f>
        <v>YES</v>
      </c>
      <c r="AR35" t="str">
        <f>IF($A35="","",IF(AND($C35&amp;"-"&amp;$D35&gt;=Settings!$B$19,$C35&amp;"-"&amp;$D35&lt;=Settings!$B$20),"IN","OUT"))</f>
        <v>IN</v>
      </c>
      <c r="AS35" t="str">
        <f t="shared" si="5"/>
        <v>full</v>
      </c>
      <c r="AT35">
        <f t="shared" si="6"/>
        <v>-1.6900000000000002E-2</v>
      </c>
      <c r="AU35">
        <f t="shared" si="7"/>
        <v>-1.6898E-2</v>
      </c>
      <c r="AV35">
        <f>IF(ISNUMBER($AT35),ABS(IF(ISNUMBER($I35),$I35,0)-Settings!$B$24),"")</f>
        <v>0.3</v>
      </c>
      <c r="AW35">
        <f t="shared" si="8"/>
        <v>-5.0700000000000007E-3</v>
      </c>
      <c r="AX35">
        <f>IF(ISNUMBER($AU35),ABS(IF(ISNUMBER($I35),$I35,0)-Settings!$B$24),"")</f>
        <v>0.3</v>
      </c>
      <c r="AY35" t="s">
        <v>549</v>
      </c>
      <c r="AZ35" t="str">
        <f>IF($A35="","",IFERROR(INDEX(Company_List!$H$3:$H$207,MATCH($A35,Company_List!$A$3:$A$207,0)),"unassigned"))</f>
        <v>Information Technology</v>
      </c>
      <c r="BC35">
        <f>IF($A35="","",IF(COUNTIFS($A$3:$A35,$A35,$C$3:$C35,$C35,$D$3:$D35,$D35,$G$3:$G35,$G35)=1,1,0))</f>
        <v>1</v>
      </c>
      <c r="BG35" t="s">
        <v>550</v>
      </c>
      <c r="BK35">
        <f t="shared" si="9"/>
        <v>0</v>
      </c>
      <c r="BL35" t="s">
        <v>551</v>
      </c>
      <c r="BM35">
        <v>2</v>
      </c>
      <c r="BN35" t="s">
        <v>595</v>
      </c>
      <c r="BO35" t="s">
        <v>596</v>
      </c>
      <c r="BP35" t="s">
        <v>550</v>
      </c>
      <c r="BQ35" t="s">
        <v>550</v>
      </c>
      <c r="BS35" t="s">
        <v>554</v>
      </c>
    </row>
    <row r="36" spans="1:71" ht="16.25" customHeight="1" x14ac:dyDescent="0.2">
      <c r="A36" s="95" t="s">
        <v>683</v>
      </c>
      <c r="B36" s="96" t="str">
        <f>IF(A36="","",_xlfn.XLOOKUP(A36, Company_List!$A:$A, Company_List!$B:$B, ""))</f>
        <v>AAPL</v>
      </c>
      <c r="C36" s="21">
        <v>2025</v>
      </c>
      <c r="D36" s="20" t="s">
        <v>569</v>
      </c>
      <c r="E36" s="19" t="s">
        <v>538</v>
      </c>
      <c r="F36" s="19" t="s">
        <v>538</v>
      </c>
      <c r="G36" s="20" t="s">
        <v>574</v>
      </c>
      <c r="H36" s="20" t="s">
        <v>540</v>
      </c>
      <c r="I36" s="127">
        <v>0.3</v>
      </c>
      <c r="J36" s="145" t="str">
        <f>IF(OR(I36="",Settings!$B$6=""),"",IF(I36&gt;Settings!$B$6,"BUY",IF(I36&lt;-Settings!$B$6,"SELL","HOLD")))</f>
        <v>BUY</v>
      </c>
      <c r="K36" s="139">
        <v>30</v>
      </c>
      <c r="L36" s="123">
        <v>45960</v>
      </c>
      <c r="M36" s="123">
        <v>45960</v>
      </c>
      <c r="N36" s="127">
        <v>271.39999999999998</v>
      </c>
      <c r="O36" s="123">
        <v>45961</v>
      </c>
      <c r="P36" s="22">
        <v>276.99</v>
      </c>
      <c r="Q36" s="148">
        <f t="shared" si="10"/>
        <v>2.06E-2</v>
      </c>
      <c r="R36" s="20" t="str">
        <f>IF(OR(N36="",P36=""),"",IF(Q36&gt;Settings!$B$3/100,"UP",IF(Q36&lt;-Settings!$B$3/100,"DOWN","FLAT")))</f>
        <v>UP</v>
      </c>
      <c r="S36" s="20" t="str">
        <f t="shared" si="1"/>
        <v>YES</v>
      </c>
      <c r="T36" s="21">
        <f t="shared" si="2"/>
        <v>1</v>
      </c>
      <c r="U36" s="148">
        <f>IFERROR(IF(OR(J36="",N36="",P36=""),"",IF(T36=0,0,T36*Q36-Settings!$B$4/10000-IF(T36&lt;0,Settings!$B$5/10000,0))),"")</f>
        <v>1.9599999999999999E-2</v>
      </c>
      <c r="V36" s="23" t="s">
        <v>690</v>
      </c>
      <c r="W36" s="21">
        <f t="shared" si="3"/>
        <v>1800</v>
      </c>
      <c r="X36" s="91" t="str">
        <f t="shared" si="4"/>
        <v>Apple|2025|Q4</v>
      </c>
      <c r="Y36" s="91" t="str">
        <f>IFERROR(IF($X36="","",INDEX(LLM_Data_Entry!$H$3:$H$548,MATCH($X36,INDEX(LLM_Data_Entry!$A$3:$A$548&amp;"|"&amp;LLM_Data_Entry!$C$3:$C$548&amp;"|"&amp;LLM_Data_Entry!$D$3:$D$548,0),0))),"")</f>
        <v>BUY</v>
      </c>
      <c r="Z36" s="91" t="str">
        <f>IFERROR(IF($X36="","",INDEX(LLM_Data_Entry!$R$3:$R$548,MATCH($X36,INDEX(LLM_Data_Entry!$A$3:$A$548&amp;"|"&amp;LLM_Data_Entry!$C$3:$C$548&amp;"|"&amp;LLM_Data_Entry!$D$3:$D$548,0),0))),"")</f>
        <v>YES</v>
      </c>
      <c r="AB36" t="s">
        <v>691</v>
      </c>
      <c r="AC36" t="s">
        <v>686</v>
      </c>
      <c r="AD36" t="s">
        <v>660</v>
      </c>
      <c r="AE36">
        <v>270.6343</v>
      </c>
      <c r="AF36" t="s">
        <v>661</v>
      </c>
      <c r="AG36">
        <v>276.20859999999999</v>
      </c>
      <c r="AH36">
        <v>2.0596868826602058E-2</v>
      </c>
      <c r="AI36" t="s">
        <v>591</v>
      </c>
      <c r="AJ36" t="s">
        <v>554</v>
      </c>
      <c r="AK36">
        <v>1.9597E-2</v>
      </c>
      <c r="AL36" t="str">
        <f>IF($A36="","",IFERROR(INDEX(Company_List!$G$3:$G$207,MATCH($A36,Company_List!$A$3:$A$207,0)),"unassigned"))</f>
        <v>P2</v>
      </c>
      <c r="AM36" t="s">
        <v>692</v>
      </c>
      <c r="AO36" t="s">
        <v>593</v>
      </c>
      <c r="AP36" t="str">
        <f>IF($A36="","",IF(COUNTIFS(LLM_Data_Entry!$A$3:$A$548,$A36)&gt;0,"YES","NO"))</f>
        <v>YES</v>
      </c>
      <c r="AQ36" t="str">
        <f>IF($A36="","",IF(COUNTIFS($A$3:$A36,$A36,$C$3:$C36,$C36,$D$3:$D36,$D36)=1,"YES","NO"))</f>
        <v>YES</v>
      </c>
      <c r="AR36" t="str">
        <f>IF($A36="","",IF(AND($C36&amp;"-"&amp;$D36&gt;=Settings!$B$19,$C36&amp;"-"&amp;$D36&lt;=Settings!$B$20),"IN","OUT"))</f>
        <v>IN</v>
      </c>
      <c r="AS36" t="str">
        <f t="shared" si="5"/>
        <v>full</v>
      </c>
      <c r="AT36">
        <f t="shared" si="6"/>
        <v>1.9599999999999999E-2</v>
      </c>
      <c r="AU36">
        <f t="shared" si="7"/>
        <v>1.9597E-2</v>
      </c>
      <c r="AV36">
        <f>IF(ISNUMBER($AT36),ABS(IF(ISNUMBER($I36),$I36,0)-Settings!$B$24),"")</f>
        <v>0.3</v>
      </c>
      <c r="AW36">
        <f t="shared" si="8"/>
        <v>5.8799999999999998E-3</v>
      </c>
      <c r="AX36">
        <f>IF(ISNUMBER($AU36),ABS(IF(ISNUMBER($I36),$I36,0)-Settings!$B$24),"")</f>
        <v>0.3</v>
      </c>
      <c r="AY36" t="s">
        <v>549</v>
      </c>
      <c r="AZ36" t="str">
        <f>IF($A36="","",IFERROR(INDEX(Company_List!$H$3:$H$207,MATCH($A36,Company_List!$A$3:$A$207,0)),"unassigned"))</f>
        <v>Information Technology</v>
      </c>
      <c r="BC36">
        <f>IF($A36="","",IF(COUNTIFS($A$3:$A36,$A36,$C$3:$C36,$C36,$D$3:$D36,$D36,$G$3:$G36,$G36)=1,1,0))</f>
        <v>1</v>
      </c>
      <c r="BG36" t="s">
        <v>550</v>
      </c>
      <c r="BK36">
        <f t="shared" si="9"/>
        <v>1</v>
      </c>
      <c r="BL36" t="s">
        <v>551</v>
      </c>
      <c r="BM36">
        <v>2</v>
      </c>
      <c r="BN36" t="s">
        <v>595</v>
      </c>
      <c r="BO36" t="s">
        <v>596</v>
      </c>
      <c r="BP36" t="s">
        <v>550</v>
      </c>
      <c r="BQ36" t="s">
        <v>550</v>
      </c>
      <c r="BS36" t="s">
        <v>554</v>
      </c>
    </row>
    <row r="37" spans="1:71" ht="16.25" customHeight="1" x14ac:dyDescent="0.2">
      <c r="A37" s="95" t="s">
        <v>683</v>
      </c>
      <c r="B37" s="96" t="str">
        <f>IF(A37="","",_xlfn.XLOOKUP(A37, Company_List!$A:$A, Company_List!$B:$B, ""))</f>
        <v>AAPL</v>
      </c>
      <c r="C37" s="21">
        <v>2026</v>
      </c>
      <c r="D37" s="20" t="s">
        <v>537</v>
      </c>
      <c r="E37" s="19" t="s">
        <v>538</v>
      </c>
      <c r="F37" s="19" t="s">
        <v>538</v>
      </c>
      <c r="G37" s="20" t="s">
        <v>574</v>
      </c>
      <c r="H37" s="20" t="s">
        <v>540</v>
      </c>
      <c r="I37" s="127">
        <v>0.5</v>
      </c>
      <c r="J37" s="145" t="str">
        <f>IF(OR(I37="",Settings!$B$6=""),"",IF(I37&gt;Settings!$B$6,"BUY",IF(I37&lt;-Settings!$B$6,"SELL","HOLD")))</f>
        <v>BUY</v>
      </c>
      <c r="K37" s="139">
        <v>22</v>
      </c>
      <c r="L37" s="123">
        <v>46051</v>
      </c>
      <c r="M37" s="123">
        <v>46051</v>
      </c>
      <c r="N37" s="127">
        <v>258.27999999999997</v>
      </c>
      <c r="O37" s="123">
        <v>46052</v>
      </c>
      <c r="P37" s="22">
        <v>255.17</v>
      </c>
      <c r="Q37" s="148">
        <f t="shared" si="10"/>
        <v>-1.2E-2</v>
      </c>
      <c r="R37" s="20" t="str">
        <f>IF(OR(N37="",P37=""),"",IF(Q37&gt;Settings!$B$3/100,"UP",IF(Q37&lt;-Settings!$B$3/100,"DOWN","FLAT")))</f>
        <v>FLAT</v>
      </c>
      <c r="S37" s="20" t="str">
        <f t="shared" si="1"/>
        <v>NO</v>
      </c>
      <c r="T37" s="21">
        <f t="shared" si="2"/>
        <v>1</v>
      </c>
      <c r="U37" s="148">
        <f>IFERROR(IF(OR(J37="",N37="",P37=""),"",IF(T37=0,0,T37*Q37-Settings!$B$4/10000-IF(T37&lt;0,Settings!$B$5/10000,0))),"")</f>
        <v>-1.3000000000000001E-2</v>
      </c>
      <c r="V37" s="23" t="s">
        <v>693</v>
      </c>
      <c r="W37" s="21">
        <f t="shared" si="3"/>
        <v>1320</v>
      </c>
      <c r="X37" s="91" t="str">
        <f t="shared" si="4"/>
        <v>Apple|2026|Q1</v>
      </c>
      <c r="Y37" s="91" t="str">
        <f>IFERROR(IF($X37="","",INDEX(LLM_Data_Entry!$H$3:$H$548,MATCH($X37,INDEX(LLM_Data_Entry!$A$3:$A$548&amp;"|"&amp;LLM_Data_Entry!$C$3:$C$548&amp;"|"&amp;LLM_Data_Entry!$D$3:$D$548,0),0))),"")</f>
        <v>BUY</v>
      </c>
      <c r="Z37" s="91" t="str">
        <f>IFERROR(IF($X37="","",INDEX(LLM_Data_Entry!$R$3:$R$548,MATCH($X37,INDEX(LLM_Data_Entry!$A$3:$A$548&amp;"|"&amp;LLM_Data_Entry!$C$3:$C$548&amp;"|"&amp;LLM_Data_Entry!$D$3:$D$548,0),0))),"")</f>
        <v>NO</v>
      </c>
      <c r="AB37" t="s">
        <v>541</v>
      </c>
      <c r="AC37" t="s">
        <v>686</v>
      </c>
      <c r="AD37" t="s">
        <v>694</v>
      </c>
      <c r="AE37">
        <v>257.80099999999999</v>
      </c>
      <c r="AF37" t="s">
        <v>695</v>
      </c>
      <c r="AG37">
        <v>254.6968</v>
      </c>
      <c r="AH37">
        <v>-1.204109121342554E-2</v>
      </c>
      <c r="AI37" t="s">
        <v>579</v>
      </c>
      <c r="AJ37" t="s">
        <v>546</v>
      </c>
      <c r="AK37">
        <v>-1.3041000000000001E-2</v>
      </c>
      <c r="AL37" t="str">
        <f>IF($A37="","",IFERROR(INDEX(Company_List!$G$3:$G$207,MATCH($A37,Company_List!$A$3:$A$207,0)),"unassigned"))</f>
        <v>P2</v>
      </c>
      <c r="AM37" t="s">
        <v>696</v>
      </c>
      <c r="AO37" t="s">
        <v>593</v>
      </c>
      <c r="AP37" t="str">
        <f>IF($A37="","",IF(COUNTIFS(LLM_Data_Entry!$A$3:$A$548,$A37)&gt;0,"YES","NO"))</f>
        <v>YES</v>
      </c>
      <c r="AQ37" t="str">
        <f>IF($A37="","",IF(COUNTIFS($A$3:$A37,$A37,$C$3:$C37,$C37,$D$3:$D37,$D37)=1,"YES","NO"))</f>
        <v>YES</v>
      </c>
      <c r="AR37" t="str">
        <f>IF($A37="","",IF(AND($C37&amp;"-"&amp;$D37&gt;=Settings!$B$19,$C37&amp;"-"&amp;$D37&lt;=Settings!$B$20),"IN","OUT"))</f>
        <v>IN</v>
      </c>
      <c r="AS37" t="str">
        <f t="shared" si="5"/>
        <v>full</v>
      </c>
      <c r="AT37">
        <f t="shared" si="6"/>
        <v>-1.3000000000000001E-2</v>
      </c>
      <c r="AU37">
        <f t="shared" si="7"/>
        <v>-1.3041000000000001E-2</v>
      </c>
      <c r="AV37">
        <f>IF(ISNUMBER($AT37),ABS(IF(ISNUMBER($I37),$I37,0)-Settings!$B$24),"")</f>
        <v>0.5</v>
      </c>
      <c r="AW37">
        <f t="shared" si="8"/>
        <v>-6.5000000000000006E-3</v>
      </c>
      <c r="AX37">
        <f>IF(ISNUMBER($AU37),ABS(IF(ISNUMBER($I37),$I37,0)-Settings!$B$24),"")</f>
        <v>0.5</v>
      </c>
      <c r="AY37" t="s">
        <v>549</v>
      </c>
      <c r="AZ37" t="str">
        <f>IF($A37="","",IFERROR(INDEX(Company_List!$H$3:$H$207,MATCH($A37,Company_List!$A$3:$A$207,0)),"unassigned"))</f>
        <v>Information Technology</v>
      </c>
      <c r="BC37">
        <f>IF($A37="","",IF(COUNTIFS($A$3:$A37,$A37,$C$3:$C37,$C37,$D$3:$D37,$D37,$G$3:$G37,$G37)=1,1,0))</f>
        <v>1</v>
      </c>
      <c r="BG37" t="s">
        <v>550</v>
      </c>
      <c r="BK37">
        <f t="shared" si="9"/>
        <v>1</v>
      </c>
      <c r="BL37" t="s">
        <v>551</v>
      </c>
      <c r="BM37">
        <v>2</v>
      </c>
      <c r="BN37" t="s">
        <v>595</v>
      </c>
      <c r="BO37" t="s">
        <v>596</v>
      </c>
      <c r="BP37" t="s">
        <v>550</v>
      </c>
      <c r="BQ37" t="s">
        <v>550</v>
      </c>
      <c r="BS37" t="s">
        <v>554</v>
      </c>
    </row>
    <row r="38" spans="1:71" ht="16.25" customHeight="1" x14ac:dyDescent="0.2">
      <c r="A38" s="95" t="s">
        <v>697</v>
      </c>
      <c r="B38" s="96" t="str">
        <f>IF(A38="","",_xlfn.XLOOKUP(A38, Company_List!$A:$A, Company_List!$B:$B, ""))</f>
        <v>KO</v>
      </c>
      <c r="C38" s="21">
        <v>2025</v>
      </c>
      <c r="D38" s="20" t="s">
        <v>555</v>
      </c>
      <c r="E38" s="19" t="s">
        <v>538</v>
      </c>
      <c r="F38" s="19" t="s">
        <v>538</v>
      </c>
      <c r="G38" s="20" t="s">
        <v>574</v>
      </c>
      <c r="H38" s="20" t="s">
        <v>540</v>
      </c>
      <c r="I38" s="127">
        <v>0.2</v>
      </c>
      <c r="J38" s="145" t="str">
        <f>IF(OR(I38="",Settings!$B$6=""),"",IF(I38&gt;Settings!$B$6,"BUY",IF(I38&lt;-Settings!$B$6,"SELL","HOLD")))</f>
        <v>HOLD</v>
      </c>
      <c r="K38" s="139">
        <v>35</v>
      </c>
      <c r="L38" s="123">
        <v>45860</v>
      </c>
      <c r="M38" s="123">
        <v>45859</v>
      </c>
      <c r="N38" s="127">
        <v>70.069999999999993</v>
      </c>
      <c r="O38" s="123">
        <v>45860</v>
      </c>
      <c r="P38" s="22">
        <v>69.45</v>
      </c>
      <c r="Q38" s="148">
        <f t="shared" si="10"/>
        <v>-8.8000000000000005E-3</v>
      </c>
      <c r="R38" s="20" t="str">
        <f>IF(OR(N38="",P38=""),"",IF(Q38&gt;Settings!$B$3/100,"UP",IF(Q38&lt;-Settings!$B$3/100,"DOWN","FLAT")))</f>
        <v>FLAT</v>
      </c>
      <c r="S38" s="20" t="str">
        <f t="shared" si="1"/>
        <v>YES</v>
      </c>
      <c r="T38" s="21">
        <f t="shared" si="2"/>
        <v>0</v>
      </c>
      <c r="U38" s="148">
        <f>IFERROR(IF(OR(J38="",N38="",P38=""),"",IF(T38=0,0,T38*Q38-Settings!$B$4/10000-IF(T38&lt;0,Settings!$B$5/10000,0))),"")</f>
        <v>0</v>
      </c>
      <c r="V38" s="23" t="s">
        <v>698</v>
      </c>
      <c r="W38" s="21">
        <f t="shared" si="3"/>
        <v>2100</v>
      </c>
      <c r="X38" s="91" t="str">
        <f t="shared" si="4"/>
        <v>Coca-Cola|2025|Q2</v>
      </c>
      <c r="Y38" s="91" t="str">
        <f>IFERROR(IF($X38="","",INDEX(LLM_Data_Entry!$H$3:$H$548,MATCH($X38,INDEX(LLM_Data_Entry!$A$3:$A$548&amp;"|"&amp;LLM_Data_Entry!$C$3:$C$548&amp;"|"&amp;LLM_Data_Entry!$D$3:$D$548,0),0))),"")</f>
        <v>HOLD</v>
      </c>
      <c r="Z38" s="91" t="str">
        <f>IFERROR(IF($X38="","",INDEX(LLM_Data_Entry!$R$3:$R$548,MATCH($X38,INDEX(LLM_Data_Entry!$A$3:$A$548&amp;"|"&amp;LLM_Data_Entry!$C$3:$C$548&amp;"|"&amp;LLM_Data_Entry!$D$3:$D$548,0),0))),"")</f>
        <v>YES</v>
      </c>
      <c r="AB38" t="s">
        <v>636</v>
      </c>
      <c r="AC38" t="s">
        <v>699</v>
      </c>
      <c r="AD38" t="s">
        <v>700</v>
      </c>
      <c r="AE38">
        <v>68.140199999999993</v>
      </c>
      <c r="AF38" t="s">
        <v>701</v>
      </c>
      <c r="AG38">
        <v>67.537300000000002</v>
      </c>
      <c r="AH38">
        <v>-8.8483466858759931E-3</v>
      </c>
      <c r="AI38" t="s">
        <v>579</v>
      </c>
      <c r="AJ38" t="s">
        <v>554</v>
      </c>
      <c r="AK38">
        <v>0</v>
      </c>
      <c r="AL38" t="str">
        <f>IF($A38="","",IFERROR(INDEX(Company_List!$G$3:$G$207,MATCH($A38,Company_List!$A$3:$A$207,0)),"unassigned"))</f>
        <v>P2</v>
      </c>
      <c r="AM38" t="s">
        <v>702</v>
      </c>
      <c r="AO38" t="s">
        <v>548</v>
      </c>
      <c r="AP38" t="str">
        <f>IF($A38="","",IF(COUNTIFS(LLM_Data_Entry!$A$3:$A$548,$A38)&gt;0,"YES","NO"))</f>
        <v>YES</v>
      </c>
      <c r="AQ38" t="str">
        <f>IF($A38="","",IF(COUNTIFS($A$3:$A38,$A38,$C$3:$C38,$C38,$D$3:$D38,$D38)=1,"YES","NO"))</f>
        <v>YES</v>
      </c>
      <c r="AR38" t="str">
        <f>IF($A38="","",IF(AND($C38&amp;"-"&amp;$D38&gt;=Settings!$B$19,$C38&amp;"-"&amp;$D38&lt;=Settings!$B$20),"IN","OUT"))</f>
        <v>IN</v>
      </c>
      <c r="AS38" t="str">
        <f t="shared" si="5"/>
        <v>full</v>
      </c>
      <c r="AT38" t="str">
        <f t="shared" si="6"/>
        <v/>
      </c>
      <c r="AU38" t="str">
        <f t="shared" si="7"/>
        <v/>
      </c>
      <c r="AV38" t="str">
        <f>IF(ISNUMBER($AT38),ABS(IF(ISNUMBER($I38),$I38,0)-Settings!$B$24),"")</f>
        <v/>
      </c>
      <c r="AW38" t="str">
        <f t="shared" si="8"/>
        <v/>
      </c>
      <c r="AX38" t="str">
        <f>IF(ISNUMBER($AU38),ABS(IF(ISNUMBER($I38),$I38,0)-Settings!$B$24),"")</f>
        <v/>
      </c>
      <c r="AY38" t="s">
        <v>549</v>
      </c>
      <c r="AZ38" t="str">
        <f>IF($A38="","",IFERROR(INDEX(Company_List!$H$3:$H$207,MATCH($A38,Company_List!$A$3:$A$207,0)),"unassigned"))</f>
        <v>Consumer Staples</v>
      </c>
      <c r="BC38">
        <f>IF($A38="","",IF(COUNTIFS($A$3:$A38,$A38,$C$3:$C38,$C38,$D$3:$D38,$D38,$G$3:$G38,$G38)=1,1,0))</f>
        <v>1</v>
      </c>
      <c r="BG38" t="s">
        <v>550</v>
      </c>
      <c r="BK38">
        <f t="shared" si="9"/>
        <v>1</v>
      </c>
      <c r="BL38" t="s">
        <v>551</v>
      </c>
      <c r="BM38">
        <v>1</v>
      </c>
      <c r="BN38" t="s">
        <v>595</v>
      </c>
      <c r="BO38" t="s">
        <v>596</v>
      </c>
      <c r="BP38" t="s">
        <v>550</v>
      </c>
      <c r="BQ38" t="s">
        <v>550</v>
      </c>
      <c r="BS38" t="s">
        <v>554</v>
      </c>
    </row>
    <row r="39" spans="1:71" ht="16.25" customHeight="1" x14ac:dyDescent="0.2">
      <c r="A39" s="95" t="s">
        <v>697</v>
      </c>
      <c r="B39" s="96" t="str">
        <f>IF(A39="","",_xlfn.XLOOKUP(A39, Company_List!$A:$A, Company_List!$B:$B, ""))</f>
        <v>KO</v>
      </c>
      <c r="C39" s="21">
        <v>2025</v>
      </c>
      <c r="D39" s="20" t="s">
        <v>569</v>
      </c>
      <c r="E39" s="19" t="s">
        <v>538</v>
      </c>
      <c r="F39" s="19" t="s">
        <v>538</v>
      </c>
      <c r="G39" s="20" t="s">
        <v>574</v>
      </c>
      <c r="H39" s="20" t="s">
        <v>540</v>
      </c>
      <c r="I39" s="127">
        <v>-0.3</v>
      </c>
      <c r="J39" s="145" t="str">
        <f>IF(OR(I39="",Settings!$B$6=""),"",IF(I39&gt;Settings!$B$6,"BUY",IF(I39&lt;-Settings!$B$6,"SELL","HOLD")))</f>
        <v>SELL</v>
      </c>
      <c r="K39" s="139">
        <v>28</v>
      </c>
      <c r="L39" s="123">
        <v>46063</v>
      </c>
      <c r="M39" s="123">
        <v>46062</v>
      </c>
      <c r="N39" s="127">
        <v>77.97</v>
      </c>
      <c r="O39" s="123">
        <v>46063</v>
      </c>
      <c r="P39" s="22">
        <v>76.63</v>
      </c>
      <c r="Q39" s="148">
        <f t="shared" si="10"/>
        <v>-1.72E-2</v>
      </c>
      <c r="R39" s="20" t="str">
        <f>IF(OR(N39="",P39=""),"",IF(Q39&gt;Settings!$B$3/100,"UP",IF(Q39&lt;-Settings!$B$3/100,"DOWN","FLAT")))</f>
        <v>FLAT</v>
      </c>
      <c r="S39" s="20" t="str">
        <f t="shared" si="1"/>
        <v>NO</v>
      </c>
      <c r="T39" s="21">
        <f t="shared" si="2"/>
        <v>-1</v>
      </c>
      <c r="U39" s="148">
        <f>IFERROR(IF(OR(J39="",N39="",P39=""),"",IF(T39=0,0,T39*Q39-Settings!$B$4/10000-IF(T39&lt;0,Settings!$B$5/10000,0))),"")</f>
        <v>1.6199999999999999E-2</v>
      </c>
      <c r="V39" s="23" t="s">
        <v>703</v>
      </c>
      <c r="W39" s="21">
        <f t="shared" si="3"/>
        <v>1680</v>
      </c>
      <c r="X39" s="91" t="str">
        <f t="shared" si="4"/>
        <v>Coca-Cola|2025|Q4</v>
      </c>
      <c r="Y39" s="91" t="str">
        <f>IFERROR(IF($X39="","",INDEX(LLM_Data_Entry!$H$3:$H$548,MATCH($X39,INDEX(LLM_Data_Entry!$A$3:$A$548&amp;"|"&amp;LLM_Data_Entry!$C$3:$C$548&amp;"|"&amp;LLM_Data_Entry!$D$3:$D$548,0),0))),"")</f>
        <v>HOLD</v>
      </c>
      <c r="Z39" s="91" t="str">
        <f>IFERROR(IF($X39="","",INDEX(LLM_Data_Entry!$R$3:$R$548,MATCH($X39,INDEX(LLM_Data_Entry!$A$3:$A$548&amp;"|"&amp;LLM_Data_Entry!$C$3:$C$548&amp;"|"&amp;LLM_Data_Entry!$D$3:$D$548,0),0))),"")</f>
        <v>YES</v>
      </c>
      <c r="AB39" t="s">
        <v>636</v>
      </c>
      <c r="AC39" t="s">
        <v>699</v>
      </c>
      <c r="AD39" t="s">
        <v>704</v>
      </c>
      <c r="AE39">
        <v>76.940799999999996</v>
      </c>
      <c r="AF39" t="s">
        <v>705</v>
      </c>
      <c r="AG39">
        <v>75.618499999999997</v>
      </c>
      <c r="AH39">
        <v>-1.718625273446614E-2</v>
      </c>
      <c r="AI39" t="s">
        <v>579</v>
      </c>
      <c r="AJ39" t="s">
        <v>546</v>
      </c>
      <c r="AK39">
        <v>1.6185999999999999E-2</v>
      </c>
      <c r="AL39" t="str">
        <f>IF($A39="","",IFERROR(INDEX(Company_List!$G$3:$G$207,MATCH($A39,Company_List!$A$3:$A$207,0)),"unassigned"))</f>
        <v>P2</v>
      </c>
      <c r="AM39" t="s">
        <v>706</v>
      </c>
      <c r="AO39" t="s">
        <v>548</v>
      </c>
      <c r="AP39" t="str">
        <f>IF($A39="","",IF(COUNTIFS(LLM_Data_Entry!$A$3:$A$548,$A39)&gt;0,"YES","NO"))</f>
        <v>YES</v>
      </c>
      <c r="AQ39" t="str">
        <f>IF($A39="","",IF(COUNTIFS($A$3:$A39,$A39,$C$3:$C39,$C39,$D$3:$D39,$D39)=1,"YES","NO"))</f>
        <v>YES</v>
      </c>
      <c r="AR39" t="str">
        <f>IF($A39="","",IF(AND($C39&amp;"-"&amp;$D39&gt;=Settings!$B$19,$C39&amp;"-"&amp;$D39&lt;=Settings!$B$20),"IN","OUT"))</f>
        <v>IN</v>
      </c>
      <c r="AS39" t="str">
        <f t="shared" si="5"/>
        <v>full</v>
      </c>
      <c r="AT39">
        <f t="shared" si="6"/>
        <v>1.6199999999999999E-2</v>
      </c>
      <c r="AU39">
        <f t="shared" si="7"/>
        <v>1.6185999999999999E-2</v>
      </c>
      <c r="AV39">
        <f>IF(ISNUMBER($AT39),ABS(IF(ISNUMBER($I39),$I39,0)-Settings!$B$24),"")</f>
        <v>0.3</v>
      </c>
      <c r="AW39">
        <f t="shared" si="8"/>
        <v>4.8599999999999997E-3</v>
      </c>
      <c r="AX39">
        <f>IF(ISNUMBER($AU39),ABS(IF(ISNUMBER($I39),$I39,0)-Settings!$B$24),"")</f>
        <v>0.3</v>
      </c>
      <c r="AY39" t="s">
        <v>549</v>
      </c>
      <c r="AZ39" t="str">
        <f>IF($A39="","",IFERROR(INDEX(Company_List!$H$3:$H$207,MATCH($A39,Company_List!$A$3:$A$207,0)),"unassigned"))</f>
        <v>Consumer Staples</v>
      </c>
      <c r="BC39">
        <f>IF($A39="","",IF(COUNTIFS($A$3:$A39,$A39,$C$3:$C39,$C39,$D$3:$D39,$D39,$G$3:$G39,$G39)=1,1,0))</f>
        <v>1</v>
      </c>
      <c r="BG39" t="s">
        <v>550</v>
      </c>
      <c r="BK39">
        <f t="shared" si="9"/>
        <v>0</v>
      </c>
      <c r="BL39" t="s">
        <v>551</v>
      </c>
      <c r="BM39">
        <v>1</v>
      </c>
      <c r="BN39" t="s">
        <v>595</v>
      </c>
      <c r="BO39" t="s">
        <v>596</v>
      </c>
      <c r="BP39" t="s">
        <v>550</v>
      </c>
      <c r="BQ39" t="s">
        <v>550</v>
      </c>
      <c r="BS39" t="s">
        <v>554</v>
      </c>
    </row>
    <row r="40" spans="1:71" ht="16.25" customHeight="1" x14ac:dyDescent="0.2">
      <c r="A40" s="95" t="s">
        <v>697</v>
      </c>
      <c r="B40" s="96" t="str">
        <f>IF(A40="","",_xlfn.XLOOKUP(A40, Company_List!$A:$A, Company_List!$B:$B, ""))</f>
        <v>KO</v>
      </c>
      <c r="C40" s="21">
        <v>2026</v>
      </c>
      <c r="D40" s="20" t="s">
        <v>537</v>
      </c>
      <c r="E40" s="19" t="s">
        <v>538</v>
      </c>
      <c r="F40" s="19" t="s">
        <v>538</v>
      </c>
      <c r="G40" s="20" t="s">
        <v>574</v>
      </c>
      <c r="H40" s="20" t="s">
        <v>540</v>
      </c>
      <c r="I40" s="127">
        <v>0.4</v>
      </c>
      <c r="J40" s="145" t="str">
        <f>IF(OR(I40="",Settings!$B$6=""),"",IF(I40&gt;Settings!$B$6,"BUY",IF(I40&lt;-Settings!$B$6,"SELL","HOLD")))</f>
        <v>BUY</v>
      </c>
      <c r="K40" s="139">
        <v>25</v>
      </c>
      <c r="L40" s="123">
        <v>46140</v>
      </c>
      <c r="M40" s="123">
        <v>46139</v>
      </c>
      <c r="N40" s="127">
        <v>75.44</v>
      </c>
      <c r="O40" s="123">
        <v>46140</v>
      </c>
      <c r="P40" s="22">
        <v>79.52</v>
      </c>
      <c r="Q40" s="148">
        <f t="shared" si="10"/>
        <v>5.4100000000000002E-2</v>
      </c>
      <c r="R40" s="20" t="str">
        <f>IF(OR(N40="",P40=""),"",IF(Q40&gt;Settings!$B$3/100,"UP",IF(Q40&lt;-Settings!$B$3/100,"DOWN","FLAT")))</f>
        <v>UP</v>
      </c>
      <c r="S40" s="20" t="str">
        <f t="shared" si="1"/>
        <v>YES</v>
      </c>
      <c r="T40" s="21">
        <f t="shared" si="2"/>
        <v>1</v>
      </c>
      <c r="U40" s="148">
        <f>IFERROR(IF(OR(J40="",N40="",P40=""),"",IF(T40=0,0,T40*Q40-Settings!$B$4/10000-IF(T40&lt;0,Settings!$B$5/10000,0))),"")</f>
        <v>5.3100000000000001E-2</v>
      </c>
      <c r="V40" s="23" t="s">
        <v>707</v>
      </c>
      <c r="W40" s="21">
        <f t="shared" si="3"/>
        <v>1500</v>
      </c>
      <c r="X40" s="91" t="str">
        <f t="shared" si="4"/>
        <v>Coca-Cola|2026|Q1</v>
      </c>
      <c r="Y40" s="91" t="str">
        <f>IFERROR(IF($X40="","",INDEX(LLM_Data_Entry!$H$3:$H$548,MATCH($X40,INDEX(LLM_Data_Entry!$A$3:$A$548&amp;"|"&amp;LLM_Data_Entry!$C$3:$C$548&amp;"|"&amp;LLM_Data_Entry!$D$3:$D$548,0),0))),"")</f>
        <v>HOLD</v>
      </c>
      <c r="Z40" s="91" t="str">
        <f>IFERROR(IF($X40="","",INDEX(LLM_Data_Entry!$R$3:$R$548,MATCH($X40,INDEX(LLM_Data_Entry!$A$3:$A$548&amp;"|"&amp;LLM_Data_Entry!$C$3:$C$548&amp;"|"&amp;LLM_Data_Entry!$D$3:$D$548,0),0))),"")</f>
        <v>NO</v>
      </c>
      <c r="AB40" t="s">
        <v>636</v>
      </c>
      <c r="AC40" t="s">
        <v>699</v>
      </c>
      <c r="AD40" t="s">
        <v>708</v>
      </c>
      <c r="AE40">
        <v>74.956100000000006</v>
      </c>
      <c r="AF40" t="s">
        <v>709</v>
      </c>
      <c r="AG40">
        <v>79.009900000000002</v>
      </c>
      <c r="AH40">
        <v>5.4082624425420639E-2</v>
      </c>
      <c r="AI40" t="s">
        <v>591</v>
      </c>
      <c r="AJ40" t="s">
        <v>554</v>
      </c>
      <c r="AK40">
        <v>5.3082999999999998E-2</v>
      </c>
      <c r="AL40" t="str">
        <f>IF($A40="","",IFERROR(INDEX(Company_List!$G$3:$G$207,MATCH($A40,Company_List!$A$3:$A$207,0)),"unassigned"))</f>
        <v>P2</v>
      </c>
      <c r="AM40" t="s">
        <v>710</v>
      </c>
      <c r="AO40" t="s">
        <v>548</v>
      </c>
      <c r="AP40" t="str">
        <f>IF($A40="","",IF(COUNTIFS(LLM_Data_Entry!$A$3:$A$548,$A40)&gt;0,"YES","NO"))</f>
        <v>YES</v>
      </c>
      <c r="AQ40" t="str">
        <f>IF($A40="","",IF(COUNTIFS($A$3:$A40,$A40,$C$3:$C40,$C40,$D$3:$D40,$D40)=1,"YES","NO"))</f>
        <v>YES</v>
      </c>
      <c r="AR40" t="str">
        <f>IF($A40="","",IF(AND($C40&amp;"-"&amp;$D40&gt;=Settings!$B$19,$C40&amp;"-"&amp;$D40&lt;=Settings!$B$20),"IN","OUT"))</f>
        <v>IN</v>
      </c>
      <c r="AS40" t="str">
        <f t="shared" si="5"/>
        <v>full</v>
      </c>
      <c r="AT40">
        <f t="shared" si="6"/>
        <v>5.3100000000000001E-2</v>
      </c>
      <c r="AU40">
        <f t="shared" si="7"/>
        <v>5.3082999999999998E-2</v>
      </c>
      <c r="AV40">
        <f>IF(ISNUMBER($AT40),ABS(IF(ISNUMBER($I40),$I40,0)-Settings!$B$24),"")</f>
        <v>0.4</v>
      </c>
      <c r="AW40">
        <f t="shared" si="8"/>
        <v>2.1240000000000002E-2</v>
      </c>
      <c r="AX40">
        <f>IF(ISNUMBER($AU40),ABS(IF(ISNUMBER($I40),$I40,0)-Settings!$B$24),"")</f>
        <v>0.4</v>
      </c>
      <c r="AY40" t="s">
        <v>549</v>
      </c>
      <c r="AZ40" t="str">
        <f>IF($A40="","",IFERROR(INDEX(Company_List!$H$3:$H$207,MATCH($A40,Company_List!$A$3:$A$207,0)),"unassigned"))</f>
        <v>Consumer Staples</v>
      </c>
      <c r="BC40">
        <f>IF($A40="","",IF(COUNTIFS($A$3:$A40,$A40,$C$3:$C40,$C40,$D$3:$D40,$D40,$G$3:$G40,$G40)=1,1,0))</f>
        <v>1</v>
      </c>
      <c r="BG40" t="s">
        <v>550</v>
      </c>
      <c r="BK40">
        <f t="shared" si="9"/>
        <v>0</v>
      </c>
      <c r="BL40" t="s">
        <v>551</v>
      </c>
      <c r="BM40">
        <v>1</v>
      </c>
      <c r="BN40" t="s">
        <v>595</v>
      </c>
      <c r="BO40" t="s">
        <v>596</v>
      </c>
      <c r="BP40" t="s">
        <v>550</v>
      </c>
      <c r="BQ40" t="s">
        <v>550</v>
      </c>
      <c r="BS40" t="s">
        <v>554</v>
      </c>
    </row>
    <row r="41" spans="1:71" ht="16.25" customHeight="1" x14ac:dyDescent="0.2">
      <c r="A41" s="95" t="s">
        <v>711</v>
      </c>
      <c r="B41" s="96" t="str">
        <f>IF(A41="","",_xlfn.XLOOKUP(A41, Company_List!$A:$A, Company_List!$B:$B, ""))</f>
        <v>BAC</v>
      </c>
      <c r="C41" s="21">
        <v>2025</v>
      </c>
      <c r="D41" s="20" t="s">
        <v>537</v>
      </c>
      <c r="E41" s="19" t="s">
        <v>647</v>
      </c>
      <c r="F41" s="19" t="s">
        <v>538</v>
      </c>
      <c r="G41" s="20" t="s">
        <v>712</v>
      </c>
      <c r="H41" s="20" t="s">
        <v>540</v>
      </c>
      <c r="I41" s="127">
        <v>0.4</v>
      </c>
      <c r="J41" s="145" t="str">
        <f>IF(OR(I41="",Settings!$B$6=""),"",IF(I41&gt;Settings!$B$6,"BUY",IF(I41&lt;-Settings!$B$6,"SELL","HOLD")))</f>
        <v>BUY</v>
      </c>
      <c r="K41" s="139">
        <v>60</v>
      </c>
      <c r="L41" s="123">
        <v>45762</v>
      </c>
      <c r="M41" s="123">
        <v>45761</v>
      </c>
      <c r="N41" s="127">
        <v>36.67</v>
      </c>
      <c r="O41" s="123">
        <v>45762</v>
      </c>
      <c r="P41" s="22">
        <v>37.799999999999997</v>
      </c>
      <c r="Q41" s="148">
        <f t="shared" si="10"/>
        <v>3.0800000000000001E-2</v>
      </c>
      <c r="R41" s="20" t="str">
        <f>IF(OR(N41="",P41=""),"",IF(Q41&gt;Settings!$B$3/100,"UP",IF(Q41&lt;-Settings!$B$3/100,"DOWN","FLAT")))</f>
        <v>UP</v>
      </c>
      <c r="S41" s="20" t="str">
        <f t="shared" si="1"/>
        <v>YES</v>
      </c>
      <c r="T41" s="21">
        <f t="shared" si="2"/>
        <v>1</v>
      </c>
      <c r="U41" s="148">
        <f>IFERROR(IF(OR(J41="",N41="",P41=""),"",IF(T41=0,0,T41*Q41-Settings!$B$4/10000-IF(T41&lt;0,Settings!$B$5/10000,0))),"")</f>
        <v>2.98E-2</v>
      </c>
      <c r="V41" s="23"/>
      <c r="W41" s="21">
        <f t="shared" si="3"/>
        <v>3600</v>
      </c>
      <c r="X41" s="91" t="str">
        <f t="shared" si="4"/>
        <v>Bank of America|2025|Q1</v>
      </c>
      <c r="Y41" s="91" t="str">
        <f>IFERROR(IF($X41="","",INDEX(LLM_Data_Entry!$H$3:$H$548,MATCH($X41,INDEX(LLM_Data_Entry!$A$3:$A$548&amp;"|"&amp;LLM_Data_Entry!$C$3:$C$548&amp;"|"&amp;LLM_Data_Entry!$D$3:$D$548,0),0))),"")</f>
        <v>SELL</v>
      </c>
      <c r="Z41" s="91" t="str">
        <f>IFERROR(IF($X41="","",INDEX(LLM_Data_Entry!$R$3:$R$548,MATCH($X41,INDEX(LLM_Data_Entry!$A$3:$A$548&amp;"|"&amp;LLM_Data_Entry!$C$3:$C$548&amp;"|"&amp;LLM_Data_Entry!$D$3:$D$548,0),0))),"")</f>
        <v>NO</v>
      </c>
      <c r="AB41" t="s">
        <v>541</v>
      </c>
      <c r="AC41" t="s">
        <v>713</v>
      </c>
      <c r="AD41" t="s">
        <v>714</v>
      </c>
      <c r="AE41">
        <v>35.677999999999997</v>
      </c>
      <c r="AF41" t="s">
        <v>715</v>
      </c>
      <c r="AG41">
        <v>36.7774</v>
      </c>
      <c r="AH41">
        <v>3.0815289223375762E-2</v>
      </c>
      <c r="AI41" t="s">
        <v>591</v>
      </c>
      <c r="AJ41" t="s">
        <v>554</v>
      </c>
      <c r="AK41">
        <v>2.9815000000000001E-2</v>
      </c>
      <c r="AL41" t="str">
        <f>IF($A41="","",IFERROR(INDEX(Company_List!$G$3:$G$207,MATCH($A41,Company_List!$A$3:$A$207,0)),"unassigned"))</f>
        <v>P2</v>
      </c>
      <c r="AM41" t="s">
        <v>716</v>
      </c>
      <c r="AN41" t="s">
        <v>717</v>
      </c>
      <c r="AO41" t="s">
        <v>560</v>
      </c>
      <c r="AP41" t="str">
        <f>IF($A41="","",IF(COUNTIFS(LLM_Data_Entry!$A$3:$A$548,$A41)&gt;0,"YES","NO"))</f>
        <v>YES</v>
      </c>
      <c r="AQ41" t="str">
        <f>IF($A41="","",IF(COUNTIFS($A$3:$A41,$A41,$C$3:$C41,$C41,$D$3:$D41,$D41)=1,"YES","NO"))</f>
        <v>YES</v>
      </c>
      <c r="AR41" t="str">
        <f>IF($A41="","",IF(AND($C41&amp;"-"&amp;$D41&gt;=Settings!$B$19,$C41&amp;"-"&amp;$D41&lt;=Settings!$B$20),"IN","OUT"))</f>
        <v>IN</v>
      </c>
      <c r="AS41" t="str">
        <f t="shared" si="5"/>
        <v>transcript only</v>
      </c>
      <c r="AT41">
        <f t="shared" si="6"/>
        <v>2.98E-2</v>
      </c>
      <c r="AU41">
        <f t="shared" si="7"/>
        <v>2.9815000000000001E-2</v>
      </c>
      <c r="AV41">
        <f>IF(ISNUMBER($AT41),ABS(IF(ISNUMBER($I41),$I41,0)-Settings!$B$24),"")</f>
        <v>0.4</v>
      </c>
      <c r="AW41">
        <f t="shared" si="8"/>
        <v>1.192E-2</v>
      </c>
      <c r="AX41">
        <f>IF(ISNUMBER($AU41),ABS(IF(ISNUMBER($I41),$I41,0)-Settings!$B$24),"")</f>
        <v>0.4</v>
      </c>
      <c r="AY41" t="s">
        <v>549</v>
      </c>
      <c r="AZ41" t="str">
        <f>IF($A41="","",IFERROR(INDEX(Company_List!$H$3:$H$207,MATCH($A41,Company_List!$A$3:$A$207,0)),"unassigned"))</f>
        <v>Financials</v>
      </c>
      <c r="BC41">
        <f>IF($A41="","",IF(COUNTIFS($A$3:$A41,$A41,$C$3:$C41,$C41,$D$3:$D41,$D41,$G$3:$G41,$G41)=1,1,0))</f>
        <v>1</v>
      </c>
      <c r="BG41" t="s">
        <v>550</v>
      </c>
      <c r="BK41">
        <f t="shared" si="9"/>
        <v>0</v>
      </c>
      <c r="BL41" t="s">
        <v>551</v>
      </c>
      <c r="BM41">
        <v>1</v>
      </c>
      <c r="BN41" t="s">
        <v>561</v>
      </c>
      <c r="BO41" t="s">
        <v>561</v>
      </c>
      <c r="BP41" t="s">
        <v>550</v>
      </c>
      <c r="BQ41" t="s">
        <v>562</v>
      </c>
      <c r="BS41" t="s">
        <v>554</v>
      </c>
    </row>
    <row r="42" spans="1:71" ht="16.25" customHeight="1" x14ac:dyDescent="0.2">
      <c r="A42" s="95" t="s">
        <v>711</v>
      </c>
      <c r="B42" s="96" t="str">
        <f>IF(A42="","",_xlfn.XLOOKUP(A42, Company_List!$A:$A, Company_List!$B:$B, ""))</f>
        <v>BAC</v>
      </c>
      <c r="C42" s="21">
        <v>2025</v>
      </c>
      <c r="D42" s="20" t="s">
        <v>555</v>
      </c>
      <c r="E42" s="19" t="s">
        <v>647</v>
      </c>
      <c r="F42" s="19" t="s">
        <v>538</v>
      </c>
      <c r="G42" s="20" t="s">
        <v>712</v>
      </c>
      <c r="H42" s="20" t="s">
        <v>540</v>
      </c>
      <c r="I42" s="127">
        <v>0.6</v>
      </c>
      <c r="J42" s="145" t="str">
        <f>IF(OR(I42="",Settings!$B$6=""),"",IF(I42&gt;Settings!$B$6,"BUY",IF(I42&lt;-Settings!$B$6,"SELL","HOLD")))</f>
        <v>BUY</v>
      </c>
      <c r="K42" s="139">
        <v>41</v>
      </c>
      <c r="L42" s="123">
        <v>45854</v>
      </c>
      <c r="M42" s="123">
        <v>45853</v>
      </c>
      <c r="N42" s="127">
        <v>46.15</v>
      </c>
      <c r="O42" s="123">
        <v>45854</v>
      </c>
      <c r="P42" s="22">
        <v>46.25</v>
      </c>
      <c r="Q42" s="148">
        <f t="shared" si="10"/>
        <v>2.2000000000000001E-3</v>
      </c>
      <c r="R42" s="20" t="str">
        <f>IF(OR(N42="",P42=""),"",IF(Q42&gt;Settings!$B$3/100,"UP",IF(Q42&lt;-Settings!$B$3/100,"DOWN","FLAT")))</f>
        <v>FLAT</v>
      </c>
      <c r="S42" s="20" t="str">
        <f t="shared" si="1"/>
        <v>NO</v>
      </c>
      <c r="T42" s="21">
        <f t="shared" si="2"/>
        <v>1</v>
      </c>
      <c r="U42" s="148">
        <f>IFERROR(IF(OR(J42="",N42="",P42=""),"",IF(T42=0,0,T42*Q42-Settings!$B$4/10000-IF(T42&lt;0,Settings!$B$5/10000,0))),"")</f>
        <v>1.2000000000000001E-3</v>
      </c>
      <c r="V42" s="23"/>
      <c r="W42" s="21">
        <f t="shared" si="3"/>
        <v>2460</v>
      </c>
      <c r="X42" s="91" t="str">
        <f t="shared" si="4"/>
        <v>Bank of America|2025|Q2</v>
      </c>
      <c r="Y42" s="91" t="str">
        <f>IFERROR(IF($X42="","",INDEX(LLM_Data_Entry!$H$3:$H$548,MATCH($X42,INDEX(LLM_Data_Entry!$A$3:$A$548&amp;"|"&amp;LLM_Data_Entry!$C$3:$C$548&amp;"|"&amp;LLM_Data_Entry!$D$3:$D$548,0),0))),"")</f>
        <v>HOLD</v>
      </c>
      <c r="Z42" s="91" t="str">
        <f>IFERROR(IF($X42="","",INDEX(LLM_Data_Entry!$R$3:$R$548,MATCH($X42,INDEX(LLM_Data_Entry!$A$3:$A$548&amp;"|"&amp;LLM_Data_Entry!$C$3:$C$548&amp;"|"&amp;LLM_Data_Entry!$D$3:$D$548,0),0))),"")</f>
        <v>YES</v>
      </c>
      <c r="AB42" t="s">
        <v>612</v>
      </c>
      <c r="AC42" t="s">
        <v>713</v>
      </c>
      <c r="AD42" t="s">
        <v>718</v>
      </c>
      <c r="AE42">
        <v>46.066499999999998</v>
      </c>
      <c r="AF42" t="s">
        <v>719</v>
      </c>
      <c r="AG42">
        <v>45.880600000000001</v>
      </c>
      <c r="AH42">
        <v>-4.0366627472530918E-3</v>
      </c>
      <c r="AI42" t="s">
        <v>579</v>
      </c>
      <c r="AJ42" t="s">
        <v>546</v>
      </c>
      <c r="AK42">
        <v>-5.0369999999999998E-3</v>
      </c>
      <c r="AL42" t="str">
        <f>IF($A42="","",IFERROR(INDEX(Company_List!$G$3:$G$207,MATCH($A42,Company_List!$A$3:$A$207,0)),"unassigned"))</f>
        <v>P2</v>
      </c>
      <c r="AM42" t="s">
        <v>720</v>
      </c>
      <c r="AN42" t="s">
        <v>721</v>
      </c>
      <c r="AO42" t="s">
        <v>560</v>
      </c>
      <c r="AP42" t="str">
        <f>IF($A42="","",IF(COUNTIFS(LLM_Data_Entry!$A$3:$A$548,$A42)&gt;0,"YES","NO"))</f>
        <v>YES</v>
      </c>
      <c r="AQ42" t="str">
        <f>IF($A42="","",IF(COUNTIFS($A$3:$A42,$A42,$C$3:$C42,$C42,$D$3:$D42,$D42)=1,"YES","NO"))</f>
        <v>YES</v>
      </c>
      <c r="AR42" t="str">
        <f>IF($A42="","",IF(AND($C42&amp;"-"&amp;$D42&gt;=Settings!$B$19,$C42&amp;"-"&amp;$D42&lt;=Settings!$B$20),"IN","OUT"))</f>
        <v>IN</v>
      </c>
      <c r="AS42" t="str">
        <f t="shared" si="5"/>
        <v>transcript only</v>
      </c>
      <c r="AT42">
        <f t="shared" si="6"/>
        <v>1.2000000000000001E-3</v>
      </c>
      <c r="AU42">
        <f t="shared" si="7"/>
        <v>-5.0369999999999998E-3</v>
      </c>
      <c r="AV42">
        <f>IF(ISNUMBER($AT42),ABS(IF(ISNUMBER($I42),$I42,0)-Settings!$B$24),"")</f>
        <v>0.6</v>
      </c>
      <c r="AW42">
        <f t="shared" si="8"/>
        <v>7.2000000000000005E-4</v>
      </c>
      <c r="AX42">
        <f>IF(ISNUMBER($AU42),ABS(IF(ISNUMBER($I42),$I42,0)-Settings!$B$24),"")</f>
        <v>0.6</v>
      </c>
      <c r="AY42" t="s">
        <v>549</v>
      </c>
      <c r="AZ42" t="str">
        <f>IF($A42="","",IFERROR(INDEX(Company_List!$H$3:$H$207,MATCH($A42,Company_List!$A$3:$A$207,0)),"unassigned"))</f>
        <v>Financials</v>
      </c>
      <c r="BC42">
        <f>IF($A42="","",IF(COUNTIFS($A$3:$A42,$A42,$C$3:$C42,$C42,$D$3:$D42,$D42,$G$3:$G42,$G42)=1,1,0))</f>
        <v>1</v>
      </c>
      <c r="BG42" t="s">
        <v>550</v>
      </c>
      <c r="BK42">
        <f t="shared" si="9"/>
        <v>0</v>
      </c>
      <c r="BL42" t="s">
        <v>551</v>
      </c>
      <c r="BM42">
        <v>1</v>
      </c>
      <c r="BN42" t="s">
        <v>561</v>
      </c>
      <c r="BO42" t="s">
        <v>561</v>
      </c>
      <c r="BP42" t="s">
        <v>550</v>
      </c>
      <c r="BQ42" t="s">
        <v>562</v>
      </c>
      <c r="BS42" t="s">
        <v>554</v>
      </c>
    </row>
    <row r="43" spans="1:71" ht="16.25" customHeight="1" x14ac:dyDescent="0.2">
      <c r="A43" s="95" t="s">
        <v>711</v>
      </c>
      <c r="B43" s="96" t="str">
        <f>IF(A43="","",_xlfn.XLOOKUP(A43, Company_List!$A:$A, Company_List!$B:$B, ""))</f>
        <v>BAC</v>
      </c>
      <c r="C43" s="21">
        <v>2025</v>
      </c>
      <c r="D43" s="20" t="s">
        <v>563</v>
      </c>
      <c r="E43" s="19" t="s">
        <v>647</v>
      </c>
      <c r="F43" s="19" t="s">
        <v>538</v>
      </c>
      <c r="G43" s="20" t="s">
        <v>712</v>
      </c>
      <c r="H43" s="20" t="s">
        <v>540</v>
      </c>
      <c r="I43" s="127">
        <v>0.7</v>
      </c>
      <c r="J43" s="145" t="str">
        <f>IF(OR(I43="",Settings!$B$6=""),"",IF(I43&gt;Settings!$B$6,"BUY",IF(I43&lt;-Settings!$B$6,"SELL","HOLD")))</f>
        <v>BUY</v>
      </c>
      <c r="K43" s="139">
        <v>75</v>
      </c>
      <c r="L43" s="123">
        <v>45945</v>
      </c>
      <c r="M43" s="123">
        <v>45944</v>
      </c>
      <c r="N43" s="127">
        <v>50.09</v>
      </c>
      <c r="O43" s="123">
        <v>45945</v>
      </c>
      <c r="P43" s="22">
        <v>51.57</v>
      </c>
      <c r="Q43" s="148">
        <f t="shared" si="10"/>
        <v>2.9499999999999998E-2</v>
      </c>
      <c r="R43" s="20" t="str">
        <f>IF(OR(N43="",P43=""),"",IF(Q43&gt;Settings!$B$3/100,"UP",IF(Q43&lt;-Settings!$B$3/100,"DOWN","FLAT")))</f>
        <v>UP</v>
      </c>
      <c r="S43" s="20" t="str">
        <f t="shared" si="1"/>
        <v>YES</v>
      </c>
      <c r="T43" s="21">
        <f t="shared" si="2"/>
        <v>1</v>
      </c>
      <c r="U43" s="148">
        <f>IFERROR(IF(OR(J43="",N43="",P43=""),"",IF(T43=0,0,T43*Q43-Settings!$B$4/10000-IF(T43&lt;0,Settings!$B$5/10000,0))),"")</f>
        <v>2.8499999999999998E-2</v>
      </c>
      <c r="V43" s="23"/>
      <c r="W43" s="21">
        <f t="shared" si="3"/>
        <v>4500</v>
      </c>
      <c r="X43" s="91" t="str">
        <f t="shared" si="4"/>
        <v>Bank of America|2025|Q3</v>
      </c>
      <c r="Y43" s="91" t="str">
        <f>IFERROR(IF($X43="","",INDEX(LLM_Data_Entry!$H$3:$H$548,MATCH($X43,INDEX(LLM_Data_Entry!$A$3:$A$548&amp;"|"&amp;LLM_Data_Entry!$C$3:$C$548&amp;"|"&amp;LLM_Data_Entry!$D$3:$D$548,0),0))),"")</f>
        <v>BUY</v>
      </c>
      <c r="Z43" s="91" t="str">
        <f>IFERROR(IF($X43="","",INDEX(LLM_Data_Entry!$R$3:$R$548,MATCH($X43,INDEX(LLM_Data_Entry!$A$3:$A$548&amp;"|"&amp;LLM_Data_Entry!$C$3:$C$548&amp;"|"&amp;LLM_Data_Entry!$D$3:$D$548,0),0))),"")</f>
        <v>YES</v>
      </c>
      <c r="AB43" t="s">
        <v>685</v>
      </c>
      <c r="AC43" t="s">
        <v>713</v>
      </c>
      <c r="AD43" t="s">
        <v>722</v>
      </c>
      <c r="AE43">
        <v>49.294800000000002</v>
      </c>
      <c r="AF43" t="s">
        <v>723</v>
      </c>
      <c r="AG43">
        <v>50.751300000000001</v>
      </c>
      <c r="AH43">
        <v>2.9546882528871929E-2</v>
      </c>
      <c r="AI43" t="s">
        <v>591</v>
      </c>
      <c r="AJ43" t="s">
        <v>554</v>
      </c>
      <c r="AK43">
        <v>2.8546999999999999E-2</v>
      </c>
      <c r="AL43" t="str">
        <f>IF($A43="","",IFERROR(INDEX(Company_List!$G$3:$G$207,MATCH($A43,Company_List!$A$3:$A$207,0)),"unassigned"))</f>
        <v>P2</v>
      </c>
      <c r="AM43" t="s">
        <v>724</v>
      </c>
      <c r="AN43" t="s">
        <v>725</v>
      </c>
      <c r="AO43" t="s">
        <v>560</v>
      </c>
      <c r="AP43" t="str">
        <f>IF($A43="","",IF(COUNTIFS(LLM_Data_Entry!$A$3:$A$548,$A43)&gt;0,"YES","NO"))</f>
        <v>YES</v>
      </c>
      <c r="AQ43" t="str">
        <f>IF($A43="","",IF(COUNTIFS($A$3:$A43,$A43,$C$3:$C43,$C43,$D$3:$D43,$D43)=1,"YES","NO"))</f>
        <v>YES</v>
      </c>
      <c r="AR43" t="str">
        <f>IF($A43="","",IF(AND($C43&amp;"-"&amp;$D43&gt;=Settings!$B$19,$C43&amp;"-"&amp;$D43&lt;=Settings!$B$20),"IN","OUT"))</f>
        <v>IN</v>
      </c>
      <c r="AS43" t="str">
        <f t="shared" si="5"/>
        <v>transcript only</v>
      </c>
      <c r="AT43">
        <f t="shared" si="6"/>
        <v>2.8499999999999998E-2</v>
      </c>
      <c r="AU43">
        <f t="shared" si="7"/>
        <v>2.8546999999999999E-2</v>
      </c>
      <c r="AV43">
        <f>IF(ISNUMBER($AT43),ABS(IF(ISNUMBER($I43),$I43,0)-Settings!$B$24),"")</f>
        <v>0.7</v>
      </c>
      <c r="AW43">
        <f t="shared" si="8"/>
        <v>1.9949999999999996E-2</v>
      </c>
      <c r="AX43">
        <f>IF(ISNUMBER($AU43),ABS(IF(ISNUMBER($I43),$I43,0)-Settings!$B$24),"")</f>
        <v>0.7</v>
      </c>
      <c r="AY43" t="s">
        <v>549</v>
      </c>
      <c r="AZ43" t="str">
        <f>IF($A43="","",IFERROR(INDEX(Company_List!$H$3:$H$207,MATCH($A43,Company_List!$A$3:$A$207,0)),"unassigned"))</f>
        <v>Financials</v>
      </c>
      <c r="BC43">
        <f>IF($A43="","",IF(COUNTIFS($A$3:$A43,$A43,$C$3:$C43,$C43,$D$3:$D43,$D43,$G$3:$G43,$G43)=1,1,0))</f>
        <v>1</v>
      </c>
      <c r="BG43" t="s">
        <v>550</v>
      </c>
      <c r="BK43">
        <f t="shared" si="9"/>
        <v>1</v>
      </c>
      <c r="BL43" t="s">
        <v>551</v>
      </c>
      <c r="BM43">
        <v>1</v>
      </c>
      <c r="BN43" t="s">
        <v>561</v>
      </c>
      <c r="BO43" t="s">
        <v>561</v>
      </c>
      <c r="BP43" t="s">
        <v>550</v>
      </c>
      <c r="BQ43" t="s">
        <v>562</v>
      </c>
      <c r="BS43" t="s">
        <v>554</v>
      </c>
    </row>
    <row r="44" spans="1:71" ht="16.25" customHeight="1" x14ac:dyDescent="0.2">
      <c r="A44" s="95" t="s">
        <v>711</v>
      </c>
      <c r="B44" s="96" t="str">
        <f>IF(A44="","",_xlfn.XLOOKUP(A44, Company_List!$A:$A, Company_List!$B:$B, ""))</f>
        <v>BAC</v>
      </c>
      <c r="C44" s="21">
        <v>2025</v>
      </c>
      <c r="D44" s="20" t="s">
        <v>569</v>
      </c>
      <c r="E44" s="19" t="s">
        <v>647</v>
      </c>
      <c r="F44" s="19" t="s">
        <v>538</v>
      </c>
      <c r="G44" s="20" t="s">
        <v>712</v>
      </c>
      <c r="H44" s="20" t="s">
        <v>540</v>
      </c>
      <c r="I44" s="127">
        <v>0.1</v>
      </c>
      <c r="J44" s="145" t="str">
        <f>IF(OR(I44="",Settings!$B$6=""),"",IF(I44&gt;Settings!$B$6,"BUY",IF(I44&lt;-Settings!$B$6,"SELL","HOLD")))</f>
        <v>HOLD</v>
      </c>
      <c r="K44" s="139">
        <v>55</v>
      </c>
      <c r="L44" s="123">
        <v>46036</v>
      </c>
      <c r="M44" s="123">
        <v>46035</v>
      </c>
      <c r="N44" s="127">
        <v>54.54</v>
      </c>
      <c r="O44" s="123">
        <v>46036</v>
      </c>
      <c r="P44" s="22">
        <v>52.88</v>
      </c>
      <c r="Q44" s="148">
        <f t="shared" si="10"/>
        <v>-3.04E-2</v>
      </c>
      <c r="R44" s="20" t="str">
        <f>IF(OR(N44="",P44=""),"",IF(Q44&gt;Settings!$B$3/100,"UP",IF(Q44&lt;-Settings!$B$3/100,"DOWN","FLAT")))</f>
        <v>DOWN</v>
      </c>
      <c r="S44" s="20" t="str">
        <f t="shared" si="1"/>
        <v>NO</v>
      </c>
      <c r="T44" s="21">
        <f t="shared" si="2"/>
        <v>0</v>
      </c>
      <c r="U44" s="148">
        <f>IFERROR(IF(OR(J44="",N44="",P44=""),"",IF(T44=0,0,T44*Q44-Settings!$B$4/10000-IF(T44&lt;0,Settings!$B$5/10000,0))),"")</f>
        <v>0</v>
      </c>
      <c r="V44" s="23"/>
      <c r="W44" s="21">
        <f t="shared" si="3"/>
        <v>3300</v>
      </c>
      <c r="X44" s="91" t="str">
        <f t="shared" si="4"/>
        <v>Bank of America|2025|Q4</v>
      </c>
      <c r="Y44" s="91" t="str">
        <f>IFERROR(IF($X44="","",INDEX(LLM_Data_Entry!$H$3:$H$548,MATCH($X44,INDEX(LLM_Data_Entry!$A$3:$A$548&amp;"|"&amp;LLM_Data_Entry!$C$3:$C$548&amp;"|"&amp;LLM_Data_Entry!$D$3:$D$548,0),0))),"")</f>
        <v>HOLD</v>
      </c>
      <c r="Z44" s="91" t="str">
        <f>IFERROR(IF($X44="","",INDEX(LLM_Data_Entry!$R$3:$R$548,MATCH($X44,INDEX(LLM_Data_Entry!$A$3:$A$548&amp;"|"&amp;LLM_Data_Entry!$C$3:$C$548&amp;"|"&amp;LLM_Data_Entry!$D$3:$D$548,0),0))),"")</f>
        <v>NO</v>
      </c>
      <c r="AB44" t="s">
        <v>541</v>
      </c>
      <c r="AC44" t="s">
        <v>713</v>
      </c>
      <c r="AD44" t="s">
        <v>726</v>
      </c>
      <c r="AE44">
        <v>53.953099999999999</v>
      </c>
      <c r="AF44" t="s">
        <v>727</v>
      </c>
      <c r="AG44">
        <v>52.310899999999997</v>
      </c>
      <c r="AH44">
        <v>-3.0436323441360089E-2</v>
      </c>
      <c r="AI44" t="s">
        <v>545</v>
      </c>
      <c r="AJ44" t="s">
        <v>546</v>
      </c>
      <c r="AK44">
        <v>0</v>
      </c>
      <c r="AL44" t="str">
        <f>IF($A44="","",IFERROR(INDEX(Company_List!$G$3:$G$207,MATCH($A44,Company_List!$A$3:$A$207,0)),"unassigned"))</f>
        <v>P2</v>
      </c>
      <c r="AM44" t="s">
        <v>728</v>
      </c>
      <c r="AN44" t="s">
        <v>729</v>
      </c>
      <c r="AO44" t="s">
        <v>560</v>
      </c>
      <c r="AP44" t="str">
        <f>IF($A44="","",IF(COUNTIFS(LLM_Data_Entry!$A$3:$A$548,$A44)&gt;0,"YES","NO"))</f>
        <v>YES</v>
      </c>
      <c r="AQ44" t="str">
        <f>IF($A44="","",IF(COUNTIFS($A$3:$A44,$A44,$C$3:$C44,$C44,$D$3:$D44,$D44)=1,"YES","NO"))</f>
        <v>YES</v>
      </c>
      <c r="AR44" t="str">
        <f>IF($A44="","",IF(AND($C44&amp;"-"&amp;$D44&gt;=Settings!$B$19,$C44&amp;"-"&amp;$D44&lt;=Settings!$B$20),"IN","OUT"))</f>
        <v>IN</v>
      </c>
      <c r="AS44" t="str">
        <f t="shared" si="5"/>
        <v>transcript only</v>
      </c>
      <c r="AT44" t="str">
        <f t="shared" si="6"/>
        <v/>
      </c>
      <c r="AU44" t="str">
        <f t="shared" si="7"/>
        <v/>
      </c>
      <c r="AV44" t="str">
        <f>IF(ISNUMBER($AT44),ABS(IF(ISNUMBER($I44),$I44,0)-Settings!$B$24),"")</f>
        <v/>
      </c>
      <c r="AW44" t="str">
        <f t="shared" si="8"/>
        <v/>
      </c>
      <c r="AX44" t="str">
        <f>IF(ISNUMBER($AU44),ABS(IF(ISNUMBER($I44),$I44,0)-Settings!$B$24),"")</f>
        <v/>
      </c>
      <c r="AY44" t="s">
        <v>549</v>
      </c>
      <c r="AZ44" t="str">
        <f>IF($A44="","",IFERROR(INDEX(Company_List!$H$3:$H$207,MATCH($A44,Company_List!$A$3:$A$207,0)),"unassigned"))</f>
        <v>Financials</v>
      </c>
      <c r="BC44">
        <f>IF($A44="","",IF(COUNTIFS($A$3:$A44,$A44,$C$3:$C44,$C44,$D$3:$D44,$D44,$G$3:$G44,$G44)=1,1,0))</f>
        <v>1</v>
      </c>
      <c r="BG44" t="s">
        <v>550</v>
      </c>
      <c r="BK44">
        <f t="shared" si="9"/>
        <v>1</v>
      </c>
      <c r="BL44" t="s">
        <v>551</v>
      </c>
      <c r="BM44">
        <v>1</v>
      </c>
      <c r="BN44" t="s">
        <v>561</v>
      </c>
      <c r="BO44" t="s">
        <v>561</v>
      </c>
      <c r="BP44" t="s">
        <v>550</v>
      </c>
      <c r="BQ44" t="s">
        <v>562</v>
      </c>
      <c r="BS44" t="s">
        <v>554</v>
      </c>
    </row>
    <row r="45" spans="1:71" ht="16.25" customHeight="1" x14ac:dyDescent="0.2">
      <c r="A45" s="95" t="s">
        <v>730</v>
      </c>
      <c r="B45" s="96" t="str">
        <f>IF(A45="","",_xlfn.XLOOKUP(A45, Company_List!$A:$A, Company_List!$B:$B, ""))</f>
        <v>AMD</v>
      </c>
      <c r="C45" s="21">
        <v>2026</v>
      </c>
      <c r="D45" s="20" t="s">
        <v>537</v>
      </c>
      <c r="E45" s="19" t="s">
        <v>538</v>
      </c>
      <c r="F45" s="19" t="s">
        <v>538</v>
      </c>
      <c r="G45" s="20" t="s">
        <v>648</v>
      </c>
      <c r="H45" s="20" t="s">
        <v>540</v>
      </c>
      <c r="I45" s="127">
        <v>0.8</v>
      </c>
      <c r="J45" s="145" t="str">
        <f>IF(OR(I45="",Settings!$B$6=""),"",IF(I45&gt;Settings!$B$6,"BUY",IF(I45&lt;-Settings!$B$6,"SELL","HOLD")))</f>
        <v>BUY</v>
      </c>
      <c r="K45" s="139">
        <v>51</v>
      </c>
      <c r="L45" s="123">
        <v>46147</v>
      </c>
      <c r="M45" s="123">
        <v>46147</v>
      </c>
      <c r="N45" s="127">
        <v>355.26</v>
      </c>
      <c r="O45" s="123">
        <v>46148</v>
      </c>
      <c r="P45" s="22">
        <v>409.49</v>
      </c>
      <c r="Q45" s="148">
        <f t="shared" si="10"/>
        <v>0.15260000000000001</v>
      </c>
      <c r="R45" s="20" t="str">
        <f>IF(OR(N45="",P45=""),"",IF(Q45&gt;Settings!$B$3/100,"UP",IF(Q45&lt;-Settings!$B$3/100,"DOWN","FLAT")))</f>
        <v>UP</v>
      </c>
      <c r="S45" s="20" t="str">
        <f t="shared" si="1"/>
        <v>YES</v>
      </c>
      <c r="T45" s="21">
        <f t="shared" si="2"/>
        <v>1</v>
      </c>
      <c r="U45" s="148">
        <f>IFERROR(IF(OR(J45="",N45="",P45=""),"",IF(T45=0,0,T45*Q45-Settings!$B$4/10000-IF(T45&lt;0,Settings!$B$5/10000,0))),"")</f>
        <v>0.15160000000000001</v>
      </c>
      <c r="V45" s="23"/>
      <c r="W45" s="21">
        <f t="shared" si="3"/>
        <v>3060</v>
      </c>
      <c r="X45" s="91" t="str">
        <f t="shared" si="4"/>
        <v>AMD|2026|Q1</v>
      </c>
      <c r="Y45" s="91" t="str">
        <f>IFERROR(IF($X45="","",INDEX(LLM_Data_Entry!$H$3:$H$548,MATCH($X45,INDEX(LLM_Data_Entry!$A$3:$A$548&amp;"|"&amp;LLM_Data_Entry!$C$3:$C$548&amp;"|"&amp;LLM_Data_Entry!$D$3:$D$548,0),0))),"")</f>
        <v>BUY</v>
      </c>
      <c r="Z45" s="91" t="str">
        <f>IFERROR(IF($X45="","",INDEX(LLM_Data_Entry!$R$3:$R$548,MATCH($X45,INDEX(LLM_Data_Entry!$A$3:$A$548&amp;"|"&amp;LLM_Data_Entry!$C$3:$C$548&amp;"|"&amp;LLM_Data_Entry!$D$3:$D$548,0),0))),"")</f>
        <v>YES</v>
      </c>
      <c r="AB45" t="s">
        <v>564</v>
      </c>
      <c r="AC45" t="s">
        <v>730</v>
      </c>
      <c r="AD45" t="s">
        <v>731</v>
      </c>
      <c r="AE45">
        <v>355.26</v>
      </c>
      <c r="AF45" t="s">
        <v>680</v>
      </c>
      <c r="AG45">
        <v>409.49</v>
      </c>
      <c r="AH45">
        <v>0.15264870369169889</v>
      </c>
      <c r="AI45" t="s">
        <v>591</v>
      </c>
      <c r="AJ45" t="s">
        <v>554</v>
      </c>
      <c r="AK45">
        <v>0.15164900000000001</v>
      </c>
      <c r="AL45" t="str">
        <f>IF($A45="","",IFERROR(INDEX(Company_List!$G$3:$G$207,MATCH($A45,Company_List!$A$3:$A$207,0)),"unassigned"))</f>
        <v>P2</v>
      </c>
      <c r="AM45" t="s">
        <v>732</v>
      </c>
      <c r="AN45" t="s">
        <v>733</v>
      </c>
      <c r="AO45" t="s">
        <v>560</v>
      </c>
      <c r="AP45" t="str">
        <f>IF($A45="","",IF(COUNTIFS(LLM_Data_Entry!$A$3:$A$548,$A45)&gt;0,"YES","NO"))</f>
        <v>YES</v>
      </c>
      <c r="AQ45" t="str">
        <f>IF($A45="","",IF(COUNTIFS($A$3:$A45,$A45,$C$3:$C45,$C45,$D$3:$D45,$D45)=1,"YES","NO"))</f>
        <v>YES</v>
      </c>
      <c r="AR45" t="str">
        <f>IF($A45="","",IF(AND($C45&amp;"-"&amp;$D45&gt;=Settings!$B$19,$C45&amp;"-"&amp;$D45&lt;=Settings!$B$20),"IN","OUT"))</f>
        <v>IN</v>
      </c>
      <c r="AS45" t="str">
        <f t="shared" si="5"/>
        <v>full</v>
      </c>
      <c r="AT45">
        <f t="shared" si="6"/>
        <v>0.15160000000000001</v>
      </c>
      <c r="AU45">
        <f t="shared" si="7"/>
        <v>0.15164900000000001</v>
      </c>
      <c r="AV45">
        <f>IF(ISNUMBER($AT45),ABS(IF(ISNUMBER($I45),$I45,0)-Settings!$B$24),"")</f>
        <v>0.8</v>
      </c>
      <c r="AW45">
        <f t="shared" si="8"/>
        <v>0.12128000000000001</v>
      </c>
      <c r="AX45">
        <f>IF(ISNUMBER($AU45),ABS(IF(ISNUMBER($I45),$I45,0)-Settings!$B$24),"")</f>
        <v>0.8</v>
      </c>
      <c r="AY45" t="s">
        <v>549</v>
      </c>
      <c r="AZ45" t="str">
        <f>IF($A45="","",IFERROR(INDEX(Company_List!$H$3:$H$207,MATCH($A45,Company_List!$A$3:$A$207,0)),"unassigned"))</f>
        <v>Information Technology</v>
      </c>
      <c r="BC45">
        <f>IF($A45="","",IF(COUNTIFS($A$3:$A45,$A45,$C$3:$C45,$C45,$D$3:$D45,$D45,$G$3:$G45,$G45)=1,1,0))</f>
        <v>1</v>
      </c>
      <c r="BG45" t="s">
        <v>550</v>
      </c>
      <c r="BK45">
        <f t="shared" si="9"/>
        <v>1</v>
      </c>
      <c r="BL45" t="s">
        <v>551</v>
      </c>
      <c r="BM45">
        <v>1</v>
      </c>
      <c r="BN45" t="s">
        <v>561</v>
      </c>
      <c r="BO45" t="s">
        <v>561</v>
      </c>
      <c r="BP45" t="s">
        <v>550</v>
      </c>
      <c r="BQ45" t="s">
        <v>562</v>
      </c>
      <c r="BR45" t="s">
        <v>649</v>
      </c>
      <c r="BS45" t="s">
        <v>554</v>
      </c>
    </row>
    <row r="46" spans="1:71" ht="16.25" customHeight="1" x14ac:dyDescent="0.2">
      <c r="A46" s="95" t="s">
        <v>730</v>
      </c>
      <c r="B46" s="96" t="str">
        <f>IF(A46="","",_xlfn.XLOOKUP(A46, Company_List!$A:$A, Company_List!$B:$B, ""))</f>
        <v>AMD</v>
      </c>
      <c r="C46" s="21">
        <v>2025</v>
      </c>
      <c r="D46" s="20" t="s">
        <v>555</v>
      </c>
      <c r="E46" s="19" t="s">
        <v>538</v>
      </c>
      <c r="F46" s="19" t="s">
        <v>538</v>
      </c>
      <c r="G46" s="20" t="s">
        <v>648</v>
      </c>
      <c r="H46" s="20" t="s">
        <v>540</v>
      </c>
      <c r="I46" s="127">
        <v>0.65</v>
      </c>
      <c r="J46" s="145" t="str">
        <f>IF(OR(I46="",Settings!$B$6=""),"",IF(I46&gt;Settings!$B$6,"BUY",IF(I46&lt;-Settings!$B$6,"SELL","HOLD")))</f>
        <v>BUY</v>
      </c>
      <c r="K46" s="139">
        <v>44</v>
      </c>
      <c r="L46" s="123">
        <v>45874</v>
      </c>
      <c r="M46" s="123">
        <v>45874</v>
      </c>
      <c r="N46" s="127">
        <v>174.31</v>
      </c>
      <c r="O46" s="123">
        <v>45875</v>
      </c>
      <c r="P46" s="22">
        <v>165.05</v>
      </c>
      <c r="Q46" s="148">
        <f t="shared" si="10"/>
        <v>-5.3100000000000001E-2</v>
      </c>
      <c r="R46" s="20" t="str">
        <f>IF(OR(N46="",P46=""),"",IF(Q46&gt;Settings!$B$3/100,"UP",IF(Q46&lt;-Settings!$B$3/100,"DOWN","FLAT")))</f>
        <v>DOWN</v>
      </c>
      <c r="S46" s="20" t="str">
        <f t="shared" si="1"/>
        <v>NO</v>
      </c>
      <c r="T46" s="21">
        <f t="shared" si="2"/>
        <v>1</v>
      </c>
      <c r="U46" s="148">
        <f>IFERROR(IF(OR(J46="",N46="",P46=""),"",IF(T46=0,0,T46*Q46-Settings!$B$4/10000-IF(T46&lt;0,Settings!$B$5/10000,0))),"")</f>
        <v>-5.4100000000000002E-2</v>
      </c>
      <c r="V46" s="23"/>
      <c r="W46" s="21">
        <f t="shared" si="3"/>
        <v>2640</v>
      </c>
      <c r="X46" s="91" t="str">
        <f t="shared" si="4"/>
        <v>AMD|2025|Q2</v>
      </c>
      <c r="Y46" s="91" t="str">
        <f>IFERROR(IF($X46="","",INDEX(LLM_Data_Entry!$H$3:$H$548,MATCH($X46,INDEX(LLM_Data_Entry!$A$3:$A$548&amp;"|"&amp;LLM_Data_Entry!$C$3:$C$548&amp;"|"&amp;LLM_Data_Entry!$D$3:$D$548,0),0))),"")</f>
        <v>HOLD</v>
      </c>
      <c r="Z46" s="91" t="str">
        <f>IFERROR(IF($X46="","",INDEX(LLM_Data_Entry!$R$3:$R$548,MATCH($X46,INDEX(LLM_Data_Entry!$A$3:$A$548&amp;"|"&amp;LLM_Data_Entry!$C$3:$C$548&amp;"|"&amp;LLM_Data_Entry!$D$3:$D$548,0),0))),"")</f>
        <v>NO</v>
      </c>
      <c r="AB46" t="s">
        <v>564</v>
      </c>
      <c r="AC46" t="s">
        <v>730</v>
      </c>
      <c r="AD46" t="s">
        <v>641</v>
      </c>
      <c r="AE46">
        <v>174.31</v>
      </c>
      <c r="AF46" t="s">
        <v>642</v>
      </c>
      <c r="AG46">
        <v>165.05</v>
      </c>
      <c r="AH46">
        <v>-5.312371697692294E-2</v>
      </c>
      <c r="AI46" t="s">
        <v>545</v>
      </c>
      <c r="AJ46" t="s">
        <v>546</v>
      </c>
      <c r="AK46">
        <v>-5.4123999999999999E-2</v>
      </c>
      <c r="AL46" t="str">
        <f>IF($A46="","",IFERROR(INDEX(Company_List!$G$3:$G$207,MATCH($A46,Company_List!$A$3:$A$207,0)),"unassigned"))</f>
        <v>P2</v>
      </c>
      <c r="AM46" t="s">
        <v>734</v>
      </c>
      <c r="AN46" t="s">
        <v>735</v>
      </c>
      <c r="AO46" t="s">
        <v>560</v>
      </c>
      <c r="AP46" t="str">
        <f>IF($A46="","",IF(COUNTIFS(LLM_Data_Entry!$A$3:$A$548,$A46)&gt;0,"YES","NO"))</f>
        <v>YES</v>
      </c>
      <c r="AQ46" t="str">
        <f>IF($A46="","",IF(COUNTIFS($A$3:$A46,$A46,$C$3:$C46,$C46,$D$3:$D46,$D46)=1,"YES","NO"))</f>
        <v>YES</v>
      </c>
      <c r="AR46" t="str">
        <f>IF($A46="","",IF(AND($C46&amp;"-"&amp;$D46&gt;=Settings!$B$19,$C46&amp;"-"&amp;$D46&lt;=Settings!$B$20),"IN","OUT"))</f>
        <v>IN</v>
      </c>
      <c r="AS46" t="str">
        <f t="shared" si="5"/>
        <v>full</v>
      </c>
      <c r="AT46">
        <f t="shared" si="6"/>
        <v>-5.4100000000000002E-2</v>
      </c>
      <c r="AU46">
        <f t="shared" si="7"/>
        <v>-5.4123999999999999E-2</v>
      </c>
      <c r="AV46">
        <f>IF(ISNUMBER($AT46),ABS(IF(ISNUMBER($I46),$I46,0)-Settings!$B$24),"")</f>
        <v>0.65</v>
      </c>
      <c r="AW46">
        <f t="shared" si="8"/>
        <v>-3.5165000000000002E-2</v>
      </c>
      <c r="AX46">
        <f>IF(ISNUMBER($AU46),ABS(IF(ISNUMBER($I46),$I46,0)-Settings!$B$24),"")</f>
        <v>0.65</v>
      </c>
      <c r="AY46" t="s">
        <v>549</v>
      </c>
      <c r="AZ46" t="str">
        <f>IF($A46="","",IFERROR(INDEX(Company_List!$H$3:$H$207,MATCH($A46,Company_List!$A$3:$A$207,0)),"unassigned"))</f>
        <v>Information Technology</v>
      </c>
      <c r="BC46">
        <f>IF($A46="","",IF(COUNTIFS($A$3:$A46,$A46,$C$3:$C46,$C46,$D$3:$D46,$D46,$G$3:$G46,$G46)=1,1,0))</f>
        <v>1</v>
      </c>
      <c r="BG46" t="s">
        <v>550</v>
      </c>
      <c r="BK46">
        <f t="shared" si="9"/>
        <v>0</v>
      </c>
      <c r="BL46" t="s">
        <v>551</v>
      </c>
      <c r="BM46">
        <v>1</v>
      </c>
      <c r="BN46" t="s">
        <v>561</v>
      </c>
      <c r="BO46" t="s">
        <v>561</v>
      </c>
      <c r="BP46" t="s">
        <v>550</v>
      </c>
      <c r="BQ46" t="s">
        <v>562</v>
      </c>
      <c r="BR46" t="s">
        <v>649</v>
      </c>
      <c r="BS46" t="s">
        <v>554</v>
      </c>
    </row>
    <row r="47" spans="1:71" ht="16.25" customHeight="1" x14ac:dyDescent="0.2">
      <c r="A47" s="95" t="s">
        <v>730</v>
      </c>
      <c r="B47" s="96" t="str">
        <f>IF(A47="","",_xlfn.XLOOKUP(A47, Company_List!$A:$A, Company_List!$B:$B, ""))</f>
        <v>AMD</v>
      </c>
      <c r="C47" s="21">
        <v>2025</v>
      </c>
      <c r="D47" s="20" t="s">
        <v>569</v>
      </c>
      <c r="E47" s="19" t="s">
        <v>538</v>
      </c>
      <c r="F47" s="19" t="s">
        <v>538</v>
      </c>
      <c r="G47" s="20" t="s">
        <v>648</v>
      </c>
      <c r="H47" s="20" t="s">
        <v>540</v>
      </c>
      <c r="I47" s="127">
        <v>0.75</v>
      </c>
      <c r="J47" s="145" t="str">
        <f>IF(OR(I47="",Settings!$B$6=""),"",IF(I47&gt;Settings!$B$6,"BUY",IF(I47&lt;-Settings!$B$6,"SELL","HOLD")))</f>
        <v>BUY</v>
      </c>
      <c r="K47" s="139">
        <v>55</v>
      </c>
      <c r="L47" s="123">
        <v>46056</v>
      </c>
      <c r="M47" s="123">
        <v>46056</v>
      </c>
      <c r="N47" s="127">
        <v>242.11</v>
      </c>
      <c r="O47" s="123">
        <v>46057</v>
      </c>
      <c r="P47" s="22">
        <v>215</v>
      </c>
      <c r="Q47" s="148">
        <f t="shared" si="10"/>
        <v>-0.112</v>
      </c>
      <c r="R47" s="20" t="str">
        <f>IF(OR(N47="",P47=""),"",IF(Q47&gt;Settings!$B$3/100,"UP",IF(Q47&lt;-Settings!$B$3/100,"DOWN","FLAT")))</f>
        <v>DOWN</v>
      </c>
      <c r="S47" s="20" t="str">
        <f t="shared" si="1"/>
        <v>NO</v>
      </c>
      <c r="T47" s="21">
        <f t="shared" si="2"/>
        <v>1</v>
      </c>
      <c r="U47" s="148">
        <f>IFERROR(IF(OR(J47="",N47="",P47=""),"",IF(T47=0,0,T47*Q47-Settings!$B$4/10000-IF(T47&lt;0,Settings!$B$5/10000,0))),"")</f>
        <v>-0.113</v>
      </c>
      <c r="V47" s="23"/>
      <c r="W47" s="21">
        <f t="shared" si="3"/>
        <v>3300</v>
      </c>
      <c r="X47" s="91" t="str">
        <f t="shared" si="4"/>
        <v>AMD|2025|Q4</v>
      </c>
      <c r="Y47" s="91" t="str">
        <f>IFERROR(IF($X47="","",INDEX(LLM_Data_Entry!$H$3:$H$548,MATCH($X47,INDEX(LLM_Data_Entry!$A$3:$A$548&amp;"|"&amp;LLM_Data_Entry!$C$3:$C$548&amp;"|"&amp;LLM_Data_Entry!$D$3:$D$548,0),0))),"")</f>
        <v>BUY</v>
      </c>
      <c r="Z47" s="91" t="str">
        <f>IFERROR(IF($X47="","",INDEX(LLM_Data_Entry!$R$3:$R$548,MATCH($X47,INDEX(LLM_Data_Entry!$A$3:$A$548&amp;"|"&amp;LLM_Data_Entry!$C$3:$C$548&amp;"|"&amp;LLM_Data_Entry!$D$3:$D$548,0),0))),"")</f>
        <v>NO</v>
      </c>
      <c r="AB47" t="s">
        <v>564</v>
      </c>
      <c r="AC47" t="s">
        <v>730</v>
      </c>
      <c r="AD47" t="s">
        <v>736</v>
      </c>
      <c r="AE47">
        <v>242.11</v>
      </c>
      <c r="AF47" t="s">
        <v>737</v>
      </c>
      <c r="AG47">
        <v>215</v>
      </c>
      <c r="AH47">
        <v>-0.11197389983076329</v>
      </c>
      <c r="AI47" t="s">
        <v>545</v>
      </c>
      <c r="AJ47" t="s">
        <v>546</v>
      </c>
      <c r="AK47">
        <v>-0.112974</v>
      </c>
      <c r="AL47" t="str">
        <f>IF($A47="","",IFERROR(INDEX(Company_List!$G$3:$G$207,MATCH($A47,Company_List!$A$3:$A$207,0)),"unassigned"))</f>
        <v>P2</v>
      </c>
      <c r="AM47" t="s">
        <v>738</v>
      </c>
      <c r="AN47" t="s">
        <v>739</v>
      </c>
      <c r="AO47" t="s">
        <v>560</v>
      </c>
      <c r="AP47" t="str">
        <f>IF($A47="","",IF(COUNTIFS(LLM_Data_Entry!$A$3:$A$548,$A47)&gt;0,"YES","NO"))</f>
        <v>YES</v>
      </c>
      <c r="AQ47" t="str">
        <f>IF($A47="","",IF(COUNTIFS($A$3:$A47,$A47,$C$3:$C47,$C47,$D$3:$D47,$D47)=1,"YES","NO"))</f>
        <v>YES</v>
      </c>
      <c r="AR47" t="str">
        <f>IF($A47="","",IF(AND($C47&amp;"-"&amp;$D47&gt;=Settings!$B$19,$C47&amp;"-"&amp;$D47&lt;=Settings!$B$20),"IN","OUT"))</f>
        <v>IN</v>
      </c>
      <c r="AS47" t="str">
        <f t="shared" si="5"/>
        <v>full</v>
      </c>
      <c r="AT47">
        <f t="shared" si="6"/>
        <v>-0.113</v>
      </c>
      <c r="AU47">
        <f t="shared" si="7"/>
        <v>-0.112974</v>
      </c>
      <c r="AV47">
        <f>IF(ISNUMBER($AT47),ABS(IF(ISNUMBER($I47),$I47,0)-Settings!$B$24),"")</f>
        <v>0.75</v>
      </c>
      <c r="AW47">
        <f t="shared" si="8"/>
        <v>-8.4750000000000006E-2</v>
      </c>
      <c r="AX47">
        <f>IF(ISNUMBER($AU47),ABS(IF(ISNUMBER($I47),$I47,0)-Settings!$B$24),"")</f>
        <v>0.75</v>
      </c>
      <c r="AY47" t="s">
        <v>549</v>
      </c>
      <c r="AZ47" t="str">
        <f>IF($A47="","",IFERROR(INDEX(Company_List!$H$3:$H$207,MATCH($A47,Company_List!$A$3:$A$207,0)),"unassigned"))</f>
        <v>Information Technology</v>
      </c>
      <c r="BC47">
        <f>IF($A47="","",IF(COUNTIFS($A$3:$A47,$A47,$C$3:$C47,$C47,$D$3:$D47,$D47,$G$3:$G47,$G47)=1,1,0))</f>
        <v>1</v>
      </c>
      <c r="BG47" t="s">
        <v>550</v>
      </c>
      <c r="BK47">
        <f t="shared" si="9"/>
        <v>1</v>
      </c>
      <c r="BL47" t="s">
        <v>551</v>
      </c>
      <c r="BM47">
        <v>1</v>
      </c>
      <c r="BN47" t="s">
        <v>561</v>
      </c>
      <c r="BO47" t="s">
        <v>561</v>
      </c>
      <c r="BP47" t="s">
        <v>550</v>
      </c>
      <c r="BQ47" t="s">
        <v>562</v>
      </c>
      <c r="BR47" t="s">
        <v>649</v>
      </c>
      <c r="BS47" t="s">
        <v>554</v>
      </c>
    </row>
    <row r="48" spans="1:71" ht="16.25" customHeight="1" x14ac:dyDescent="0.2">
      <c r="A48" s="95" t="s">
        <v>740</v>
      </c>
      <c r="B48" s="96" t="str">
        <f>IF(A48="","",_xlfn.XLOOKUP(A48, Company_List!$A:$A, Company_List!$B:$B, ""))</f>
        <v>ABNB</v>
      </c>
      <c r="C48" s="21">
        <v>2025</v>
      </c>
      <c r="D48" s="20" t="s">
        <v>555</v>
      </c>
      <c r="E48" s="19" t="s">
        <v>647</v>
      </c>
      <c r="F48" s="19" t="s">
        <v>538</v>
      </c>
      <c r="G48" s="20" t="s">
        <v>539</v>
      </c>
      <c r="H48" s="20" t="s">
        <v>540</v>
      </c>
      <c r="I48" s="127">
        <v>0.6</v>
      </c>
      <c r="J48" s="145" t="str">
        <f>IF(OR(I48="",Settings!$B$6=""),"",IF(I48&gt;Settings!$B$6,"BUY",IF(I48&lt;-Settings!$B$6,"SELL","HOLD")))</f>
        <v>BUY</v>
      </c>
      <c r="K48" s="139">
        <v>30</v>
      </c>
      <c r="L48" s="123">
        <v>45875</v>
      </c>
      <c r="M48" s="123">
        <v>45875</v>
      </c>
      <c r="N48" s="127">
        <v>130.5</v>
      </c>
      <c r="O48" s="123">
        <v>45876</v>
      </c>
      <c r="P48" s="22">
        <v>120.38</v>
      </c>
      <c r="Q48" s="148">
        <f t="shared" si="10"/>
        <v>-7.7499999999999999E-2</v>
      </c>
      <c r="R48" s="20" t="str">
        <f>IF(OR(N48="",P48=""),"",IF(Q48&gt;Settings!$B$3/100,"UP",IF(Q48&lt;-Settings!$B$3/100,"DOWN","FLAT")))</f>
        <v>DOWN</v>
      </c>
      <c r="S48" s="20" t="str">
        <f t="shared" si="1"/>
        <v>NO</v>
      </c>
      <c r="T48" s="21">
        <f t="shared" si="2"/>
        <v>1</v>
      </c>
      <c r="U48" s="148">
        <f>IFERROR(IF(OR(J48="",N48="",P48=""),"",IF(T48=0,0,T48*Q48-Settings!$B$4/10000-IF(T48&lt;0,Settings!$B$5/10000,0))),"")</f>
        <v>-7.85E-2</v>
      </c>
      <c r="V48" s="23"/>
      <c r="W48" s="21">
        <f t="shared" si="3"/>
        <v>1800</v>
      </c>
      <c r="X48" s="91" t="str">
        <f t="shared" si="4"/>
        <v>Airbnb|2025|Q2</v>
      </c>
      <c r="Y48" s="91" t="str">
        <f>IFERROR(IF($X48="","",INDEX(LLM_Data_Entry!$H$3:$H$548,MATCH($X48,INDEX(LLM_Data_Entry!$A$3:$A$548&amp;"|"&amp;LLM_Data_Entry!$C$3:$C$548&amp;"|"&amp;LLM_Data_Entry!$D$3:$D$548,0),0))),"")</f>
        <v>HOLD</v>
      </c>
      <c r="Z48" s="91" t="str">
        <f>IFERROR(IF($X48="","",INDEX(LLM_Data_Entry!$R$3:$R$548,MATCH($X48,INDEX(LLM_Data_Entry!$A$3:$A$548&amp;"|"&amp;LLM_Data_Entry!$C$3:$C$548&amp;"|"&amp;LLM_Data_Entry!$D$3:$D$548,0),0))),"")</f>
        <v>NO</v>
      </c>
      <c r="AB48" t="s">
        <v>541</v>
      </c>
      <c r="AC48" t="s">
        <v>741</v>
      </c>
      <c r="AD48" t="s">
        <v>642</v>
      </c>
      <c r="AE48">
        <v>130.5</v>
      </c>
      <c r="AF48" t="s">
        <v>742</v>
      </c>
      <c r="AG48">
        <v>120.38</v>
      </c>
      <c r="AH48">
        <v>-7.754791570881224E-2</v>
      </c>
      <c r="AI48" t="s">
        <v>545</v>
      </c>
      <c r="AJ48" t="s">
        <v>546</v>
      </c>
      <c r="AK48">
        <v>-7.8548000000000007E-2</v>
      </c>
      <c r="AL48" t="str">
        <f>IF($A48="","",IFERROR(INDEX(Company_List!$G$3:$G$207,MATCH($A48,Company_List!$A$3:$A$207,0)),"unassigned"))</f>
        <v>P2</v>
      </c>
      <c r="AM48" t="s">
        <v>743</v>
      </c>
      <c r="AO48" t="s">
        <v>548</v>
      </c>
      <c r="AP48" t="str">
        <f>IF($A48="","",IF(COUNTIFS(LLM_Data_Entry!$A$3:$A$548,$A48)&gt;0,"YES","NO"))</f>
        <v>YES</v>
      </c>
      <c r="AQ48" t="str">
        <f>IF($A48="","",IF(COUNTIFS($A$3:$A48,$A48,$C$3:$C48,$C48,$D$3:$D48,$D48)=1,"YES","NO"))</f>
        <v>YES</v>
      </c>
      <c r="AR48" t="str">
        <f>IF($A48="","",IF(AND($C48&amp;"-"&amp;$D48&gt;=Settings!$B$19,$C48&amp;"-"&amp;$D48&lt;=Settings!$B$20),"IN","OUT"))</f>
        <v>IN</v>
      </c>
      <c r="AS48" t="str">
        <f t="shared" si="5"/>
        <v>transcript only</v>
      </c>
      <c r="AT48">
        <f t="shared" si="6"/>
        <v>-7.85E-2</v>
      </c>
      <c r="AU48">
        <f t="shared" si="7"/>
        <v>-7.8548000000000007E-2</v>
      </c>
      <c r="AV48">
        <f>IF(ISNUMBER($AT48),ABS(IF(ISNUMBER($I48),$I48,0)-Settings!$B$24),"")</f>
        <v>0.6</v>
      </c>
      <c r="AW48">
        <f t="shared" si="8"/>
        <v>-4.7099999999999996E-2</v>
      </c>
      <c r="AX48">
        <f>IF(ISNUMBER($AU48),ABS(IF(ISNUMBER($I48),$I48,0)-Settings!$B$24),"")</f>
        <v>0.6</v>
      </c>
      <c r="AY48" t="s">
        <v>549</v>
      </c>
      <c r="AZ48" t="str">
        <f>IF($A48="","",IFERROR(INDEX(Company_List!$H$3:$H$207,MATCH($A48,Company_List!$A$3:$A$207,0)),"unassigned"))</f>
        <v>Consumer Discretionary</v>
      </c>
      <c r="BC48">
        <f>IF($A48="","",IF(COUNTIFS($A$3:$A48,$A48,$C$3:$C48,$C48,$D$3:$D48,$D48,$G$3:$G48,$G48)=1,1,0))</f>
        <v>1</v>
      </c>
      <c r="BG48" t="s">
        <v>550</v>
      </c>
      <c r="BK48">
        <f t="shared" si="9"/>
        <v>0</v>
      </c>
      <c r="BL48" t="s">
        <v>551</v>
      </c>
      <c r="BM48">
        <v>1</v>
      </c>
      <c r="BN48" t="s">
        <v>617</v>
      </c>
      <c r="BO48" t="s">
        <v>553</v>
      </c>
      <c r="BP48" t="s">
        <v>550</v>
      </c>
      <c r="BQ48" t="s">
        <v>550</v>
      </c>
      <c r="BS48" t="s">
        <v>554</v>
      </c>
    </row>
    <row r="49" spans="1:71" ht="16.25" customHeight="1" x14ac:dyDescent="0.2">
      <c r="A49" s="95" t="s">
        <v>740</v>
      </c>
      <c r="B49" s="96" t="str">
        <f>IF(A49="","",_xlfn.XLOOKUP(A49, Company_List!$A:$A, Company_List!$B:$B, ""))</f>
        <v>ABNB</v>
      </c>
      <c r="C49" s="21">
        <v>2025</v>
      </c>
      <c r="D49" s="20" t="s">
        <v>563</v>
      </c>
      <c r="E49" s="19" t="s">
        <v>647</v>
      </c>
      <c r="F49" s="19" t="s">
        <v>538</v>
      </c>
      <c r="G49" s="20" t="s">
        <v>539</v>
      </c>
      <c r="H49" s="20" t="s">
        <v>540</v>
      </c>
      <c r="I49" s="127">
        <v>0.4</v>
      </c>
      <c r="J49" s="145" t="str">
        <f>IF(OR(I49="",Settings!$B$6=""),"",IF(I49&gt;Settings!$B$6,"BUY",IF(I49&lt;-Settings!$B$6,"SELL","HOLD")))</f>
        <v>BUY</v>
      </c>
      <c r="K49" s="139">
        <v>31</v>
      </c>
      <c r="L49" s="123">
        <v>45967</v>
      </c>
      <c r="M49" s="123">
        <v>45967</v>
      </c>
      <c r="N49" s="127">
        <v>120.53</v>
      </c>
      <c r="O49" s="123">
        <v>45968</v>
      </c>
      <c r="P49" s="22">
        <v>125.49</v>
      </c>
      <c r="Q49" s="148">
        <f t="shared" si="10"/>
        <v>4.1200000000000001E-2</v>
      </c>
      <c r="R49" s="20" t="str">
        <f>IF(OR(N49="",P49=""),"",IF(Q49&gt;Settings!$B$3/100,"UP",IF(Q49&lt;-Settings!$B$3/100,"DOWN","FLAT")))</f>
        <v>UP</v>
      </c>
      <c r="S49" s="20" t="str">
        <f t="shared" si="1"/>
        <v>YES</v>
      </c>
      <c r="T49" s="21">
        <f t="shared" si="2"/>
        <v>1</v>
      </c>
      <c r="U49" s="148">
        <f>IFERROR(IF(OR(J49="",N49="",P49=""),"",IF(T49=0,0,T49*Q49-Settings!$B$4/10000-IF(T49&lt;0,Settings!$B$5/10000,0))),"")</f>
        <v>4.02E-2</v>
      </c>
      <c r="V49" s="23"/>
      <c r="W49" s="21">
        <f t="shared" si="3"/>
        <v>1860</v>
      </c>
      <c r="X49" s="91" t="str">
        <f t="shared" si="4"/>
        <v>Airbnb|2025|Q3</v>
      </c>
      <c r="Y49" s="91" t="str">
        <f>IFERROR(IF($X49="","",INDEX(LLM_Data_Entry!$H$3:$H$548,MATCH($X49,INDEX(LLM_Data_Entry!$A$3:$A$548&amp;"|"&amp;LLM_Data_Entry!$C$3:$C$548&amp;"|"&amp;LLM_Data_Entry!$D$3:$D$548,0),0))),"")</f>
        <v>BUY</v>
      </c>
      <c r="Z49" s="91" t="str">
        <f>IFERROR(IF($X49="","",INDEX(LLM_Data_Entry!$R$3:$R$548,MATCH($X49,INDEX(LLM_Data_Entry!$A$3:$A$548&amp;"|"&amp;LLM_Data_Entry!$C$3:$C$548&amp;"|"&amp;LLM_Data_Entry!$D$3:$D$548,0),0))),"")</f>
        <v>YES</v>
      </c>
      <c r="AB49" t="s">
        <v>541</v>
      </c>
      <c r="AC49" t="s">
        <v>741</v>
      </c>
      <c r="AD49" t="s">
        <v>744</v>
      </c>
      <c r="AE49">
        <v>120.53</v>
      </c>
      <c r="AF49" t="s">
        <v>745</v>
      </c>
      <c r="AG49">
        <v>125.495</v>
      </c>
      <c r="AH49">
        <v>4.1193097496001738E-2</v>
      </c>
      <c r="AI49" t="s">
        <v>591</v>
      </c>
      <c r="AJ49" t="s">
        <v>554</v>
      </c>
      <c r="AK49">
        <v>4.0193E-2</v>
      </c>
      <c r="AL49" t="str">
        <f>IF($A49="","",IFERROR(INDEX(Company_List!$G$3:$G$207,MATCH($A49,Company_List!$A$3:$A$207,0)),"unassigned"))</f>
        <v>P2</v>
      </c>
      <c r="AM49" t="s">
        <v>746</v>
      </c>
      <c r="AO49" t="s">
        <v>548</v>
      </c>
      <c r="AP49" t="str">
        <f>IF($A49="","",IF(COUNTIFS(LLM_Data_Entry!$A$3:$A$548,$A49)&gt;0,"YES","NO"))</f>
        <v>YES</v>
      </c>
      <c r="AQ49" t="str">
        <f>IF($A49="","",IF(COUNTIFS($A$3:$A49,$A49,$C$3:$C49,$C49,$D$3:$D49,$D49)=1,"YES","NO"))</f>
        <v>YES</v>
      </c>
      <c r="AR49" t="str">
        <f>IF($A49="","",IF(AND($C49&amp;"-"&amp;$D49&gt;=Settings!$B$19,$C49&amp;"-"&amp;$D49&lt;=Settings!$B$20),"IN","OUT"))</f>
        <v>IN</v>
      </c>
      <c r="AS49" t="str">
        <f t="shared" si="5"/>
        <v>transcript only</v>
      </c>
      <c r="AT49">
        <f t="shared" si="6"/>
        <v>4.02E-2</v>
      </c>
      <c r="AU49">
        <f t="shared" si="7"/>
        <v>4.0193E-2</v>
      </c>
      <c r="AV49">
        <f>IF(ISNUMBER($AT49),ABS(IF(ISNUMBER($I49),$I49,0)-Settings!$B$24),"")</f>
        <v>0.4</v>
      </c>
      <c r="AW49">
        <f t="shared" si="8"/>
        <v>1.6080000000000001E-2</v>
      </c>
      <c r="AX49">
        <f>IF(ISNUMBER($AU49),ABS(IF(ISNUMBER($I49),$I49,0)-Settings!$B$24),"")</f>
        <v>0.4</v>
      </c>
      <c r="AY49" t="s">
        <v>549</v>
      </c>
      <c r="AZ49" t="str">
        <f>IF($A49="","",IFERROR(INDEX(Company_List!$H$3:$H$207,MATCH($A49,Company_List!$A$3:$A$207,0)),"unassigned"))</f>
        <v>Consumer Discretionary</v>
      </c>
      <c r="BC49">
        <f>IF($A49="","",IF(COUNTIFS($A$3:$A49,$A49,$C$3:$C49,$C49,$D$3:$D49,$D49,$G$3:$G49,$G49)=1,1,0))</f>
        <v>1</v>
      </c>
      <c r="BG49" t="s">
        <v>550</v>
      </c>
      <c r="BK49">
        <f t="shared" si="9"/>
        <v>1</v>
      </c>
      <c r="BL49" t="s">
        <v>551</v>
      </c>
      <c r="BM49">
        <v>1</v>
      </c>
      <c r="BN49" t="s">
        <v>617</v>
      </c>
      <c r="BO49" t="s">
        <v>553</v>
      </c>
      <c r="BP49" t="s">
        <v>550</v>
      </c>
      <c r="BQ49" t="s">
        <v>550</v>
      </c>
      <c r="BS49" t="s">
        <v>554</v>
      </c>
    </row>
    <row r="50" spans="1:71" ht="16.25" customHeight="1" x14ac:dyDescent="0.2">
      <c r="A50" s="95" t="s">
        <v>747</v>
      </c>
      <c r="B50" s="96" t="str">
        <f>IF(A50="","",_xlfn.XLOOKUP(A50, Company_List!$A:$A, Company_List!$B:$B, ""))</f>
        <v>JPM</v>
      </c>
      <c r="C50" s="21">
        <v>2025</v>
      </c>
      <c r="D50" s="20" t="s">
        <v>537</v>
      </c>
      <c r="E50" s="19" t="s">
        <v>538</v>
      </c>
      <c r="F50" s="19" t="s">
        <v>538</v>
      </c>
      <c r="G50" s="20" t="s">
        <v>610</v>
      </c>
      <c r="H50" s="20" t="s">
        <v>540</v>
      </c>
      <c r="I50" s="127">
        <v>0.2</v>
      </c>
      <c r="J50" s="145" t="str">
        <f>IF(OR(I50="",Settings!$B$6=""),"",IF(I50&gt;Settings!$B$6,"BUY",IF(I50&lt;-Settings!$B$6,"SELL","HOLD")))</f>
        <v>HOLD</v>
      </c>
      <c r="K50" s="139">
        <v>32</v>
      </c>
      <c r="L50" s="123">
        <v>45758</v>
      </c>
      <c r="M50" s="123">
        <v>45757</v>
      </c>
      <c r="N50" s="127">
        <v>227.11</v>
      </c>
      <c r="O50" s="123">
        <v>45758</v>
      </c>
      <c r="P50" s="22">
        <v>226.31</v>
      </c>
      <c r="Q50" s="148">
        <f t="shared" si="10"/>
        <v>-3.5000000000000001E-3</v>
      </c>
      <c r="R50" s="20" t="str">
        <f>IF(OR(N50="",P50=""),"",IF(Q50&gt;Settings!$B$3/100,"UP",IF(Q50&lt;-Settings!$B$3/100,"DOWN","FLAT")))</f>
        <v>FLAT</v>
      </c>
      <c r="S50" s="20" t="str">
        <f t="shared" si="1"/>
        <v>YES</v>
      </c>
      <c r="T50" s="21">
        <f t="shared" si="2"/>
        <v>0</v>
      </c>
      <c r="U50" s="148">
        <f>IFERROR(IF(OR(J50="",N50="",P50=""),"",IF(T50=0,0,T50*Q50-Settings!$B$4/10000-IF(T50&lt;0,Settings!$B$5/10000,0))),"")</f>
        <v>0</v>
      </c>
      <c r="V50" s="23"/>
      <c r="W50" s="21">
        <f t="shared" si="3"/>
        <v>1920</v>
      </c>
      <c r="X50" s="91" t="str">
        <f t="shared" si="4"/>
        <v>JPMorgan|2025|Q1</v>
      </c>
      <c r="Y50" s="91" t="str">
        <f>IFERROR(IF($X50="","",INDEX(LLM_Data_Entry!$H$3:$H$548,MATCH($X50,INDEX(LLM_Data_Entry!$A$3:$A$548&amp;"|"&amp;LLM_Data_Entry!$C$3:$C$548&amp;"|"&amp;LLM_Data_Entry!$D$3:$D$548,0),0))),"")</f>
        <v>SELL</v>
      </c>
      <c r="Z50" s="91" t="str">
        <f>IFERROR(IF($X50="","",INDEX(LLM_Data_Entry!$R$3:$R$548,MATCH($X50,INDEX(LLM_Data_Entry!$A$3:$A$548&amp;"|"&amp;LLM_Data_Entry!$C$3:$C$548&amp;"|"&amp;LLM_Data_Entry!$D$3:$D$548,0),0))),"")</f>
        <v>NO</v>
      </c>
      <c r="AB50" t="s">
        <v>748</v>
      </c>
      <c r="AC50" t="s">
        <v>749</v>
      </c>
      <c r="AD50" t="s">
        <v>750</v>
      </c>
      <c r="AE50">
        <v>238.07490000000001</v>
      </c>
      <c r="AF50" t="s">
        <v>751</v>
      </c>
      <c r="AG50">
        <v>235.47380000000001</v>
      </c>
      <c r="AH50">
        <v>-1.0925475720880521E-2</v>
      </c>
      <c r="AI50" t="s">
        <v>579</v>
      </c>
      <c r="AJ50" t="s">
        <v>554</v>
      </c>
      <c r="AK50">
        <v>0</v>
      </c>
      <c r="AL50" t="str">
        <f>IF($A50="","",IFERROR(INDEX(Company_List!$G$3:$G$207,MATCH($A50,Company_List!$A$3:$A$207,0)),"unassigned"))</f>
        <v>P2</v>
      </c>
      <c r="AM50" t="s">
        <v>752</v>
      </c>
      <c r="AN50" t="s">
        <v>753</v>
      </c>
      <c r="AO50" t="s">
        <v>754</v>
      </c>
      <c r="AP50" t="str">
        <f>IF($A50="","",IF(COUNTIFS(LLM_Data_Entry!$A$3:$A$548,$A50)&gt;0,"YES","NO"))</f>
        <v>YES</v>
      </c>
      <c r="AQ50" t="str">
        <f>IF($A50="","",IF(COUNTIFS($A$3:$A50,$A50,$C$3:$C50,$C50,$D$3:$D50,$D50)=1,"YES","NO"))</f>
        <v>YES</v>
      </c>
      <c r="AR50" t="str">
        <f>IF($A50="","",IF(AND($C50&amp;"-"&amp;$D50&gt;=Settings!$B$19,$C50&amp;"-"&amp;$D50&lt;=Settings!$B$20),"IN","OUT"))</f>
        <v>IN</v>
      </c>
      <c r="AS50" t="str">
        <f t="shared" si="5"/>
        <v>full</v>
      </c>
      <c r="AT50" t="str">
        <f t="shared" si="6"/>
        <v/>
      </c>
      <c r="AU50" t="str">
        <f t="shared" si="7"/>
        <v/>
      </c>
      <c r="AV50" t="str">
        <f>IF(ISNUMBER($AT50),ABS(IF(ISNUMBER($I50),$I50,0)-Settings!$B$24),"")</f>
        <v/>
      </c>
      <c r="AW50" t="str">
        <f t="shared" si="8"/>
        <v/>
      </c>
      <c r="AX50" t="str">
        <f>IF(ISNUMBER($AU50),ABS(IF(ISNUMBER($I50),$I50,0)-Settings!$B$24),"")</f>
        <v/>
      </c>
      <c r="AY50" t="s">
        <v>549</v>
      </c>
      <c r="AZ50" t="str">
        <f>IF($A50="","",IFERROR(INDEX(Company_List!$H$3:$H$207,MATCH($A50,Company_List!$A$3:$A$207,0)),"unassigned"))</f>
        <v>Financials</v>
      </c>
      <c r="BC50">
        <f>IF($A50="","",IF(COUNTIFS($A$3:$A50,$A50,$C$3:$C50,$C50,$D$3:$D50,$D50,$G$3:$G50,$G50)=1,1,0))</f>
        <v>1</v>
      </c>
      <c r="BG50" t="s">
        <v>550</v>
      </c>
      <c r="BK50">
        <f t="shared" si="9"/>
        <v>0</v>
      </c>
      <c r="BL50" t="s">
        <v>551</v>
      </c>
      <c r="BM50">
        <v>2</v>
      </c>
      <c r="BN50" t="s">
        <v>561</v>
      </c>
      <c r="BO50" t="s">
        <v>561</v>
      </c>
      <c r="BP50" t="s">
        <v>550</v>
      </c>
      <c r="BQ50" t="s">
        <v>562</v>
      </c>
      <c r="BS50" t="s">
        <v>554</v>
      </c>
    </row>
    <row r="51" spans="1:71" ht="16.25" customHeight="1" x14ac:dyDescent="0.2">
      <c r="A51" s="95" t="s">
        <v>747</v>
      </c>
      <c r="B51" s="96" t="str">
        <f>IF(A51="","",_xlfn.XLOOKUP(A51, Company_List!$A:$A, Company_List!$B:$B, ""))</f>
        <v>JPM</v>
      </c>
      <c r="C51" s="21">
        <v>2025</v>
      </c>
      <c r="D51" s="20" t="s">
        <v>555</v>
      </c>
      <c r="E51" s="19" t="s">
        <v>538</v>
      </c>
      <c r="F51" s="19" t="s">
        <v>538</v>
      </c>
      <c r="G51" s="20" t="s">
        <v>610</v>
      </c>
      <c r="H51" s="20" t="s">
        <v>540</v>
      </c>
      <c r="I51" s="127">
        <v>0.6</v>
      </c>
      <c r="J51" s="145" t="str">
        <f>IF(OR(I51="",Settings!$B$6=""),"",IF(I51&gt;Settings!$B$6,"BUY",IF(I51&lt;-Settings!$B$6,"SELL","HOLD")))</f>
        <v>BUY</v>
      </c>
      <c r="K51" s="139">
        <v>31</v>
      </c>
      <c r="L51" s="123">
        <v>45853</v>
      </c>
      <c r="M51" s="123">
        <v>45852</v>
      </c>
      <c r="N51" s="127">
        <v>288.7</v>
      </c>
      <c r="O51" s="123">
        <v>45853</v>
      </c>
      <c r="P51" s="22">
        <v>288</v>
      </c>
      <c r="Q51" s="148">
        <f t="shared" si="10"/>
        <v>-2.3999999999999998E-3</v>
      </c>
      <c r="R51" s="20" t="str">
        <f>IF(OR(N51="",P51=""),"",IF(Q51&gt;Settings!$B$3/100,"UP",IF(Q51&lt;-Settings!$B$3/100,"DOWN","FLAT")))</f>
        <v>FLAT</v>
      </c>
      <c r="S51" s="20" t="str">
        <f t="shared" si="1"/>
        <v>NO</v>
      </c>
      <c r="T51" s="21">
        <f t="shared" si="2"/>
        <v>1</v>
      </c>
      <c r="U51" s="148">
        <f>IFERROR(IF(OR(J51="",N51="",P51=""),"",IF(T51=0,0,T51*Q51-Settings!$B$4/10000-IF(T51&lt;0,Settings!$B$5/10000,0))),"")</f>
        <v>-3.3999999999999998E-3</v>
      </c>
      <c r="V51" s="23"/>
      <c r="W51" s="21">
        <f t="shared" si="3"/>
        <v>1860</v>
      </c>
      <c r="X51" s="91" t="str">
        <f t="shared" si="4"/>
        <v>JPMorgan|2025|Q2</v>
      </c>
      <c r="Y51" s="91" t="str">
        <f>IFERROR(IF($X51="","",INDEX(LLM_Data_Entry!$H$3:$H$548,MATCH($X51,INDEX(LLM_Data_Entry!$A$3:$A$548&amp;"|"&amp;LLM_Data_Entry!$C$3:$C$548&amp;"|"&amp;LLM_Data_Entry!$D$3:$D$548,0),0))),"")</f>
        <v>HOLD</v>
      </c>
      <c r="Z51" s="91" t="str">
        <f>IFERROR(IF($X51="","",INDEX(LLM_Data_Entry!$R$3:$R$548,MATCH($X51,INDEX(LLM_Data_Entry!$A$3:$A$548&amp;"|"&amp;LLM_Data_Entry!$C$3:$C$548&amp;"|"&amp;LLM_Data_Entry!$D$3:$D$548,0),0))),"")</f>
        <v>YES</v>
      </c>
      <c r="AB51" t="s">
        <v>624</v>
      </c>
      <c r="AC51" t="s">
        <v>749</v>
      </c>
      <c r="AD51" t="s">
        <v>718</v>
      </c>
      <c r="AE51">
        <v>283.28070000000002</v>
      </c>
      <c r="AF51" t="s">
        <v>719</v>
      </c>
      <c r="AG51">
        <v>282.59379999999999</v>
      </c>
      <c r="AH51">
        <v>-2.424757842669704E-3</v>
      </c>
      <c r="AI51" t="s">
        <v>579</v>
      </c>
      <c r="AJ51" t="s">
        <v>546</v>
      </c>
      <c r="AK51">
        <v>-3.4250000000000001E-3</v>
      </c>
      <c r="AL51" t="str">
        <f>IF($A51="","",IFERROR(INDEX(Company_List!$G$3:$G$207,MATCH($A51,Company_List!$A$3:$A$207,0)),"unassigned"))</f>
        <v>P2</v>
      </c>
      <c r="AM51" t="s">
        <v>755</v>
      </c>
      <c r="AO51" t="s">
        <v>548</v>
      </c>
      <c r="AP51" t="str">
        <f>IF($A51="","",IF(COUNTIFS(LLM_Data_Entry!$A$3:$A$548,$A51)&gt;0,"YES","NO"))</f>
        <v>YES</v>
      </c>
      <c r="AQ51" t="str">
        <f>IF($A51="","",IF(COUNTIFS($A$3:$A51,$A51,$C$3:$C51,$C51,$D$3:$D51,$D51)=1,"YES","NO"))</f>
        <v>YES</v>
      </c>
      <c r="AR51" t="str">
        <f>IF($A51="","",IF(AND($C51&amp;"-"&amp;$D51&gt;=Settings!$B$19,$C51&amp;"-"&amp;$D51&lt;=Settings!$B$20),"IN","OUT"))</f>
        <v>IN</v>
      </c>
      <c r="AS51" t="str">
        <f t="shared" si="5"/>
        <v>full</v>
      </c>
      <c r="AT51">
        <f t="shared" si="6"/>
        <v>-3.3999999999999998E-3</v>
      </c>
      <c r="AU51">
        <f t="shared" si="7"/>
        <v>-3.4250000000000001E-3</v>
      </c>
      <c r="AV51">
        <f>IF(ISNUMBER($AT51),ABS(IF(ISNUMBER($I51),$I51,0)-Settings!$B$24),"")</f>
        <v>0.6</v>
      </c>
      <c r="AW51">
        <f t="shared" si="8"/>
        <v>-2.0399999999999997E-3</v>
      </c>
      <c r="AX51">
        <f>IF(ISNUMBER($AU51),ABS(IF(ISNUMBER($I51),$I51,0)-Settings!$B$24),"")</f>
        <v>0.6</v>
      </c>
      <c r="AY51" t="s">
        <v>549</v>
      </c>
      <c r="AZ51" t="str">
        <f>IF($A51="","",IFERROR(INDEX(Company_List!$H$3:$H$207,MATCH($A51,Company_List!$A$3:$A$207,0)),"unassigned"))</f>
        <v>Financials</v>
      </c>
      <c r="BC51">
        <f>IF($A51="","",IF(COUNTIFS($A$3:$A51,$A51,$C$3:$C51,$C51,$D$3:$D51,$D51,$G$3:$G51,$G51)=1,1,0))</f>
        <v>1</v>
      </c>
      <c r="BG51" t="s">
        <v>550</v>
      </c>
      <c r="BK51">
        <f t="shared" si="9"/>
        <v>0</v>
      </c>
      <c r="BL51" t="s">
        <v>551</v>
      </c>
      <c r="BM51">
        <v>1</v>
      </c>
      <c r="BN51" t="s">
        <v>561</v>
      </c>
      <c r="BO51" t="s">
        <v>561</v>
      </c>
      <c r="BP51" t="s">
        <v>756</v>
      </c>
      <c r="BQ51" t="s">
        <v>550</v>
      </c>
      <c r="BS51" t="s">
        <v>554</v>
      </c>
    </row>
    <row r="52" spans="1:71" ht="16.25" customHeight="1" x14ac:dyDescent="0.2">
      <c r="A52" s="95" t="s">
        <v>747</v>
      </c>
      <c r="B52" s="96" t="str">
        <f>IF(A52="","",_xlfn.XLOOKUP(A52, Company_List!$A:$A, Company_List!$B:$B, ""))</f>
        <v>JPM</v>
      </c>
      <c r="C52" s="21">
        <v>2025</v>
      </c>
      <c r="D52" s="20" t="s">
        <v>563</v>
      </c>
      <c r="E52" s="19" t="s">
        <v>538</v>
      </c>
      <c r="F52" s="19" t="s">
        <v>538</v>
      </c>
      <c r="G52" s="20" t="s">
        <v>610</v>
      </c>
      <c r="H52" s="20" t="s">
        <v>540</v>
      </c>
      <c r="I52" s="127">
        <v>0.7</v>
      </c>
      <c r="J52" s="145" t="str">
        <f>IF(OR(I52="",Settings!$B$6=""),"",IF(I52&gt;Settings!$B$6,"BUY",IF(I52&lt;-Settings!$B$6,"SELL","HOLD")))</f>
        <v>BUY</v>
      </c>
      <c r="K52" s="139">
        <v>28</v>
      </c>
      <c r="L52" s="123">
        <v>45944</v>
      </c>
      <c r="M52" s="123">
        <v>45943</v>
      </c>
      <c r="N52" s="127">
        <v>307.97000000000003</v>
      </c>
      <c r="O52" s="123">
        <v>45944</v>
      </c>
      <c r="P52" s="22">
        <v>305.83999999999997</v>
      </c>
      <c r="Q52" s="148">
        <f t="shared" si="10"/>
        <v>-6.8999999999999999E-3</v>
      </c>
      <c r="R52" s="20" t="str">
        <f>IF(OR(N52="",P52=""),"",IF(Q52&gt;Settings!$B$3/100,"UP",IF(Q52&lt;-Settings!$B$3/100,"DOWN","FLAT")))</f>
        <v>FLAT</v>
      </c>
      <c r="S52" s="20" t="str">
        <f t="shared" si="1"/>
        <v>NO</v>
      </c>
      <c r="T52" s="21">
        <f t="shared" si="2"/>
        <v>1</v>
      </c>
      <c r="U52" s="148">
        <f>IFERROR(IF(OR(J52="",N52="",P52=""),"",IF(T52=0,0,T52*Q52-Settings!$B$4/10000-IF(T52&lt;0,Settings!$B$5/10000,0))),"")</f>
        <v>-7.9000000000000008E-3</v>
      </c>
      <c r="V52" s="23"/>
      <c r="W52" s="21">
        <f t="shared" si="3"/>
        <v>1680</v>
      </c>
      <c r="X52" s="91" t="str">
        <f t="shared" si="4"/>
        <v>JPMorgan|2025|Q3</v>
      </c>
      <c r="Y52" s="91" t="str">
        <f>IFERROR(IF($X52="","",INDEX(LLM_Data_Entry!$H$3:$H$548,MATCH($X52,INDEX(LLM_Data_Entry!$A$3:$A$548&amp;"|"&amp;LLM_Data_Entry!$C$3:$C$548&amp;"|"&amp;LLM_Data_Entry!$D$3:$D$548,0),0))),"")</f>
        <v>HOLD</v>
      </c>
      <c r="Z52" s="91" t="str">
        <f>IFERROR(IF($X52="","",INDEX(LLM_Data_Entry!$R$3:$R$548,MATCH($X52,INDEX(LLM_Data_Entry!$A$3:$A$548&amp;"|"&amp;LLM_Data_Entry!$C$3:$C$548&amp;"|"&amp;LLM_Data_Entry!$D$3:$D$548,0),0))),"")</f>
        <v>YES</v>
      </c>
      <c r="AB52" t="s">
        <v>624</v>
      </c>
      <c r="AC52" t="s">
        <v>749</v>
      </c>
      <c r="AD52" t="s">
        <v>757</v>
      </c>
      <c r="AE52">
        <v>303.65809999999999</v>
      </c>
      <c r="AF52" t="s">
        <v>722</v>
      </c>
      <c r="AG52">
        <v>301.55790000000002</v>
      </c>
      <c r="AH52">
        <v>-6.9162051796260691E-3</v>
      </c>
      <c r="AI52" t="s">
        <v>579</v>
      </c>
      <c r="AJ52" t="s">
        <v>546</v>
      </c>
      <c r="AK52">
        <v>-7.9159999999999994E-3</v>
      </c>
      <c r="AL52" t="str">
        <f>IF($A52="","",IFERROR(INDEX(Company_List!$G$3:$G$207,MATCH($A52,Company_List!$A$3:$A$207,0)),"unassigned"))</f>
        <v>P2</v>
      </c>
      <c r="AM52" t="s">
        <v>758</v>
      </c>
      <c r="AN52" t="s">
        <v>759</v>
      </c>
      <c r="AO52" t="s">
        <v>754</v>
      </c>
      <c r="AP52" t="str">
        <f>IF($A52="","",IF(COUNTIFS(LLM_Data_Entry!$A$3:$A$548,$A52)&gt;0,"YES","NO"))</f>
        <v>YES</v>
      </c>
      <c r="AQ52" t="str">
        <f>IF($A52="","",IF(COUNTIFS($A$3:$A52,$A52,$C$3:$C52,$C52,$D$3:$D52,$D52)=1,"YES","NO"))</f>
        <v>YES</v>
      </c>
      <c r="AR52" t="str">
        <f>IF($A52="","",IF(AND($C52&amp;"-"&amp;$D52&gt;=Settings!$B$19,$C52&amp;"-"&amp;$D52&lt;=Settings!$B$20),"IN","OUT"))</f>
        <v>IN</v>
      </c>
      <c r="AS52" t="str">
        <f t="shared" si="5"/>
        <v>full</v>
      </c>
      <c r="AT52">
        <f t="shared" si="6"/>
        <v>-7.9000000000000008E-3</v>
      </c>
      <c r="AU52">
        <f t="shared" si="7"/>
        <v>-7.9159999999999994E-3</v>
      </c>
      <c r="AV52">
        <f>IF(ISNUMBER($AT52),ABS(IF(ISNUMBER($I52),$I52,0)-Settings!$B$24),"")</f>
        <v>0.7</v>
      </c>
      <c r="AW52">
        <f t="shared" si="8"/>
        <v>-5.5300000000000002E-3</v>
      </c>
      <c r="AX52">
        <f>IF(ISNUMBER($AU52),ABS(IF(ISNUMBER($I52),$I52,0)-Settings!$B$24),"")</f>
        <v>0.7</v>
      </c>
      <c r="AY52" t="s">
        <v>549</v>
      </c>
      <c r="AZ52" t="str">
        <f>IF($A52="","",IFERROR(INDEX(Company_List!$H$3:$H$207,MATCH($A52,Company_List!$A$3:$A$207,0)),"unassigned"))</f>
        <v>Financials</v>
      </c>
      <c r="BC52">
        <f>IF($A52="","",IF(COUNTIFS($A$3:$A52,$A52,$C$3:$C52,$C52,$D$3:$D52,$D52,$G$3:$G52,$G52)=1,1,0))</f>
        <v>1</v>
      </c>
      <c r="BG52" t="s">
        <v>550</v>
      </c>
      <c r="BK52">
        <f t="shared" si="9"/>
        <v>0</v>
      </c>
      <c r="BL52" t="s">
        <v>551</v>
      </c>
      <c r="BM52">
        <v>2</v>
      </c>
      <c r="BN52" t="s">
        <v>561</v>
      </c>
      <c r="BO52" t="s">
        <v>561</v>
      </c>
      <c r="BP52" t="s">
        <v>550</v>
      </c>
      <c r="BQ52" t="s">
        <v>562</v>
      </c>
      <c r="BS52" t="s">
        <v>554</v>
      </c>
    </row>
    <row r="53" spans="1:71" ht="16.25" customHeight="1" x14ac:dyDescent="0.2">
      <c r="A53" s="95" t="s">
        <v>747</v>
      </c>
      <c r="B53" s="96" t="str">
        <f>IF(A53="","",_xlfn.XLOOKUP(A53, Company_List!$A:$A, Company_List!$B:$B, ""))</f>
        <v>JPM</v>
      </c>
      <c r="C53" s="21">
        <v>2025</v>
      </c>
      <c r="D53" s="20" t="s">
        <v>569</v>
      </c>
      <c r="E53" s="19" t="s">
        <v>538</v>
      </c>
      <c r="F53" s="19" t="s">
        <v>538</v>
      </c>
      <c r="G53" s="20" t="s">
        <v>610</v>
      </c>
      <c r="H53" s="20" t="s">
        <v>540</v>
      </c>
      <c r="I53" s="127">
        <v>-0.4</v>
      </c>
      <c r="J53" s="145" t="str">
        <f>IF(OR(I53="",Settings!$B$6=""),"",IF(I53&gt;Settings!$B$6,"BUY",IF(I53&lt;-Settings!$B$6,"SELL","HOLD")))</f>
        <v>SELL</v>
      </c>
      <c r="K53" s="139">
        <v>24</v>
      </c>
      <c r="L53" s="123">
        <v>46035</v>
      </c>
      <c r="M53" s="123">
        <v>46034</v>
      </c>
      <c r="N53" s="127">
        <v>324.49</v>
      </c>
      <c r="O53" s="123">
        <v>46035</v>
      </c>
      <c r="P53" s="22">
        <v>324.3</v>
      </c>
      <c r="Q53" s="148">
        <f t="shared" si="10"/>
        <v>-5.9999999999999995E-4</v>
      </c>
      <c r="R53" s="20" t="str">
        <f>IF(OR(N53="",P53=""),"",IF(Q53&gt;Settings!$B$3/100,"UP",IF(Q53&lt;-Settings!$B$3/100,"DOWN","FLAT")))</f>
        <v>FLAT</v>
      </c>
      <c r="S53" s="20" t="str">
        <f t="shared" si="1"/>
        <v>NO</v>
      </c>
      <c r="T53" s="21">
        <f t="shared" si="2"/>
        <v>-1</v>
      </c>
      <c r="U53" s="148">
        <f>IFERROR(IF(OR(J53="",N53="",P53=""),"",IF(T53=0,0,T53*Q53-Settings!$B$4/10000-IF(T53&lt;0,Settings!$B$5/10000,0))),"")</f>
        <v>-4.0000000000000007E-4</v>
      </c>
      <c r="V53" s="23"/>
      <c r="W53" s="21">
        <f t="shared" si="3"/>
        <v>1440</v>
      </c>
      <c r="X53" s="91" t="str">
        <f t="shared" si="4"/>
        <v>JPMorgan|2025|Q4</v>
      </c>
      <c r="Y53" s="91" t="str">
        <f>IFERROR(IF($X53="","",INDEX(LLM_Data_Entry!$H$3:$H$548,MATCH($X53,INDEX(LLM_Data_Entry!$A$3:$A$548&amp;"|"&amp;LLM_Data_Entry!$C$3:$C$548&amp;"|"&amp;LLM_Data_Entry!$D$3:$D$548,0),0))),"")</f>
        <v>HOLD</v>
      </c>
      <c r="Z53" s="91" t="str">
        <f>IFERROR(IF($X53="","",INDEX(LLM_Data_Entry!$R$3:$R$548,MATCH($X53,INDEX(LLM_Data_Entry!$A$3:$A$548&amp;"|"&amp;LLM_Data_Entry!$C$3:$C$548&amp;"|"&amp;LLM_Data_Entry!$D$3:$D$548,0),0))),"")</f>
        <v>YES</v>
      </c>
      <c r="AB53" t="s">
        <v>624</v>
      </c>
      <c r="AC53" t="s">
        <v>749</v>
      </c>
      <c r="AD53" t="s">
        <v>760</v>
      </c>
      <c r="AE53">
        <v>321.39</v>
      </c>
      <c r="AF53" t="s">
        <v>726</v>
      </c>
      <c r="AG53">
        <v>321.20179999999999</v>
      </c>
      <c r="AH53">
        <v>-5.8557170775175261E-4</v>
      </c>
      <c r="AI53" t="s">
        <v>579</v>
      </c>
      <c r="AJ53" t="s">
        <v>546</v>
      </c>
      <c r="AK53">
        <v>-4.1399999999999998E-4</v>
      </c>
      <c r="AL53" t="str">
        <f>IF($A53="","",IFERROR(INDEX(Company_List!$G$3:$G$207,MATCH($A53,Company_List!$A$3:$A$207,0)),"unassigned"))</f>
        <v>P2</v>
      </c>
      <c r="AM53" t="s">
        <v>761</v>
      </c>
      <c r="AO53" t="s">
        <v>548</v>
      </c>
      <c r="AP53" t="str">
        <f>IF($A53="","",IF(COUNTIFS(LLM_Data_Entry!$A$3:$A$548,$A53)&gt;0,"YES","NO"))</f>
        <v>YES</v>
      </c>
      <c r="AQ53" t="str">
        <f>IF($A53="","",IF(COUNTIFS($A$3:$A53,$A53,$C$3:$C53,$C53,$D$3:$D53,$D53)=1,"YES","NO"))</f>
        <v>YES</v>
      </c>
      <c r="AR53" t="str">
        <f>IF($A53="","",IF(AND($C53&amp;"-"&amp;$D53&gt;=Settings!$B$19,$C53&amp;"-"&amp;$D53&lt;=Settings!$B$20),"IN","OUT"))</f>
        <v>IN</v>
      </c>
      <c r="AS53" t="str">
        <f t="shared" si="5"/>
        <v>full</v>
      </c>
      <c r="AT53">
        <f t="shared" si="6"/>
        <v>-4.0000000000000007E-4</v>
      </c>
      <c r="AU53">
        <f t="shared" si="7"/>
        <v>-4.1399999999999998E-4</v>
      </c>
      <c r="AV53">
        <f>IF(ISNUMBER($AT53),ABS(IF(ISNUMBER($I53),$I53,0)-Settings!$B$24),"")</f>
        <v>0.4</v>
      </c>
      <c r="AW53">
        <f t="shared" si="8"/>
        <v>-1.6000000000000004E-4</v>
      </c>
      <c r="AX53">
        <f>IF(ISNUMBER($AU53),ABS(IF(ISNUMBER($I53),$I53,0)-Settings!$B$24),"")</f>
        <v>0.4</v>
      </c>
      <c r="AY53" t="s">
        <v>549</v>
      </c>
      <c r="AZ53" t="str">
        <f>IF($A53="","",IFERROR(INDEX(Company_List!$H$3:$H$207,MATCH($A53,Company_List!$A$3:$A$207,0)),"unassigned"))</f>
        <v>Financials</v>
      </c>
      <c r="BC53">
        <f>IF($A53="","",IF(COUNTIFS($A$3:$A53,$A53,$C$3:$C53,$C53,$D$3:$D53,$D53,$G$3:$G53,$G53)=1,1,0))</f>
        <v>1</v>
      </c>
      <c r="BG53" t="s">
        <v>550</v>
      </c>
      <c r="BK53">
        <f t="shared" si="9"/>
        <v>0</v>
      </c>
      <c r="BL53" t="s">
        <v>551</v>
      </c>
      <c r="BM53">
        <v>1</v>
      </c>
      <c r="BN53" t="s">
        <v>561</v>
      </c>
      <c r="BO53" t="s">
        <v>561</v>
      </c>
      <c r="BP53" t="s">
        <v>756</v>
      </c>
      <c r="BQ53" t="s">
        <v>550</v>
      </c>
      <c r="BS53" t="s">
        <v>554</v>
      </c>
    </row>
    <row r="54" spans="1:71" ht="16.25" customHeight="1" x14ac:dyDescent="0.2">
      <c r="A54" s="95" t="s">
        <v>747</v>
      </c>
      <c r="B54" s="96" t="str">
        <f>IF(A54="","",_xlfn.XLOOKUP(A54, Company_List!$A:$A, Company_List!$B:$B, ""))</f>
        <v>JPM</v>
      </c>
      <c r="C54" s="21">
        <v>2025</v>
      </c>
      <c r="D54" s="20" t="s">
        <v>537</v>
      </c>
      <c r="E54" s="19" t="s">
        <v>647</v>
      </c>
      <c r="F54" s="19" t="s">
        <v>538</v>
      </c>
      <c r="G54" s="20" t="s">
        <v>712</v>
      </c>
      <c r="H54" s="20" t="s">
        <v>540</v>
      </c>
      <c r="I54" s="127">
        <v>0.1</v>
      </c>
      <c r="J54" s="145" t="str">
        <f>IF(OR(I54="",Settings!$B$6=""),"",IF(I54&gt;Settings!$B$6,"BUY",IF(I54&lt;-Settings!$B$6,"SELL","HOLD")))</f>
        <v>HOLD</v>
      </c>
      <c r="K54" s="139">
        <v>72</v>
      </c>
      <c r="L54" s="123">
        <v>45758</v>
      </c>
      <c r="M54" s="123">
        <v>45757</v>
      </c>
      <c r="N54" s="127">
        <v>227.11</v>
      </c>
      <c r="O54" s="123">
        <v>45758</v>
      </c>
      <c r="P54" s="22">
        <v>226.31</v>
      </c>
      <c r="Q54" s="148">
        <f t="shared" si="10"/>
        <v>-3.5000000000000001E-3</v>
      </c>
      <c r="R54" s="20" t="str">
        <f>IF(OR(N54="",P54=""),"",IF(Q54&gt;Settings!$B$3/100,"UP",IF(Q54&lt;-Settings!$B$3/100,"DOWN","FLAT")))</f>
        <v>FLAT</v>
      </c>
      <c r="S54" s="20" t="str">
        <f t="shared" si="1"/>
        <v>YES</v>
      </c>
      <c r="T54" s="21">
        <f t="shared" si="2"/>
        <v>0</v>
      </c>
      <c r="U54" s="148">
        <f>IFERROR(IF(OR(J54="",N54="",P54=""),"",IF(T54=0,0,T54*Q54-Settings!$B$4/10000-IF(T54&lt;0,Settings!$B$5/10000,0))),"")</f>
        <v>0</v>
      </c>
      <c r="V54" s="23"/>
      <c r="W54" s="21">
        <f t="shared" si="3"/>
        <v>4320</v>
      </c>
      <c r="X54" s="91" t="str">
        <f t="shared" si="4"/>
        <v>JPMorgan|2025|Q1</v>
      </c>
      <c r="Y54" s="91" t="str">
        <f>IFERROR(IF($X54="","",INDEX(LLM_Data_Entry!$H$3:$H$548,MATCH($X54,INDEX(LLM_Data_Entry!$A$3:$A$548&amp;"|"&amp;LLM_Data_Entry!$C$3:$C$548&amp;"|"&amp;LLM_Data_Entry!$D$3:$D$548,0),0))),"")</f>
        <v>SELL</v>
      </c>
      <c r="Z54" s="91" t="str">
        <f>IFERROR(IF($X54="","",INDEX(LLM_Data_Entry!$R$3:$R$548,MATCH($X54,INDEX(LLM_Data_Entry!$A$3:$A$548&amp;"|"&amp;LLM_Data_Entry!$C$3:$C$548&amp;"|"&amp;LLM_Data_Entry!$D$3:$D$548,0),0))),"")</f>
        <v>NO</v>
      </c>
      <c r="AB54" t="s">
        <v>748</v>
      </c>
      <c r="AC54" t="s">
        <v>749</v>
      </c>
      <c r="AD54" t="s">
        <v>750</v>
      </c>
      <c r="AE54">
        <v>238.07490000000001</v>
      </c>
      <c r="AF54" t="s">
        <v>751</v>
      </c>
      <c r="AG54">
        <v>235.47380000000001</v>
      </c>
      <c r="AH54">
        <v>-1.0925475720880521E-2</v>
      </c>
      <c r="AI54" t="s">
        <v>579</v>
      </c>
      <c r="AJ54" t="s">
        <v>554</v>
      </c>
      <c r="AK54">
        <v>0</v>
      </c>
      <c r="AL54" t="str">
        <f>IF($A54="","",IFERROR(INDEX(Company_List!$G$3:$G$207,MATCH($A54,Company_List!$A$3:$A$207,0)),"unassigned"))</f>
        <v>P2</v>
      </c>
      <c r="AM54" t="s">
        <v>762</v>
      </c>
      <c r="AN54" t="s">
        <v>763</v>
      </c>
      <c r="AO54" t="s">
        <v>560</v>
      </c>
      <c r="AP54" t="str">
        <f>IF($A54="","",IF(COUNTIFS(LLM_Data_Entry!$A$3:$A$548,$A54)&gt;0,"YES","NO"))</f>
        <v>YES</v>
      </c>
      <c r="AQ54" t="str">
        <f>IF($A54="","",IF(COUNTIFS($A$3:$A54,$A54,$C$3:$C54,$C54,$D$3:$D54,$D54)=1,"YES","NO"))</f>
        <v>NO</v>
      </c>
      <c r="AR54" t="str">
        <f>IF($A54="","",IF(AND($C54&amp;"-"&amp;$D54&gt;=Settings!$B$19,$C54&amp;"-"&amp;$D54&lt;=Settings!$B$20),"IN","OUT"))</f>
        <v>IN</v>
      </c>
      <c r="AS54" t="str">
        <f t="shared" si="5"/>
        <v>transcript only</v>
      </c>
      <c r="AT54" t="str">
        <f t="shared" si="6"/>
        <v/>
      </c>
      <c r="AU54" t="str">
        <f t="shared" si="7"/>
        <v/>
      </c>
      <c r="AV54" t="str">
        <f>IF(ISNUMBER($AT54),ABS(IF(ISNUMBER($I54),$I54,0)-Settings!$B$24),"")</f>
        <v/>
      </c>
      <c r="AW54" t="str">
        <f t="shared" si="8"/>
        <v/>
      </c>
      <c r="AX54" t="str">
        <f>IF(ISNUMBER($AU54),ABS(IF(ISNUMBER($I54),$I54,0)-Settings!$B$24),"")</f>
        <v/>
      </c>
      <c r="AY54" t="s">
        <v>549</v>
      </c>
      <c r="AZ54" t="str">
        <f>IF($A54="","",IFERROR(INDEX(Company_List!$H$3:$H$207,MATCH($A54,Company_List!$A$3:$A$207,0)),"unassigned"))</f>
        <v>Financials</v>
      </c>
      <c r="BC54">
        <f>IF($A54="","",IF(COUNTIFS($A$3:$A54,$A54,$C$3:$C54,$C54,$D$3:$D54,$D54,$G$3:$G54,$G54)=1,1,0))</f>
        <v>1</v>
      </c>
      <c r="BG54" t="s">
        <v>550</v>
      </c>
      <c r="BK54">
        <f t="shared" si="9"/>
        <v>0</v>
      </c>
      <c r="BL54" t="s">
        <v>551</v>
      </c>
      <c r="BM54">
        <v>1</v>
      </c>
      <c r="BN54" t="s">
        <v>561</v>
      </c>
      <c r="BO54" t="s">
        <v>561</v>
      </c>
      <c r="BP54" t="s">
        <v>550</v>
      </c>
      <c r="BQ54" t="s">
        <v>562</v>
      </c>
      <c r="BS54" t="s">
        <v>554</v>
      </c>
    </row>
    <row r="55" spans="1:71" ht="16.25" customHeight="1" x14ac:dyDescent="0.2">
      <c r="A55" s="95" t="s">
        <v>747</v>
      </c>
      <c r="B55" s="96" t="str">
        <f>IF(A55="","",_xlfn.XLOOKUP(A55, Company_List!$A:$A, Company_List!$B:$B, ""))</f>
        <v>JPM</v>
      </c>
      <c r="C55" s="21">
        <v>2025</v>
      </c>
      <c r="D55" s="20" t="s">
        <v>563</v>
      </c>
      <c r="E55" s="19" t="s">
        <v>647</v>
      </c>
      <c r="F55" s="19" t="s">
        <v>538</v>
      </c>
      <c r="G55" s="20" t="s">
        <v>712</v>
      </c>
      <c r="H55" s="20" t="s">
        <v>540</v>
      </c>
      <c r="I55" s="127">
        <v>0.4</v>
      </c>
      <c r="J55" s="145" t="str">
        <f>IF(OR(I55="",Settings!$B$6=""),"",IF(I55&gt;Settings!$B$6,"BUY",IF(I55&lt;-Settings!$B$6,"SELL","HOLD")))</f>
        <v>BUY</v>
      </c>
      <c r="K55" s="139">
        <v>55</v>
      </c>
      <c r="L55" s="123">
        <v>45944</v>
      </c>
      <c r="M55" s="123">
        <v>45943</v>
      </c>
      <c r="N55" s="127">
        <v>307.97000000000003</v>
      </c>
      <c r="O55" s="123">
        <v>45944</v>
      </c>
      <c r="P55" s="22">
        <v>305.83999999999997</v>
      </c>
      <c r="Q55" s="148">
        <f t="shared" si="10"/>
        <v>-6.8999999999999999E-3</v>
      </c>
      <c r="R55" s="20" t="str">
        <f>IF(OR(N55="",P55=""),"",IF(Q55&gt;Settings!$B$3/100,"UP",IF(Q55&lt;-Settings!$B$3/100,"DOWN","FLAT")))</f>
        <v>FLAT</v>
      </c>
      <c r="S55" s="20" t="str">
        <f t="shared" si="1"/>
        <v>NO</v>
      </c>
      <c r="T55" s="21">
        <f t="shared" si="2"/>
        <v>1</v>
      </c>
      <c r="U55" s="148">
        <f>IFERROR(IF(OR(J55="",N55="",P55=""),"",IF(T55=0,0,T55*Q55-Settings!$B$4/10000-IF(T55&lt;0,Settings!$B$5/10000,0))),"")</f>
        <v>-7.9000000000000008E-3</v>
      </c>
      <c r="V55" s="23"/>
      <c r="W55" s="21">
        <f t="shared" si="3"/>
        <v>3300</v>
      </c>
      <c r="X55" s="91" t="str">
        <f t="shared" si="4"/>
        <v>JPMorgan|2025|Q3</v>
      </c>
      <c r="Y55" s="91" t="str">
        <f>IFERROR(IF($X55="","",INDEX(LLM_Data_Entry!$H$3:$H$548,MATCH($X55,INDEX(LLM_Data_Entry!$A$3:$A$548&amp;"|"&amp;LLM_Data_Entry!$C$3:$C$548&amp;"|"&amp;LLM_Data_Entry!$D$3:$D$548,0),0))),"")</f>
        <v>HOLD</v>
      </c>
      <c r="Z55" s="91" t="str">
        <f>IFERROR(IF($X55="","",INDEX(LLM_Data_Entry!$R$3:$R$548,MATCH($X55,INDEX(LLM_Data_Entry!$A$3:$A$548&amp;"|"&amp;LLM_Data_Entry!$C$3:$C$548&amp;"|"&amp;LLM_Data_Entry!$D$3:$D$548,0),0))),"")</f>
        <v>YES</v>
      </c>
      <c r="AB55" t="s">
        <v>624</v>
      </c>
      <c r="AC55" t="s">
        <v>749</v>
      </c>
      <c r="AD55" t="s">
        <v>757</v>
      </c>
      <c r="AE55">
        <v>303.65809999999999</v>
      </c>
      <c r="AF55" t="s">
        <v>722</v>
      </c>
      <c r="AG55">
        <v>301.55790000000002</v>
      </c>
      <c r="AH55">
        <v>-6.9162051796260691E-3</v>
      </c>
      <c r="AI55" t="s">
        <v>579</v>
      </c>
      <c r="AJ55" t="s">
        <v>546</v>
      </c>
      <c r="AK55">
        <v>-7.9159999999999994E-3</v>
      </c>
      <c r="AL55" t="str">
        <f>IF($A55="","",IFERROR(INDEX(Company_List!$G$3:$G$207,MATCH($A55,Company_List!$A$3:$A$207,0)),"unassigned"))</f>
        <v>P2</v>
      </c>
      <c r="AM55" t="s">
        <v>764</v>
      </c>
      <c r="AN55" t="s">
        <v>765</v>
      </c>
      <c r="AO55" t="s">
        <v>560</v>
      </c>
      <c r="AP55" t="str">
        <f>IF($A55="","",IF(COUNTIFS(LLM_Data_Entry!$A$3:$A$548,$A55)&gt;0,"YES","NO"))</f>
        <v>YES</v>
      </c>
      <c r="AQ55" t="str">
        <f>IF($A55="","",IF(COUNTIFS($A$3:$A55,$A55,$C$3:$C55,$C55,$D$3:$D55,$D55)=1,"YES","NO"))</f>
        <v>NO</v>
      </c>
      <c r="AR55" t="str">
        <f>IF($A55="","",IF(AND($C55&amp;"-"&amp;$D55&gt;=Settings!$B$19,$C55&amp;"-"&amp;$D55&lt;=Settings!$B$20),"IN","OUT"))</f>
        <v>IN</v>
      </c>
      <c r="AS55" t="str">
        <f t="shared" si="5"/>
        <v>transcript only</v>
      </c>
      <c r="AT55">
        <f t="shared" si="6"/>
        <v>-7.9000000000000008E-3</v>
      </c>
      <c r="AU55">
        <f t="shared" si="7"/>
        <v>-7.9159999999999994E-3</v>
      </c>
      <c r="AV55">
        <f>IF(ISNUMBER($AT55),ABS(IF(ISNUMBER($I55),$I55,0)-Settings!$B$24),"")</f>
        <v>0.4</v>
      </c>
      <c r="AW55">
        <f t="shared" si="8"/>
        <v>-3.1600000000000005E-3</v>
      </c>
      <c r="AX55">
        <f>IF(ISNUMBER($AU55),ABS(IF(ISNUMBER($I55),$I55,0)-Settings!$B$24),"")</f>
        <v>0.4</v>
      </c>
      <c r="AY55" t="s">
        <v>549</v>
      </c>
      <c r="AZ55" t="str">
        <f>IF($A55="","",IFERROR(INDEX(Company_List!$H$3:$H$207,MATCH($A55,Company_List!$A$3:$A$207,0)),"unassigned"))</f>
        <v>Financials</v>
      </c>
      <c r="BC55">
        <f>IF($A55="","",IF(COUNTIFS($A$3:$A55,$A55,$C$3:$C55,$C55,$D$3:$D55,$D55,$G$3:$G55,$G55)=1,1,0))</f>
        <v>1</v>
      </c>
      <c r="BG55" t="s">
        <v>550</v>
      </c>
      <c r="BK55">
        <f t="shared" si="9"/>
        <v>0</v>
      </c>
      <c r="BL55" t="s">
        <v>551</v>
      </c>
      <c r="BM55">
        <v>1</v>
      </c>
      <c r="BN55" t="s">
        <v>561</v>
      </c>
      <c r="BO55" t="s">
        <v>561</v>
      </c>
      <c r="BP55" t="s">
        <v>550</v>
      </c>
      <c r="BQ55" t="s">
        <v>562</v>
      </c>
      <c r="BS55" t="s">
        <v>554</v>
      </c>
    </row>
    <row r="56" spans="1:71" ht="16.25" customHeight="1" x14ac:dyDescent="0.2">
      <c r="A56" s="95" t="s">
        <v>747</v>
      </c>
      <c r="B56" s="96" t="str">
        <f>IF(A56="","",_xlfn.XLOOKUP(A56, Company_List!$A:$A, Company_List!$B:$B, ""))</f>
        <v>JPM</v>
      </c>
      <c r="C56" s="21">
        <v>2026</v>
      </c>
      <c r="D56" s="20" t="s">
        <v>537</v>
      </c>
      <c r="E56" s="19" t="s">
        <v>647</v>
      </c>
      <c r="F56" s="19" t="s">
        <v>538</v>
      </c>
      <c r="G56" s="20" t="s">
        <v>712</v>
      </c>
      <c r="H56" s="20" t="s">
        <v>540</v>
      </c>
      <c r="I56" s="127">
        <v>0.5</v>
      </c>
      <c r="J56" s="145" t="str">
        <f>IF(OR(I56="",Settings!$B$6=""),"",IF(I56&gt;Settings!$B$6,"BUY",IF(I56&lt;-Settings!$B$6,"SELL","HOLD")))</f>
        <v>BUY</v>
      </c>
      <c r="K56" s="139">
        <v>74</v>
      </c>
      <c r="L56" s="123">
        <v>46126</v>
      </c>
      <c r="M56" s="123">
        <v>46125</v>
      </c>
      <c r="N56" s="127">
        <v>313.68</v>
      </c>
      <c r="O56" s="123">
        <v>46126</v>
      </c>
      <c r="P56" s="22">
        <v>309.82</v>
      </c>
      <c r="Q56" s="148">
        <f t="shared" si="10"/>
        <v>-1.23E-2</v>
      </c>
      <c r="R56" s="20" t="str">
        <f>IF(OR(N56="",P56=""),"",IF(Q56&gt;Settings!$B$3/100,"UP",IF(Q56&lt;-Settings!$B$3/100,"DOWN","FLAT")))</f>
        <v>FLAT</v>
      </c>
      <c r="S56" s="20" t="str">
        <f t="shared" si="1"/>
        <v>NO</v>
      </c>
      <c r="T56" s="21">
        <f t="shared" si="2"/>
        <v>1</v>
      </c>
      <c r="U56" s="148">
        <f>IFERROR(IF(OR(J56="",N56="",P56=""),"",IF(T56=0,0,T56*Q56-Settings!$B$4/10000-IF(T56&lt;0,Settings!$B$5/10000,0))),"")</f>
        <v>-1.3299999999999999E-2</v>
      </c>
      <c r="V56" s="23"/>
      <c r="W56" s="21">
        <f t="shared" si="3"/>
        <v>4440</v>
      </c>
      <c r="X56" s="91" t="str">
        <f t="shared" si="4"/>
        <v>JPMorgan|2026|Q1</v>
      </c>
      <c r="Y56" s="91" t="str">
        <f>IFERROR(IF($X56="","",INDEX(LLM_Data_Entry!$H$3:$H$548,MATCH($X56,INDEX(LLM_Data_Entry!$A$3:$A$548&amp;"|"&amp;LLM_Data_Entry!$C$3:$C$548&amp;"|"&amp;LLM_Data_Entry!$D$3:$D$548,0),0))),"")</f>
        <v>SELL</v>
      </c>
      <c r="Z56" s="91" t="str">
        <f>IFERROR(IF($X56="","",INDEX(LLM_Data_Entry!$R$3:$R$548,MATCH($X56,INDEX(LLM_Data_Entry!$A$3:$A$548&amp;"|"&amp;LLM_Data_Entry!$C$3:$C$548&amp;"|"&amp;LLM_Data_Entry!$D$3:$D$548,0),0))),"")</f>
        <v>NO</v>
      </c>
      <c r="AB56" t="s">
        <v>624</v>
      </c>
      <c r="AC56" t="s">
        <v>749</v>
      </c>
      <c r="AD56" t="s">
        <v>766</v>
      </c>
      <c r="AE56">
        <v>312.27319999999997</v>
      </c>
      <c r="AF56" t="s">
        <v>767</v>
      </c>
      <c r="AG56">
        <v>308.43049999999999</v>
      </c>
      <c r="AH56">
        <v>-1.230550873185565E-2</v>
      </c>
      <c r="AI56" t="s">
        <v>579</v>
      </c>
      <c r="AJ56" t="s">
        <v>546</v>
      </c>
      <c r="AK56">
        <v>-1.3306E-2</v>
      </c>
      <c r="AL56" t="str">
        <f>IF($A56="","",IFERROR(INDEX(Company_List!$G$3:$G$207,MATCH($A56,Company_List!$A$3:$A$207,0)),"unassigned"))</f>
        <v>P2</v>
      </c>
      <c r="AM56" t="s">
        <v>768</v>
      </c>
      <c r="AN56" t="s">
        <v>769</v>
      </c>
      <c r="AO56" t="s">
        <v>560</v>
      </c>
      <c r="AP56" t="str">
        <f>IF($A56="","",IF(COUNTIFS(LLM_Data_Entry!$A$3:$A$548,$A56)&gt;0,"YES","NO"))</f>
        <v>YES</v>
      </c>
      <c r="AQ56" t="str">
        <f>IF($A56="","",IF(COUNTIFS($A$3:$A56,$A56,$C$3:$C56,$C56,$D$3:$D56,$D56)=1,"YES","NO"))</f>
        <v>YES</v>
      </c>
      <c r="AR56" t="str">
        <f>IF($A56="","",IF(AND($C56&amp;"-"&amp;$D56&gt;=Settings!$B$19,$C56&amp;"-"&amp;$D56&lt;=Settings!$B$20),"IN","OUT"))</f>
        <v>IN</v>
      </c>
      <c r="AS56" t="str">
        <f t="shared" si="5"/>
        <v>transcript only</v>
      </c>
      <c r="AT56">
        <f t="shared" si="6"/>
        <v>-1.3299999999999999E-2</v>
      </c>
      <c r="AU56">
        <f t="shared" si="7"/>
        <v>-1.3306E-2</v>
      </c>
      <c r="AV56">
        <f>IF(ISNUMBER($AT56),ABS(IF(ISNUMBER($I56),$I56,0)-Settings!$B$24),"")</f>
        <v>0.5</v>
      </c>
      <c r="AW56">
        <f t="shared" si="8"/>
        <v>-6.6499999999999997E-3</v>
      </c>
      <c r="AX56">
        <f>IF(ISNUMBER($AU56),ABS(IF(ISNUMBER($I56),$I56,0)-Settings!$B$24),"")</f>
        <v>0.5</v>
      </c>
      <c r="AY56" t="s">
        <v>549</v>
      </c>
      <c r="AZ56" t="str">
        <f>IF($A56="","",IFERROR(INDEX(Company_List!$H$3:$H$207,MATCH($A56,Company_List!$A$3:$A$207,0)),"unassigned"))</f>
        <v>Financials</v>
      </c>
      <c r="BC56">
        <f>IF($A56="","",IF(COUNTIFS($A$3:$A56,$A56,$C$3:$C56,$C56,$D$3:$D56,$D56,$G$3:$G56,$G56)=1,1,0))</f>
        <v>1</v>
      </c>
      <c r="BG56" t="s">
        <v>550</v>
      </c>
      <c r="BK56">
        <f t="shared" si="9"/>
        <v>0</v>
      </c>
      <c r="BL56" t="s">
        <v>551</v>
      </c>
      <c r="BM56">
        <v>1</v>
      </c>
      <c r="BN56" t="s">
        <v>561</v>
      </c>
      <c r="BO56" t="s">
        <v>561</v>
      </c>
      <c r="BP56" t="s">
        <v>550</v>
      </c>
      <c r="BQ56" t="s">
        <v>562</v>
      </c>
      <c r="BS56" t="s">
        <v>554</v>
      </c>
    </row>
    <row r="57" spans="1:71" ht="16.25" customHeight="1" x14ac:dyDescent="0.2">
      <c r="A57" s="95" t="s">
        <v>770</v>
      </c>
      <c r="B57" s="96" t="str">
        <f>IF(A57="","",_xlfn.XLOOKUP(A57, Company_List!$A:$A, Company_List!$B:$B, ""))</f>
        <v>IBM</v>
      </c>
      <c r="C57" s="21">
        <v>2025</v>
      </c>
      <c r="D57" s="20" t="s">
        <v>555</v>
      </c>
      <c r="E57" s="19" t="s">
        <v>538</v>
      </c>
      <c r="F57" s="19" t="s">
        <v>538</v>
      </c>
      <c r="G57" s="20" t="s">
        <v>574</v>
      </c>
      <c r="H57" s="20" t="s">
        <v>540</v>
      </c>
      <c r="I57" s="127">
        <v>0.4</v>
      </c>
      <c r="J57" s="145" t="str">
        <f>IF(OR(I57="",Settings!$B$6=""),"",IF(I57&gt;Settings!$B$6,"BUY",IF(I57&lt;-Settings!$B$6,"SELL","HOLD")))</f>
        <v>BUY</v>
      </c>
      <c r="K57" s="139">
        <v>40</v>
      </c>
      <c r="L57" s="123">
        <v>45861</v>
      </c>
      <c r="M57" s="123">
        <v>45861</v>
      </c>
      <c r="N57" s="127">
        <v>282.01</v>
      </c>
      <c r="O57" s="123">
        <v>45862</v>
      </c>
      <c r="P57" s="22">
        <v>261.25</v>
      </c>
      <c r="Q57" s="148">
        <f t="shared" si="10"/>
        <v>-7.3599999999999999E-2</v>
      </c>
      <c r="R57" s="20" t="str">
        <f>IF(OR(N57="",P57=""),"",IF(Q57&gt;Settings!$B$3/100,"UP",IF(Q57&lt;-Settings!$B$3/100,"DOWN","FLAT")))</f>
        <v>DOWN</v>
      </c>
      <c r="S57" s="20" t="str">
        <f t="shared" si="1"/>
        <v>NO</v>
      </c>
      <c r="T57" s="21">
        <f t="shared" si="2"/>
        <v>1</v>
      </c>
      <c r="U57" s="148">
        <f>IFERROR(IF(OR(J57="",N57="",P57=""),"",IF(T57=0,0,T57*Q57-Settings!$B$4/10000-IF(T57&lt;0,Settings!$B$5/10000,0))),"")</f>
        <v>-7.46E-2</v>
      </c>
      <c r="V57" s="23" t="s">
        <v>771</v>
      </c>
      <c r="W57" s="21">
        <f t="shared" si="3"/>
        <v>2400</v>
      </c>
      <c r="X57" s="91" t="str">
        <f t="shared" si="4"/>
        <v>IBM|2025|Q2</v>
      </c>
      <c r="Y57" s="91" t="str">
        <f>IFERROR(IF($X57="","",INDEX(LLM_Data_Entry!$H$3:$H$548,MATCH($X57,INDEX(LLM_Data_Entry!$A$3:$A$548&amp;"|"&amp;LLM_Data_Entry!$C$3:$C$548&amp;"|"&amp;LLM_Data_Entry!$D$3:$D$548,0),0))),"")</f>
        <v>BUY</v>
      </c>
      <c r="Z57" s="91" t="str">
        <f>IFERROR(IF($X57="","",INDEX(LLM_Data_Entry!$R$3:$R$548,MATCH($X57,INDEX(LLM_Data_Entry!$A$3:$A$548&amp;"|"&amp;LLM_Data_Entry!$C$3:$C$548&amp;"|"&amp;LLM_Data_Entry!$D$3:$D$548,0),0))),"")</f>
        <v>NO</v>
      </c>
      <c r="AB57" t="s">
        <v>541</v>
      </c>
      <c r="AC57" t="s">
        <v>770</v>
      </c>
      <c r="AD57" t="s">
        <v>772</v>
      </c>
      <c r="AE57">
        <v>274.97699999999998</v>
      </c>
      <c r="AF57" t="s">
        <v>773</v>
      </c>
      <c r="AG57">
        <v>254.7347</v>
      </c>
      <c r="AH57">
        <v>-7.36144742944667E-2</v>
      </c>
      <c r="AI57" t="s">
        <v>545</v>
      </c>
      <c r="AJ57" t="s">
        <v>546</v>
      </c>
      <c r="AK57">
        <v>-7.4614E-2</v>
      </c>
      <c r="AL57" t="str">
        <f>IF($A57="","",IFERROR(INDEX(Company_List!$G$3:$G$207,MATCH($A57,Company_List!$A$3:$A$207,0)),"unassigned"))</f>
        <v>P2</v>
      </c>
      <c r="AM57" t="s">
        <v>774</v>
      </c>
      <c r="AO57" t="s">
        <v>593</v>
      </c>
      <c r="AP57" t="str">
        <f>IF($A57="","",IF(COUNTIFS(LLM_Data_Entry!$A$3:$A$548,$A57)&gt;0,"YES","NO"))</f>
        <v>YES</v>
      </c>
      <c r="AQ57" t="str">
        <f>IF($A57="","",IF(COUNTIFS($A$3:$A57,$A57,$C$3:$C57,$C57,$D$3:$D57,$D57)=1,"YES","NO"))</f>
        <v>YES</v>
      </c>
      <c r="AR57" t="str">
        <f>IF($A57="","",IF(AND($C57&amp;"-"&amp;$D57&gt;=Settings!$B$19,$C57&amp;"-"&amp;$D57&lt;=Settings!$B$20),"IN","OUT"))</f>
        <v>IN</v>
      </c>
      <c r="AS57" t="str">
        <f t="shared" si="5"/>
        <v>full</v>
      </c>
      <c r="AT57">
        <f t="shared" si="6"/>
        <v>-7.46E-2</v>
      </c>
      <c r="AU57">
        <f t="shared" si="7"/>
        <v>-7.4614E-2</v>
      </c>
      <c r="AV57">
        <f>IF(ISNUMBER($AT57),ABS(IF(ISNUMBER($I57),$I57,0)-Settings!$B$24),"")</f>
        <v>0.4</v>
      </c>
      <c r="AW57">
        <f t="shared" si="8"/>
        <v>-2.9840000000000002E-2</v>
      </c>
      <c r="AX57">
        <f>IF(ISNUMBER($AU57),ABS(IF(ISNUMBER($I57),$I57,0)-Settings!$B$24),"")</f>
        <v>0.4</v>
      </c>
      <c r="AY57" t="s">
        <v>549</v>
      </c>
      <c r="AZ57" t="str">
        <f>IF($A57="","",IFERROR(INDEX(Company_List!$H$3:$H$207,MATCH($A57,Company_List!$A$3:$A$207,0)),"unassigned"))</f>
        <v>Information Technology</v>
      </c>
      <c r="BC57">
        <f>IF($A57="","",IF(COUNTIFS($A$3:$A57,$A57,$C$3:$C57,$C57,$D$3:$D57,$D57,$G$3:$G57,$G57)=1,1,0))</f>
        <v>1</v>
      </c>
      <c r="BG57" t="s">
        <v>550</v>
      </c>
      <c r="BK57">
        <f t="shared" si="9"/>
        <v>1</v>
      </c>
      <c r="BL57" t="s">
        <v>551</v>
      </c>
      <c r="BM57">
        <v>2</v>
      </c>
      <c r="BN57" t="s">
        <v>595</v>
      </c>
      <c r="BO57" t="s">
        <v>596</v>
      </c>
      <c r="BP57" t="s">
        <v>550</v>
      </c>
      <c r="BQ57" t="s">
        <v>550</v>
      </c>
      <c r="BS57" t="s">
        <v>554</v>
      </c>
    </row>
    <row r="58" spans="1:71" ht="16.25" customHeight="1" x14ac:dyDescent="0.2">
      <c r="A58" s="95" t="s">
        <v>770</v>
      </c>
      <c r="B58" s="96" t="str">
        <f>IF(A58="","",_xlfn.XLOOKUP(A58, Company_List!$A:$A, Company_List!$B:$B, ""))</f>
        <v>IBM</v>
      </c>
      <c r="C58" s="21">
        <v>2025</v>
      </c>
      <c r="D58" s="20" t="s">
        <v>569</v>
      </c>
      <c r="E58" s="19" t="s">
        <v>538</v>
      </c>
      <c r="F58" s="19" t="s">
        <v>538</v>
      </c>
      <c r="G58" s="20" t="s">
        <v>574</v>
      </c>
      <c r="H58" s="20" t="s">
        <v>540</v>
      </c>
      <c r="I58" s="127">
        <v>0.5</v>
      </c>
      <c r="J58" s="145" t="str">
        <f>IF(OR(I58="",Settings!$B$6=""),"",IF(I58&gt;Settings!$B$6,"BUY",IF(I58&lt;-Settings!$B$6,"SELL","HOLD")))</f>
        <v>BUY</v>
      </c>
      <c r="K58" s="139">
        <v>30</v>
      </c>
      <c r="L58" s="123">
        <v>46050</v>
      </c>
      <c r="M58" s="123">
        <v>46050</v>
      </c>
      <c r="N58" s="127">
        <v>294.16000000000003</v>
      </c>
      <c r="O58" s="123">
        <v>46051</v>
      </c>
      <c r="P58" s="22">
        <v>317.86</v>
      </c>
      <c r="Q58" s="148">
        <f t="shared" si="10"/>
        <v>8.0600000000000005E-2</v>
      </c>
      <c r="R58" s="20" t="str">
        <f>IF(OR(N58="",P58=""),"",IF(Q58&gt;Settings!$B$3/100,"UP",IF(Q58&lt;-Settings!$B$3/100,"DOWN","FLAT")))</f>
        <v>UP</v>
      </c>
      <c r="S58" s="20" t="str">
        <f t="shared" si="1"/>
        <v>YES</v>
      </c>
      <c r="T58" s="21">
        <f t="shared" si="2"/>
        <v>1</v>
      </c>
      <c r="U58" s="148">
        <f>IFERROR(IF(OR(J58="",N58="",P58=""),"",IF(T58=0,0,T58*Q58-Settings!$B$4/10000-IF(T58&lt;0,Settings!$B$5/10000,0))),"")</f>
        <v>7.9600000000000004E-2</v>
      </c>
      <c r="V58" s="23" t="s">
        <v>775</v>
      </c>
      <c r="W58" s="21">
        <f t="shared" si="3"/>
        <v>1800</v>
      </c>
      <c r="X58" s="91" t="str">
        <f t="shared" si="4"/>
        <v>IBM|2025|Q4</v>
      </c>
      <c r="Y58" s="91" t="str">
        <f>IFERROR(IF($X58="","",INDEX(LLM_Data_Entry!$H$3:$H$548,MATCH($X58,INDEX(LLM_Data_Entry!$A$3:$A$548&amp;"|"&amp;LLM_Data_Entry!$C$3:$C$548&amp;"|"&amp;LLM_Data_Entry!$D$3:$D$548,0),0))),"")</f>
        <v>BUY</v>
      </c>
      <c r="Z58" s="91" t="str">
        <f>IFERROR(IF($X58="","",INDEX(LLM_Data_Entry!$R$3:$R$548,MATCH($X58,INDEX(LLM_Data_Entry!$A$3:$A$548&amp;"|"&amp;LLM_Data_Entry!$C$3:$C$548&amp;"|"&amp;LLM_Data_Entry!$D$3:$D$548,0),0))),"")</f>
        <v>YES</v>
      </c>
      <c r="AB58" t="s">
        <v>541</v>
      </c>
      <c r="AC58" t="s">
        <v>770</v>
      </c>
      <c r="AD58" t="s">
        <v>776</v>
      </c>
      <c r="AE58">
        <v>290.3553</v>
      </c>
      <c r="AF58" t="s">
        <v>694</v>
      </c>
      <c r="AG58">
        <v>313.74880000000002</v>
      </c>
      <c r="AH58">
        <v>8.0568354071489781E-2</v>
      </c>
      <c r="AI58" t="s">
        <v>591</v>
      </c>
      <c r="AJ58" t="s">
        <v>554</v>
      </c>
      <c r="AK58">
        <v>7.9568E-2</v>
      </c>
      <c r="AL58" t="str">
        <f>IF($A58="","",IFERROR(INDEX(Company_List!$G$3:$G$207,MATCH($A58,Company_List!$A$3:$A$207,0)),"unassigned"))</f>
        <v>P2</v>
      </c>
      <c r="AM58" t="s">
        <v>777</v>
      </c>
      <c r="AO58" t="s">
        <v>593</v>
      </c>
      <c r="AP58" t="str">
        <f>IF($A58="","",IF(COUNTIFS(LLM_Data_Entry!$A$3:$A$548,$A58)&gt;0,"YES","NO"))</f>
        <v>YES</v>
      </c>
      <c r="AQ58" t="str">
        <f>IF($A58="","",IF(COUNTIFS($A$3:$A58,$A58,$C$3:$C58,$C58,$D$3:$D58,$D58)=1,"YES","NO"))</f>
        <v>YES</v>
      </c>
      <c r="AR58" t="str">
        <f>IF($A58="","",IF(AND($C58&amp;"-"&amp;$D58&gt;=Settings!$B$19,$C58&amp;"-"&amp;$D58&lt;=Settings!$B$20),"IN","OUT"))</f>
        <v>IN</v>
      </c>
      <c r="AS58" t="str">
        <f t="shared" si="5"/>
        <v>full</v>
      </c>
      <c r="AT58">
        <f t="shared" si="6"/>
        <v>7.9600000000000004E-2</v>
      </c>
      <c r="AU58">
        <f t="shared" si="7"/>
        <v>7.9568E-2</v>
      </c>
      <c r="AV58">
        <f>IF(ISNUMBER($AT58),ABS(IF(ISNUMBER($I58),$I58,0)-Settings!$B$24),"")</f>
        <v>0.5</v>
      </c>
      <c r="AW58">
        <f t="shared" si="8"/>
        <v>3.9800000000000002E-2</v>
      </c>
      <c r="AX58">
        <f>IF(ISNUMBER($AU58),ABS(IF(ISNUMBER($I58),$I58,0)-Settings!$B$24),"")</f>
        <v>0.5</v>
      </c>
      <c r="AY58" t="s">
        <v>549</v>
      </c>
      <c r="AZ58" t="str">
        <f>IF($A58="","",IFERROR(INDEX(Company_List!$H$3:$H$207,MATCH($A58,Company_List!$A$3:$A$207,0)),"unassigned"))</f>
        <v>Information Technology</v>
      </c>
      <c r="BC58">
        <f>IF($A58="","",IF(COUNTIFS($A$3:$A58,$A58,$C$3:$C58,$C58,$D$3:$D58,$D58,$G$3:$G58,$G58)=1,1,0))</f>
        <v>1</v>
      </c>
      <c r="BG58" t="s">
        <v>550</v>
      </c>
      <c r="BK58">
        <f t="shared" si="9"/>
        <v>1</v>
      </c>
      <c r="BL58" t="s">
        <v>551</v>
      </c>
      <c r="BM58">
        <v>2</v>
      </c>
      <c r="BN58" t="s">
        <v>595</v>
      </c>
      <c r="BO58" t="s">
        <v>596</v>
      </c>
      <c r="BP58" t="s">
        <v>550</v>
      </c>
      <c r="BQ58" t="s">
        <v>550</v>
      </c>
      <c r="BS58" t="s">
        <v>554</v>
      </c>
    </row>
    <row r="59" spans="1:71" ht="16.25" customHeight="1" x14ac:dyDescent="0.2">
      <c r="A59" s="95" t="s">
        <v>770</v>
      </c>
      <c r="B59" s="96" t="str">
        <f>IF(A59="","",_xlfn.XLOOKUP(A59, Company_List!$A:$A, Company_List!$B:$B, ""))</f>
        <v>IBM</v>
      </c>
      <c r="C59" s="21">
        <v>2026</v>
      </c>
      <c r="D59" s="20" t="s">
        <v>537</v>
      </c>
      <c r="E59" s="19" t="s">
        <v>538</v>
      </c>
      <c r="F59" s="19" t="s">
        <v>538</v>
      </c>
      <c r="G59" s="20" t="s">
        <v>574</v>
      </c>
      <c r="H59" s="20" t="s">
        <v>540</v>
      </c>
      <c r="I59" s="127">
        <v>0.2</v>
      </c>
      <c r="J59" s="145" t="str">
        <f>IF(OR(I59="",Settings!$B$6=""),"",IF(I59&gt;Settings!$B$6,"BUY",IF(I59&lt;-Settings!$B$6,"SELL","HOLD")))</f>
        <v>HOLD</v>
      </c>
      <c r="K59" s="139">
        <v>42</v>
      </c>
      <c r="L59" s="123">
        <v>46134</v>
      </c>
      <c r="M59" s="123">
        <v>46134</v>
      </c>
      <c r="N59" s="127">
        <v>251.86</v>
      </c>
      <c r="O59" s="123">
        <v>46135</v>
      </c>
      <c r="P59" s="22">
        <v>232.27</v>
      </c>
      <c r="Q59" s="148">
        <f t="shared" si="10"/>
        <v>-7.7799999999999994E-2</v>
      </c>
      <c r="R59" s="20" t="str">
        <f>IF(OR(N59="",P59=""),"",IF(Q59&gt;Settings!$B$3/100,"UP",IF(Q59&lt;-Settings!$B$3/100,"DOWN","FLAT")))</f>
        <v>DOWN</v>
      </c>
      <c r="S59" s="20" t="str">
        <f t="shared" si="1"/>
        <v>NO</v>
      </c>
      <c r="T59" s="21">
        <f t="shared" si="2"/>
        <v>0</v>
      </c>
      <c r="U59" s="148">
        <f>IFERROR(IF(OR(J59="",N59="",P59=""),"",IF(T59=0,0,T59*Q59-Settings!$B$4/10000-IF(T59&lt;0,Settings!$B$5/10000,0))),"")</f>
        <v>0</v>
      </c>
      <c r="V59" s="23" t="s">
        <v>778</v>
      </c>
      <c r="W59" s="21">
        <f t="shared" si="3"/>
        <v>2520</v>
      </c>
      <c r="X59" s="91" t="str">
        <f t="shared" si="4"/>
        <v>IBM|2026|Q1</v>
      </c>
      <c r="Y59" s="91" t="str">
        <f>IFERROR(IF($X59="","",INDEX(LLM_Data_Entry!$H$3:$H$548,MATCH($X59,INDEX(LLM_Data_Entry!$A$3:$A$548&amp;"|"&amp;LLM_Data_Entry!$C$3:$C$548&amp;"|"&amp;LLM_Data_Entry!$D$3:$D$548,0),0))),"")</f>
        <v>HOLD</v>
      </c>
      <c r="Z59" s="91" t="str">
        <f>IFERROR(IF($X59="","",INDEX(LLM_Data_Entry!$R$3:$R$548,MATCH($X59,INDEX(LLM_Data_Entry!$A$3:$A$548&amp;"|"&amp;LLM_Data_Entry!$C$3:$C$548&amp;"|"&amp;LLM_Data_Entry!$D$3:$D$548,0),0))),"")</f>
        <v>NO</v>
      </c>
      <c r="AB59" t="s">
        <v>685</v>
      </c>
      <c r="AC59" t="s">
        <v>770</v>
      </c>
      <c r="AD59" t="s">
        <v>779</v>
      </c>
      <c r="AE59">
        <v>250.01990000000001</v>
      </c>
      <c r="AF59" t="s">
        <v>780</v>
      </c>
      <c r="AG59">
        <v>230.57300000000001</v>
      </c>
      <c r="AH59">
        <v>-7.7781289263985462E-2</v>
      </c>
      <c r="AI59" t="s">
        <v>545</v>
      </c>
      <c r="AJ59" t="s">
        <v>546</v>
      </c>
      <c r="AK59">
        <v>0</v>
      </c>
      <c r="AL59" t="str">
        <f>IF($A59="","",IFERROR(INDEX(Company_List!$G$3:$G$207,MATCH($A59,Company_List!$A$3:$A$207,0)),"unassigned"))</f>
        <v>P2</v>
      </c>
      <c r="AM59" t="s">
        <v>781</v>
      </c>
      <c r="AO59" t="s">
        <v>593</v>
      </c>
      <c r="AP59" t="str">
        <f>IF($A59="","",IF(COUNTIFS(LLM_Data_Entry!$A$3:$A$548,$A59)&gt;0,"YES","NO"))</f>
        <v>YES</v>
      </c>
      <c r="AQ59" t="str">
        <f>IF($A59="","",IF(COUNTIFS($A$3:$A59,$A59,$C$3:$C59,$C59,$D$3:$D59,$D59)=1,"YES","NO"))</f>
        <v>YES</v>
      </c>
      <c r="AR59" t="str">
        <f>IF($A59="","",IF(AND($C59&amp;"-"&amp;$D59&gt;=Settings!$B$19,$C59&amp;"-"&amp;$D59&lt;=Settings!$B$20),"IN","OUT"))</f>
        <v>IN</v>
      </c>
      <c r="AS59" t="str">
        <f t="shared" si="5"/>
        <v>full</v>
      </c>
      <c r="AT59" t="str">
        <f t="shared" si="6"/>
        <v/>
      </c>
      <c r="AU59" t="str">
        <f t="shared" si="7"/>
        <v/>
      </c>
      <c r="AV59" t="str">
        <f>IF(ISNUMBER($AT59),ABS(IF(ISNUMBER($I59),$I59,0)-Settings!$B$24),"")</f>
        <v/>
      </c>
      <c r="AW59" t="str">
        <f t="shared" si="8"/>
        <v/>
      </c>
      <c r="AX59" t="str">
        <f>IF(ISNUMBER($AU59),ABS(IF(ISNUMBER($I59),$I59,0)-Settings!$B$24),"")</f>
        <v/>
      </c>
      <c r="AY59" t="s">
        <v>549</v>
      </c>
      <c r="AZ59" t="str">
        <f>IF($A59="","",IFERROR(INDEX(Company_List!$H$3:$H$207,MATCH($A59,Company_List!$A$3:$A$207,0)),"unassigned"))</f>
        <v>Information Technology</v>
      </c>
      <c r="BC59">
        <f>IF($A59="","",IF(COUNTIFS($A$3:$A59,$A59,$C$3:$C59,$C59,$D$3:$D59,$D59,$G$3:$G59,$G59)=1,1,0))</f>
        <v>1</v>
      </c>
      <c r="BG59" t="s">
        <v>550</v>
      </c>
      <c r="BK59">
        <f t="shared" si="9"/>
        <v>1</v>
      </c>
      <c r="BL59" t="s">
        <v>551</v>
      </c>
      <c r="BM59">
        <v>2</v>
      </c>
      <c r="BN59" t="s">
        <v>595</v>
      </c>
      <c r="BO59" t="s">
        <v>596</v>
      </c>
      <c r="BP59" t="s">
        <v>550</v>
      </c>
      <c r="BQ59" t="s">
        <v>550</v>
      </c>
      <c r="BS59" t="s">
        <v>554</v>
      </c>
    </row>
    <row r="60" spans="1:71" ht="16.25" customHeight="1" x14ac:dyDescent="0.2">
      <c r="A60" s="95" t="s">
        <v>782</v>
      </c>
      <c r="B60" s="96" t="str">
        <f>IF(A60="","",_xlfn.XLOOKUP(A60, Company_List!$A:$A, Company_List!$B:$B, ""))</f>
        <v>TGT</v>
      </c>
      <c r="C60" s="21">
        <v>2025</v>
      </c>
      <c r="D60" s="20" t="s">
        <v>555</v>
      </c>
      <c r="E60" s="19" t="s">
        <v>647</v>
      </c>
      <c r="F60" s="19" t="s">
        <v>538</v>
      </c>
      <c r="G60" s="20" t="s">
        <v>539</v>
      </c>
      <c r="H60" s="20" t="s">
        <v>540</v>
      </c>
      <c r="I60" s="127">
        <v>0.3</v>
      </c>
      <c r="J60" s="145" t="str">
        <f>IF(OR(I60="",Settings!$B$6=""),"",IF(I60&gt;Settings!$B$6,"BUY",IF(I60&lt;-Settings!$B$6,"SELL","HOLD")))</f>
        <v>BUY</v>
      </c>
      <c r="K60" s="139">
        <v>35</v>
      </c>
      <c r="L60" s="123">
        <v>45889</v>
      </c>
      <c r="M60" s="123">
        <v>45888</v>
      </c>
      <c r="N60" s="127">
        <v>105.36</v>
      </c>
      <c r="O60" s="123">
        <v>45889</v>
      </c>
      <c r="P60" s="22">
        <v>94.41</v>
      </c>
      <c r="Q60" s="148">
        <f t="shared" si="10"/>
        <v>-0.10390000000000001</v>
      </c>
      <c r="R60" s="20" t="str">
        <f>IF(OR(N60="",P60=""),"",IF(Q60&gt;Settings!$B$3/100,"UP",IF(Q60&lt;-Settings!$B$3/100,"DOWN","FLAT")))</f>
        <v>DOWN</v>
      </c>
      <c r="S60" s="20" t="str">
        <f t="shared" si="1"/>
        <v>NO</v>
      </c>
      <c r="T60" s="21">
        <f t="shared" si="2"/>
        <v>1</v>
      </c>
      <c r="U60" s="148">
        <f>IFERROR(IF(OR(J60="",N60="",P60=""),"",IF(T60=0,0,T60*Q60-Settings!$B$4/10000-IF(T60&lt;0,Settings!$B$5/10000,0))),"")</f>
        <v>-0.10490000000000001</v>
      </c>
      <c r="V60" s="23"/>
      <c r="W60" s="21">
        <f t="shared" si="3"/>
        <v>2100</v>
      </c>
      <c r="X60" s="91" t="str">
        <f t="shared" si="4"/>
        <v>Target|2025|Q2</v>
      </c>
      <c r="Y60" s="91" t="str">
        <f>IFERROR(IF($X60="","",INDEX(LLM_Data_Entry!$H$3:$H$548,MATCH($X60,INDEX(LLM_Data_Entry!$A$3:$A$548&amp;"|"&amp;LLM_Data_Entry!$C$3:$C$548&amp;"|"&amp;LLM_Data_Entry!$D$3:$D$548,0),0))),"")</f>
        <v>HOLD</v>
      </c>
      <c r="Z60" s="91" t="str">
        <f>IFERROR(IF($X60="","",INDEX(LLM_Data_Entry!$R$3:$R$548,MATCH($X60,INDEX(LLM_Data_Entry!$A$3:$A$548&amp;"|"&amp;LLM_Data_Entry!$C$3:$C$548&amp;"|"&amp;LLM_Data_Entry!$D$3:$D$548,0),0))),"")</f>
        <v>NO</v>
      </c>
      <c r="AB60" t="s">
        <v>636</v>
      </c>
      <c r="AC60" t="s">
        <v>783</v>
      </c>
      <c r="AD60" t="s">
        <v>784</v>
      </c>
      <c r="AE60">
        <v>102.0369</v>
      </c>
      <c r="AF60" t="s">
        <v>785</v>
      </c>
      <c r="AG60">
        <v>91.432199999999995</v>
      </c>
      <c r="AH60">
        <v>-0.1039292512694035</v>
      </c>
      <c r="AI60" t="s">
        <v>545</v>
      </c>
      <c r="AJ60" t="s">
        <v>546</v>
      </c>
      <c r="AK60">
        <v>-0.10492899999999999</v>
      </c>
      <c r="AL60" t="str">
        <f>IF($A60="","",IFERROR(INDEX(Company_List!$G$3:$G$207,MATCH($A60,Company_List!$A$3:$A$207,0)),"unassigned"))</f>
        <v>both</v>
      </c>
      <c r="AM60" t="s">
        <v>786</v>
      </c>
      <c r="AN60" t="s">
        <v>787</v>
      </c>
      <c r="AO60" t="s">
        <v>560</v>
      </c>
      <c r="AP60" t="str">
        <f>IF($A60="","",IF(COUNTIFS(LLM_Data_Entry!$A$3:$A$548,$A60)&gt;0,"YES","NO"))</f>
        <v>YES</v>
      </c>
      <c r="AQ60" t="str">
        <f>IF($A60="","",IF(COUNTIFS($A$3:$A60,$A60,$C$3:$C60,$C60,$D$3:$D60,$D60)=1,"YES","NO"))</f>
        <v>YES</v>
      </c>
      <c r="AR60" t="str">
        <f>IF($A60="","",IF(AND($C60&amp;"-"&amp;$D60&gt;=Settings!$B$19,$C60&amp;"-"&amp;$D60&lt;=Settings!$B$20),"IN","OUT"))</f>
        <v>IN</v>
      </c>
      <c r="AS60" t="str">
        <f t="shared" si="5"/>
        <v>transcript only</v>
      </c>
      <c r="AT60">
        <f t="shared" si="6"/>
        <v>-0.10490000000000001</v>
      </c>
      <c r="AU60">
        <f t="shared" si="7"/>
        <v>-0.10492899999999999</v>
      </c>
      <c r="AV60">
        <f>IF(ISNUMBER($AT60),ABS(IF(ISNUMBER($I60),$I60,0)-Settings!$B$24),"")</f>
        <v>0.3</v>
      </c>
      <c r="AW60">
        <f t="shared" si="8"/>
        <v>-3.1469999999999998E-2</v>
      </c>
      <c r="AX60">
        <f>IF(ISNUMBER($AU60),ABS(IF(ISNUMBER($I60),$I60,0)-Settings!$B$24),"")</f>
        <v>0.3</v>
      </c>
      <c r="AY60" t="s">
        <v>549</v>
      </c>
      <c r="AZ60" t="str">
        <f>IF($A60="","",IFERROR(INDEX(Company_List!$H$3:$H$207,MATCH($A60,Company_List!$A$3:$A$207,0)),"unassigned"))</f>
        <v>Consumer Staples</v>
      </c>
      <c r="BC60">
        <f>IF($A60="","",IF(COUNTIFS($A$3:$A60,$A60,$C$3:$C60,$C60,$D$3:$D60,$D60,$G$3:$G60,$G60)=1,1,0))</f>
        <v>1</v>
      </c>
      <c r="BG60" t="s">
        <v>550</v>
      </c>
      <c r="BK60">
        <f t="shared" si="9"/>
        <v>0</v>
      </c>
      <c r="BL60" t="s">
        <v>551</v>
      </c>
      <c r="BM60">
        <v>1</v>
      </c>
      <c r="BN60" t="s">
        <v>788</v>
      </c>
      <c r="BO60" t="s">
        <v>553</v>
      </c>
      <c r="BP60" t="s">
        <v>550</v>
      </c>
      <c r="BQ60" t="s">
        <v>562</v>
      </c>
      <c r="BS60" t="s">
        <v>554</v>
      </c>
    </row>
    <row r="61" spans="1:71" ht="16.25" customHeight="1" x14ac:dyDescent="0.2">
      <c r="A61" s="95" t="s">
        <v>782</v>
      </c>
      <c r="B61" s="96" t="str">
        <f>IF(A61="","",_xlfn.XLOOKUP(A61, Company_List!$A:$A, Company_List!$B:$B, ""))</f>
        <v>TGT</v>
      </c>
      <c r="C61" s="21">
        <v>2025</v>
      </c>
      <c r="D61" s="20" t="s">
        <v>537</v>
      </c>
      <c r="E61" s="19" t="s">
        <v>647</v>
      </c>
      <c r="F61" s="19" t="s">
        <v>538</v>
      </c>
      <c r="G61" s="20" t="s">
        <v>539</v>
      </c>
      <c r="H61" s="20" t="s">
        <v>540</v>
      </c>
      <c r="I61" s="127">
        <v>0.3</v>
      </c>
      <c r="J61" s="145" t="str">
        <f>IF(OR(I61="",Settings!$B$6=""),"",IF(I61&gt;Settings!$B$6,"BUY",IF(I61&lt;-Settings!$B$6,"SELL","HOLD")))</f>
        <v>BUY</v>
      </c>
      <c r="K61" s="139">
        <v>32</v>
      </c>
      <c r="L61" s="123">
        <v>45798</v>
      </c>
      <c r="M61" s="123">
        <v>45797</v>
      </c>
      <c r="N61" s="127">
        <v>98.12</v>
      </c>
      <c r="O61" s="123">
        <v>45798</v>
      </c>
      <c r="P61" s="22">
        <v>91.5</v>
      </c>
      <c r="Q61" s="148">
        <f t="shared" si="10"/>
        <v>-6.7500000000000004E-2</v>
      </c>
      <c r="R61" s="20" t="str">
        <f>IF(OR(N61="",P61=""),"",IF(Q61&gt;Settings!$B$3/100,"UP",IF(Q61&lt;-Settings!$B$3/100,"DOWN","FLAT")))</f>
        <v>DOWN</v>
      </c>
      <c r="S61" s="20" t="str">
        <f t="shared" si="1"/>
        <v>NO</v>
      </c>
      <c r="T61" s="21">
        <f t="shared" si="2"/>
        <v>1</v>
      </c>
      <c r="U61" s="148">
        <f>IFERROR(IF(OR(J61="",N61="",P61=""),"",IF(T61=0,0,T61*Q61-Settings!$B$4/10000-IF(T61&lt;0,Settings!$B$5/10000,0))),"")</f>
        <v>-6.8500000000000005E-2</v>
      </c>
      <c r="V61" s="23"/>
      <c r="W61" s="21">
        <f t="shared" si="3"/>
        <v>1920</v>
      </c>
      <c r="X61" s="91" t="str">
        <f t="shared" si="4"/>
        <v>Target|2025|Q1</v>
      </c>
      <c r="Y61" s="91" t="str">
        <f>IFERROR(IF($X61="","",INDEX(LLM_Data_Entry!$H$3:$H$548,MATCH($X61,INDEX(LLM_Data_Entry!$A$3:$A$548&amp;"|"&amp;LLM_Data_Entry!$C$3:$C$548&amp;"|"&amp;LLM_Data_Entry!$D$3:$D$548,0),0))),"")</f>
        <v>SELL</v>
      </c>
      <c r="Z61" s="91" t="str">
        <f>IFERROR(IF($X61="","",INDEX(LLM_Data_Entry!$R$3:$R$548,MATCH($X61,INDEX(LLM_Data_Entry!$A$3:$A$548&amp;"|"&amp;LLM_Data_Entry!$C$3:$C$548&amp;"|"&amp;LLM_Data_Entry!$D$3:$D$548,0),0))),"")</f>
        <v>YES</v>
      </c>
      <c r="AB61" t="s">
        <v>636</v>
      </c>
      <c r="AC61" t="s">
        <v>783</v>
      </c>
      <c r="AD61" t="s">
        <v>789</v>
      </c>
      <c r="AE61">
        <v>94.005700000000004</v>
      </c>
      <c r="AF61" t="s">
        <v>790</v>
      </c>
      <c r="AG61">
        <v>87.663300000000007</v>
      </c>
      <c r="AH61">
        <v>-6.7468380494081895E-2</v>
      </c>
      <c r="AI61" t="s">
        <v>545</v>
      </c>
      <c r="AJ61" t="s">
        <v>546</v>
      </c>
      <c r="AK61">
        <v>-6.8468000000000001E-2</v>
      </c>
      <c r="AL61" t="str">
        <f>IF($A61="","",IFERROR(INDEX(Company_List!$G$3:$G$207,MATCH($A61,Company_List!$A$3:$A$207,0)),"unassigned"))</f>
        <v>both</v>
      </c>
      <c r="AM61" t="s">
        <v>791</v>
      </c>
      <c r="AN61" t="s">
        <v>792</v>
      </c>
      <c r="AO61" t="s">
        <v>560</v>
      </c>
      <c r="AP61" t="str">
        <f>IF($A61="","",IF(COUNTIFS(LLM_Data_Entry!$A$3:$A$548,$A61)&gt;0,"YES","NO"))</f>
        <v>YES</v>
      </c>
      <c r="AQ61" t="str">
        <f>IF($A61="","",IF(COUNTIFS($A$3:$A61,$A61,$C$3:$C61,$C61,$D$3:$D61,$D61)=1,"YES","NO"))</f>
        <v>YES</v>
      </c>
      <c r="AR61" t="str">
        <f>IF($A61="","",IF(AND($C61&amp;"-"&amp;$D61&gt;=Settings!$B$19,$C61&amp;"-"&amp;$D61&lt;=Settings!$B$20),"IN","OUT"))</f>
        <v>IN</v>
      </c>
      <c r="AS61" t="str">
        <f t="shared" si="5"/>
        <v>transcript only</v>
      </c>
      <c r="AT61">
        <f t="shared" si="6"/>
        <v>-6.8500000000000005E-2</v>
      </c>
      <c r="AU61">
        <f t="shared" si="7"/>
        <v>-6.8468000000000001E-2</v>
      </c>
      <c r="AV61">
        <f>IF(ISNUMBER($AT61),ABS(IF(ISNUMBER($I61),$I61,0)-Settings!$B$24),"")</f>
        <v>0.3</v>
      </c>
      <c r="AW61">
        <f t="shared" si="8"/>
        <v>-2.0550000000000002E-2</v>
      </c>
      <c r="AX61">
        <f>IF(ISNUMBER($AU61),ABS(IF(ISNUMBER($I61),$I61,0)-Settings!$B$24),"")</f>
        <v>0.3</v>
      </c>
      <c r="AY61" t="s">
        <v>549</v>
      </c>
      <c r="AZ61" t="str">
        <f>IF($A61="","",IFERROR(INDEX(Company_List!$H$3:$H$207,MATCH($A61,Company_List!$A$3:$A$207,0)),"unassigned"))</f>
        <v>Consumer Staples</v>
      </c>
      <c r="BC61">
        <f>IF($A61="","",IF(COUNTIFS($A$3:$A61,$A61,$C$3:$C61,$C61,$D$3:$D61,$D61,$G$3:$G61,$G61)=1,1,0))</f>
        <v>1</v>
      </c>
      <c r="BG61" t="s">
        <v>550</v>
      </c>
      <c r="BK61">
        <f t="shared" si="9"/>
        <v>0</v>
      </c>
      <c r="BL61" t="s">
        <v>551</v>
      </c>
      <c r="BM61">
        <v>1</v>
      </c>
      <c r="BN61" t="s">
        <v>788</v>
      </c>
      <c r="BO61" t="s">
        <v>553</v>
      </c>
      <c r="BP61" t="s">
        <v>550</v>
      </c>
      <c r="BQ61" t="s">
        <v>562</v>
      </c>
      <c r="BS61" t="s">
        <v>554</v>
      </c>
    </row>
    <row r="62" spans="1:71" ht="16.25" customHeight="1" x14ac:dyDescent="0.2">
      <c r="A62" s="95" t="s">
        <v>782</v>
      </c>
      <c r="B62" s="96" t="str">
        <f>IF(A62="","",_xlfn.XLOOKUP(A62, Company_List!$A:$A, Company_List!$B:$B, ""))</f>
        <v>TGT</v>
      </c>
      <c r="C62" s="21">
        <v>2025</v>
      </c>
      <c r="D62" s="20" t="s">
        <v>563</v>
      </c>
      <c r="E62" s="19" t="s">
        <v>647</v>
      </c>
      <c r="F62" s="19" t="s">
        <v>538</v>
      </c>
      <c r="G62" s="20" t="s">
        <v>539</v>
      </c>
      <c r="H62" s="20" t="s">
        <v>540</v>
      </c>
      <c r="I62" s="127">
        <v>0.2</v>
      </c>
      <c r="J62" s="145" t="str">
        <f>IF(OR(I62="",Settings!$B$6=""),"",IF(I62&gt;Settings!$B$6,"BUY",IF(I62&lt;-Settings!$B$6,"SELL","HOLD")))</f>
        <v>HOLD</v>
      </c>
      <c r="K62" s="139">
        <v>27</v>
      </c>
      <c r="L62" s="123">
        <v>45980</v>
      </c>
      <c r="M62" s="123">
        <v>45979</v>
      </c>
      <c r="N62" s="127">
        <v>88.53</v>
      </c>
      <c r="O62" s="123">
        <v>45980</v>
      </c>
      <c r="P62" s="22">
        <v>86.42</v>
      </c>
      <c r="Q62" s="148">
        <f t="shared" si="10"/>
        <v>-2.3800000000000002E-2</v>
      </c>
      <c r="R62" s="20" t="str">
        <f>IF(OR(N62="",P62=""),"",IF(Q62&gt;Settings!$B$3/100,"UP",IF(Q62&lt;-Settings!$B$3/100,"DOWN","FLAT")))</f>
        <v>DOWN</v>
      </c>
      <c r="S62" s="20" t="str">
        <f t="shared" si="1"/>
        <v>NO</v>
      </c>
      <c r="T62" s="21">
        <f t="shared" si="2"/>
        <v>0</v>
      </c>
      <c r="U62" s="148">
        <f>IFERROR(IF(OR(J62="",N62="",P62=""),"",IF(T62=0,0,T62*Q62-Settings!$B$4/10000-IF(T62&lt;0,Settings!$B$5/10000,0))),"")</f>
        <v>0</v>
      </c>
      <c r="V62" s="23"/>
      <c r="W62" s="21">
        <f t="shared" si="3"/>
        <v>1620</v>
      </c>
      <c r="X62" s="91" t="str">
        <f t="shared" si="4"/>
        <v>Target|2025|Q3</v>
      </c>
      <c r="Y62" s="91" t="str">
        <f>IFERROR(IF($X62="","",INDEX(LLM_Data_Entry!$H$3:$H$548,MATCH($X62,INDEX(LLM_Data_Entry!$A$3:$A$548&amp;"|"&amp;LLM_Data_Entry!$C$3:$C$548&amp;"|"&amp;LLM_Data_Entry!$D$3:$D$548,0),0))),"")</f>
        <v>SELL</v>
      </c>
      <c r="Z62" s="91" t="str">
        <f>IFERROR(IF($X62="","",INDEX(LLM_Data_Entry!$R$3:$R$548,MATCH($X62,INDEX(LLM_Data_Entry!$A$3:$A$548&amp;"|"&amp;LLM_Data_Entry!$C$3:$C$548&amp;"|"&amp;LLM_Data_Entry!$D$3:$D$548,0),0))),"")</f>
        <v>YES</v>
      </c>
      <c r="AB62" t="s">
        <v>636</v>
      </c>
      <c r="AC62" t="s">
        <v>783</v>
      </c>
      <c r="AD62" t="s">
        <v>793</v>
      </c>
      <c r="AE62">
        <v>86.818399999999997</v>
      </c>
      <c r="AF62" t="s">
        <v>606</v>
      </c>
      <c r="AG62">
        <v>84.749200000000002</v>
      </c>
      <c r="AH62">
        <v>-2.3833770096601831E-2</v>
      </c>
      <c r="AI62" t="s">
        <v>545</v>
      </c>
      <c r="AJ62" t="s">
        <v>546</v>
      </c>
      <c r="AK62">
        <v>0</v>
      </c>
      <c r="AL62" t="str">
        <f>IF($A62="","",IFERROR(INDEX(Company_List!$G$3:$G$207,MATCH($A62,Company_List!$A$3:$A$207,0)),"unassigned"))</f>
        <v>both</v>
      </c>
      <c r="AM62" t="s">
        <v>794</v>
      </c>
      <c r="AN62" t="s">
        <v>795</v>
      </c>
      <c r="AO62" t="s">
        <v>560</v>
      </c>
      <c r="AP62" t="str">
        <f>IF($A62="","",IF(COUNTIFS(LLM_Data_Entry!$A$3:$A$548,$A62)&gt;0,"YES","NO"))</f>
        <v>YES</v>
      </c>
      <c r="AQ62" t="str">
        <f>IF($A62="","",IF(COUNTIFS($A$3:$A62,$A62,$C$3:$C62,$C62,$D$3:$D62,$D62)=1,"YES","NO"))</f>
        <v>YES</v>
      </c>
      <c r="AR62" t="str">
        <f>IF($A62="","",IF(AND($C62&amp;"-"&amp;$D62&gt;=Settings!$B$19,$C62&amp;"-"&amp;$D62&lt;=Settings!$B$20),"IN","OUT"))</f>
        <v>IN</v>
      </c>
      <c r="AS62" t="str">
        <f t="shared" si="5"/>
        <v>transcript only</v>
      </c>
      <c r="AT62" t="str">
        <f t="shared" si="6"/>
        <v/>
      </c>
      <c r="AU62" t="str">
        <f t="shared" si="7"/>
        <v/>
      </c>
      <c r="AV62" t="str">
        <f>IF(ISNUMBER($AT62),ABS(IF(ISNUMBER($I62),$I62,0)-Settings!$B$24),"")</f>
        <v/>
      </c>
      <c r="AW62" t="str">
        <f t="shared" si="8"/>
        <v/>
      </c>
      <c r="AX62" t="str">
        <f>IF(ISNUMBER($AU62),ABS(IF(ISNUMBER($I62),$I62,0)-Settings!$B$24),"")</f>
        <v/>
      </c>
      <c r="AY62" t="s">
        <v>549</v>
      </c>
      <c r="AZ62" t="str">
        <f>IF($A62="","",IFERROR(INDEX(Company_List!$H$3:$H$207,MATCH($A62,Company_List!$A$3:$A$207,0)),"unassigned"))</f>
        <v>Consumer Staples</v>
      </c>
      <c r="BC62">
        <f>IF($A62="","",IF(COUNTIFS($A$3:$A62,$A62,$C$3:$C62,$C62,$D$3:$D62,$D62,$G$3:$G62,$G62)=1,1,0))</f>
        <v>1</v>
      </c>
      <c r="BG62" t="s">
        <v>550</v>
      </c>
      <c r="BK62">
        <f t="shared" si="9"/>
        <v>0</v>
      </c>
      <c r="BL62" t="s">
        <v>551</v>
      </c>
      <c r="BM62">
        <v>1</v>
      </c>
      <c r="BN62" t="s">
        <v>788</v>
      </c>
      <c r="BO62" t="s">
        <v>553</v>
      </c>
      <c r="BP62" t="s">
        <v>550</v>
      </c>
      <c r="BQ62" t="s">
        <v>562</v>
      </c>
      <c r="BS62" t="s">
        <v>554</v>
      </c>
    </row>
    <row r="63" spans="1:71" ht="16.25" customHeight="1" x14ac:dyDescent="0.2">
      <c r="A63" s="95" t="s">
        <v>782</v>
      </c>
      <c r="B63" s="96" t="str">
        <f>IF(A63="","",_xlfn.XLOOKUP(A63, Company_List!$A:$A, Company_List!$B:$B, ""))</f>
        <v>TGT</v>
      </c>
      <c r="C63" s="21">
        <v>2026</v>
      </c>
      <c r="D63" s="20" t="s">
        <v>537</v>
      </c>
      <c r="E63" s="19" t="s">
        <v>647</v>
      </c>
      <c r="F63" s="19" t="s">
        <v>538</v>
      </c>
      <c r="G63" s="20" t="s">
        <v>539</v>
      </c>
      <c r="H63" s="20" t="s">
        <v>540</v>
      </c>
      <c r="I63" s="127">
        <v>0.4</v>
      </c>
      <c r="J63" s="145" t="str">
        <f>IF(OR(I63="",Settings!$B$6=""),"",IF(I63&gt;Settings!$B$6,"BUY",IF(I63&lt;-Settings!$B$6,"SELL","HOLD")))</f>
        <v>BUY</v>
      </c>
      <c r="K63" s="139">
        <v>29</v>
      </c>
      <c r="L63" s="123">
        <v>46162</v>
      </c>
      <c r="M63" s="123">
        <v>46161</v>
      </c>
      <c r="N63" s="127">
        <v>127.24</v>
      </c>
      <c r="O63" s="123">
        <v>46162</v>
      </c>
      <c r="P63" s="22">
        <v>120.21</v>
      </c>
      <c r="Q63" s="148">
        <f t="shared" si="10"/>
        <v>-5.5199999999999999E-2</v>
      </c>
      <c r="R63" s="20" t="str">
        <f>IF(OR(N63="",P63=""),"",IF(Q63&gt;Settings!$B$3/100,"UP",IF(Q63&lt;-Settings!$B$3/100,"DOWN","FLAT")))</f>
        <v>DOWN</v>
      </c>
      <c r="S63" s="20" t="str">
        <f t="shared" si="1"/>
        <v>NO</v>
      </c>
      <c r="T63" s="21">
        <f t="shared" si="2"/>
        <v>1</v>
      </c>
      <c r="U63" s="148">
        <f>IFERROR(IF(OR(J63="",N63="",P63=""),"",IF(T63=0,0,T63*Q63-Settings!$B$4/10000-IF(T63&lt;0,Settings!$B$5/10000,0))),"")</f>
        <v>-5.62E-2</v>
      </c>
      <c r="V63" s="23"/>
      <c r="W63" s="21">
        <f t="shared" si="3"/>
        <v>1740</v>
      </c>
      <c r="X63" s="91" t="str">
        <f t="shared" si="4"/>
        <v>Target|2026|Q1</v>
      </c>
      <c r="Y63" s="91" t="str">
        <f>IFERROR(IF($X63="","",INDEX(LLM_Data_Entry!$H$3:$H$548,MATCH($X63,INDEX(LLM_Data_Entry!$A$3:$A$548&amp;"|"&amp;LLM_Data_Entry!$C$3:$C$548&amp;"|"&amp;LLM_Data_Entry!$D$3:$D$548,0),0))),"")</f>
        <v>HOLD</v>
      </c>
      <c r="Z63" s="91" t="str">
        <f>IFERROR(IF($X63="","",INDEX(LLM_Data_Entry!$R$3:$R$548,MATCH($X63,INDEX(LLM_Data_Entry!$A$3:$A$548&amp;"|"&amp;LLM_Data_Entry!$C$3:$C$548&amp;"|"&amp;LLM_Data_Entry!$D$3:$D$548,0),0))),"")</f>
        <v>NO</v>
      </c>
      <c r="AB63" t="s">
        <v>636</v>
      </c>
      <c r="AC63" t="s">
        <v>783</v>
      </c>
      <c r="AD63" t="s">
        <v>796</v>
      </c>
      <c r="AE63">
        <v>127.24</v>
      </c>
      <c r="AF63" t="s">
        <v>797</v>
      </c>
      <c r="AG63">
        <v>120.21</v>
      </c>
      <c r="AH63">
        <v>-5.5249914417634653E-2</v>
      </c>
      <c r="AI63" t="s">
        <v>545</v>
      </c>
      <c r="AJ63" t="s">
        <v>546</v>
      </c>
      <c r="AK63">
        <v>-5.6250000000000001E-2</v>
      </c>
      <c r="AL63" t="str">
        <f>IF($A63="","",IFERROR(INDEX(Company_List!$G$3:$G$207,MATCH($A63,Company_List!$A$3:$A$207,0)),"unassigned"))</f>
        <v>both</v>
      </c>
      <c r="AM63" t="s">
        <v>798</v>
      </c>
      <c r="AN63" t="s">
        <v>799</v>
      </c>
      <c r="AO63" t="s">
        <v>560</v>
      </c>
      <c r="AP63" t="str">
        <f>IF($A63="","",IF(COUNTIFS(LLM_Data_Entry!$A$3:$A$548,$A63)&gt;0,"YES","NO"))</f>
        <v>YES</v>
      </c>
      <c r="AQ63" t="str">
        <f>IF($A63="","",IF(COUNTIFS($A$3:$A63,$A63,$C$3:$C63,$C63,$D$3:$D63,$D63)=1,"YES","NO"))</f>
        <v>YES</v>
      </c>
      <c r="AR63" t="str">
        <f>IF($A63="","",IF(AND($C63&amp;"-"&amp;$D63&gt;=Settings!$B$19,$C63&amp;"-"&amp;$D63&lt;=Settings!$B$20),"IN","OUT"))</f>
        <v>IN</v>
      </c>
      <c r="AS63" t="str">
        <f t="shared" si="5"/>
        <v>transcript only</v>
      </c>
      <c r="AT63">
        <f t="shared" si="6"/>
        <v>-5.62E-2</v>
      </c>
      <c r="AU63">
        <f t="shared" si="7"/>
        <v>-5.6250000000000001E-2</v>
      </c>
      <c r="AV63">
        <f>IF(ISNUMBER($AT63),ABS(IF(ISNUMBER($I63),$I63,0)-Settings!$B$24),"")</f>
        <v>0.4</v>
      </c>
      <c r="AW63">
        <f t="shared" si="8"/>
        <v>-2.248E-2</v>
      </c>
      <c r="AX63">
        <f>IF(ISNUMBER($AU63),ABS(IF(ISNUMBER($I63),$I63,0)-Settings!$B$24),"")</f>
        <v>0.4</v>
      </c>
      <c r="AY63" t="s">
        <v>549</v>
      </c>
      <c r="AZ63" t="str">
        <f>IF($A63="","",IFERROR(INDEX(Company_List!$H$3:$H$207,MATCH($A63,Company_List!$A$3:$A$207,0)),"unassigned"))</f>
        <v>Consumer Staples</v>
      </c>
      <c r="BC63">
        <f>IF($A63="","",IF(COUNTIFS($A$3:$A63,$A63,$C$3:$C63,$C63,$D$3:$D63,$D63,$G$3:$G63,$G63)=1,1,0))</f>
        <v>1</v>
      </c>
      <c r="BG63" t="s">
        <v>550</v>
      </c>
      <c r="BK63">
        <f t="shared" si="9"/>
        <v>0</v>
      </c>
      <c r="BL63" t="s">
        <v>551</v>
      </c>
      <c r="BM63">
        <v>1</v>
      </c>
      <c r="BN63" t="s">
        <v>595</v>
      </c>
      <c r="BO63" t="s">
        <v>596</v>
      </c>
      <c r="BP63" t="s">
        <v>550</v>
      </c>
      <c r="BQ63" t="s">
        <v>562</v>
      </c>
      <c r="BS63" t="s">
        <v>554</v>
      </c>
    </row>
    <row r="64" spans="1:71" ht="16.25" customHeight="1" x14ac:dyDescent="0.2">
      <c r="A64" s="95" t="s">
        <v>800</v>
      </c>
      <c r="B64" s="96" t="str">
        <f>IF(A64="","",_xlfn.XLOOKUP(A64, Company_List!$A:$A, Company_List!$B:$B, ""))</f>
        <v>NKE</v>
      </c>
      <c r="C64" s="21">
        <v>2025</v>
      </c>
      <c r="D64" s="20" t="s">
        <v>537</v>
      </c>
      <c r="E64" s="19" t="s">
        <v>538</v>
      </c>
      <c r="F64" s="19" t="s">
        <v>538</v>
      </c>
      <c r="G64" s="20" t="s">
        <v>574</v>
      </c>
      <c r="H64" s="20" t="s">
        <v>540</v>
      </c>
      <c r="I64" s="127">
        <v>-0.5</v>
      </c>
      <c r="J64" s="145" t="str">
        <f>IF(OR(I64="",Settings!$B$6=""),"",IF(I64&gt;Settings!$B$6,"BUY",IF(I64&lt;-Settings!$B$6,"SELL","HOLD")))</f>
        <v>SELL</v>
      </c>
      <c r="K64" s="139">
        <v>19</v>
      </c>
      <c r="L64" s="123">
        <v>45566</v>
      </c>
      <c r="M64" s="123">
        <v>45566</v>
      </c>
      <c r="N64" s="127">
        <v>89.13</v>
      </c>
      <c r="O64" s="123">
        <v>45567</v>
      </c>
      <c r="P64" s="22">
        <v>82.89</v>
      </c>
      <c r="Q64" s="148">
        <f t="shared" si="10"/>
        <v>-7.0000000000000007E-2</v>
      </c>
      <c r="R64" s="20" t="str">
        <f>IF(OR(N64="",P64=""),"",IF(Q64&gt;Settings!$B$3/100,"UP",IF(Q64&lt;-Settings!$B$3/100,"DOWN","FLAT")))</f>
        <v>DOWN</v>
      </c>
      <c r="S64" s="20" t="str">
        <f t="shared" si="1"/>
        <v>YES</v>
      </c>
      <c r="T64" s="21">
        <f t="shared" si="2"/>
        <v>-1</v>
      </c>
      <c r="U64" s="148">
        <f>IFERROR(IF(OR(J64="",N64="",P64=""),"",IF(T64=0,0,T64*Q64-Settings!$B$4/10000-IF(T64&lt;0,Settings!$B$5/10000,0))),"")</f>
        <v>6.9000000000000006E-2</v>
      </c>
      <c r="V64" s="23" t="s">
        <v>801</v>
      </c>
      <c r="W64" s="21">
        <f t="shared" si="3"/>
        <v>1140</v>
      </c>
      <c r="X64" s="91" t="str">
        <f t="shared" si="4"/>
        <v>Nike|2025|Q1</v>
      </c>
      <c r="Y64" s="91" t="str">
        <f>IFERROR(IF($X64="","",INDEX(LLM_Data_Entry!$H$3:$H$548,MATCH($X64,INDEX(LLM_Data_Entry!$A$3:$A$548&amp;"|"&amp;LLM_Data_Entry!$C$3:$C$548&amp;"|"&amp;LLM_Data_Entry!$D$3:$D$548,0),0))),"")</f>
        <v>SELL</v>
      </c>
      <c r="Z64" s="91" t="str">
        <f>IFERROR(IF($X64="","",INDEX(LLM_Data_Entry!$R$3:$R$548,MATCH($X64,INDEX(LLM_Data_Entry!$A$3:$A$548&amp;"|"&amp;LLM_Data_Entry!$C$3:$C$548&amp;"|"&amp;LLM_Data_Entry!$D$3:$D$548,0),0))),"")</f>
        <v>YES</v>
      </c>
      <c r="AB64" t="s">
        <v>541</v>
      </c>
      <c r="AC64" t="s">
        <v>802</v>
      </c>
      <c r="AD64" t="s">
        <v>803</v>
      </c>
      <c r="AE64">
        <v>85.307400000000001</v>
      </c>
      <c r="AF64" t="s">
        <v>804</v>
      </c>
      <c r="AG64">
        <v>79.334999999999994</v>
      </c>
      <c r="AH64">
        <v>-7.001015486395322E-2</v>
      </c>
      <c r="AI64" t="s">
        <v>545</v>
      </c>
      <c r="AJ64" t="s">
        <v>554</v>
      </c>
      <c r="AK64">
        <v>6.9010000000000002E-2</v>
      </c>
      <c r="AL64" t="str">
        <f>IF($A64="","",IFERROR(INDEX(Company_List!$G$3:$G$207,MATCH($A64,Company_List!$A$3:$A$207,0)),"unassigned"))</f>
        <v>P2</v>
      </c>
      <c r="AM64" t="s">
        <v>805</v>
      </c>
      <c r="AO64" t="s">
        <v>593</v>
      </c>
      <c r="AP64" t="str">
        <f>IF($A64="","",IF(COUNTIFS(LLM_Data_Entry!$A$3:$A$548,$A64)&gt;0,"YES","NO"))</f>
        <v>YES</v>
      </c>
      <c r="AQ64" t="str">
        <f>IF($A64="","",IF(COUNTIFS($A$3:$A64,$A64,$C$3:$C64,$C64,$D$3:$D64,$D64)=1,"YES","NO"))</f>
        <v>YES</v>
      </c>
      <c r="AR64" t="str">
        <f>IF($A64="","",IF(AND($C64&amp;"-"&amp;$D64&gt;=Settings!$B$19,$C64&amp;"-"&amp;$D64&lt;=Settings!$B$20),"IN","OUT"))</f>
        <v>IN</v>
      </c>
      <c r="AS64" t="str">
        <f t="shared" si="5"/>
        <v>full</v>
      </c>
      <c r="AT64">
        <f t="shared" si="6"/>
        <v>6.9000000000000006E-2</v>
      </c>
      <c r="AU64">
        <f t="shared" si="7"/>
        <v>6.9010000000000002E-2</v>
      </c>
      <c r="AV64">
        <f>IF(ISNUMBER($AT64),ABS(IF(ISNUMBER($I64),$I64,0)-Settings!$B$24),"")</f>
        <v>0.5</v>
      </c>
      <c r="AW64">
        <f t="shared" si="8"/>
        <v>3.4500000000000003E-2</v>
      </c>
      <c r="AX64">
        <f>IF(ISNUMBER($AU64),ABS(IF(ISNUMBER($I64),$I64,0)-Settings!$B$24),"")</f>
        <v>0.5</v>
      </c>
      <c r="AY64" t="s">
        <v>549</v>
      </c>
      <c r="AZ64" t="str">
        <f>IF($A64="","",IFERROR(INDEX(Company_List!$H$3:$H$207,MATCH($A64,Company_List!$A$3:$A$207,0)),"unassigned"))</f>
        <v>Consumer Discretionary</v>
      </c>
      <c r="BC64">
        <f>IF($A64="","",IF(COUNTIFS($A$3:$A64,$A64,$C$3:$C64,$C64,$D$3:$D64,$D64,$G$3:$G64,$G64)=1,1,0))</f>
        <v>1</v>
      </c>
      <c r="BG64" t="s">
        <v>550</v>
      </c>
      <c r="BK64">
        <f t="shared" si="9"/>
        <v>1</v>
      </c>
      <c r="BL64" t="s">
        <v>551</v>
      </c>
      <c r="BM64">
        <v>2</v>
      </c>
      <c r="BN64" t="s">
        <v>595</v>
      </c>
      <c r="BO64" t="s">
        <v>596</v>
      </c>
      <c r="BP64" t="s">
        <v>550</v>
      </c>
      <c r="BQ64" t="s">
        <v>550</v>
      </c>
      <c r="BS64" t="s">
        <v>554</v>
      </c>
    </row>
    <row r="65" spans="1:71" ht="16.25" customHeight="1" x14ac:dyDescent="0.2">
      <c r="A65" s="95" t="s">
        <v>800</v>
      </c>
      <c r="B65" s="96" t="str">
        <f>IF(A65="","",_xlfn.XLOOKUP(A65, Company_List!$A:$A, Company_List!$B:$B, ""))</f>
        <v>NKE</v>
      </c>
      <c r="C65" s="21">
        <v>2025</v>
      </c>
      <c r="D65" s="20" t="s">
        <v>555</v>
      </c>
      <c r="E65" s="19" t="s">
        <v>538</v>
      </c>
      <c r="F65" s="19" t="s">
        <v>538</v>
      </c>
      <c r="G65" s="20" t="s">
        <v>574</v>
      </c>
      <c r="H65" s="20" t="s">
        <v>540</v>
      </c>
      <c r="I65" s="127">
        <v>-0.3</v>
      </c>
      <c r="J65" s="145" t="str">
        <f>IF(OR(I65="",Settings!$B$6=""),"",IF(I65&gt;Settings!$B$6,"BUY",IF(I65&lt;-Settings!$B$6,"SELL","HOLD")))</f>
        <v>SELL</v>
      </c>
      <c r="K65" s="139">
        <v>25</v>
      </c>
      <c r="L65" s="123">
        <v>45645</v>
      </c>
      <c r="M65" s="123">
        <v>45645</v>
      </c>
      <c r="N65" s="127">
        <v>77.099999999999994</v>
      </c>
      <c r="O65" s="123">
        <v>45646</v>
      </c>
      <c r="P65" s="22">
        <v>75.959999999999994</v>
      </c>
      <c r="Q65" s="148">
        <f t="shared" si="10"/>
        <v>-1.4800000000000001E-2</v>
      </c>
      <c r="R65" s="20" t="str">
        <f>IF(OR(N65="",P65=""),"",IF(Q65&gt;Settings!$B$3/100,"UP",IF(Q65&lt;-Settings!$B$3/100,"DOWN","FLAT")))</f>
        <v>FLAT</v>
      </c>
      <c r="S65" s="20" t="str">
        <f t="shared" si="1"/>
        <v>NO</v>
      </c>
      <c r="T65" s="21">
        <f t="shared" si="2"/>
        <v>-1</v>
      </c>
      <c r="U65" s="148">
        <f>IFERROR(IF(OR(J65="",N65="",P65=""),"",IF(T65=0,0,T65*Q65-Settings!$B$4/10000-IF(T65&lt;0,Settings!$B$5/10000,0))),"")</f>
        <v>1.38E-2</v>
      </c>
      <c r="V65" s="23" t="s">
        <v>806</v>
      </c>
      <c r="W65" s="21">
        <f t="shared" si="3"/>
        <v>1500</v>
      </c>
      <c r="X65" s="91" t="str">
        <f t="shared" si="4"/>
        <v>Nike|2025|Q2</v>
      </c>
      <c r="Y65" s="91" t="str">
        <f>IFERROR(IF($X65="","",INDEX(LLM_Data_Entry!$H$3:$H$548,MATCH($X65,INDEX(LLM_Data_Entry!$A$3:$A$548&amp;"|"&amp;LLM_Data_Entry!$C$3:$C$548&amp;"|"&amp;LLM_Data_Entry!$D$3:$D$548,0),0))),"")</f>
        <v>SELL</v>
      </c>
      <c r="Z65" s="91" t="str">
        <f>IFERROR(IF($X65="","",INDEX(LLM_Data_Entry!$R$3:$R$548,MATCH($X65,INDEX(LLM_Data_Entry!$A$3:$A$548&amp;"|"&amp;LLM_Data_Entry!$C$3:$C$548&amp;"|"&amp;LLM_Data_Entry!$D$3:$D$548,0),0))),"")</f>
        <v>NO</v>
      </c>
      <c r="AB65" t="s">
        <v>807</v>
      </c>
      <c r="AC65" t="s">
        <v>802</v>
      </c>
      <c r="AD65" t="s">
        <v>808</v>
      </c>
      <c r="AE65">
        <v>74.17</v>
      </c>
      <c r="AF65" t="s">
        <v>809</v>
      </c>
      <c r="AG65">
        <v>73.073300000000003</v>
      </c>
      <c r="AH65">
        <v>-1.4786076089274999E-2</v>
      </c>
      <c r="AI65" t="s">
        <v>579</v>
      </c>
      <c r="AJ65" t="s">
        <v>546</v>
      </c>
      <c r="AK65">
        <v>1.3786E-2</v>
      </c>
      <c r="AL65" t="str">
        <f>IF($A65="","",IFERROR(INDEX(Company_List!$G$3:$G$207,MATCH($A65,Company_List!$A$3:$A$207,0)),"unassigned"))</f>
        <v>P2</v>
      </c>
      <c r="AM65" t="s">
        <v>810</v>
      </c>
      <c r="AO65" t="s">
        <v>593</v>
      </c>
      <c r="AP65" t="str">
        <f>IF($A65="","",IF(COUNTIFS(LLM_Data_Entry!$A$3:$A$548,$A65)&gt;0,"YES","NO"))</f>
        <v>YES</v>
      </c>
      <c r="AQ65" t="str">
        <f>IF($A65="","",IF(COUNTIFS($A$3:$A65,$A65,$C$3:$C65,$C65,$D$3:$D65,$D65)=1,"YES","NO"))</f>
        <v>YES</v>
      </c>
      <c r="AR65" t="str">
        <f>IF($A65="","",IF(AND($C65&amp;"-"&amp;$D65&gt;=Settings!$B$19,$C65&amp;"-"&amp;$D65&lt;=Settings!$B$20),"IN","OUT"))</f>
        <v>IN</v>
      </c>
      <c r="AS65" t="str">
        <f t="shared" si="5"/>
        <v>full</v>
      </c>
      <c r="AT65">
        <f t="shared" si="6"/>
        <v>1.38E-2</v>
      </c>
      <c r="AU65">
        <f t="shared" si="7"/>
        <v>1.3786E-2</v>
      </c>
      <c r="AV65">
        <f>IF(ISNUMBER($AT65),ABS(IF(ISNUMBER($I65),$I65,0)-Settings!$B$24),"")</f>
        <v>0.3</v>
      </c>
      <c r="AW65">
        <f t="shared" si="8"/>
        <v>4.1399999999999996E-3</v>
      </c>
      <c r="AX65">
        <f>IF(ISNUMBER($AU65),ABS(IF(ISNUMBER($I65),$I65,0)-Settings!$B$24),"")</f>
        <v>0.3</v>
      </c>
      <c r="AY65" t="s">
        <v>549</v>
      </c>
      <c r="AZ65" t="str">
        <f>IF($A65="","",IFERROR(INDEX(Company_List!$H$3:$H$207,MATCH($A65,Company_List!$A$3:$A$207,0)),"unassigned"))</f>
        <v>Consumer Discretionary</v>
      </c>
      <c r="BC65">
        <f>IF($A65="","",IF(COUNTIFS($A$3:$A65,$A65,$C$3:$C65,$C65,$D$3:$D65,$D65,$G$3:$G65,$G65)=1,1,0))</f>
        <v>1</v>
      </c>
      <c r="BG65" t="s">
        <v>550</v>
      </c>
      <c r="BK65">
        <f t="shared" si="9"/>
        <v>1</v>
      </c>
      <c r="BL65" t="s">
        <v>551</v>
      </c>
      <c r="BM65">
        <v>2</v>
      </c>
      <c r="BN65" t="s">
        <v>595</v>
      </c>
      <c r="BO65" t="s">
        <v>596</v>
      </c>
      <c r="BP65" t="s">
        <v>550</v>
      </c>
      <c r="BQ65" t="s">
        <v>550</v>
      </c>
      <c r="BS65" t="s">
        <v>554</v>
      </c>
    </row>
    <row r="66" spans="1:71" ht="16.25" customHeight="1" x14ac:dyDescent="0.2">
      <c r="A66" s="95" t="s">
        <v>800</v>
      </c>
      <c r="B66" s="96" t="str">
        <f>IF(A66="","",_xlfn.XLOOKUP(A66, Company_List!$A:$A, Company_List!$B:$B, ""))</f>
        <v>NKE</v>
      </c>
      <c r="C66" s="21">
        <v>2025</v>
      </c>
      <c r="D66" s="20" t="s">
        <v>563</v>
      </c>
      <c r="E66" s="19" t="s">
        <v>538</v>
      </c>
      <c r="F66" s="19" t="s">
        <v>538</v>
      </c>
      <c r="G66" s="20" t="s">
        <v>574</v>
      </c>
      <c r="H66" s="20" t="s">
        <v>540</v>
      </c>
      <c r="I66" s="127">
        <v>-0.5</v>
      </c>
      <c r="J66" s="145" t="str">
        <f>IF(OR(I66="",Settings!$B$6=""),"",IF(I66&gt;Settings!$B$6,"BUY",IF(I66&lt;-Settings!$B$6,"SELL","HOLD")))</f>
        <v>SELL</v>
      </c>
      <c r="K66" s="139">
        <v>25</v>
      </c>
      <c r="L66" s="123">
        <v>45736</v>
      </c>
      <c r="M66" s="123">
        <v>45736</v>
      </c>
      <c r="N66" s="127">
        <v>71.86</v>
      </c>
      <c r="O66" s="123">
        <v>45737</v>
      </c>
      <c r="P66" s="22">
        <v>66.59</v>
      </c>
      <c r="Q66" s="148">
        <f t="shared" si="10"/>
        <v>-7.3300000000000004E-2</v>
      </c>
      <c r="R66" s="20" t="str">
        <f>IF(OR(N66="",P66=""),"",IF(Q66&gt;Settings!$B$3/100,"UP",IF(Q66&lt;-Settings!$B$3/100,"DOWN","FLAT")))</f>
        <v>DOWN</v>
      </c>
      <c r="S66" s="20" t="str">
        <f t="shared" si="1"/>
        <v>YES</v>
      </c>
      <c r="T66" s="21">
        <f t="shared" si="2"/>
        <v>-1</v>
      </c>
      <c r="U66" s="148">
        <f>IFERROR(IF(OR(J66="",N66="",P66=""),"",IF(T66=0,0,T66*Q66-Settings!$B$4/10000-IF(T66&lt;0,Settings!$B$5/10000,0))),"")</f>
        <v>7.2300000000000003E-2</v>
      </c>
      <c r="V66" s="23" t="s">
        <v>811</v>
      </c>
      <c r="W66" s="21">
        <f t="shared" si="3"/>
        <v>1500</v>
      </c>
      <c r="X66" s="91" t="str">
        <f t="shared" si="4"/>
        <v>Nike|2025|Q3</v>
      </c>
      <c r="Y66" s="91" t="str">
        <f>IFERROR(IF($X66="","",INDEX(LLM_Data_Entry!$H$3:$H$548,MATCH($X66,INDEX(LLM_Data_Entry!$A$3:$A$548&amp;"|"&amp;LLM_Data_Entry!$C$3:$C$548&amp;"|"&amp;LLM_Data_Entry!$D$3:$D$548,0),0))),"")</f>
        <v>SELL</v>
      </c>
      <c r="Z66" s="91" t="str">
        <f>IFERROR(IF($X66="","",INDEX(LLM_Data_Entry!$R$3:$R$548,MATCH($X66,INDEX(LLM_Data_Entry!$A$3:$A$548&amp;"|"&amp;LLM_Data_Entry!$C$3:$C$548&amp;"|"&amp;LLM_Data_Entry!$D$3:$D$548,0),0))),"")</f>
        <v>YES</v>
      </c>
      <c r="AB66" t="s">
        <v>541</v>
      </c>
      <c r="AC66" t="s">
        <v>802</v>
      </c>
      <c r="AD66" t="s">
        <v>812</v>
      </c>
      <c r="AE66">
        <v>69.478999999999999</v>
      </c>
      <c r="AF66" t="s">
        <v>813</v>
      </c>
      <c r="AG66">
        <v>64.383600000000001</v>
      </c>
      <c r="AH66">
        <v>-7.3337109413599597E-2</v>
      </c>
      <c r="AI66" t="s">
        <v>545</v>
      </c>
      <c r="AJ66" t="s">
        <v>554</v>
      </c>
      <c r="AK66">
        <v>7.2336999999999999E-2</v>
      </c>
      <c r="AL66" t="str">
        <f>IF($A66="","",IFERROR(INDEX(Company_List!$G$3:$G$207,MATCH($A66,Company_List!$A$3:$A$207,0)),"unassigned"))</f>
        <v>P2</v>
      </c>
      <c r="AM66" t="s">
        <v>814</v>
      </c>
      <c r="AO66" t="s">
        <v>593</v>
      </c>
      <c r="AP66" t="str">
        <f>IF($A66="","",IF(COUNTIFS(LLM_Data_Entry!$A$3:$A$548,$A66)&gt;0,"YES","NO"))</f>
        <v>YES</v>
      </c>
      <c r="AQ66" t="str">
        <f>IF($A66="","",IF(COUNTIFS($A$3:$A66,$A66,$C$3:$C66,$C66,$D$3:$D66,$D66)=1,"YES","NO"))</f>
        <v>YES</v>
      </c>
      <c r="AR66" t="str">
        <f>IF($A66="","",IF(AND($C66&amp;"-"&amp;$D66&gt;=Settings!$B$19,$C66&amp;"-"&amp;$D66&lt;=Settings!$B$20),"IN","OUT"))</f>
        <v>IN</v>
      </c>
      <c r="AS66" t="str">
        <f t="shared" si="5"/>
        <v>full</v>
      </c>
      <c r="AT66">
        <f t="shared" si="6"/>
        <v>7.2300000000000003E-2</v>
      </c>
      <c r="AU66">
        <f t="shared" si="7"/>
        <v>7.2336999999999999E-2</v>
      </c>
      <c r="AV66">
        <f>IF(ISNUMBER($AT66),ABS(IF(ISNUMBER($I66),$I66,0)-Settings!$B$24),"")</f>
        <v>0.5</v>
      </c>
      <c r="AW66">
        <f t="shared" si="8"/>
        <v>3.6150000000000002E-2</v>
      </c>
      <c r="AX66">
        <f>IF(ISNUMBER($AU66),ABS(IF(ISNUMBER($I66),$I66,0)-Settings!$B$24),"")</f>
        <v>0.5</v>
      </c>
      <c r="AY66" t="s">
        <v>549</v>
      </c>
      <c r="AZ66" t="str">
        <f>IF($A66="","",IFERROR(INDEX(Company_List!$H$3:$H$207,MATCH($A66,Company_List!$A$3:$A$207,0)),"unassigned"))</f>
        <v>Consumer Discretionary</v>
      </c>
      <c r="BC66">
        <f>IF($A66="","",IF(COUNTIFS($A$3:$A66,$A66,$C$3:$C66,$C66,$D$3:$D66,$D66,$G$3:$G66,$G66)=1,1,0))</f>
        <v>1</v>
      </c>
      <c r="BG66" t="s">
        <v>550</v>
      </c>
      <c r="BK66">
        <f t="shared" si="9"/>
        <v>1</v>
      </c>
      <c r="BL66" t="s">
        <v>551</v>
      </c>
      <c r="BM66">
        <v>2</v>
      </c>
      <c r="BN66" t="s">
        <v>595</v>
      </c>
      <c r="BO66" t="s">
        <v>596</v>
      </c>
      <c r="BP66" t="s">
        <v>550</v>
      </c>
      <c r="BQ66" t="s">
        <v>550</v>
      </c>
      <c r="BS66" t="s">
        <v>554</v>
      </c>
    </row>
    <row r="67" spans="1:71" ht="16.25" customHeight="1" x14ac:dyDescent="0.2">
      <c r="A67" s="95" t="s">
        <v>815</v>
      </c>
      <c r="B67" s="96" t="str">
        <f>IF(A67="","",_xlfn.XLOOKUP(A67, Company_List!$A:$A, Company_List!$B:$B, ""))</f>
        <v>LULU</v>
      </c>
      <c r="C67" s="21">
        <v>2025</v>
      </c>
      <c r="D67" s="20" t="s">
        <v>563</v>
      </c>
      <c r="E67" s="19" t="s">
        <v>538</v>
      </c>
      <c r="F67" s="19" t="s">
        <v>538</v>
      </c>
      <c r="G67" s="20" t="s">
        <v>574</v>
      </c>
      <c r="H67" s="20" t="s">
        <v>540</v>
      </c>
      <c r="I67" s="127">
        <v>-0.4</v>
      </c>
      <c r="J67" s="145" t="str">
        <f>IF(OR(I67="",Settings!$B$6=""),"",IF(I67&gt;Settings!$B$6,"BUY",IF(I67&lt;-Settings!$B$6,"SELL","HOLD")))</f>
        <v>SELL</v>
      </c>
      <c r="K67" s="139">
        <v>20</v>
      </c>
      <c r="L67" s="123">
        <v>46002</v>
      </c>
      <c r="M67" s="123">
        <v>46002</v>
      </c>
      <c r="N67" s="127">
        <v>187.01</v>
      </c>
      <c r="O67" s="123">
        <v>46003</v>
      </c>
      <c r="P67" s="22">
        <v>204.58</v>
      </c>
      <c r="Q67" s="148">
        <f t="shared" ref="Q67:Q98" si="11">IF(OR(N67="",P67=""),"",ROUND((P67-N67)/N67,4))</f>
        <v>9.4E-2</v>
      </c>
      <c r="R67" s="20" t="str">
        <f>IF(OR(N67="",P67=""),"",IF(Q67&gt;Settings!$B$3/100,"UP",IF(Q67&lt;-Settings!$B$3/100,"DOWN","FLAT")))</f>
        <v>UP</v>
      </c>
      <c r="S67" s="20" t="str">
        <f t="shared" ref="S67:S130" si="12">IF(OR(N67="",P67="",J67=""),"",IF(OR(AND(J67="BUY",R67="UP"),AND(J67="SELL",R67="DOWN"),AND(J67="HOLD",R67="FLAT")),"YES","NO"))</f>
        <v>NO</v>
      </c>
      <c r="T67" s="21">
        <f t="shared" ref="T67:T130" si="13">IF(J67="","",IF(J67="BUY",1,IF(J67="SELL",-1,0)))</f>
        <v>-1</v>
      </c>
      <c r="U67" s="148">
        <f>IFERROR(IF(OR(J67="",N67="",P67=""),"",IF(T67=0,0,T67*Q67-Settings!$B$4/10000-IF(T67&lt;0,Settings!$B$5/10000,0))),"")</f>
        <v>-9.5000000000000001E-2</v>
      </c>
      <c r="V67" s="23" t="s">
        <v>816</v>
      </c>
      <c r="W67" s="21">
        <f t="shared" ref="W67:W130" si="14">IF($K67="","",$K67*60)</f>
        <v>1200</v>
      </c>
      <c r="X67" s="91" t="str">
        <f t="shared" ref="X67:X130" si="15">IF($A67="","",$A67&amp;"|"&amp;$C67&amp;"|"&amp;$D67)</f>
        <v>Lululemon|2025|Q3</v>
      </c>
      <c r="Y67" s="91" t="str">
        <f>IFERROR(IF($X67="","",INDEX(LLM_Data_Entry!$H$3:$H$548,MATCH($X67,INDEX(LLM_Data_Entry!$A$3:$A$548&amp;"|"&amp;LLM_Data_Entry!$C$3:$C$548&amp;"|"&amp;LLM_Data_Entry!$D$3:$D$548,0),0))),"")</f>
        <v>SELL</v>
      </c>
      <c r="Z67" s="91" t="str">
        <f>IFERROR(IF($X67="","",INDEX(LLM_Data_Entry!$R$3:$R$548,MATCH($X67,INDEX(LLM_Data_Entry!$A$3:$A$548&amp;"|"&amp;LLM_Data_Entry!$C$3:$C$548&amp;"|"&amp;LLM_Data_Entry!$D$3:$D$548,0),0))),"")</f>
        <v>NO</v>
      </c>
      <c r="AB67" t="s">
        <v>685</v>
      </c>
      <c r="AC67" t="s">
        <v>817</v>
      </c>
      <c r="AD67" t="s">
        <v>818</v>
      </c>
      <c r="AE67">
        <v>187.01</v>
      </c>
      <c r="AF67" t="s">
        <v>819</v>
      </c>
      <c r="AG67">
        <v>204.58</v>
      </c>
      <c r="AH67">
        <v>9.395223501289332E-2</v>
      </c>
      <c r="AI67" t="s">
        <v>591</v>
      </c>
      <c r="AJ67" t="s">
        <v>546</v>
      </c>
      <c r="AK67">
        <v>-9.4951999999999995E-2</v>
      </c>
      <c r="AL67" t="str">
        <f>IF($A67="","",IFERROR(INDEX(Company_List!$G$3:$G$207,MATCH($A67,Company_List!$A$3:$A$207,0)),"unassigned"))</f>
        <v>P2</v>
      </c>
      <c r="AM67" t="s">
        <v>820</v>
      </c>
      <c r="AO67" t="s">
        <v>548</v>
      </c>
      <c r="AP67" t="str">
        <f>IF($A67="","",IF(COUNTIFS(LLM_Data_Entry!$A$3:$A$548,$A67)&gt;0,"YES","NO"))</f>
        <v>YES</v>
      </c>
      <c r="AQ67" t="str">
        <f>IF($A67="","",IF(COUNTIFS($A$3:$A67,$A67,$C$3:$C67,$C67,$D$3:$D67,$D67)=1,"YES","NO"))</f>
        <v>YES</v>
      </c>
      <c r="AR67" t="str">
        <f>IF($A67="","",IF(AND($C67&amp;"-"&amp;$D67&gt;=Settings!$B$19,$C67&amp;"-"&amp;$D67&lt;=Settings!$B$20),"IN","OUT"))</f>
        <v>IN</v>
      </c>
      <c r="AS67" t="str">
        <f t="shared" ref="AS67:AS130" si="16">IF($A67="","",IF($F67="Financial Results","financials",IF($F67="Outlook/Guidance","guidance",IF($F67="Transcript Q&amp;A","qanda",IF($F67="","unrecorded",IF($E67="All","full",IF($E67="","unrecorded",LOWER($E67)&amp;" only")))))))</f>
        <v>full</v>
      </c>
      <c r="AT67">
        <f t="shared" ref="AT67:AT130" si="17">IF(AND(OR($J67="BUY",$J67="SELL"),ISNUMBER($U67)),$U67,"")</f>
        <v>-9.5000000000000001E-2</v>
      </c>
      <c r="AU67">
        <f t="shared" ref="AU67:AU130" si="18">IF(AND(OR($J67="BUY",$J67="SELL"),ISNUMBER($AK67)),$AK67,"")</f>
        <v>-9.4951999999999995E-2</v>
      </c>
      <c r="AV67">
        <f>IF(ISNUMBER($AT67),ABS(IF(ISNUMBER($I67),$I67,0)-Settings!$B$24),"")</f>
        <v>0.4</v>
      </c>
      <c r="AW67">
        <f t="shared" ref="AW67:AW130" si="19">IF(ISNUMBER($AV67),$AV67*$AT67,"")</f>
        <v>-3.8000000000000006E-2</v>
      </c>
      <c r="AX67">
        <f>IF(ISNUMBER($AU67),ABS(IF(ISNUMBER($I67),$I67,0)-Settings!$B$24),"")</f>
        <v>0.4</v>
      </c>
      <c r="AY67" t="s">
        <v>549</v>
      </c>
      <c r="AZ67" t="str">
        <f>IF($A67="","",IFERROR(INDEX(Company_List!$H$3:$H$207,MATCH($A67,Company_List!$A$3:$A$207,0)),"unassigned"))</f>
        <v>Consumer Discretionary</v>
      </c>
      <c r="BC67">
        <f>IF($A67="","",IF(COUNTIFS($A$3:$A67,$A67,$C$3:$C67,$C67,$D$3:$D67,$D67,$G$3:$G67,$G67)=1,1,0))</f>
        <v>1</v>
      </c>
      <c r="BG67" t="s">
        <v>550</v>
      </c>
      <c r="BK67">
        <f t="shared" ref="BK67:BK130" si="20">IF(OR($H67&lt;&gt;"Human",$S67="",$J67="",$Y67="",$Z67=""),"",IF(EXACT(UPPER($J67),UPPER($Y67)),1,0))</f>
        <v>1</v>
      </c>
      <c r="BL67" t="s">
        <v>551</v>
      </c>
      <c r="BM67">
        <v>1</v>
      </c>
      <c r="BN67" t="s">
        <v>595</v>
      </c>
      <c r="BO67" t="s">
        <v>596</v>
      </c>
      <c r="BP67" t="s">
        <v>550</v>
      </c>
      <c r="BQ67" t="s">
        <v>550</v>
      </c>
      <c r="BS67" t="s">
        <v>554</v>
      </c>
    </row>
    <row r="68" spans="1:71" ht="16.25" customHeight="1" x14ac:dyDescent="0.2">
      <c r="A68" s="95" t="s">
        <v>815</v>
      </c>
      <c r="B68" s="96" t="str">
        <f>IF(A68="","",_xlfn.XLOOKUP(A68, Company_List!$A:$A, Company_List!$B:$B, ""))</f>
        <v>LULU</v>
      </c>
      <c r="C68" s="21">
        <v>2025</v>
      </c>
      <c r="D68" s="20" t="s">
        <v>569</v>
      </c>
      <c r="E68" s="19" t="s">
        <v>538</v>
      </c>
      <c r="F68" s="19" t="s">
        <v>538</v>
      </c>
      <c r="G68" s="20" t="s">
        <v>574</v>
      </c>
      <c r="H68" s="20" t="s">
        <v>540</v>
      </c>
      <c r="I68" s="127">
        <v>-0.3</v>
      </c>
      <c r="J68" s="145" t="str">
        <f>IF(OR(I68="",Settings!$B$6=""),"",IF(I68&gt;Settings!$B$6,"BUY",IF(I68&lt;-Settings!$B$6,"SELL","HOLD")))</f>
        <v>SELL</v>
      </c>
      <c r="K68" s="139">
        <v>31</v>
      </c>
      <c r="L68" s="123">
        <v>46098</v>
      </c>
      <c r="M68" s="123">
        <v>46098</v>
      </c>
      <c r="N68" s="127">
        <v>159.27000000000001</v>
      </c>
      <c r="O68" s="123">
        <v>46099</v>
      </c>
      <c r="P68" s="22">
        <v>158.04</v>
      </c>
      <c r="Q68" s="148">
        <f t="shared" si="11"/>
        <v>-7.7000000000000002E-3</v>
      </c>
      <c r="R68" s="20" t="str">
        <f>IF(OR(N68="",P68=""),"",IF(Q68&gt;Settings!$B$3/100,"UP",IF(Q68&lt;-Settings!$B$3/100,"DOWN","FLAT")))</f>
        <v>FLAT</v>
      </c>
      <c r="S68" s="20" t="str">
        <f t="shared" si="12"/>
        <v>NO</v>
      </c>
      <c r="T68" s="21">
        <f t="shared" si="13"/>
        <v>-1</v>
      </c>
      <c r="U68" s="148">
        <f>IFERROR(IF(OR(J68="",N68="",P68=""),"",IF(T68=0,0,T68*Q68-Settings!$B$4/10000-IF(T68&lt;0,Settings!$B$5/10000,0))),"")</f>
        <v>6.7000000000000002E-3</v>
      </c>
      <c r="V68" s="23" t="s">
        <v>821</v>
      </c>
      <c r="W68" s="21">
        <f t="shared" si="14"/>
        <v>1860</v>
      </c>
      <c r="X68" s="91" t="str">
        <f t="shared" si="15"/>
        <v>Lululemon|2025|Q4</v>
      </c>
      <c r="Y68" s="91" t="str">
        <f>IFERROR(IF($X68="","",INDEX(LLM_Data_Entry!$H$3:$H$548,MATCH($X68,INDEX(LLM_Data_Entry!$A$3:$A$548&amp;"|"&amp;LLM_Data_Entry!$C$3:$C$548&amp;"|"&amp;LLM_Data_Entry!$D$3:$D$548,0),0))),"")</f>
        <v>SELL</v>
      </c>
      <c r="Z68" s="91" t="str">
        <f>IFERROR(IF($X68="","",INDEX(LLM_Data_Entry!$R$3:$R$548,MATCH($X68,INDEX(LLM_Data_Entry!$A$3:$A$548&amp;"|"&amp;LLM_Data_Entry!$C$3:$C$548&amp;"|"&amp;LLM_Data_Entry!$D$3:$D$548,0),0))),"")</f>
        <v>NO</v>
      </c>
      <c r="AB68" t="s">
        <v>691</v>
      </c>
      <c r="AC68" t="s">
        <v>817</v>
      </c>
      <c r="AD68" t="s">
        <v>822</v>
      </c>
      <c r="AE68">
        <v>159.27000000000001</v>
      </c>
      <c r="AF68" t="s">
        <v>823</v>
      </c>
      <c r="AG68">
        <v>158.04</v>
      </c>
      <c r="AH68">
        <v>-7.7228038494931567E-3</v>
      </c>
      <c r="AI68" t="s">
        <v>579</v>
      </c>
      <c r="AJ68" t="s">
        <v>546</v>
      </c>
      <c r="AK68">
        <v>6.7229999999999998E-3</v>
      </c>
      <c r="AL68" t="str">
        <f>IF($A68="","",IFERROR(INDEX(Company_List!$G$3:$G$207,MATCH($A68,Company_List!$A$3:$A$207,0)),"unassigned"))</f>
        <v>P2</v>
      </c>
      <c r="AM68" t="s">
        <v>824</v>
      </c>
      <c r="AO68" t="s">
        <v>548</v>
      </c>
      <c r="AP68" t="str">
        <f>IF($A68="","",IF(COUNTIFS(LLM_Data_Entry!$A$3:$A$548,$A68)&gt;0,"YES","NO"))</f>
        <v>YES</v>
      </c>
      <c r="AQ68" t="str">
        <f>IF($A68="","",IF(COUNTIFS($A$3:$A68,$A68,$C$3:$C68,$C68,$D$3:$D68,$D68)=1,"YES","NO"))</f>
        <v>YES</v>
      </c>
      <c r="AR68" t="str">
        <f>IF($A68="","",IF(AND($C68&amp;"-"&amp;$D68&gt;=Settings!$B$19,$C68&amp;"-"&amp;$D68&lt;=Settings!$B$20),"IN","OUT"))</f>
        <v>IN</v>
      </c>
      <c r="AS68" t="str">
        <f t="shared" si="16"/>
        <v>full</v>
      </c>
      <c r="AT68">
        <f t="shared" si="17"/>
        <v>6.7000000000000002E-3</v>
      </c>
      <c r="AU68">
        <f t="shared" si="18"/>
        <v>6.7229999999999998E-3</v>
      </c>
      <c r="AV68">
        <f>IF(ISNUMBER($AT68),ABS(IF(ISNUMBER($I68),$I68,0)-Settings!$B$24),"")</f>
        <v>0.3</v>
      </c>
      <c r="AW68">
        <f t="shared" si="19"/>
        <v>2.0100000000000001E-3</v>
      </c>
      <c r="AX68">
        <f>IF(ISNUMBER($AU68),ABS(IF(ISNUMBER($I68),$I68,0)-Settings!$B$24),"")</f>
        <v>0.3</v>
      </c>
      <c r="AY68" t="s">
        <v>549</v>
      </c>
      <c r="AZ68" t="str">
        <f>IF($A68="","",IFERROR(INDEX(Company_List!$H$3:$H$207,MATCH($A68,Company_List!$A$3:$A$207,0)),"unassigned"))</f>
        <v>Consumer Discretionary</v>
      </c>
      <c r="BC68">
        <f>IF($A68="","",IF(COUNTIFS($A$3:$A68,$A68,$C$3:$C68,$C68,$D$3:$D68,$D68,$G$3:$G68,$G68)=1,1,0))</f>
        <v>1</v>
      </c>
      <c r="BG68" t="s">
        <v>550</v>
      </c>
      <c r="BK68">
        <f t="shared" si="20"/>
        <v>1</v>
      </c>
      <c r="BL68" t="s">
        <v>551</v>
      </c>
      <c r="BM68">
        <v>1</v>
      </c>
      <c r="BN68" t="s">
        <v>595</v>
      </c>
      <c r="BO68" t="s">
        <v>596</v>
      </c>
      <c r="BP68" t="s">
        <v>550</v>
      </c>
      <c r="BQ68" t="s">
        <v>550</v>
      </c>
      <c r="BS68" t="s">
        <v>554</v>
      </c>
    </row>
    <row r="69" spans="1:71" ht="16.25" customHeight="1" x14ac:dyDescent="0.2">
      <c r="A69" s="95" t="s">
        <v>815</v>
      </c>
      <c r="B69" s="96" t="str">
        <f>IF(A69="","",_xlfn.XLOOKUP(A69, Company_List!$A:$A, Company_List!$B:$B, ""))</f>
        <v>LULU</v>
      </c>
      <c r="C69" s="21">
        <v>2026</v>
      </c>
      <c r="D69" s="20" t="s">
        <v>537</v>
      </c>
      <c r="E69" s="19" t="s">
        <v>538</v>
      </c>
      <c r="F69" s="19" t="s">
        <v>538</v>
      </c>
      <c r="G69" s="20" t="s">
        <v>574</v>
      </c>
      <c r="H69" s="20" t="s">
        <v>540</v>
      </c>
      <c r="I69" s="127">
        <v>-0.3</v>
      </c>
      <c r="J69" s="145" t="str">
        <f>IF(OR(I69="",Settings!$B$6=""),"",IF(I69&gt;Settings!$B$6,"BUY",IF(I69&lt;-Settings!$B$6,"SELL","HOLD")))</f>
        <v>SELL</v>
      </c>
      <c r="K69" s="139">
        <v>24</v>
      </c>
      <c r="L69" s="123">
        <v>46177</v>
      </c>
      <c r="M69" s="123">
        <v>46177</v>
      </c>
      <c r="N69" s="127">
        <v>124.92</v>
      </c>
      <c r="O69" s="123">
        <v>46178</v>
      </c>
      <c r="P69" s="22">
        <v>110.43</v>
      </c>
      <c r="Q69" s="148">
        <f t="shared" si="11"/>
        <v>-0.11600000000000001</v>
      </c>
      <c r="R69" s="20" t="str">
        <f>IF(OR(N69="",P69=""),"",IF(Q69&gt;Settings!$B$3/100,"UP",IF(Q69&lt;-Settings!$B$3/100,"DOWN","FLAT")))</f>
        <v>DOWN</v>
      </c>
      <c r="S69" s="20" t="str">
        <f t="shared" si="12"/>
        <v>YES</v>
      </c>
      <c r="T69" s="21">
        <f t="shared" si="13"/>
        <v>-1</v>
      </c>
      <c r="U69" s="148">
        <f>IFERROR(IF(OR(J69="",N69="",P69=""),"",IF(T69=0,0,T69*Q69-Settings!$B$4/10000-IF(T69&lt;0,Settings!$B$5/10000,0))),"")</f>
        <v>0.115</v>
      </c>
      <c r="V69" s="23" t="s">
        <v>825</v>
      </c>
      <c r="W69" s="21">
        <f t="shared" si="14"/>
        <v>1440</v>
      </c>
      <c r="X69" s="91" t="str">
        <f t="shared" si="15"/>
        <v>Lululemon|2026|Q1</v>
      </c>
      <c r="Y69" s="91" t="str">
        <f>IFERROR(IF($X69="","",INDEX(LLM_Data_Entry!$H$3:$H$548,MATCH($X69,INDEX(LLM_Data_Entry!$A$3:$A$548&amp;"|"&amp;LLM_Data_Entry!$C$3:$C$548&amp;"|"&amp;LLM_Data_Entry!$D$3:$D$548,0),0))),"")</f>
        <v>SELL</v>
      </c>
      <c r="Z69" s="91" t="str">
        <f>IFERROR(IF($X69="","",INDEX(LLM_Data_Entry!$R$3:$R$548,MATCH($X69,INDEX(LLM_Data_Entry!$A$3:$A$548&amp;"|"&amp;LLM_Data_Entry!$C$3:$C$548&amp;"|"&amp;LLM_Data_Entry!$D$3:$D$548,0),0))),"")</f>
        <v>YES</v>
      </c>
      <c r="AB69" t="s">
        <v>685</v>
      </c>
      <c r="AC69" t="s">
        <v>817</v>
      </c>
      <c r="AD69" t="s">
        <v>826</v>
      </c>
      <c r="AE69">
        <v>124.92</v>
      </c>
      <c r="AF69" t="s">
        <v>827</v>
      </c>
      <c r="AG69">
        <v>110.43</v>
      </c>
      <c r="AH69">
        <v>-0.1159942221580888</v>
      </c>
      <c r="AI69" t="s">
        <v>545</v>
      </c>
      <c r="AJ69" t="s">
        <v>554</v>
      </c>
      <c r="AK69">
        <v>0.114994</v>
      </c>
      <c r="AL69" t="str">
        <f>IF($A69="","",IFERROR(INDEX(Company_List!$G$3:$G$207,MATCH($A69,Company_List!$A$3:$A$207,0)),"unassigned"))</f>
        <v>P2</v>
      </c>
      <c r="AM69" t="s">
        <v>828</v>
      </c>
      <c r="AO69" t="s">
        <v>548</v>
      </c>
      <c r="AP69" t="str">
        <f>IF($A69="","",IF(COUNTIFS(LLM_Data_Entry!$A$3:$A$548,$A69)&gt;0,"YES","NO"))</f>
        <v>YES</v>
      </c>
      <c r="AQ69" t="str">
        <f>IF($A69="","",IF(COUNTIFS($A$3:$A69,$A69,$C$3:$C69,$C69,$D$3:$D69,$D69)=1,"YES","NO"))</f>
        <v>YES</v>
      </c>
      <c r="AR69" t="str">
        <f>IF($A69="","",IF(AND($C69&amp;"-"&amp;$D69&gt;=Settings!$B$19,$C69&amp;"-"&amp;$D69&lt;=Settings!$B$20),"IN","OUT"))</f>
        <v>IN</v>
      </c>
      <c r="AS69" t="str">
        <f t="shared" si="16"/>
        <v>full</v>
      </c>
      <c r="AT69">
        <f t="shared" si="17"/>
        <v>0.115</v>
      </c>
      <c r="AU69">
        <f t="shared" si="18"/>
        <v>0.114994</v>
      </c>
      <c r="AV69">
        <f>IF(ISNUMBER($AT69),ABS(IF(ISNUMBER($I69),$I69,0)-Settings!$B$24),"")</f>
        <v>0.3</v>
      </c>
      <c r="AW69">
        <f t="shared" si="19"/>
        <v>3.4500000000000003E-2</v>
      </c>
      <c r="AX69">
        <f>IF(ISNUMBER($AU69),ABS(IF(ISNUMBER($I69),$I69,0)-Settings!$B$24),"")</f>
        <v>0.3</v>
      </c>
      <c r="AY69" t="s">
        <v>549</v>
      </c>
      <c r="AZ69" t="str">
        <f>IF($A69="","",IFERROR(INDEX(Company_List!$H$3:$H$207,MATCH($A69,Company_List!$A$3:$A$207,0)),"unassigned"))</f>
        <v>Consumer Discretionary</v>
      </c>
      <c r="BC69">
        <f>IF($A69="","",IF(COUNTIFS($A$3:$A69,$A69,$C$3:$C69,$C69,$D$3:$D69,$D69,$G$3:$G69,$G69)=1,1,0))</f>
        <v>1</v>
      </c>
      <c r="BG69" t="s">
        <v>550</v>
      </c>
      <c r="BK69">
        <f t="shared" si="20"/>
        <v>1</v>
      </c>
      <c r="BL69" t="s">
        <v>551</v>
      </c>
      <c r="BM69">
        <v>1</v>
      </c>
      <c r="BN69" t="s">
        <v>595</v>
      </c>
      <c r="BO69" t="s">
        <v>596</v>
      </c>
      <c r="BP69" t="s">
        <v>550</v>
      </c>
      <c r="BQ69" t="s">
        <v>550</v>
      </c>
      <c r="BS69" t="s">
        <v>554</v>
      </c>
    </row>
    <row r="70" spans="1:71" ht="16.25" customHeight="1" x14ac:dyDescent="0.2">
      <c r="A70" s="95" t="s">
        <v>740</v>
      </c>
      <c r="B70" s="96" t="str">
        <f>IF(A70="","",_xlfn.XLOOKUP(A70, Company_List!$A:$A, Company_List!$B:$B, ""))</f>
        <v>ABNB</v>
      </c>
      <c r="C70" s="21">
        <v>2026</v>
      </c>
      <c r="D70" s="20" t="s">
        <v>537</v>
      </c>
      <c r="E70" s="19" t="s">
        <v>538</v>
      </c>
      <c r="F70" s="19" t="s">
        <v>538</v>
      </c>
      <c r="G70" s="20" t="s">
        <v>539</v>
      </c>
      <c r="H70" s="20" t="s">
        <v>540</v>
      </c>
      <c r="I70" s="127">
        <v>0.7</v>
      </c>
      <c r="J70" s="145" t="str">
        <f>IF(OR(I70="",Settings!$B$6=""),"",IF(I70&gt;Settings!$B$6,"BUY",IF(I70&lt;-Settings!$B$6,"SELL","HOLD")))</f>
        <v>BUY</v>
      </c>
      <c r="K70" s="139">
        <v>34</v>
      </c>
      <c r="L70" s="123">
        <v>46149</v>
      </c>
      <c r="M70" s="123">
        <v>46149</v>
      </c>
      <c r="N70" s="127">
        <v>140.46</v>
      </c>
      <c r="O70" s="123">
        <v>46150</v>
      </c>
      <c r="P70" s="22">
        <v>138.12</v>
      </c>
      <c r="Q70" s="148">
        <f t="shared" si="11"/>
        <v>-1.67E-2</v>
      </c>
      <c r="R70" s="20" t="str">
        <f>IF(OR(N70="",P70=""),"",IF(Q70&gt;Settings!$B$3/100,"UP",IF(Q70&lt;-Settings!$B$3/100,"DOWN","FLAT")))</f>
        <v>FLAT</v>
      </c>
      <c r="S70" s="20" t="str">
        <f t="shared" si="12"/>
        <v>NO</v>
      </c>
      <c r="T70" s="21">
        <f t="shared" si="13"/>
        <v>1</v>
      </c>
      <c r="U70" s="148">
        <f>IFERROR(IF(OR(J70="",N70="",P70=""),"",IF(T70=0,0,T70*Q70-Settings!$B$4/10000-IF(T70&lt;0,Settings!$B$5/10000,0))),"")</f>
        <v>-1.77E-2</v>
      </c>
      <c r="V70" s="23" t="s">
        <v>829</v>
      </c>
      <c r="W70" s="21">
        <f t="shared" si="14"/>
        <v>2040</v>
      </c>
      <c r="X70" s="91" t="str">
        <f t="shared" si="15"/>
        <v>Airbnb|2026|Q1</v>
      </c>
      <c r="Y70" s="91" t="str">
        <f>IFERROR(IF($X70="","",INDEX(LLM_Data_Entry!$H$3:$H$548,MATCH($X70,INDEX(LLM_Data_Entry!$A$3:$A$548&amp;"|"&amp;LLM_Data_Entry!$C$3:$C$548&amp;"|"&amp;LLM_Data_Entry!$D$3:$D$548,0),0))),"")</f>
        <v>HOLD</v>
      </c>
      <c r="Z70" s="91" t="str">
        <f>IFERROR(IF($X70="","",INDEX(LLM_Data_Entry!$R$3:$R$548,MATCH($X70,INDEX(LLM_Data_Entry!$A$3:$A$548&amp;"|"&amp;LLM_Data_Entry!$C$3:$C$548&amp;"|"&amp;LLM_Data_Entry!$D$3:$D$548,0),0))),"")</f>
        <v>YES</v>
      </c>
      <c r="AB70" t="s">
        <v>541</v>
      </c>
      <c r="AC70" t="s">
        <v>741</v>
      </c>
      <c r="AD70" t="s">
        <v>681</v>
      </c>
      <c r="AE70">
        <v>140.46</v>
      </c>
      <c r="AF70" t="s">
        <v>830</v>
      </c>
      <c r="AG70">
        <v>138.125</v>
      </c>
      <c r="AH70">
        <v>-1.6623998886743541E-2</v>
      </c>
      <c r="AI70" t="s">
        <v>579</v>
      </c>
      <c r="AJ70" t="s">
        <v>546</v>
      </c>
      <c r="AK70">
        <v>-1.7624000000000001E-2</v>
      </c>
      <c r="AL70" t="str">
        <f>IF($A70="","",IFERROR(INDEX(Company_List!$G$3:$G$207,MATCH($A70,Company_List!$A$3:$A$207,0)),"unassigned"))</f>
        <v>P2</v>
      </c>
      <c r="AM70" t="s">
        <v>831</v>
      </c>
      <c r="AN70" t="s">
        <v>832</v>
      </c>
      <c r="AO70" t="s">
        <v>560</v>
      </c>
      <c r="AP70" t="str">
        <f>IF($A70="","",IF(COUNTIFS(LLM_Data_Entry!$A$3:$A$548,$A70)&gt;0,"YES","NO"))</f>
        <v>YES</v>
      </c>
      <c r="AQ70" t="str">
        <f>IF($A70="","",IF(COUNTIFS($A$3:$A70,$A70,$C$3:$C70,$C70,$D$3:$D70,$D70)=1,"YES","NO"))</f>
        <v>YES</v>
      </c>
      <c r="AR70" t="str">
        <f>IF($A70="","",IF(AND($C70&amp;"-"&amp;$D70&gt;=Settings!$B$19,$C70&amp;"-"&amp;$D70&lt;=Settings!$B$20),"IN","OUT"))</f>
        <v>IN</v>
      </c>
      <c r="AS70" t="str">
        <f t="shared" si="16"/>
        <v>full</v>
      </c>
      <c r="AT70">
        <f t="shared" si="17"/>
        <v>-1.77E-2</v>
      </c>
      <c r="AU70">
        <f t="shared" si="18"/>
        <v>-1.7624000000000001E-2</v>
      </c>
      <c r="AV70">
        <f>IF(ISNUMBER($AT70),ABS(IF(ISNUMBER($I70),$I70,0)-Settings!$B$24),"")</f>
        <v>0.7</v>
      </c>
      <c r="AW70">
        <f t="shared" si="19"/>
        <v>-1.239E-2</v>
      </c>
      <c r="AX70">
        <f>IF(ISNUMBER($AU70),ABS(IF(ISNUMBER($I70),$I70,0)-Settings!$B$24),"")</f>
        <v>0.7</v>
      </c>
      <c r="AY70" t="s">
        <v>549</v>
      </c>
      <c r="AZ70" t="str">
        <f>IF($A70="","",IFERROR(INDEX(Company_List!$H$3:$H$207,MATCH($A70,Company_List!$A$3:$A$207,0)),"unassigned"))</f>
        <v>Consumer Discretionary</v>
      </c>
      <c r="BC70">
        <f>IF($A70="","",IF(COUNTIFS($A$3:$A70,$A70,$C$3:$C70,$C70,$D$3:$D70,$D70,$G$3:$G70,$G70)=1,1,0))</f>
        <v>1</v>
      </c>
      <c r="BG70" t="s">
        <v>550</v>
      </c>
      <c r="BK70">
        <f t="shared" si="20"/>
        <v>0</v>
      </c>
      <c r="BL70" t="s">
        <v>551</v>
      </c>
      <c r="BM70">
        <v>1</v>
      </c>
      <c r="BN70" t="s">
        <v>561</v>
      </c>
      <c r="BO70" t="s">
        <v>561</v>
      </c>
      <c r="BP70" t="s">
        <v>550</v>
      </c>
      <c r="BQ70" t="s">
        <v>562</v>
      </c>
      <c r="BS70" t="s">
        <v>554</v>
      </c>
    </row>
    <row r="71" spans="1:71" ht="16.25" customHeight="1" x14ac:dyDescent="0.2">
      <c r="A71" s="95" t="s">
        <v>833</v>
      </c>
      <c r="B71" s="96" t="str">
        <f>IF(A71="","",_xlfn.XLOOKUP(A71, Company_List!$A:$A, Company_List!$B:$B, ""))</f>
        <v>LOW</v>
      </c>
      <c r="C71" s="21">
        <v>2025</v>
      </c>
      <c r="D71" s="20" t="s">
        <v>537</v>
      </c>
      <c r="E71" s="19" t="s">
        <v>538</v>
      </c>
      <c r="F71" s="19" t="s">
        <v>538</v>
      </c>
      <c r="G71" s="20" t="s">
        <v>539</v>
      </c>
      <c r="H71" s="20" t="s">
        <v>540</v>
      </c>
      <c r="I71" s="127">
        <v>-0.1</v>
      </c>
      <c r="J71" s="145" t="str">
        <f>IF(OR(I71="",Settings!$B$6=""),"",IF(I71&gt;Settings!$B$6,"BUY",IF(I71&lt;-Settings!$B$6,"SELL","HOLD")))</f>
        <v>HOLD</v>
      </c>
      <c r="K71" s="139">
        <v>25</v>
      </c>
      <c r="L71" s="123">
        <v>46162</v>
      </c>
      <c r="M71" s="123">
        <v>46161</v>
      </c>
      <c r="N71" s="127">
        <v>218.37</v>
      </c>
      <c r="O71" s="123">
        <v>46162</v>
      </c>
      <c r="P71" s="22">
        <v>213.98</v>
      </c>
      <c r="Q71" s="148">
        <f t="shared" si="11"/>
        <v>-2.01E-2</v>
      </c>
      <c r="R71" s="20" t="str">
        <f>IF(OR(N71="",P71=""),"",IF(Q71&gt;Settings!$B$3/100,"UP",IF(Q71&lt;-Settings!$B$3/100,"DOWN","FLAT")))</f>
        <v>DOWN</v>
      </c>
      <c r="S71" s="20" t="str">
        <f t="shared" si="12"/>
        <v>NO</v>
      </c>
      <c r="T71" s="21">
        <f t="shared" si="13"/>
        <v>0</v>
      </c>
      <c r="U71" s="148">
        <f>IFERROR(IF(OR(J71="",N71="",P71=""),"",IF(T71=0,0,T71*Q71-Settings!$B$4/10000-IF(T71&lt;0,Settings!$B$5/10000,0))),"")</f>
        <v>0</v>
      </c>
      <c r="V71" s="23" t="s">
        <v>834</v>
      </c>
      <c r="W71" s="21">
        <f t="shared" si="14"/>
        <v>1500</v>
      </c>
      <c r="X71" s="91" t="str">
        <f t="shared" si="15"/>
        <v>Lowe's|2025|Q1</v>
      </c>
      <c r="Y71" s="91" t="str">
        <f>IFERROR(IF($X71="","",INDEX(LLM_Data_Entry!$H$3:$H$548,MATCH($X71,INDEX(LLM_Data_Entry!$A$3:$A$548&amp;"|"&amp;LLM_Data_Entry!$C$3:$C$548&amp;"|"&amp;LLM_Data_Entry!$D$3:$D$548,0),0))),"")</f>
        <v>SELL</v>
      </c>
      <c r="Z71" s="91" t="str">
        <f>IFERROR(IF($X71="","",INDEX(LLM_Data_Entry!$R$3:$R$548,MATCH($X71,INDEX(LLM_Data_Entry!$A$3:$A$548&amp;"|"&amp;LLM_Data_Entry!$C$3:$C$548&amp;"|"&amp;LLM_Data_Entry!$D$3:$D$548,0),0))),"")</f>
        <v>YES</v>
      </c>
      <c r="AB71" t="s">
        <v>835</v>
      </c>
      <c r="AC71" t="s">
        <v>836</v>
      </c>
      <c r="AD71" t="s">
        <v>796</v>
      </c>
      <c r="AE71">
        <v>217.02869999999999</v>
      </c>
      <c r="AF71" t="s">
        <v>797</v>
      </c>
      <c r="AG71">
        <v>212.66569999999999</v>
      </c>
      <c r="AH71">
        <v>-2.0103435461084122E-2</v>
      </c>
      <c r="AI71" t="s">
        <v>545</v>
      </c>
      <c r="AJ71" t="s">
        <v>546</v>
      </c>
      <c r="AK71">
        <v>0</v>
      </c>
      <c r="AL71" t="str">
        <f>IF($A71="","",IFERROR(INDEX(Company_List!$G$3:$G$207,MATCH($A71,Company_List!$A$3:$A$207,0)),"unassigned"))</f>
        <v>P2</v>
      </c>
      <c r="AM71" t="s">
        <v>837</v>
      </c>
      <c r="AO71" t="s">
        <v>548</v>
      </c>
      <c r="AP71" t="str">
        <f>IF($A71="","",IF(COUNTIFS(LLM_Data_Entry!$A$3:$A$548,$A71)&gt;0,"YES","NO"))</f>
        <v>YES</v>
      </c>
      <c r="AQ71" t="str">
        <f>IF($A71="","",IF(COUNTIFS($A$3:$A71,$A71,$C$3:$C71,$C71,$D$3:$D71,$D71)=1,"YES","NO"))</f>
        <v>YES</v>
      </c>
      <c r="AR71" t="str">
        <f>IF($A71="","",IF(AND($C71&amp;"-"&amp;$D71&gt;=Settings!$B$19,$C71&amp;"-"&amp;$D71&lt;=Settings!$B$20),"IN","OUT"))</f>
        <v>IN</v>
      </c>
      <c r="AS71" t="str">
        <f t="shared" si="16"/>
        <v>full</v>
      </c>
      <c r="AT71" t="str">
        <f t="shared" si="17"/>
        <v/>
      </c>
      <c r="AU71" t="str">
        <f t="shared" si="18"/>
        <v/>
      </c>
      <c r="AV71" t="str">
        <f>IF(ISNUMBER($AT71),ABS(IF(ISNUMBER($I71),$I71,0)-Settings!$B$24),"")</f>
        <v/>
      </c>
      <c r="AW71" t="str">
        <f t="shared" si="19"/>
        <v/>
      </c>
      <c r="AX71" t="str">
        <f>IF(ISNUMBER($AU71),ABS(IF(ISNUMBER($I71),$I71,0)-Settings!$B$24),"")</f>
        <v/>
      </c>
      <c r="AY71" t="s">
        <v>549</v>
      </c>
      <c r="AZ71" t="str">
        <f>IF($A71="","",IFERROR(INDEX(Company_List!$H$3:$H$207,MATCH($A71,Company_List!$A$3:$A$207,0)),"unassigned"))</f>
        <v>Consumer Discretionary</v>
      </c>
      <c r="BC71">
        <f>IF($A71="","",IF(COUNTIFS($A$3:$A71,$A71,$C$3:$C71,$C71,$D$3:$D71,$D71,$G$3:$G71,$G71)=1,1,0))</f>
        <v>1</v>
      </c>
      <c r="BG71" t="s">
        <v>550</v>
      </c>
      <c r="BK71">
        <f t="shared" si="20"/>
        <v>0</v>
      </c>
      <c r="BL71" t="s">
        <v>551</v>
      </c>
      <c r="BM71">
        <v>1</v>
      </c>
      <c r="BN71" t="s">
        <v>788</v>
      </c>
      <c r="BO71" t="s">
        <v>553</v>
      </c>
      <c r="BP71" t="s">
        <v>550</v>
      </c>
      <c r="BQ71" t="s">
        <v>550</v>
      </c>
      <c r="BS71" t="s">
        <v>554</v>
      </c>
    </row>
    <row r="72" spans="1:71" ht="16.25" customHeight="1" x14ac:dyDescent="0.2">
      <c r="A72" s="95" t="s">
        <v>838</v>
      </c>
      <c r="B72" s="96" t="str">
        <f>IF(A72="","",_xlfn.XLOOKUP(A72, Company_List!$A:$A, Company_List!$B:$B, ""))</f>
        <v>WMT</v>
      </c>
      <c r="C72" s="21">
        <v>2025</v>
      </c>
      <c r="D72" s="20" t="s">
        <v>537</v>
      </c>
      <c r="E72" s="19" t="s">
        <v>647</v>
      </c>
      <c r="F72" s="19" t="s">
        <v>538</v>
      </c>
      <c r="G72" s="20" t="s">
        <v>712</v>
      </c>
      <c r="H72" s="20" t="s">
        <v>540</v>
      </c>
      <c r="I72" s="127">
        <v>-0.3</v>
      </c>
      <c r="J72" s="145" t="str">
        <f>IF(OR(I72="",Settings!$B$6=""),"",IF(I72&gt;Settings!$B$6,"BUY",IF(I72&lt;-Settings!$B$6,"SELL","HOLD")))</f>
        <v>SELL</v>
      </c>
      <c r="K72" s="139">
        <v>30</v>
      </c>
      <c r="L72" s="123">
        <v>45792</v>
      </c>
      <c r="M72" s="123">
        <v>45791</v>
      </c>
      <c r="N72" s="127">
        <v>96.83</v>
      </c>
      <c r="O72" s="123">
        <v>45792</v>
      </c>
      <c r="P72" s="22">
        <v>94.3</v>
      </c>
      <c r="Q72" s="148">
        <f t="shared" si="11"/>
        <v>-2.6100000000000002E-2</v>
      </c>
      <c r="R72" s="20" t="str">
        <f>IF(OR(N72="",P72=""),"",IF(Q72&gt;Settings!$B$3/100,"UP",IF(Q72&lt;-Settings!$B$3/100,"DOWN","FLAT")))</f>
        <v>DOWN</v>
      </c>
      <c r="S72" s="20" t="str">
        <f t="shared" si="12"/>
        <v>YES</v>
      </c>
      <c r="T72" s="21">
        <f t="shared" si="13"/>
        <v>-1</v>
      </c>
      <c r="U72" s="148">
        <f>IFERROR(IF(OR(J72="",N72="",P72=""),"",IF(T72=0,0,T72*Q72-Settings!$B$4/10000-IF(T72&lt;0,Settings!$B$5/10000,0))),"")</f>
        <v>2.5100000000000001E-2</v>
      </c>
      <c r="V72" s="23"/>
      <c r="W72" s="21">
        <f t="shared" si="14"/>
        <v>1800</v>
      </c>
      <c r="X72" s="91" t="str">
        <f t="shared" si="15"/>
        <v>Walmart|2025|Q1</v>
      </c>
      <c r="Y72" s="91" t="str">
        <f>IFERROR(IF($X72="","",INDEX(LLM_Data_Entry!$H$3:$H$548,MATCH($X72,INDEX(LLM_Data_Entry!$A$3:$A$548&amp;"|"&amp;LLM_Data_Entry!$C$3:$C$548&amp;"|"&amp;LLM_Data_Entry!$D$3:$D$548,0),0))),"")</f>
        <v>SELL</v>
      </c>
      <c r="Z72" s="91" t="str">
        <f>IFERROR(IF($X72="","",INDEX(LLM_Data_Entry!$R$3:$R$548,MATCH($X72,INDEX(LLM_Data_Entry!$A$3:$A$548&amp;"|"&amp;LLM_Data_Entry!$C$3:$C$548&amp;"|"&amp;LLM_Data_Entry!$D$3:$D$548,0),0))),"")</f>
        <v>YES</v>
      </c>
      <c r="AB72" t="s">
        <v>541</v>
      </c>
      <c r="AC72" t="s">
        <v>839</v>
      </c>
      <c r="AD72" t="s">
        <v>840</v>
      </c>
      <c r="AE72">
        <v>96.027100000000004</v>
      </c>
      <c r="AF72" t="s">
        <v>841</v>
      </c>
      <c r="AG72">
        <v>93.518100000000004</v>
      </c>
      <c r="AH72">
        <v>-2.6128224013291849E-2</v>
      </c>
      <c r="AI72" t="s">
        <v>545</v>
      </c>
      <c r="AJ72" t="s">
        <v>554</v>
      </c>
      <c r="AK72">
        <v>2.5128000000000001E-2</v>
      </c>
      <c r="AL72" t="str">
        <f>IF($A72="","",IFERROR(INDEX(Company_List!$G$3:$G$207,MATCH($A72,Company_List!$A$3:$A$207,0)),"unassigned"))</f>
        <v>P2</v>
      </c>
      <c r="AM72" t="s">
        <v>842</v>
      </c>
      <c r="AO72" t="s">
        <v>548</v>
      </c>
      <c r="AP72" t="str">
        <f>IF($A72="","",IF(COUNTIFS(LLM_Data_Entry!$A$3:$A$548,$A72)&gt;0,"YES","NO"))</f>
        <v>YES</v>
      </c>
      <c r="AQ72" t="str">
        <f>IF($A72="","",IF(COUNTIFS($A$3:$A72,$A72,$C$3:$C72,$C72,$D$3:$D72,$D72)=1,"YES","NO"))</f>
        <v>YES</v>
      </c>
      <c r="AR72" t="str">
        <f>IF($A72="","",IF(AND($C72&amp;"-"&amp;$D72&gt;=Settings!$B$19,$C72&amp;"-"&amp;$D72&lt;=Settings!$B$20),"IN","OUT"))</f>
        <v>IN</v>
      </c>
      <c r="AS72" t="str">
        <f t="shared" si="16"/>
        <v>transcript only</v>
      </c>
      <c r="AT72">
        <f t="shared" si="17"/>
        <v>2.5100000000000001E-2</v>
      </c>
      <c r="AU72">
        <f t="shared" si="18"/>
        <v>2.5128000000000001E-2</v>
      </c>
      <c r="AV72">
        <f>IF(ISNUMBER($AT72),ABS(IF(ISNUMBER($I72),$I72,0)-Settings!$B$24),"")</f>
        <v>0.3</v>
      </c>
      <c r="AW72">
        <f t="shared" si="19"/>
        <v>7.5300000000000002E-3</v>
      </c>
      <c r="AX72">
        <f>IF(ISNUMBER($AU72),ABS(IF(ISNUMBER($I72),$I72,0)-Settings!$B$24),"")</f>
        <v>0.3</v>
      </c>
      <c r="AY72" t="s">
        <v>549</v>
      </c>
      <c r="AZ72" t="str">
        <f>IF($A72="","",IFERROR(INDEX(Company_List!$H$3:$H$207,MATCH($A72,Company_List!$A$3:$A$207,0)),"unassigned"))</f>
        <v>Consumer Staples</v>
      </c>
      <c r="BC72">
        <f>IF($A72="","",IF(COUNTIFS($A$3:$A72,$A72,$C$3:$C72,$C72,$D$3:$D72,$D72,$G$3:$G72,$G72)=1,1,0))</f>
        <v>1</v>
      </c>
      <c r="BG72" t="s">
        <v>550</v>
      </c>
      <c r="BK72">
        <f t="shared" si="20"/>
        <v>1</v>
      </c>
      <c r="BL72" t="s">
        <v>551</v>
      </c>
      <c r="BM72">
        <v>1</v>
      </c>
      <c r="BN72" t="s">
        <v>617</v>
      </c>
      <c r="BO72" t="s">
        <v>553</v>
      </c>
      <c r="BP72" t="s">
        <v>550</v>
      </c>
      <c r="BQ72" t="s">
        <v>550</v>
      </c>
      <c r="BS72" t="s">
        <v>554</v>
      </c>
    </row>
    <row r="73" spans="1:71" ht="16.25" customHeight="1" x14ac:dyDescent="0.2">
      <c r="A73" s="95" t="s">
        <v>838</v>
      </c>
      <c r="B73" s="96" t="str">
        <f>IF(A73="","",_xlfn.XLOOKUP(A73, Company_List!$A:$A, Company_List!$B:$B, ""))</f>
        <v>WMT</v>
      </c>
      <c r="C73" s="21">
        <v>2025</v>
      </c>
      <c r="D73" s="20" t="s">
        <v>555</v>
      </c>
      <c r="E73" s="19" t="s">
        <v>647</v>
      </c>
      <c r="F73" s="19" t="s">
        <v>538</v>
      </c>
      <c r="G73" s="20" t="s">
        <v>712</v>
      </c>
      <c r="H73" s="20" t="s">
        <v>540</v>
      </c>
      <c r="I73" s="127">
        <v>0.4</v>
      </c>
      <c r="J73" s="145" t="str">
        <f>IF(OR(I73="",Settings!$B$6=""),"",IF(I73&gt;Settings!$B$6,"BUY",IF(I73&lt;-Settings!$B$6,"SELL","HOLD")))</f>
        <v>BUY</v>
      </c>
      <c r="K73" s="139">
        <v>26</v>
      </c>
      <c r="L73" s="123">
        <v>45890</v>
      </c>
      <c r="M73" s="123">
        <v>45889</v>
      </c>
      <c r="N73" s="127">
        <v>102.57</v>
      </c>
      <c r="O73" s="123">
        <v>45890</v>
      </c>
      <c r="P73" s="22">
        <v>99.41</v>
      </c>
      <c r="Q73" s="148">
        <f t="shared" si="11"/>
        <v>-3.0800000000000001E-2</v>
      </c>
      <c r="R73" s="20" t="str">
        <f>IF(OR(N73="",P73=""),"",IF(Q73&gt;Settings!$B$3/100,"UP",IF(Q73&lt;-Settings!$B$3/100,"DOWN","FLAT")))</f>
        <v>DOWN</v>
      </c>
      <c r="S73" s="20" t="str">
        <f t="shared" si="12"/>
        <v>NO</v>
      </c>
      <c r="T73" s="21">
        <f t="shared" si="13"/>
        <v>1</v>
      </c>
      <c r="U73" s="148">
        <f>IFERROR(IF(OR(J73="",N73="",P73=""),"",IF(T73=0,0,T73*Q73-Settings!$B$4/10000-IF(T73&lt;0,Settings!$B$5/10000,0))),"")</f>
        <v>-3.1800000000000002E-2</v>
      </c>
      <c r="V73" s="23"/>
      <c r="W73" s="21">
        <f t="shared" si="14"/>
        <v>1560</v>
      </c>
      <c r="X73" s="91" t="str">
        <f t="shared" si="15"/>
        <v>Walmart|2025|Q2</v>
      </c>
      <c r="Y73" s="91" t="str">
        <f>IFERROR(IF($X73="","",INDEX(LLM_Data_Entry!$H$3:$H$548,MATCH($X73,INDEX(LLM_Data_Entry!$A$3:$A$548&amp;"|"&amp;LLM_Data_Entry!$C$3:$C$548&amp;"|"&amp;LLM_Data_Entry!$D$3:$D$548,0),0))),"")</f>
        <v>HOLD</v>
      </c>
      <c r="Z73" s="91" t="str">
        <f>IFERROR(IF($X73="","",INDEX(LLM_Data_Entry!$R$3:$R$548,MATCH($X73,INDEX(LLM_Data_Entry!$A$3:$A$548&amp;"|"&amp;LLM_Data_Entry!$C$3:$C$548&amp;"|"&amp;LLM_Data_Entry!$D$3:$D$548,0),0))),"")</f>
        <v>NO</v>
      </c>
      <c r="AB73" t="s">
        <v>541</v>
      </c>
      <c r="AC73" t="s">
        <v>839</v>
      </c>
      <c r="AD73" t="s">
        <v>785</v>
      </c>
      <c r="AE73">
        <v>101.9571</v>
      </c>
      <c r="AF73" t="s">
        <v>843</v>
      </c>
      <c r="AG73">
        <v>98.816000000000003</v>
      </c>
      <c r="AH73">
        <v>-3.0808226466057818E-2</v>
      </c>
      <c r="AI73" t="s">
        <v>545</v>
      </c>
      <c r="AJ73" t="s">
        <v>546</v>
      </c>
      <c r="AK73">
        <v>-3.1808000000000003E-2</v>
      </c>
      <c r="AL73" t="str">
        <f>IF($A73="","",IFERROR(INDEX(Company_List!$G$3:$G$207,MATCH($A73,Company_List!$A$3:$A$207,0)),"unassigned"))</f>
        <v>P2</v>
      </c>
      <c r="AM73" t="s">
        <v>844</v>
      </c>
      <c r="AO73" t="s">
        <v>548</v>
      </c>
      <c r="AP73" t="str">
        <f>IF($A73="","",IF(COUNTIFS(LLM_Data_Entry!$A$3:$A$548,$A73)&gt;0,"YES","NO"))</f>
        <v>YES</v>
      </c>
      <c r="AQ73" t="str">
        <f>IF($A73="","",IF(COUNTIFS($A$3:$A73,$A73,$C$3:$C73,$C73,$D$3:$D73,$D73)=1,"YES","NO"))</f>
        <v>YES</v>
      </c>
      <c r="AR73" t="str">
        <f>IF($A73="","",IF(AND($C73&amp;"-"&amp;$D73&gt;=Settings!$B$19,$C73&amp;"-"&amp;$D73&lt;=Settings!$B$20),"IN","OUT"))</f>
        <v>IN</v>
      </c>
      <c r="AS73" t="str">
        <f t="shared" si="16"/>
        <v>transcript only</v>
      </c>
      <c r="AT73">
        <f t="shared" si="17"/>
        <v>-3.1800000000000002E-2</v>
      </c>
      <c r="AU73">
        <f t="shared" si="18"/>
        <v>-3.1808000000000003E-2</v>
      </c>
      <c r="AV73">
        <f>IF(ISNUMBER($AT73),ABS(IF(ISNUMBER($I73),$I73,0)-Settings!$B$24),"")</f>
        <v>0.4</v>
      </c>
      <c r="AW73">
        <f t="shared" si="19"/>
        <v>-1.2720000000000002E-2</v>
      </c>
      <c r="AX73">
        <f>IF(ISNUMBER($AU73),ABS(IF(ISNUMBER($I73),$I73,0)-Settings!$B$24),"")</f>
        <v>0.4</v>
      </c>
      <c r="AY73" t="s">
        <v>549</v>
      </c>
      <c r="AZ73" t="str">
        <f>IF($A73="","",IFERROR(INDEX(Company_List!$H$3:$H$207,MATCH($A73,Company_List!$A$3:$A$207,0)),"unassigned"))</f>
        <v>Consumer Staples</v>
      </c>
      <c r="BC73">
        <f>IF($A73="","",IF(COUNTIFS($A$3:$A73,$A73,$C$3:$C73,$C73,$D$3:$D73,$D73,$G$3:$G73,$G73)=1,1,0))</f>
        <v>1</v>
      </c>
      <c r="BG73" t="s">
        <v>550</v>
      </c>
      <c r="BK73">
        <f t="shared" si="20"/>
        <v>0</v>
      </c>
      <c r="BL73" t="s">
        <v>551</v>
      </c>
      <c r="BM73">
        <v>1</v>
      </c>
      <c r="BN73" t="s">
        <v>617</v>
      </c>
      <c r="BO73" t="s">
        <v>553</v>
      </c>
      <c r="BP73" t="s">
        <v>550</v>
      </c>
      <c r="BQ73" t="s">
        <v>550</v>
      </c>
      <c r="BS73" t="s">
        <v>554</v>
      </c>
    </row>
    <row r="74" spans="1:71" ht="16.25" customHeight="1" x14ac:dyDescent="0.2">
      <c r="A74" s="95" t="s">
        <v>838</v>
      </c>
      <c r="B74" s="96" t="str">
        <f>IF(A74="","",_xlfn.XLOOKUP(A74, Company_List!$A:$A, Company_List!$B:$B, ""))</f>
        <v>WMT</v>
      </c>
      <c r="C74" s="21">
        <v>2025</v>
      </c>
      <c r="D74" s="20" t="s">
        <v>563</v>
      </c>
      <c r="E74" s="19" t="s">
        <v>647</v>
      </c>
      <c r="F74" s="19" t="s">
        <v>538</v>
      </c>
      <c r="G74" s="20" t="s">
        <v>712</v>
      </c>
      <c r="H74" s="20" t="s">
        <v>540</v>
      </c>
      <c r="I74" s="127">
        <v>0.5</v>
      </c>
      <c r="J74" s="145" t="str">
        <f>IF(OR(I74="",Settings!$B$6=""),"",IF(I74&gt;Settings!$B$6,"BUY",IF(I74&lt;-Settings!$B$6,"SELL","HOLD")))</f>
        <v>BUY</v>
      </c>
      <c r="K74" s="139">
        <v>24</v>
      </c>
      <c r="L74" s="123">
        <v>45981</v>
      </c>
      <c r="M74" s="123">
        <v>45980</v>
      </c>
      <c r="N74" s="127">
        <v>100.61</v>
      </c>
      <c r="O74" s="123">
        <v>45981</v>
      </c>
      <c r="P74" s="22">
        <v>103.94</v>
      </c>
      <c r="Q74" s="148">
        <f t="shared" si="11"/>
        <v>3.3099999999999997E-2</v>
      </c>
      <c r="R74" s="20" t="str">
        <f>IF(OR(N74="",P74=""),"",IF(Q74&gt;Settings!$B$3/100,"UP",IF(Q74&lt;-Settings!$B$3/100,"DOWN","FLAT")))</f>
        <v>UP</v>
      </c>
      <c r="S74" s="20" t="str">
        <f t="shared" si="12"/>
        <v>YES</v>
      </c>
      <c r="T74" s="21">
        <f t="shared" si="13"/>
        <v>1</v>
      </c>
      <c r="U74" s="148">
        <f>IFERROR(IF(OR(J74="",N74="",P74=""),"",IF(T74=0,0,T74*Q74-Settings!$B$4/10000-IF(T74&lt;0,Settings!$B$5/10000,0))),"")</f>
        <v>3.2099999999999997E-2</v>
      </c>
      <c r="V74" s="23"/>
      <c r="W74" s="21">
        <f t="shared" si="14"/>
        <v>1440</v>
      </c>
      <c r="X74" s="91" t="str">
        <f t="shared" si="15"/>
        <v>Walmart|2025|Q3</v>
      </c>
      <c r="Y74" s="91" t="str">
        <f>IFERROR(IF($X74="","",INDEX(LLM_Data_Entry!$H$3:$H$548,MATCH($X74,INDEX(LLM_Data_Entry!$A$3:$A$548&amp;"|"&amp;LLM_Data_Entry!$C$3:$C$548&amp;"|"&amp;LLM_Data_Entry!$D$3:$D$548,0),0))),"")</f>
        <v>BUY</v>
      </c>
      <c r="Z74" s="91" t="str">
        <f>IFERROR(IF($X74="","",INDEX(LLM_Data_Entry!$R$3:$R$548,MATCH($X74,INDEX(LLM_Data_Entry!$A$3:$A$548&amp;"|"&amp;LLM_Data_Entry!$C$3:$C$548&amp;"|"&amp;LLM_Data_Entry!$D$3:$D$548,0),0))),"")</f>
        <v>YES</v>
      </c>
      <c r="AB74" t="s">
        <v>541</v>
      </c>
      <c r="AC74" t="s">
        <v>839</v>
      </c>
      <c r="AD74" t="s">
        <v>606</v>
      </c>
      <c r="AE74">
        <v>100.00879999999999</v>
      </c>
      <c r="AF74" t="s">
        <v>607</v>
      </c>
      <c r="AG74">
        <v>103.3189</v>
      </c>
      <c r="AH74">
        <v>3.3098158469423537E-2</v>
      </c>
      <c r="AI74" t="s">
        <v>591</v>
      </c>
      <c r="AJ74" t="s">
        <v>554</v>
      </c>
      <c r="AK74">
        <v>3.2098000000000002E-2</v>
      </c>
      <c r="AL74" t="str">
        <f>IF($A74="","",IFERROR(INDEX(Company_List!$G$3:$G$207,MATCH($A74,Company_List!$A$3:$A$207,0)),"unassigned"))</f>
        <v>P2</v>
      </c>
      <c r="AM74" t="s">
        <v>845</v>
      </c>
      <c r="AO74" t="s">
        <v>548</v>
      </c>
      <c r="AP74" t="str">
        <f>IF($A74="","",IF(COUNTIFS(LLM_Data_Entry!$A$3:$A$548,$A74)&gt;0,"YES","NO"))</f>
        <v>YES</v>
      </c>
      <c r="AQ74" t="str">
        <f>IF($A74="","",IF(COUNTIFS($A$3:$A74,$A74,$C$3:$C74,$C74,$D$3:$D74,$D74)=1,"YES","NO"))</f>
        <v>YES</v>
      </c>
      <c r="AR74" t="str">
        <f>IF($A74="","",IF(AND($C74&amp;"-"&amp;$D74&gt;=Settings!$B$19,$C74&amp;"-"&amp;$D74&lt;=Settings!$B$20),"IN","OUT"))</f>
        <v>IN</v>
      </c>
      <c r="AS74" t="str">
        <f t="shared" si="16"/>
        <v>transcript only</v>
      </c>
      <c r="AT74">
        <f t="shared" si="17"/>
        <v>3.2099999999999997E-2</v>
      </c>
      <c r="AU74">
        <f t="shared" si="18"/>
        <v>3.2098000000000002E-2</v>
      </c>
      <c r="AV74">
        <f>IF(ISNUMBER($AT74),ABS(IF(ISNUMBER($I74),$I74,0)-Settings!$B$24),"")</f>
        <v>0.5</v>
      </c>
      <c r="AW74">
        <f t="shared" si="19"/>
        <v>1.6049999999999998E-2</v>
      </c>
      <c r="AX74">
        <f>IF(ISNUMBER($AU74),ABS(IF(ISNUMBER($I74),$I74,0)-Settings!$B$24),"")</f>
        <v>0.5</v>
      </c>
      <c r="AY74" t="s">
        <v>549</v>
      </c>
      <c r="AZ74" t="str">
        <f>IF($A74="","",IFERROR(INDEX(Company_List!$H$3:$H$207,MATCH($A74,Company_List!$A$3:$A$207,0)),"unassigned"))</f>
        <v>Consumer Staples</v>
      </c>
      <c r="BC74">
        <f>IF($A74="","",IF(COUNTIFS($A$3:$A74,$A74,$C$3:$C74,$C74,$D$3:$D74,$D74,$G$3:$G74,$G74)=1,1,0))</f>
        <v>1</v>
      </c>
      <c r="BG74" t="s">
        <v>550</v>
      </c>
      <c r="BK74">
        <f t="shared" si="20"/>
        <v>1</v>
      </c>
      <c r="BL74" t="s">
        <v>551</v>
      </c>
      <c r="BM74">
        <v>1</v>
      </c>
      <c r="BN74" t="s">
        <v>617</v>
      </c>
      <c r="BO74" t="s">
        <v>553</v>
      </c>
      <c r="BP74" t="s">
        <v>550</v>
      </c>
      <c r="BQ74" t="s">
        <v>550</v>
      </c>
      <c r="BS74" t="s">
        <v>554</v>
      </c>
    </row>
    <row r="75" spans="1:71" ht="16.25" customHeight="1" x14ac:dyDescent="0.2">
      <c r="A75" s="95" t="s">
        <v>838</v>
      </c>
      <c r="B75" s="96" t="str">
        <f>IF(A75="","",_xlfn.XLOOKUP(A75, Company_List!$A:$A, Company_List!$B:$B, ""))</f>
        <v>WMT</v>
      </c>
      <c r="C75" s="21">
        <v>2025</v>
      </c>
      <c r="D75" s="20" t="s">
        <v>569</v>
      </c>
      <c r="E75" s="19" t="s">
        <v>647</v>
      </c>
      <c r="F75" s="19" t="s">
        <v>538</v>
      </c>
      <c r="G75" s="20" t="s">
        <v>712</v>
      </c>
      <c r="H75" s="20" t="s">
        <v>540</v>
      </c>
      <c r="I75" s="127">
        <v>0.7</v>
      </c>
      <c r="J75" s="145" t="str">
        <f>IF(OR(I75="",Settings!$B$6=""),"",IF(I75&gt;Settings!$B$6,"BUY",IF(I75&lt;-Settings!$B$6,"SELL","HOLD")))</f>
        <v>BUY</v>
      </c>
      <c r="K75" s="139">
        <v>21</v>
      </c>
      <c r="L75" s="123">
        <v>46072</v>
      </c>
      <c r="M75" s="123">
        <v>46071</v>
      </c>
      <c r="N75" s="127">
        <v>126.62</v>
      </c>
      <c r="O75" s="123">
        <v>46072</v>
      </c>
      <c r="P75" s="22">
        <v>128.5</v>
      </c>
      <c r="Q75" s="148">
        <f t="shared" si="11"/>
        <v>1.4800000000000001E-2</v>
      </c>
      <c r="R75" s="20" t="str">
        <f>IF(OR(N75="",P75=""),"",IF(Q75&gt;Settings!$B$3/100,"UP",IF(Q75&lt;-Settings!$B$3/100,"DOWN","FLAT")))</f>
        <v>FLAT</v>
      </c>
      <c r="S75" s="20" t="str">
        <f t="shared" si="12"/>
        <v>NO</v>
      </c>
      <c r="T75" s="21">
        <f t="shared" si="13"/>
        <v>1</v>
      </c>
      <c r="U75" s="148">
        <f>IFERROR(IF(OR(J75="",N75="",P75=""),"",IF(T75=0,0,T75*Q75-Settings!$B$4/10000-IF(T75&lt;0,Settings!$B$5/10000,0))),"")</f>
        <v>1.38E-2</v>
      </c>
      <c r="V75" s="23"/>
      <c r="W75" s="21">
        <f t="shared" si="14"/>
        <v>1260</v>
      </c>
      <c r="X75" s="91" t="str">
        <f t="shared" si="15"/>
        <v>Walmart|2025|Q4</v>
      </c>
      <c r="Y75" s="91" t="str">
        <f>IFERROR(IF($X75="","",INDEX(LLM_Data_Entry!$H$3:$H$548,MATCH($X75,INDEX(LLM_Data_Entry!$A$3:$A$548&amp;"|"&amp;LLM_Data_Entry!$C$3:$C$548&amp;"|"&amp;LLM_Data_Entry!$D$3:$D$548,0),0))),"")</f>
        <v>HOLD</v>
      </c>
      <c r="Z75" s="91" t="str">
        <f>IFERROR(IF($X75="","",INDEX(LLM_Data_Entry!$R$3:$R$548,MATCH($X75,INDEX(LLM_Data_Entry!$A$3:$A$548&amp;"|"&amp;LLM_Data_Entry!$C$3:$C$548&amp;"|"&amp;LLM_Data_Entry!$D$3:$D$548,0),0))),"")</f>
        <v>YES</v>
      </c>
      <c r="AB75" t="s">
        <v>541</v>
      </c>
      <c r="AC75" t="s">
        <v>839</v>
      </c>
      <c r="AD75" t="s">
        <v>846</v>
      </c>
      <c r="AE75">
        <v>126.12</v>
      </c>
      <c r="AF75" t="s">
        <v>847</v>
      </c>
      <c r="AG75">
        <v>127.9926</v>
      </c>
      <c r="AH75">
        <v>1.484756150853842E-2</v>
      </c>
      <c r="AI75" t="s">
        <v>579</v>
      </c>
      <c r="AJ75" t="s">
        <v>546</v>
      </c>
      <c r="AK75">
        <v>1.3847999999999999E-2</v>
      </c>
      <c r="AL75" t="str">
        <f>IF($A75="","",IFERROR(INDEX(Company_List!$G$3:$G$207,MATCH($A75,Company_List!$A$3:$A$207,0)),"unassigned"))</f>
        <v>P2</v>
      </c>
      <c r="AM75" t="s">
        <v>848</v>
      </c>
      <c r="AO75" t="s">
        <v>548</v>
      </c>
      <c r="AP75" t="str">
        <f>IF($A75="","",IF(COUNTIFS(LLM_Data_Entry!$A$3:$A$548,$A75)&gt;0,"YES","NO"))</f>
        <v>YES</v>
      </c>
      <c r="AQ75" t="str">
        <f>IF($A75="","",IF(COUNTIFS($A$3:$A75,$A75,$C$3:$C75,$C75,$D$3:$D75,$D75)=1,"YES","NO"))</f>
        <v>YES</v>
      </c>
      <c r="AR75" t="str">
        <f>IF($A75="","",IF(AND($C75&amp;"-"&amp;$D75&gt;=Settings!$B$19,$C75&amp;"-"&amp;$D75&lt;=Settings!$B$20),"IN","OUT"))</f>
        <v>IN</v>
      </c>
      <c r="AS75" t="str">
        <f t="shared" si="16"/>
        <v>transcript only</v>
      </c>
      <c r="AT75">
        <f t="shared" si="17"/>
        <v>1.38E-2</v>
      </c>
      <c r="AU75">
        <f t="shared" si="18"/>
        <v>1.3847999999999999E-2</v>
      </c>
      <c r="AV75">
        <f>IF(ISNUMBER($AT75),ABS(IF(ISNUMBER($I75),$I75,0)-Settings!$B$24),"")</f>
        <v>0.7</v>
      </c>
      <c r="AW75">
        <f t="shared" si="19"/>
        <v>9.6599999999999984E-3</v>
      </c>
      <c r="AX75">
        <f>IF(ISNUMBER($AU75),ABS(IF(ISNUMBER($I75),$I75,0)-Settings!$B$24),"")</f>
        <v>0.7</v>
      </c>
      <c r="AY75" t="s">
        <v>549</v>
      </c>
      <c r="AZ75" t="str">
        <f>IF($A75="","",IFERROR(INDEX(Company_List!$H$3:$H$207,MATCH($A75,Company_List!$A$3:$A$207,0)),"unassigned"))</f>
        <v>Consumer Staples</v>
      </c>
      <c r="BC75">
        <f>IF($A75="","",IF(COUNTIFS($A$3:$A75,$A75,$C$3:$C75,$C75,$D$3:$D75,$D75,$G$3:$G75,$G75)=1,1,0))</f>
        <v>1</v>
      </c>
      <c r="BG75" t="s">
        <v>550</v>
      </c>
      <c r="BK75">
        <f t="shared" si="20"/>
        <v>0</v>
      </c>
      <c r="BL75" t="s">
        <v>551</v>
      </c>
      <c r="BM75">
        <v>1</v>
      </c>
      <c r="BN75" t="s">
        <v>617</v>
      </c>
      <c r="BO75" t="s">
        <v>553</v>
      </c>
      <c r="BP75" t="s">
        <v>550</v>
      </c>
      <c r="BQ75" t="s">
        <v>550</v>
      </c>
      <c r="BS75" t="s">
        <v>554</v>
      </c>
    </row>
    <row r="76" spans="1:71" ht="16.25" customHeight="1" x14ac:dyDescent="0.2">
      <c r="A76" s="95" t="s">
        <v>838</v>
      </c>
      <c r="B76" s="96" t="str">
        <f>IF(A76="","",_xlfn.XLOOKUP(A76, Company_List!$A:$A, Company_List!$B:$B, ""))</f>
        <v>WMT</v>
      </c>
      <c r="C76" s="21">
        <v>2026</v>
      </c>
      <c r="D76" s="20" t="s">
        <v>537</v>
      </c>
      <c r="E76" s="19" t="s">
        <v>647</v>
      </c>
      <c r="F76" s="19" t="s">
        <v>538</v>
      </c>
      <c r="G76" s="20" t="s">
        <v>712</v>
      </c>
      <c r="H76" s="20" t="s">
        <v>540</v>
      </c>
      <c r="I76" s="127">
        <v>-0.5</v>
      </c>
      <c r="J76" s="145" t="str">
        <f>IF(OR(I76="",Settings!$B$6=""),"",IF(I76&gt;Settings!$B$6,"BUY",IF(I76&lt;-Settings!$B$6,"SELL","HOLD")))</f>
        <v>SELL</v>
      </c>
      <c r="K76" s="139">
        <v>27</v>
      </c>
      <c r="L76" s="123">
        <v>46163</v>
      </c>
      <c r="M76" s="123">
        <v>46162</v>
      </c>
      <c r="N76" s="127">
        <v>130.85</v>
      </c>
      <c r="O76" s="123">
        <v>46163</v>
      </c>
      <c r="P76" s="22">
        <v>124.41</v>
      </c>
      <c r="Q76" s="148">
        <f t="shared" si="11"/>
        <v>-4.9200000000000001E-2</v>
      </c>
      <c r="R76" s="20" t="str">
        <f>IF(OR(N76="",P76=""),"",IF(Q76&gt;Settings!$B$3/100,"UP",IF(Q76&lt;-Settings!$B$3/100,"DOWN","FLAT")))</f>
        <v>DOWN</v>
      </c>
      <c r="S76" s="20" t="str">
        <f t="shared" si="12"/>
        <v>YES</v>
      </c>
      <c r="T76" s="21">
        <f t="shared" si="13"/>
        <v>-1</v>
      </c>
      <c r="U76" s="148">
        <f>IFERROR(IF(OR(J76="",N76="",P76=""),"",IF(T76=0,0,T76*Q76-Settings!$B$4/10000-IF(T76&lt;0,Settings!$B$5/10000,0))),"")</f>
        <v>4.82E-2</v>
      </c>
      <c r="V76" s="23"/>
      <c r="W76" s="21">
        <f t="shared" si="14"/>
        <v>1620</v>
      </c>
      <c r="X76" s="91" t="str">
        <f t="shared" si="15"/>
        <v>Walmart|2026|Q1</v>
      </c>
      <c r="Y76" s="91" t="str">
        <f>IFERROR(IF($X76="","",INDEX(LLM_Data_Entry!$H$3:$H$548,MATCH($X76,INDEX(LLM_Data_Entry!$A$3:$A$548&amp;"|"&amp;LLM_Data_Entry!$C$3:$C$548&amp;"|"&amp;LLM_Data_Entry!$D$3:$D$548,0),0))),"")</f>
        <v>SELL</v>
      </c>
      <c r="Z76" s="91" t="str">
        <f>IFERROR(IF($X76="","",INDEX(LLM_Data_Entry!$R$3:$R$548,MATCH($X76,INDEX(LLM_Data_Entry!$A$3:$A$548&amp;"|"&amp;LLM_Data_Entry!$C$3:$C$548&amp;"|"&amp;LLM_Data_Entry!$D$3:$D$548,0),0))),"")</f>
        <v>YES</v>
      </c>
      <c r="AB76" t="s">
        <v>685</v>
      </c>
      <c r="AC76" t="s">
        <v>839</v>
      </c>
      <c r="AD76" t="s">
        <v>797</v>
      </c>
      <c r="AE76">
        <v>130.85</v>
      </c>
      <c r="AF76" t="s">
        <v>849</v>
      </c>
      <c r="AG76">
        <v>124.41</v>
      </c>
      <c r="AH76">
        <v>-4.9216673325945481E-2</v>
      </c>
      <c r="AI76" t="s">
        <v>545</v>
      </c>
      <c r="AJ76" t="s">
        <v>554</v>
      </c>
      <c r="AK76">
        <v>4.8217000000000003E-2</v>
      </c>
      <c r="AL76" t="str">
        <f>IF($A76="","",IFERROR(INDEX(Company_List!$G$3:$G$207,MATCH($A76,Company_List!$A$3:$A$207,0)),"unassigned"))</f>
        <v>P2</v>
      </c>
      <c r="AM76" t="s">
        <v>850</v>
      </c>
      <c r="AO76" t="s">
        <v>548</v>
      </c>
      <c r="AP76" t="str">
        <f>IF($A76="","",IF(COUNTIFS(LLM_Data_Entry!$A$3:$A$548,$A76)&gt;0,"YES","NO"))</f>
        <v>YES</v>
      </c>
      <c r="AQ76" t="str">
        <f>IF($A76="","",IF(COUNTIFS($A$3:$A76,$A76,$C$3:$C76,$C76,$D$3:$D76,$D76)=1,"YES","NO"))</f>
        <v>YES</v>
      </c>
      <c r="AR76" t="str">
        <f>IF($A76="","",IF(AND($C76&amp;"-"&amp;$D76&gt;=Settings!$B$19,$C76&amp;"-"&amp;$D76&lt;=Settings!$B$20),"IN","OUT"))</f>
        <v>IN</v>
      </c>
      <c r="AS76" t="str">
        <f t="shared" si="16"/>
        <v>transcript only</v>
      </c>
      <c r="AT76">
        <f t="shared" si="17"/>
        <v>4.82E-2</v>
      </c>
      <c r="AU76">
        <f t="shared" si="18"/>
        <v>4.8217000000000003E-2</v>
      </c>
      <c r="AV76">
        <f>IF(ISNUMBER($AT76),ABS(IF(ISNUMBER($I76),$I76,0)-Settings!$B$24),"")</f>
        <v>0.5</v>
      </c>
      <c r="AW76">
        <f t="shared" si="19"/>
        <v>2.41E-2</v>
      </c>
      <c r="AX76">
        <f>IF(ISNUMBER($AU76),ABS(IF(ISNUMBER($I76),$I76,0)-Settings!$B$24),"")</f>
        <v>0.5</v>
      </c>
      <c r="AY76" t="s">
        <v>549</v>
      </c>
      <c r="AZ76" t="str">
        <f>IF($A76="","",IFERROR(INDEX(Company_List!$H$3:$H$207,MATCH($A76,Company_List!$A$3:$A$207,0)),"unassigned"))</f>
        <v>Consumer Staples</v>
      </c>
      <c r="BC76">
        <f>IF($A76="","",IF(COUNTIFS($A$3:$A76,$A76,$C$3:$C76,$C76,$D$3:$D76,$D76,$G$3:$G76,$G76)=1,1,0))</f>
        <v>1</v>
      </c>
      <c r="BG76" t="s">
        <v>550</v>
      </c>
      <c r="BK76">
        <f t="shared" si="20"/>
        <v>1</v>
      </c>
      <c r="BL76" t="s">
        <v>551</v>
      </c>
      <c r="BM76">
        <v>1</v>
      </c>
      <c r="BN76" t="s">
        <v>617</v>
      </c>
      <c r="BO76" t="s">
        <v>553</v>
      </c>
      <c r="BP76" t="s">
        <v>550</v>
      </c>
      <c r="BQ76" t="s">
        <v>550</v>
      </c>
      <c r="BS76" t="s">
        <v>554</v>
      </c>
    </row>
    <row r="77" spans="1:71" ht="16.25" customHeight="1" x14ac:dyDescent="0.2">
      <c r="A77" s="95" t="s">
        <v>851</v>
      </c>
      <c r="B77" s="96" t="str">
        <f>IF(A77="","",_xlfn.XLOOKUP(A77, Company_List!$A:$A, Company_List!$B:$B, ""))</f>
        <v>C</v>
      </c>
      <c r="C77" s="21">
        <v>2025</v>
      </c>
      <c r="D77" s="20" t="s">
        <v>537</v>
      </c>
      <c r="E77" s="19" t="s">
        <v>538</v>
      </c>
      <c r="F77" s="19" t="s">
        <v>538</v>
      </c>
      <c r="G77" s="20" t="s">
        <v>610</v>
      </c>
      <c r="H77" s="20" t="s">
        <v>540</v>
      </c>
      <c r="I77" s="127">
        <v>0.6</v>
      </c>
      <c r="J77" s="145" t="str">
        <f>IF(OR(I77="",Settings!$B$6=""),"",IF(I77&gt;Settings!$B$6,"BUY",IF(I77&lt;-Settings!$B$6,"SELL","HOLD")))</f>
        <v>BUY</v>
      </c>
      <c r="K77" s="139">
        <v>38</v>
      </c>
      <c r="L77" s="123">
        <v>45762</v>
      </c>
      <c r="M77" s="123">
        <v>45761</v>
      </c>
      <c r="N77" s="127">
        <v>63.22</v>
      </c>
      <c r="O77" s="123">
        <v>45762</v>
      </c>
      <c r="P77" s="22">
        <v>64.19</v>
      </c>
      <c r="Q77" s="148">
        <f t="shared" si="11"/>
        <v>1.5299999999999999E-2</v>
      </c>
      <c r="R77" s="20" t="str">
        <f>IF(OR(N77="",P77=""),"",IF(Q77&gt;Settings!$B$3/100,"UP",IF(Q77&lt;-Settings!$B$3/100,"DOWN","FLAT")))</f>
        <v>FLAT</v>
      </c>
      <c r="S77" s="20" t="str">
        <f t="shared" si="12"/>
        <v>NO</v>
      </c>
      <c r="T77" s="21">
        <f t="shared" si="13"/>
        <v>1</v>
      </c>
      <c r="U77" s="148">
        <f>IFERROR(IF(OR(J77="",N77="",P77=""),"",IF(T77=0,0,T77*Q77-Settings!$B$4/10000-IF(T77&lt;0,Settings!$B$5/10000,0))),"")</f>
        <v>1.43E-2</v>
      </c>
      <c r="V77" s="23" t="s">
        <v>852</v>
      </c>
      <c r="W77" s="21">
        <f t="shared" si="14"/>
        <v>2280</v>
      </c>
      <c r="X77" s="91" t="str">
        <f t="shared" si="15"/>
        <v>Citigroup|2025|Q1</v>
      </c>
      <c r="Y77" s="91" t="str">
        <f>IFERROR(IF($X77="","",INDEX(LLM_Data_Entry!$H$3:$H$548,MATCH($X77,INDEX(LLM_Data_Entry!$A$3:$A$548&amp;"|"&amp;LLM_Data_Entry!$C$3:$C$548&amp;"|"&amp;LLM_Data_Entry!$D$3:$D$548,0),0))),"")</f>
        <v>SELL</v>
      </c>
      <c r="Z77" s="91" t="str">
        <f>IFERROR(IF($X77="","",INDEX(LLM_Data_Entry!$R$3:$R$548,MATCH($X77,INDEX(LLM_Data_Entry!$A$3:$A$548&amp;"|"&amp;LLM_Data_Entry!$C$3:$C$548&amp;"|"&amp;LLM_Data_Entry!$D$3:$D$548,0),0))),"")</f>
        <v>NO</v>
      </c>
      <c r="AB77" t="s">
        <v>853</v>
      </c>
      <c r="AC77" t="s">
        <v>854</v>
      </c>
      <c r="AD77" t="s">
        <v>714</v>
      </c>
      <c r="AE77">
        <v>61.017899999999997</v>
      </c>
      <c r="AF77" t="s">
        <v>715</v>
      </c>
      <c r="AG77">
        <v>61.954099999999997</v>
      </c>
      <c r="AH77">
        <v>1.534335565834782E-2</v>
      </c>
      <c r="AI77" t="s">
        <v>579</v>
      </c>
      <c r="AJ77" t="s">
        <v>546</v>
      </c>
      <c r="AK77">
        <v>1.4343E-2</v>
      </c>
      <c r="AL77" t="str">
        <f>IF($A77="","",IFERROR(INDEX(Company_List!$G$3:$G$207,MATCH($A77,Company_List!$A$3:$A$207,0)),"unassigned"))</f>
        <v>P2</v>
      </c>
      <c r="AM77" t="s">
        <v>855</v>
      </c>
      <c r="AO77" t="s">
        <v>593</v>
      </c>
      <c r="AP77" t="str">
        <f>IF($A77="","",IF(COUNTIFS(LLM_Data_Entry!$A$3:$A$548,$A77)&gt;0,"YES","NO"))</f>
        <v>YES</v>
      </c>
      <c r="AQ77" t="str">
        <f>IF($A77="","",IF(COUNTIFS($A$3:$A77,$A77,$C$3:$C77,$C77,$D$3:$D77,$D77)=1,"YES","NO"))</f>
        <v>YES</v>
      </c>
      <c r="AR77" t="str">
        <f>IF($A77="","",IF(AND($C77&amp;"-"&amp;$D77&gt;=Settings!$B$19,$C77&amp;"-"&amp;$D77&lt;=Settings!$B$20),"IN","OUT"))</f>
        <v>IN</v>
      </c>
      <c r="AS77" t="str">
        <f t="shared" si="16"/>
        <v>full</v>
      </c>
      <c r="AT77">
        <f t="shared" si="17"/>
        <v>1.43E-2</v>
      </c>
      <c r="AU77">
        <f t="shared" si="18"/>
        <v>1.4343E-2</v>
      </c>
      <c r="AV77">
        <f>IF(ISNUMBER($AT77),ABS(IF(ISNUMBER($I77),$I77,0)-Settings!$B$24),"")</f>
        <v>0.6</v>
      </c>
      <c r="AW77">
        <f t="shared" si="19"/>
        <v>8.5799999999999991E-3</v>
      </c>
      <c r="AX77">
        <f>IF(ISNUMBER($AU77),ABS(IF(ISNUMBER($I77),$I77,0)-Settings!$B$24),"")</f>
        <v>0.6</v>
      </c>
      <c r="AY77" t="s">
        <v>549</v>
      </c>
      <c r="AZ77" t="str">
        <f>IF($A77="","",IFERROR(INDEX(Company_List!$H$3:$H$207,MATCH($A77,Company_List!$A$3:$A$207,0)),"unassigned"))</f>
        <v>Financials</v>
      </c>
      <c r="BC77">
        <f>IF($A77="","",IF(COUNTIFS($A$3:$A77,$A77,$C$3:$C77,$C77,$D$3:$D77,$D77,$G$3:$G77,$G77)=1,1,0))</f>
        <v>1</v>
      </c>
      <c r="BG77" t="s">
        <v>550</v>
      </c>
      <c r="BK77">
        <f t="shared" si="20"/>
        <v>0</v>
      </c>
      <c r="BL77" t="s">
        <v>551</v>
      </c>
      <c r="BM77">
        <v>3</v>
      </c>
      <c r="BN77" t="s">
        <v>561</v>
      </c>
      <c r="BO77" t="s">
        <v>561</v>
      </c>
      <c r="BP77" t="s">
        <v>550</v>
      </c>
      <c r="BQ77" t="s">
        <v>550</v>
      </c>
      <c r="BS77" t="s">
        <v>554</v>
      </c>
    </row>
    <row r="78" spans="1:71" ht="16.25" customHeight="1" x14ac:dyDescent="0.2">
      <c r="A78" s="95" t="s">
        <v>851</v>
      </c>
      <c r="B78" s="96" t="str">
        <f>IF(A78="","",_xlfn.XLOOKUP(A78, Company_List!$A:$A, Company_List!$B:$B, ""))</f>
        <v>C</v>
      </c>
      <c r="C78" s="21">
        <v>2025</v>
      </c>
      <c r="D78" s="20" t="s">
        <v>555</v>
      </c>
      <c r="E78" s="19" t="s">
        <v>538</v>
      </c>
      <c r="F78" s="19" t="s">
        <v>538</v>
      </c>
      <c r="G78" s="20" t="s">
        <v>610</v>
      </c>
      <c r="H78" s="20" t="s">
        <v>540</v>
      </c>
      <c r="I78" s="127">
        <v>0.4</v>
      </c>
      <c r="J78" s="145" t="str">
        <f>IF(OR(I78="",Settings!$B$6=""),"",IF(I78&gt;Settings!$B$6,"BUY",IF(I78&lt;-Settings!$B$6,"SELL","HOLD")))</f>
        <v>BUY</v>
      </c>
      <c r="K78" s="139">
        <v>25</v>
      </c>
      <c r="L78" s="123">
        <v>45853</v>
      </c>
      <c r="M78" s="123">
        <v>45852</v>
      </c>
      <c r="N78" s="127">
        <v>87.5</v>
      </c>
      <c r="O78" s="123">
        <v>45853</v>
      </c>
      <c r="P78" s="22">
        <v>88.65</v>
      </c>
      <c r="Q78" s="148">
        <f t="shared" si="11"/>
        <v>1.3100000000000001E-2</v>
      </c>
      <c r="R78" s="20" t="str">
        <f>IF(OR(N78="",P78=""),"",IF(Q78&gt;Settings!$B$3/100,"UP",IF(Q78&lt;-Settings!$B$3/100,"DOWN","FLAT")))</f>
        <v>FLAT</v>
      </c>
      <c r="S78" s="20" t="str">
        <f t="shared" si="12"/>
        <v>NO</v>
      </c>
      <c r="T78" s="21">
        <f t="shared" si="13"/>
        <v>1</v>
      </c>
      <c r="U78" s="148">
        <f>IFERROR(IF(OR(J78="",N78="",P78=""),"",IF(T78=0,0,T78*Q78-Settings!$B$4/10000-IF(T78&lt;0,Settings!$B$5/10000,0))),"")</f>
        <v>1.21E-2</v>
      </c>
      <c r="V78" s="23" t="s">
        <v>856</v>
      </c>
      <c r="W78" s="21">
        <f t="shared" si="14"/>
        <v>1500</v>
      </c>
      <c r="X78" s="91" t="str">
        <f t="shared" si="15"/>
        <v>Citigroup|2025|Q2</v>
      </c>
      <c r="Y78" s="91" t="str">
        <f>IFERROR(IF($X78="","",INDEX(LLM_Data_Entry!$H$3:$H$548,MATCH($X78,INDEX(LLM_Data_Entry!$A$3:$A$548&amp;"|"&amp;LLM_Data_Entry!$C$3:$C$548&amp;"|"&amp;LLM_Data_Entry!$D$3:$D$548,0),0))),"")</f>
        <v>HOLD</v>
      </c>
      <c r="Z78" s="91" t="str">
        <f>IFERROR(IF($X78="","",INDEX(LLM_Data_Entry!$R$3:$R$548,MATCH($X78,INDEX(LLM_Data_Entry!$A$3:$A$548&amp;"|"&amp;LLM_Data_Entry!$C$3:$C$548&amp;"|"&amp;LLM_Data_Entry!$D$3:$D$548,0),0))),"")</f>
        <v>YES</v>
      </c>
      <c r="AB78" t="s">
        <v>748</v>
      </c>
      <c r="AC78" t="s">
        <v>854</v>
      </c>
      <c r="AD78" t="s">
        <v>718</v>
      </c>
      <c r="AE78">
        <v>85.127399999999994</v>
      </c>
      <c r="AF78" t="s">
        <v>719</v>
      </c>
      <c r="AG78">
        <v>86.246300000000005</v>
      </c>
      <c r="AH78">
        <v>1.314288227646826E-2</v>
      </c>
      <c r="AI78" t="s">
        <v>579</v>
      </c>
      <c r="AJ78" t="s">
        <v>546</v>
      </c>
      <c r="AK78">
        <v>1.2142999999999999E-2</v>
      </c>
      <c r="AL78" t="str">
        <f>IF($A78="","",IFERROR(INDEX(Company_List!$G$3:$G$207,MATCH($A78,Company_List!$A$3:$A$207,0)),"unassigned"))</f>
        <v>P2</v>
      </c>
      <c r="AM78" t="s">
        <v>857</v>
      </c>
      <c r="AO78" t="s">
        <v>593</v>
      </c>
      <c r="AP78" t="str">
        <f>IF($A78="","",IF(COUNTIFS(LLM_Data_Entry!$A$3:$A$548,$A78)&gt;0,"YES","NO"))</f>
        <v>YES</v>
      </c>
      <c r="AQ78" t="str">
        <f>IF($A78="","",IF(COUNTIFS($A$3:$A78,$A78,$C$3:$C78,$C78,$D$3:$D78,$D78)=1,"YES","NO"))</f>
        <v>YES</v>
      </c>
      <c r="AR78" t="str">
        <f>IF($A78="","",IF(AND($C78&amp;"-"&amp;$D78&gt;=Settings!$B$19,$C78&amp;"-"&amp;$D78&lt;=Settings!$B$20),"IN","OUT"))</f>
        <v>IN</v>
      </c>
      <c r="AS78" t="str">
        <f t="shared" si="16"/>
        <v>full</v>
      </c>
      <c r="AT78">
        <f t="shared" si="17"/>
        <v>1.21E-2</v>
      </c>
      <c r="AU78">
        <f t="shared" si="18"/>
        <v>1.2142999999999999E-2</v>
      </c>
      <c r="AV78">
        <f>IF(ISNUMBER($AT78),ABS(IF(ISNUMBER($I78),$I78,0)-Settings!$B$24),"")</f>
        <v>0.4</v>
      </c>
      <c r="AW78">
        <f t="shared" si="19"/>
        <v>4.8400000000000006E-3</v>
      </c>
      <c r="AX78">
        <f>IF(ISNUMBER($AU78),ABS(IF(ISNUMBER($I78),$I78,0)-Settings!$B$24),"")</f>
        <v>0.4</v>
      </c>
      <c r="AY78" t="s">
        <v>549</v>
      </c>
      <c r="AZ78" t="str">
        <f>IF($A78="","",IFERROR(INDEX(Company_List!$H$3:$H$207,MATCH($A78,Company_List!$A$3:$A$207,0)),"unassigned"))</f>
        <v>Financials</v>
      </c>
      <c r="BC78">
        <f>IF($A78="","",IF(COUNTIFS($A$3:$A78,$A78,$C$3:$C78,$C78,$D$3:$D78,$D78,$G$3:$G78,$G78)=1,1,0))</f>
        <v>1</v>
      </c>
      <c r="BG78" t="s">
        <v>550</v>
      </c>
      <c r="BK78">
        <f t="shared" si="20"/>
        <v>0</v>
      </c>
      <c r="BL78" t="s">
        <v>551</v>
      </c>
      <c r="BM78">
        <v>3</v>
      </c>
      <c r="BN78" t="s">
        <v>561</v>
      </c>
      <c r="BO78" t="s">
        <v>561</v>
      </c>
      <c r="BP78" t="s">
        <v>550</v>
      </c>
      <c r="BQ78" t="s">
        <v>550</v>
      </c>
      <c r="BS78" t="s">
        <v>554</v>
      </c>
    </row>
    <row r="79" spans="1:71" ht="16.25" customHeight="1" x14ac:dyDescent="0.2">
      <c r="A79" s="95" t="s">
        <v>851</v>
      </c>
      <c r="B79" s="96" t="str">
        <f>IF(A79="","",_xlfn.XLOOKUP(A79, Company_List!$A:$A, Company_List!$B:$B, ""))</f>
        <v>C</v>
      </c>
      <c r="C79" s="21">
        <v>2025</v>
      </c>
      <c r="D79" s="20" t="s">
        <v>563</v>
      </c>
      <c r="E79" s="19" t="s">
        <v>538</v>
      </c>
      <c r="F79" s="19" t="s">
        <v>538</v>
      </c>
      <c r="G79" s="20" t="s">
        <v>610</v>
      </c>
      <c r="H79" s="20" t="s">
        <v>540</v>
      </c>
      <c r="I79" s="127">
        <v>0.8</v>
      </c>
      <c r="J79" s="145" t="str">
        <f>IF(OR(I79="",Settings!$B$6=""),"",IF(I79&gt;Settings!$B$6,"BUY",IF(I79&lt;-Settings!$B$6,"SELL","HOLD")))</f>
        <v>BUY</v>
      </c>
      <c r="K79" s="139">
        <v>21</v>
      </c>
      <c r="L79" s="123">
        <v>45944</v>
      </c>
      <c r="M79" s="123">
        <v>45943</v>
      </c>
      <c r="N79" s="127">
        <v>96.1</v>
      </c>
      <c r="O79" s="123">
        <v>45944</v>
      </c>
      <c r="P79" s="22">
        <v>95.37</v>
      </c>
      <c r="Q79" s="148">
        <f t="shared" si="11"/>
        <v>-7.6E-3</v>
      </c>
      <c r="R79" s="20" t="str">
        <f>IF(OR(N79="",P79=""),"",IF(Q79&gt;Settings!$B$3/100,"UP",IF(Q79&lt;-Settings!$B$3/100,"DOWN","FLAT")))</f>
        <v>FLAT</v>
      </c>
      <c r="S79" s="20" t="str">
        <f t="shared" si="12"/>
        <v>NO</v>
      </c>
      <c r="T79" s="21">
        <f t="shared" si="13"/>
        <v>1</v>
      </c>
      <c r="U79" s="148">
        <f>IFERROR(IF(OR(J79="",N79="",P79=""),"",IF(T79=0,0,T79*Q79-Settings!$B$4/10000-IF(T79&lt;0,Settings!$B$5/10000,0))),"")</f>
        <v>-8.6E-3</v>
      </c>
      <c r="V79" s="23" t="s">
        <v>858</v>
      </c>
      <c r="W79" s="21">
        <f t="shared" si="14"/>
        <v>1260</v>
      </c>
      <c r="X79" s="91" t="str">
        <f t="shared" si="15"/>
        <v>Citigroup|2025|Q3</v>
      </c>
      <c r="Y79" s="91" t="str">
        <f>IFERROR(IF($X79="","",INDEX(LLM_Data_Entry!$H$3:$H$548,MATCH($X79,INDEX(LLM_Data_Entry!$A$3:$A$548&amp;"|"&amp;LLM_Data_Entry!$C$3:$C$548&amp;"|"&amp;LLM_Data_Entry!$D$3:$D$548,0),0))),"")</f>
        <v>BUY</v>
      </c>
      <c r="Z79" s="91" t="str">
        <f>IFERROR(IF($X79="","",INDEX(LLM_Data_Entry!$R$3:$R$548,MATCH($X79,INDEX(LLM_Data_Entry!$A$3:$A$548&amp;"|"&amp;LLM_Data_Entry!$C$3:$C$548&amp;"|"&amp;LLM_Data_Entry!$D$3:$D$548,0),0))),"")</f>
        <v>NO</v>
      </c>
      <c r="AB79" t="s">
        <v>853</v>
      </c>
      <c r="AC79" t="s">
        <v>854</v>
      </c>
      <c r="AD79" t="s">
        <v>757</v>
      </c>
      <c r="AE79">
        <v>94.109099999999998</v>
      </c>
      <c r="AF79" t="s">
        <v>722</v>
      </c>
      <c r="AG79">
        <v>93.394300000000001</v>
      </c>
      <c r="AH79">
        <v>-7.5961704447055469E-3</v>
      </c>
      <c r="AI79" t="s">
        <v>579</v>
      </c>
      <c r="AJ79" t="s">
        <v>546</v>
      </c>
      <c r="AK79">
        <v>-8.5959999999999995E-3</v>
      </c>
      <c r="AL79" t="str">
        <f>IF($A79="","",IFERROR(INDEX(Company_List!$G$3:$G$207,MATCH($A79,Company_List!$A$3:$A$207,0)),"unassigned"))</f>
        <v>P2</v>
      </c>
      <c r="AM79" t="s">
        <v>859</v>
      </c>
      <c r="AO79" t="s">
        <v>593</v>
      </c>
      <c r="AP79" t="str">
        <f>IF($A79="","",IF(COUNTIFS(LLM_Data_Entry!$A$3:$A$548,$A79)&gt;0,"YES","NO"))</f>
        <v>YES</v>
      </c>
      <c r="AQ79" t="str">
        <f>IF($A79="","",IF(COUNTIFS($A$3:$A79,$A79,$C$3:$C79,$C79,$D$3:$D79,$D79)=1,"YES","NO"))</f>
        <v>YES</v>
      </c>
      <c r="AR79" t="str">
        <f>IF($A79="","",IF(AND($C79&amp;"-"&amp;$D79&gt;=Settings!$B$19,$C79&amp;"-"&amp;$D79&lt;=Settings!$B$20),"IN","OUT"))</f>
        <v>IN</v>
      </c>
      <c r="AS79" t="str">
        <f t="shared" si="16"/>
        <v>full</v>
      </c>
      <c r="AT79">
        <f t="shared" si="17"/>
        <v>-8.6E-3</v>
      </c>
      <c r="AU79">
        <f t="shared" si="18"/>
        <v>-8.5959999999999995E-3</v>
      </c>
      <c r="AV79">
        <f>IF(ISNUMBER($AT79),ABS(IF(ISNUMBER($I79),$I79,0)-Settings!$B$24),"")</f>
        <v>0.8</v>
      </c>
      <c r="AW79">
        <f t="shared" si="19"/>
        <v>-6.8800000000000007E-3</v>
      </c>
      <c r="AX79">
        <f>IF(ISNUMBER($AU79),ABS(IF(ISNUMBER($I79),$I79,0)-Settings!$B$24),"")</f>
        <v>0.8</v>
      </c>
      <c r="AY79" t="s">
        <v>549</v>
      </c>
      <c r="AZ79" t="str">
        <f>IF($A79="","",IFERROR(INDEX(Company_List!$H$3:$H$207,MATCH($A79,Company_List!$A$3:$A$207,0)),"unassigned"))</f>
        <v>Financials</v>
      </c>
      <c r="BC79">
        <f>IF($A79="","",IF(COUNTIFS($A$3:$A79,$A79,$C$3:$C79,$C79,$D$3:$D79,$D79,$G$3:$G79,$G79)=1,1,0))</f>
        <v>1</v>
      </c>
      <c r="BG79" t="s">
        <v>550</v>
      </c>
      <c r="BK79">
        <f t="shared" si="20"/>
        <v>1</v>
      </c>
      <c r="BL79" t="s">
        <v>551</v>
      </c>
      <c r="BM79">
        <v>4</v>
      </c>
      <c r="BN79" t="s">
        <v>561</v>
      </c>
      <c r="BO79" t="s">
        <v>561</v>
      </c>
      <c r="BP79" t="s">
        <v>550</v>
      </c>
      <c r="BQ79" t="s">
        <v>550</v>
      </c>
      <c r="BS79" t="s">
        <v>554</v>
      </c>
    </row>
    <row r="80" spans="1:71" ht="16.25" customHeight="1" x14ac:dyDescent="0.2">
      <c r="A80" s="95" t="s">
        <v>851</v>
      </c>
      <c r="B80" s="96" t="str">
        <f>IF(A80="","",_xlfn.XLOOKUP(A80, Company_List!$A:$A, Company_List!$B:$B, ""))</f>
        <v>C</v>
      </c>
      <c r="C80" s="21">
        <v>2025</v>
      </c>
      <c r="D80" s="20" t="s">
        <v>569</v>
      </c>
      <c r="E80" s="19" t="s">
        <v>538</v>
      </c>
      <c r="F80" s="19" t="s">
        <v>538</v>
      </c>
      <c r="G80" s="20" t="s">
        <v>610</v>
      </c>
      <c r="H80" s="20" t="s">
        <v>540</v>
      </c>
      <c r="I80" s="127">
        <v>0.2</v>
      </c>
      <c r="J80" s="145" t="str">
        <f>IF(OR(I80="",Settings!$B$6=""),"",IF(I80&gt;Settings!$B$6,"BUY",IF(I80&lt;-Settings!$B$6,"SELL","HOLD")))</f>
        <v>HOLD</v>
      </c>
      <c r="K80" s="139">
        <v>18</v>
      </c>
      <c r="L80" s="123">
        <v>46036</v>
      </c>
      <c r="M80" s="123">
        <v>46035</v>
      </c>
      <c r="N80" s="127">
        <v>116.3</v>
      </c>
      <c r="O80" s="123">
        <v>46036</v>
      </c>
      <c r="P80" s="22">
        <v>117.91</v>
      </c>
      <c r="Q80" s="148">
        <f t="shared" si="11"/>
        <v>1.38E-2</v>
      </c>
      <c r="R80" s="20" t="str">
        <f>IF(OR(N80="",P80=""),"",IF(Q80&gt;Settings!$B$3/100,"UP",IF(Q80&lt;-Settings!$B$3/100,"DOWN","FLAT")))</f>
        <v>FLAT</v>
      </c>
      <c r="S80" s="20" t="str">
        <f t="shared" si="12"/>
        <v>YES</v>
      </c>
      <c r="T80" s="21">
        <f t="shared" si="13"/>
        <v>0</v>
      </c>
      <c r="U80" s="148">
        <f>IFERROR(IF(OR(J80="",N80="",P80=""),"",IF(T80=0,0,T80*Q80-Settings!$B$4/10000-IF(T80&lt;0,Settings!$B$5/10000,0))),"")</f>
        <v>0</v>
      </c>
      <c r="V80" s="23" t="s">
        <v>860</v>
      </c>
      <c r="W80" s="21">
        <f t="shared" si="14"/>
        <v>1080</v>
      </c>
      <c r="X80" s="91" t="str">
        <f t="shared" si="15"/>
        <v>Citigroup|2025|Q4</v>
      </c>
      <c r="Y80" s="91" t="str">
        <f>IFERROR(IF($X80="","",INDEX(LLM_Data_Entry!$H$3:$H$548,MATCH($X80,INDEX(LLM_Data_Entry!$A$3:$A$548&amp;"|"&amp;LLM_Data_Entry!$C$3:$C$548&amp;"|"&amp;LLM_Data_Entry!$D$3:$D$548,0),0))),"")</f>
        <v>BUY</v>
      </c>
      <c r="Z80" s="91" t="str">
        <f>IFERROR(IF($X80="","",INDEX(LLM_Data_Entry!$R$3:$R$548,MATCH($X80,INDEX(LLM_Data_Entry!$A$3:$A$548&amp;"|"&amp;LLM_Data_Entry!$C$3:$C$548&amp;"|"&amp;LLM_Data_Entry!$D$3:$D$548,0),0))),"")</f>
        <v>NO</v>
      </c>
      <c r="AB80" t="s">
        <v>612</v>
      </c>
      <c r="AC80" t="s">
        <v>854</v>
      </c>
      <c r="AD80" t="s">
        <v>726</v>
      </c>
      <c r="AE80">
        <v>114.5697</v>
      </c>
      <c r="AF80" t="s">
        <v>727</v>
      </c>
      <c r="AG80">
        <v>116.1558</v>
      </c>
      <c r="AH80">
        <v>1.3843532097910191E-2</v>
      </c>
      <c r="AI80" t="s">
        <v>579</v>
      </c>
      <c r="AJ80" t="s">
        <v>554</v>
      </c>
      <c r="AK80">
        <v>0</v>
      </c>
      <c r="AL80" t="str">
        <f>IF($A80="","",IFERROR(INDEX(Company_List!$G$3:$G$207,MATCH($A80,Company_List!$A$3:$A$207,0)),"unassigned"))</f>
        <v>P2</v>
      </c>
      <c r="AM80" t="s">
        <v>861</v>
      </c>
      <c r="AO80" t="s">
        <v>593</v>
      </c>
      <c r="AP80" t="str">
        <f>IF($A80="","",IF(COUNTIFS(LLM_Data_Entry!$A$3:$A$548,$A80)&gt;0,"YES","NO"))</f>
        <v>YES</v>
      </c>
      <c r="AQ80" t="str">
        <f>IF($A80="","",IF(COUNTIFS($A$3:$A80,$A80,$C$3:$C80,$C80,$D$3:$D80,$D80)=1,"YES","NO"))</f>
        <v>YES</v>
      </c>
      <c r="AR80" t="str">
        <f>IF($A80="","",IF(AND($C80&amp;"-"&amp;$D80&gt;=Settings!$B$19,$C80&amp;"-"&amp;$D80&lt;=Settings!$B$20),"IN","OUT"))</f>
        <v>IN</v>
      </c>
      <c r="AS80" t="str">
        <f t="shared" si="16"/>
        <v>full</v>
      </c>
      <c r="AT80" t="str">
        <f t="shared" si="17"/>
        <v/>
      </c>
      <c r="AU80" t="str">
        <f t="shared" si="18"/>
        <v/>
      </c>
      <c r="AV80" t="str">
        <f>IF(ISNUMBER($AT80),ABS(IF(ISNUMBER($I80),$I80,0)-Settings!$B$24),"")</f>
        <v/>
      </c>
      <c r="AW80" t="str">
        <f t="shared" si="19"/>
        <v/>
      </c>
      <c r="AX80" t="str">
        <f>IF(ISNUMBER($AU80),ABS(IF(ISNUMBER($I80),$I80,0)-Settings!$B$24),"")</f>
        <v/>
      </c>
      <c r="AY80" t="s">
        <v>549</v>
      </c>
      <c r="AZ80" t="str">
        <f>IF($A80="","",IFERROR(INDEX(Company_List!$H$3:$H$207,MATCH($A80,Company_List!$A$3:$A$207,0)),"unassigned"))</f>
        <v>Financials</v>
      </c>
      <c r="BC80">
        <f>IF($A80="","",IF(COUNTIFS($A$3:$A80,$A80,$C$3:$C80,$C80,$D$3:$D80,$D80,$G$3:$G80,$G80)=1,1,0))</f>
        <v>1</v>
      </c>
      <c r="BG80" t="s">
        <v>550</v>
      </c>
      <c r="BK80">
        <f t="shared" si="20"/>
        <v>0</v>
      </c>
      <c r="BL80" t="s">
        <v>551</v>
      </c>
      <c r="BM80">
        <v>4</v>
      </c>
      <c r="BN80" t="s">
        <v>561</v>
      </c>
      <c r="BO80" t="s">
        <v>561</v>
      </c>
      <c r="BP80" t="s">
        <v>550</v>
      </c>
      <c r="BQ80" t="s">
        <v>550</v>
      </c>
      <c r="BS80" t="s">
        <v>554</v>
      </c>
    </row>
    <row r="81" spans="1:71" ht="16.25" customHeight="1" x14ac:dyDescent="0.2">
      <c r="A81" s="95" t="s">
        <v>862</v>
      </c>
      <c r="B81" s="96" t="str">
        <f>IF(A81="","",_xlfn.XLOOKUP(A81, Company_List!$A:$A, Company_List!$B:$B, ""))</f>
        <v>AMKBY</v>
      </c>
      <c r="C81" s="21">
        <v>2025</v>
      </c>
      <c r="D81" s="20" t="s">
        <v>537</v>
      </c>
      <c r="E81" s="19" t="s">
        <v>538</v>
      </c>
      <c r="F81" s="19" t="s">
        <v>538</v>
      </c>
      <c r="G81" s="20" t="s">
        <v>610</v>
      </c>
      <c r="H81" s="20" t="s">
        <v>540</v>
      </c>
      <c r="I81" s="127">
        <v>-0.4</v>
      </c>
      <c r="J81" s="145" t="str">
        <f>IF(OR(I81="",Settings!$B$6=""),"",IF(I81&gt;Settings!$B$6,"BUY",IF(I81&lt;-Settings!$B$6,"SELL","HOLD")))</f>
        <v>SELL</v>
      </c>
      <c r="K81" s="139">
        <v>24</v>
      </c>
      <c r="L81" s="123">
        <v>45785</v>
      </c>
      <c r="M81" s="123">
        <v>45784</v>
      </c>
      <c r="N81" s="127">
        <v>8.58</v>
      </c>
      <c r="O81" s="123">
        <v>45785</v>
      </c>
      <c r="P81" s="22">
        <v>8.7200000000000006</v>
      </c>
      <c r="Q81" s="148">
        <f t="shared" si="11"/>
        <v>1.6299999999999999E-2</v>
      </c>
      <c r="R81" s="20" t="str">
        <f>IF(OR(N81="",P81=""),"",IF(Q81&gt;Settings!$B$3/100,"UP",IF(Q81&lt;-Settings!$B$3/100,"DOWN","FLAT")))</f>
        <v>FLAT</v>
      </c>
      <c r="S81" s="20" t="str">
        <f t="shared" si="12"/>
        <v>NO</v>
      </c>
      <c r="T81" s="21">
        <f t="shared" si="13"/>
        <v>-1</v>
      </c>
      <c r="U81" s="148">
        <f>IFERROR(IF(OR(J81="",N81="",P81=""),"",IF(T81=0,0,T81*Q81-Settings!$B$4/10000-IF(T81&lt;0,Settings!$B$5/10000,0))),"")</f>
        <v>-1.7299999999999999E-2</v>
      </c>
      <c r="V81" s="15" t="s">
        <v>863</v>
      </c>
      <c r="W81" s="21">
        <f t="shared" si="14"/>
        <v>1440</v>
      </c>
      <c r="X81" s="91" t="str">
        <f t="shared" si="15"/>
        <v>Maersk|2025|Q1</v>
      </c>
      <c r="Y81" s="91" t="str">
        <f>IFERROR(IF($X81="","",INDEX(LLM_Data_Entry!$H$3:$H$548,MATCH($X81,INDEX(LLM_Data_Entry!$A$3:$A$548&amp;"|"&amp;LLM_Data_Entry!$C$3:$C$548&amp;"|"&amp;LLM_Data_Entry!$D$3:$D$548,0),0))),"")</f>
        <v>SELL</v>
      </c>
      <c r="Z81" s="91" t="str">
        <f>IFERROR(IF($X81="","",INDEX(LLM_Data_Entry!$R$3:$R$548,MATCH($X81,INDEX(LLM_Data_Entry!$A$3:$A$548&amp;"|"&amp;LLM_Data_Entry!$C$3:$C$548&amp;"|"&amp;LLM_Data_Entry!$D$3:$D$548,0),0))),"")</f>
        <v>NO</v>
      </c>
      <c r="AB81" t="s">
        <v>864</v>
      </c>
      <c r="AC81" t="s">
        <v>865</v>
      </c>
      <c r="AD81" t="s">
        <v>866</v>
      </c>
      <c r="AE81">
        <v>7.0572999999999997</v>
      </c>
      <c r="AF81" t="s">
        <v>671</v>
      </c>
      <c r="AG81">
        <v>6.9504999999999999</v>
      </c>
      <c r="AH81">
        <v>-1.5132502809346859E-2</v>
      </c>
      <c r="AI81" t="s">
        <v>579</v>
      </c>
      <c r="AJ81" t="s">
        <v>546</v>
      </c>
      <c r="AK81">
        <v>1.4133E-2</v>
      </c>
      <c r="AL81" t="str">
        <f>IF($A81="","",IFERROR(INDEX(Company_List!$G$3:$G$207,MATCH($A81,Company_List!$A$3:$A$207,0)),"unassigned"))</f>
        <v>P2</v>
      </c>
      <c r="AM81" t="s">
        <v>867</v>
      </c>
      <c r="AO81" t="s">
        <v>593</v>
      </c>
      <c r="AP81" t="str">
        <f>IF($A81="","",IF(COUNTIFS(LLM_Data_Entry!$A$3:$A$548,$A81)&gt;0,"YES","NO"))</f>
        <v>YES</v>
      </c>
      <c r="AQ81" t="str">
        <f>IF($A81="","",IF(COUNTIFS($A$3:$A81,$A81,$C$3:$C81,$C81,$D$3:$D81,$D81)=1,"YES","NO"))</f>
        <v>YES</v>
      </c>
      <c r="AR81" t="str">
        <f>IF($A81="","",IF(AND($C81&amp;"-"&amp;$D81&gt;=Settings!$B$19,$C81&amp;"-"&amp;$D81&lt;=Settings!$B$20),"IN","OUT"))</f>
        <v>IN</v>
      </c>
      <c r="AS81" t="str">
        <f t="shared" si="16"/>
        <v>full</v>
      </c>
      <c r="AT81">
        <f t="shared" si="17"/>
        <v>-1.7299999999999999E-2</v>
      </c>
      <c r="AU81">
        <f t="shared" si="18"/>
        <v>1.4133E-2</v>
      </c>
      <c r="AV81">
        <f>IF(ISNUMBER($AT81),ABS(IF(ISNUMBER($I81),$I81,0)-Settings!$B$24),"")</f>
        <v>0.4</v>
      </c>
      <c r="AW81">
        <f t="shared" si="19"/>
        <v>-6.9199999999999999E-3</v>
      </c>
      <c r="AX81">
        <f>IF(ISNUMBER($AU81),ABS(IF(ISNUMBER($I81),$I81,0)-Settings!$B$24),"")</f>
        <v>0.4</v>
      </c>
      <c r="AY81" t="s">
        <v>549</v>
      </c>
      <c r="AZ81" t="str">
        <f>IF($A81="","",IFERROR(INDEX(Company_List!$H$3:$H$207,MATCH($A81,Company_List!$A$3:$A$207,0)),"unassigned"))</f>
        <v>Industrials</v>
      </c>
      <c r="BC81">
        <f>IF($A81="","",IF(COUNTIFS($A$3:$A81,$A81,$C$3:$C81,$C81,$D$3:$D81,$D81,$G$3:$G81,$G81)=1,1,0))</f>
        <v>1</v>
      </c>
      <c r="BG81" t="s">
        <v>550</v>
      </c>
      <c r="BK81">
        <f t="shared" si="20"/>
        <v>1</v>
      </c>
      <c r="BL81" t="s">
        <v>551</v>
      </c>
      <c r="BM81">
        <v>3</v>
      </c>
      <c r="BN81" t="s">
        <v>561</v>
      </c>
      <c r="BO81" t="s">
        <v>561</v>
      </c>
      <c r="BP81" t="s">
        <v>550</v>
      </c>
      <c r="BQ81" t="s">
        <v>550</v>
      </c>
      <c r="BS81" t="s">
        <v>554</v>
      </c>
    </row>
    <row r="82" spans="1:71" ht="16.25" customHeight="1" x14ac:dyDescent="0.2">
      <c r="A82" s="95" t="s">
        <v>862</v>
      </c>
      <c r="B82" s="96" t="str">
        <f>IF(A82="","",_xlfn.XLOOKUP(A82, Company_List!$A:$A, Company_List!$B:$B, ""))</f>
        <v>AMKBY</v>
      </c>
      <c r="C82" s="21">
        <v>2025</v>
      </c>
      <c r="D82" s="20" t="s">
        <v>555</v>
      </c>
      <c r="E82" s="19" t="s">
        <v>538</v>
      </c>
      <c r="F82" s="19" t="s">
        <v>538</v>
      </c>
      <c r="G82" s="20" t="s">
        <v>610</v>
      </c>
      <c r="H82" s="20" t="s">
        <v>540</v>
      </c>
      <c r="I82" s="127">
        <v>0.5</v>
      </c>
      <c r="J82" s="145" t="str">
        <f>IF(OR(I82="",Settings!$B$6=""),"",IF(I82&gt;Settings!$B$6,"BUY",IF(I82&lt;-Settings!$B$6,"SELL","HOLD")))</f>
        <v>BUY</v>
      </c>
      <c r="K82" s="139">
        <v>15</v>
      </c>
      <c r="L82" s="123">
        <v>45876</v>
      </c>
      <c r="M82" s="123">
        <v>45876</v>
      </c>
      <c r="N82" s="127">
        <v>10.71</v>
      </c>
      <c r="O82" s="123">
        <v>45877</v>
      </c>
      <c r="P82" s="22">
        <v>10.8</v>
      </c>
      <c r="Q82" s="148">
        <f t="shared" si="11"/>
        <v>8.3999999999999995E-3</v>
      </c>
      <c r="R82" s="20" t="str">
        <f>IF(OR(N82="",P82=""),"",IF(Q82&gt;Settings!$B$3/100,"UP",IF(Q82&lt;-Settings!$B$3/100,"DOWN","FLAT")))</f>
        <v>FLAT</v>
      </c>
      <c r="S82" s="20" t="str">
        <f t="shared" si="12"/>
        <v>NO</v>
      </c>
      <c r="T82" s="21">
        <f t="shared" si="13"/>
        <v>1</v>
      </c>
      <c r="U82" s="148">
        <f>IFERROR(IF(OR(J82="",N82="",P82=""),"",IF(T82=0,0,T82*Q82-Settings!$B$4/10000-IF(T82&lt;0,Settings!$B$5/10000,0))),"")</f>
        <v>7.3999999999999995E-3</v>
      </c>
      <c r="V82" s="15" t="s">
        <v>868</v>
      </c>
      <c r="W82" s="21">
        <f t="shared" si="14"/>
        <v>900</v>
      </c>
      <c r="X82" s="91" t="str">
        <f t="shared" si="15"/>
        <v>Maersk|2025|Q2</v>
      </c>
      <c r="Y82" s="91" t="str">
        <f>IFERROR(IF($X82="","",INDEX(LLM_Data_Entry!$H$3:$H$548,MATCH($X82,INDEX(LLM_Data_Entry!$A$3:$A$548&amp;"|"&amp;LLM_Data_Entry!$C$3:$C$548&amp;"|"&amp;LLM_Data_Entry!$D$3:$D$548,0),0))),"")</f>
        <v>BUY</v>
      </c>
      <c r="Z82" s="91" t="str">
        <f>IFERROR(IF($X82="","",INDEX(LLM_Data_Entry!$R$3:$R$548,MATCH($X82,INDEX(LLM_Data_Entry!$A$3:$A$548&amp;"|"&amp;LLM_Data_Entry!$C$3:$C$548&amp;"|"&amp;LLM_Data_Entry!$D$3:$D$548,0),0))),"")</f>
        <v>NO</v>
      </c>
      <c r="AB82" t="s">
        <v>864</v>
      </c>
      <c r="AC82" t="s">
        <v>869</v>
      </c>
      <c r="AD82" t="s">
        <v>642</v>
      </c>
      <c r="AE82">
        <v>12753.9619</v>
      </c>
      <c r="AF82" t="s">
        <v>742</v>
      </c>
      <c r="AG82">
        <v>13453.3411</v>
      </c>
      <c r="AH82">
        <v>5.4836229736681973E-2</v>
      </c>
      <c r="AI82" t="s">
        <v>591</v>
      </c>
      <c r="AJ82" t="s">
        <v>554</v>
      </c>
      <c r="AK82">
        <v>5.3836000000000002E-2</v>
      </c>
      <c r="AL82" t="str">
        <f>IF($A82="","",IFERROR(INDEX(Company_List!$G$3:$G$207,MATCH($A82,Company_List!$A$3:$A$207,0)),"unassigned"))</f>
        <v>P2</v>
      </c>
      <c r="AM82" t="s">
        <v>870</v>
      </c>
      <c r="AO82" t="s">
        <v>593</v>
      </c>
      <c r="AP82" t="str">
        <f>IF($A82="","",IF(COUNTIFS(LLM_Data_Entry!$A$3:$A$548,$A82)&gt;0,"YES","NO"))</f>
        <v>YES</v>
      </c>
      <c r="AQ82" t="str">
        <f>IF($A82="","",IF(COUNTIFS($A$3:$A82,$A82,$C$3:$C82,$C82,$D$3:$D82,$D82)=1,"YES","NO"))</f>
        <v>YES</v>
      </c>
      <c r="AR82" t="str">
        <f>IF($A82="","",IF(AND($C82&amp;"-"&amp;$D82&gt;=Settings!$B$19,$C82&amp;"-"&amp;$D82&lt;=Settings!$B$20),"IN","OUT"))</f>
        <v>IN</v>
      </c>
      <c r="AS82" t="str">
        <f t="shared" si="16"/>
        <v>full</v>
      </c>
      <c r="AT82">
        <f t="shared" si="17"/>
        <v>7.3999999999999995E-3</v>
      </c>
      <c r="AU82">
        <f t="shared" si="18"/>
        <v>5.3836000000000002E-2</v>
      </c>
      <c r="AV82">
        <f>IF(ISNUMBER($AT82),ABS(IF(ISNUMBER($I82),$I82,0)-Settings!$B$24),"")</f>
        <v>0.5</v>
      </c>
      <c r="AW82">
        <f t="shared" si="19"/>
        <v>3.6999999999999997E-3</v>
      </c>
      <c r="AX82">
        <f>IF(ISNUMBER($AU82),ABS(IF(ISNUMBER($I82),$I82,0)-Settings!$B$24),"")</f>
        <v>0.5</v>
      </c>
      <c r="AY82" t="s">
        <v>549</v>
      </c>
      <c r="AZ82" t="str">
        <f>IF($A82="","",IFERROR(INDEX(Company_List!$H$3:$H$207,MATCH($A82,Company_List!$A$3:$A$207,0)),"unassigned"))</f>
        <v>Industrials</v>
      </c>
      <c r="BC82">
        <f>IF($A82="","",IF(COUNTIFS($A$3:$A82,$A82,$C$3:$C82,$C82,$D$3:$D82,$D82,$G$3:$G82,$G82)=1,1,0))</f>
        <v>1</v>
      </c>
      <c r="BG82" t="s">
        <v>550</v>
      </c>
      <c r="BK82">
        <f t="shared" si="20"/>
        <v>1</v>
      </c>
      <c r="BL82" t="s">
        <v>551</v>
      </c>
      <c r="BM82">
        <v>3</v>
      </c>
      <c r="BN82" t="s">
        <v>561</v>
      </c>
      <c r="BO82" t="s">
        <v>561</v>
      </c>
      <c r="BP82" t="s">
        <v>550</v>
      </c>
      <c r="BQ82" t="s">
        <v>550</v>
      </c>
      <c r="BS82" t="s">
        <v>554</v>
      </c>
    </row>
    <row r="83" spans="1:71" ht="16.25" customHeight="1" x14ac:dyDescent="0.2">
      <c r="A83" s="95" t="s">
        <v>862</v>
      </c>
      <c r="B83" s="96" t="str">
        <f>IF(A83="","",_xlfn.XLOOKUP(A83, Company_List!$A:$A, Company_List!$B:$B, ""))</f>
        <v>AMKBY</v>
      </c>
      <c r="C83" s="21">
        <v>2025</v>
      </c>
      <c r="D83" s="20" t="s">
        <v>563</v>
      </c>
      <c r="E83" s="19" t="s">
        <v>538</v>
      </c>
      <c r="F83" s="19" t="s">
        <v>538</v>
      </c>
      <c r="G83" s="20" t="s">
        <v>610</v>
      </c>
      <c r="H83" s="20" t="s">
        <v>540</v>
      </c>
      <c r="I83" s="127">
        <v>0.2</v>
      </c>
      <c r="J83" s="145" t="str">
        <f>IF(OR(I83="",Settings!$B$6=""),"",IF(I83&gt;Settings!$B$6,"BUY",IF(I83&lt;-Settings!$B$6,"SELL","HOLD")))</f>
        <v>HOLD</v>
      </c>
      <c r="K83" s="139">
        <v>18</v>
      </c>
      <c r="L83" s="123">
        <v>45967</v>
      </c>
      <c r="M83" s="123">
        <v>45966</v>
      </c>
      <c r="N83" s="127">
        <v>10.38</v>
      </c>
      <c r="O83" s="123">
        <v>45967</v>
      </c>
      <c r="P83" s="22">
        <v>9.8000000000000007</v>
      </c>
      <c r="Q83" s="148">
        <f t="shared" si="11"/>
        <v>-5.5899999999999998E-2</v>
      </c>
      <c r="R83" s="20" t="str">
        <f>IF(OR(N83="",P83=""),"",IF(Q83&gt;Settings!$B$3/100,"UP",IF(Q83&lt;-Settings!$B$3/100,"DOWN","FLAT")))</f>
        <v>DOWN</v>
      </c>
      <c r="S83" s="20" t="str">
        <f t="shared" si="12"/>
        <v>NO</v>
      </c>
      <c r="T83" s="21">
        <f t="shared" si="13"/>
        <v>0</v>
      </c>
      <c r="U83" s="148">
        <f>IFERROR(IF(OR(J83="",N83="",P83=""),"",IF(T83=0,0,T83*Q83-Settings!$B$4/10000-IF(T83&lt;0,Settings!$B$5/10000,0))),"")</f>
        <v>0</v>
      </c>
      <c r="V83" s="15" t="s">
        <v>871</v>
      </c>
      <c r="W83" s="21">
        <f t="shared" si="14"/>
        <v>1080</v>
      </c>
      <c r="X83" s="91" t="str">
        <f t="shared" si="15"/>
        <v>Maersk|2025|Q3</v>
      </c>
      <c r="Y83" s="91" t="str">
        <f>IFERROR(IF($X83="","",INDEX(LLM_Data_Entry!$H$3:$H$548,MATCH($X83,INDEX(LLM_Data_Entry!$A$3:$A$548&amp;"|"&amp;LLM_Data_Entry!$C$3:$C$548&amp;"|"&amp;LLM_Data_Entry!$D$3:$D$548,0),0))),"")</f>
        <v>BUY</v>
      </c>
      <c r="Z83" s="91" t="str">
        <f>IFERROR(IF($X83="","",INDEX(LLM_Data_Entry!$R$3:$R$548,MATCH($X83,INDEX(LLM_Data_Entry!$A$3:$A$548&amp;"|"&amp;LLM_Data_Entry!$C$3:$C$548&amp;"|"&amp;LLM_Data_Entry!$D$3:$D$548,0),0))),"")</f>
        <v>NO</v>
      </c>
      <c r="AB83" t="s">
        <v>864</v>
      </c>
      <c r="AC83" t="s">
        <v>869</v>
      </c>
      <c r="AD83" t="s">
        <v>872</v>
      </c>
      <c r="AE83">
        <v>13181.3604</v>
      </c>
      <c r="AF83" t="s">
        <v>744</v>
      </c>
      <c r="AG83">
        <v>12627.6849</v>
      </c>
      <c r="AH83">
        <v>-4.2004425644662807E-2</v>
      </c>
      <c r="AI83" t="s">
        <v>545</v>
      </c>
      <c r="AJ83" t="s">
        <v>546</v>
      </c>
      <c r="AK83">
        <v>0</v>
      </c>
      <c r="AL83" t="str">
        <f>IF($A83="","",IFERROR(INDEX(Company_List!$G$3:$G$207,MATCH($A83,Company_List!$A$3:$A$207,0)),"unassigned"))</f>
        <v>P2</v>
      </c>
      <c r="AM83" t="s">
        <v>873</v>
      </c>
      <c r="AO83" t="s">
        <v>593</v>
      </c>
      <c r="AP83" t="str">
        <f>IF($A83="","",IF(COUNTIFS(LLM_Data_Entry!$A$3:$A$548,$A83)&gt;0,"YES","NO"))</f>
        <v>YES</v>
      </c>
      <c r="AQ83" t="str">
        <f>IF($A83="","",IF(COUNTIFS($A$3:$A83,$A83,$C$3:$C83,$C83,$D$3:$D83,$D83)=1,"YES","NO"))</f>
        <v>YES</v>
      </c>
      <c r="AR83" t="str">
        <f>IF($A83="","",IF(AND($C83&amp;"-"&amp;$D83&gt;=Settings!$B$19,$C83&amp;"-"&amp;$D83&lt;=Settings!$B$20),"IN","OUT"))</f>
        <v>IN</v>
      </c>
      <c r="AS83" t="str">
        <f t="shared" si="16"/>
        <v>full</v>
      </c>
      <c r="AT83" t="str">
        <f t="shared" si="17"/>
        <v/>
      </c>
      <c r="AU83" t="str">
        <f t="shared" si="18"/>
        <v/>
      </c>
      <c r="AV83" t="str">
        <f>IF(ISNUMBER($AT83),ABS(IF(ISNUMBER($I83),$I83,0)-Settings!$B$24),"")</f>
        <v/>
      </c>
      <c r="AW83" t="str">
        <f t="shared" si="19"/>
        <v/>
      </c>
      <c r="AX83" t="str">
        <f>IF(ISNUMBER($AU83),ABS(IF(ISNUMBER($I83),$I83,0)-Settings!$B$24),"")</f>
        <v/>
      </c>
      <c r="AY83" t="s">
        <v>549</v>
      </c>
      <c r="AZ83" t="str">
        <f>IF($A83="","",IFERROR(INDEX(Company_List!$H$3:$H$207,MATCH($A83,Company_List!$A$3:$A$207,0)),"unassigned"))</f>
        <v>Industrials</v>
      </c>
      <c r="BC83">
        <f>IF($A83="","",IF(COUNTIFS($A$3:$A83,$A83,$C$3:$C83,$C83,$D$3:$D83,$D83,$G$3:$G83,$G83)=1,1,0))</f>
        <v>1</v>
      </c>
      <c r="BG83" t="s">
        <v>550</v>
      </c>
      <c r="BK83">
        <f t="shared" si="20"/>
        <v>0</v>
      </c>
      <c r="BL83" t="s">
        <v>551</v>
      </c>
      <c r="BM83">
        <v>3</v>
      </c>
      <c r="BN83" t="s">
        <v>561</v>
      </c>
      <c r="BO83" t="s">
        <v>561</v>
      </c>
      <c r="BP83" t="s">
        <v>550</v>
      </c>
      <c r="BQ83" t="s">
        <v>550</v>
      </c>
      <c r="BS83" t="s">
        <v>554</v>
      </c>
    </row>
    <row r="84" spans="1:71" ht="16.25" customHeight="1" x14ac:dyDescent="0.2">
      <c r="A84" s="95" t="s">
        <v>862</v>
      </c>
      <c r="B84" s="96" t="str">
        <f>IF(A84="","",_xlfn.XLOOKUP(A84, Company_List!$A:$A, Company_List!$B:$B, ""))</f>
        <v>AMKBY</v>
      </c>
      <c r="C84" s="21">
        <v>2025</v>
      </c>
      <c r="D84" s="20" t="s">
        <v>569</v>
      </c>
      <c r="E84" s="19" t="s">
        <v>538</v>
      </c>
      <c r="F84" s="19" t="s">
        <v>538</v>
      </c>
      <c r="G84" s="20" t="s">
        <v>610</v>
      </c>
      <c r="H84" s="20" t="s">
        <v>540</v>
      </c>
      <c r="I84" s="127">
        <v>-0.5</v>
      </c>
      <c r="J84" s="145" t="str">
        <f>IF(OR(I84="",Settings!$B$6=""),"",IF(I84&gt;Settings!$B$6,"BUY",IF(I84&lt;-Settings!$B$6,"SELL","HOLD")))</f>
        <v>SELL</v>
      </c>
      <c r="K84" s="139">
        <v>38</v>
      </c>
      <c r="L84" s="123">
        <v>46058</v>
      </c>
      <c r="M84" s="123">
        <v>46058</v>
      </c>
      <c r="N84" s="127">
        <v>12.09</v>
      </c>
      <c r="O84" s="123">
        <v>46059</v>
      </c>
      <c r="P84" s="22">
        <v>11.93</v>
      </c>
      <c r="Q84" s="148">
        <f t="shared" si="11"/>
        <v>-1.32E-2</v>
      </c>
      <c r="R84" s="20" t="str">
        <f>IF(OR(N84="",P84=""),"",IF(Q84&gt;Settings!$B$3/100,"UP",IF(Q84&lt;-Settings!$B$3/100,"DOWN","FLAT")))</f>
        <v>FLAT</v>
      </c>
      <c r="S84" s="20" t="str">
        <f t="shared" si="12"/>
        <v>NO</v>
      </c>
      <c r="T84" s="21">
        <f t="shared" si="13"/>
        <v>-1</v>
      </c>
      <c r="U84" s="148">
        <f>IFERROR(IF(OR(J84="",N84="",P84=""),"",IF(T84=0,0,T84*Q84-Settings!$B$4/10000-IF(T84&lt;0,Settings!$B$5/10000,0))),"")</f>
        <v>1.2199999999999999E-2</v>
      </c>
      <c r="V84" s="15" t="s">
        <v>874</v>
      </c>
      <c r="W84" s="21">
        <f t="shared" si="14"/>
        <v>2280</v>
      </c>
      <c r="X84" s="91" t="str">
        <f t="shared" si="15"/>
        <v>Maersk|2025|Q4</v>
      </c>
      <c r="Y84" s="91" t="str">
        <f>IFERROR(IF($X84="","",INDEX(LLM_Data_Entry!$H$3:$H$548,MATCH($X84,INDEX(LLM_Data_Entry!$A$3:$A$548&amp;"|"&amp;LLM_Data_Entry!$C$3:$C$548&amp;"|"&amp;LLM_Data_Entry!$D$3:$D$548,0),0))),"")</f>
        <v>SELL</v>
      </c>
      <c r="Z84" s="91" t="str">
        <f>IFERROR(IF($X84="","",INDEX(LLM_Data_Entry!$R$3:$R$548,MATCH($X84,INDEX(LLM_Data_Entry!$A$3:$A$548&amp;"|"&amp;LLM_Data_Entry!$C$3:$C$548&amp;"|"&amp;LLM_Data_Entry!$D$3:$D$548,0),0))),"")</f>
        <v>NO</v>
      </c>
      <c r="AB84" t="s">
        <v>864</v>
      </c>
      <c r="AC84" t="s">
        <v>869</v>
      </c>
      <c r="AD84" t="s">
        <v>737</v>
      </c>
      <c r="AE84">
        <v>15522.338900000001</v>
      </c>
      <c r="AF84" t="s">
        <v>664</v>
      </c>
      <c r="AG84">
        <v>14570.4061</v>
      </c>
      <c r="AH84">
        <v>-6.1326630566732598E-2</v>
      </c>
      <c r="AI84" t="s">
        <v>545</v>
      </c>
      <c r="AJ84" t="s">
        <v>554</v>
      </c>
      <c r="AK84">
        <v>6.0326999999999999E-2</v>
      </c>
      <c r="AL84" t="str">
        <f>IF($A84="","",IFERROR(INDEX(Company_List!$G$3:$G$207,MATCH($A84,Company_List!$A$3:$A$207,0)),"unassigned"))</f>
        <v>P2</v>
      </c>
      <c r="AM84" t="s">
        <v>875</v>
      </c>
      <c r="AO84" t="s">
        <v>593</v>
      </c>
      <c r="AP84" t="str">
        <f>IF($A84="","",IF(COUNTIFS(LLM_Data_Entry!$A$3:$A$548,$A84)&gt;0,"YES","NO"))</f>
        <v>YES</v>
      </c>
      <c r="AQ84" t="str">
        <f>IF($A84="","",IF(COUNTIFS($A$3:$A84,$A84,$C$3:$C84,$C84,$D$3:$D84,$D84)=1,"YES","NO"))</f>
        <v>YES</v>
      </c>
      <c r="AR84" t="str">
        <f>IF($A84="","",IF(AND($C84&amp;"-"&amp;$D84&gt;=Settings!$B$19,$C84&amp;"-"&amp;$D84&lt;=Settings!$B$20),"IN","OUT"))</f>
        <v>IN</v>
      </c>
      <c r="AS84" t="str">
        <f t="shared" si="16"/>
        <v>full</v>
      </c>
      <c r="AT84">
        <f t="shared" si="17"/>
        <v>1.2199999999999999E-2</v>
      </c>
      <c r="AU84">
        <f t="shared" si="18"/>
        <v>6.0326999999999999E-2</v>
      </c>
      <c r="AV84">
        <f>IF(ISNUMBER($AT84),ABS(IF(ISNUMBER($I84),$I84,0)-Settings!$B$24),"")</f>
        <v>0.5</v>
      </c>
      <c r="AW84">
        <f t="shared" si="19"/>
        <v>6.0999999999999995E-3</v>
      </c>
      <c r="AX84">
        <f>IF(ISNUMBER($AU84),ABS(IF(ISNUMBER($I84),$I84,0)-Settings!$B$24),"")</f>
        <v>0.5</v>
      </c>
      <c r="AY84" t="s">
        <v>549</v>
      </c>
      <c r="AZ84" t="str">
        <f>IF($A84="","",IFERROR(INDEX(Company_List!$H$3:$H$207,MATCH($A84,Company_List!$A$3:$A$207,0)),"unassigned"))</f>
        <v>Industrials</v>
      </c>
      <c r="BC84">
        <f>IF($A84="","",IF(COUNTIFS($A$3:$A84,$A84,$C$3:$C84,$C84,$D$3:$D84,$D84,$G$3:$G84,$G84)=1,1,0))</f>
        <v>1</v>
      </c>
      <c r="BG84" t="s">
        <v>550</v>
      </c>
      <c r="BK84">
        <f t="shared" si="20"/>
        <v>1</v>
      </c>
      <c r="BL84" t="s">
        <v>551</v>
      </c>
      <c r="BM84">
        <v>3</v>
      </c>
      <c r="BN84" t="s">
        <v>561</v>
      </c>
      <c r="BO84" t="s">
        <v>561</v>
      </c>
      <c r="BP84" t="s">
        <v>550</v>
      </c>
      <c r="BQ84" t="s">
        <v>550</v>
      </c>
      <c r="BS84" t="s">
        <v>554</v>
      </c>
    </row>
    <row r="85" spans="1:71" ht="16.25" customHeight="1" x14ac:dyDescent="0.2">
      <c r="A85" s="95" t="s">
        <v>876</v>
      </c>
      <c r="B85" s="96" t="str">
        <f>IF(A85="","",_xlfn.XLOOKUP(A85, Company_List!$A:$A, Company_List!$B:$B, ""))</f>
        <v>GS</v>
      </c>
      <c r="C85" s="21">
        <v>2025</v>
      </c>
      <c r="D85" s="20" t="s">
        <v>537</v>
      </c>
      <c r="E85" s="19" t="s">
        <v>538</v>
      </c>
      <c r="F85" s="19" t="s">
        <v>538</v>
      </c>
      <c r="G85" s="20" t="s">
        <v>575</v>
      </c>
      <c r="H85" s="20" t="s">
        <v>540</v>
      </c>
      <c r="I85" s="127">
        <v>0.45</v>
      </c>
      <c r="J85" s="145" t="str">
        <f>IF(OR(I85="",Settings!$B$6=""),"",IF(I85&gt;Settings!$B$6,"BUY",IF(I85&lt;-Settings!$B$6,"SELL","HOLD")))</f>
        <v>BUY</v>
      </c>
      <c r="K85" s="139">
        <v>32</v>
      </c>
      <c r="L85" s="123">
        <v>45761</v>
      </c>
      <c r="M85" s="123">
        <v>45758</v>
      </c>
      <c r="N85" s="127">
        <v>494.44</v>
      </c>
      <c r="O85" s="123">
        <v>45761</v>
      </c>
      <c r="P85" s="22">
        <v>510</v>
      </c>
      <c r="Q85" s="148">
        <f t="shared" si="11"/>
        <v>3.15E-2</v>
      </c>
      <c r="R85" s="20" t="str">
        <f>IF(OR(N85="",P85=""),"",IF(Q85&gt;Settings!$B$3/100,"UP",IF(Q85&lt;-Settings!$B$3/100,"DOWN","FLAT")))</f>
        <v>UP</v>
      </c>
      <c r="S85" s="20" t="str">
        <f t="shared" si="12"/>
        <v>YES</v>
      </c>
      <c r="T85" s="21">
        <f t="shared" si="13"/>
        <v>1</v>
      </c>
      <c r="U85" s="148">
        <f>IFERROR(IF(OR(J85="",N85="",P85=""),"",IF(T85=0,0,T85*Q85-Settings!$B$4/10000-IF(T85&lt;0,Settings!$B$5/10000,0))),"")</f>
        <v>3.0499999999999999E-2</v>
      </c>
      <c r="V85" s="23" t="s">
        <v>877</v>
      </c>
      <c r="W85" s="21">
        <f t="shared" si="14"/>
        <v>1920</v>
      </c>
      <c r="X85" s="91" t="str">
        <f t="shared" si="15"/>
        <v>Goldman Sachs|2025|Q1</v>
      </c>
      <c r="Y85" s="91" t="str">
        <f>IFERROR(IF($X85="","",INDEX(LLM_Data_Entry!$H$3:$H$548,MATCH($X85,INDEX(LLM_Data_Entry!$A$3:$A$548&amp;"|"&amp;LLM_Data_Entry!$C$3:$C$548&amp;"|"&amp;LLM_Data_Entry!$D$3:$D$548,0),0))),"")</f>
        <v>SELL</v>
      </c>
      <c r="Z85" s="91" t="str">
        <f>IFERROR(IF($X85="","",INDEX(LLM_Data_Entry!$R$3:$R$548,MATCH($X85,INDEX(LLM_Data_Entry!$A$3:$A$548&amp;"|"&amp;LLM_Data_Entry!$C$3:$C$548&amp;"|"&amp;LLM_Data_Entry!$D$3:$D$548,0),0))),"")</f>
        <v>NO</v>
      </c>
      <c r="AB85" t="s">
        <v>541</v>
      </c>
      <c r="AC85" t="s">
        <v>878</v>
      </c>
      <c r="AD85" t="s">
        <v>879</v>
      </c>
      <c r="AE85">
        <v>482.27910000000003</v>
      </c>
      <c r="AF85" t="s">
        <v>714</v>
      </c>
      <c r="AG85">
        <v>497.45639999999997</v>
      </c>
      <c r="AH85">
        <v>3.1469854693191412E-2</v>
      </c>
      <c r="AI85" t="s">
        <v>591</v>
      </c>
      <c r="AJ85" t="s">
        <v>554</v>
      </c>
      <c r="AK85">
        <v>3.0470000000000001E-2</v>
      </c>
      <c r="AL85" t="str">
        <f>IF($A85="","",IFERROR(INDEX(Company_List!$G$3:$G$207,MATCH($A85,Company_List!$A$3:$A$207,0)),"unassigned"))</f>
        <v>P2</v>
      </c>
      <c r="AM85" t="s">
        <v>880</v>
      </c>
      <c r="AN85" t="s">
        <v>881</v>
      </c>
      <c r="AO85" t="s">
        <v>754</v>
      </c>
      <c r="AP85" t="str">
        <f>IF($A85="","",IF(COUNTIFS(LLM_Data_Entry!$A$3:$A$548,$A85)&gt;0,"YES","NO"))</f>
        <v>YES</v>
      </c>
      <c r="AQ85" t="str">
        <f>IF($A85="","",IF(COUNTIFS($A$3:$A85,$A85,$C$3:$C85,$C85,$D$3:$D85,$D85)=1,"YES","NO"))</f>
        <v>YES</v>
      </c>
      <c r="AR85" t="str">
        <f>IF($A85="","",IF(AND($C85&amp;"-"&amp;$D85&gt;=Settings!$B$19,$C85&amp;"-"&amp;$D85&lt;=Settings!$B$20),"IN","OUT"))</f>
        <v>IN</v>
      </c>
      <c r="AS85" t="str">
        <f t="shared" si="16"/>
        <v>full</v>
      </c>
      <c r="AT85">
        <f t="shared" si="17"/>
        <v>3.0499999999999999E-2</v>
      </c>
      <c r="AU85">
        <f t="shared" si="18"/>
        <v>3.0470000000000001E-2</v>
      </c>
      <c r="AV85">
        <f>IF(ISNUMBER($AT85),ABS(IF(ISNUMBER($I85),$I85,0)-Settings!$B$24),"")</f>
        <v>0.45</v>
      </c>
      <c r="AW85">
        <f t="shared" si="19"/>
        <v>1.3724999999999999E-2</v>
      </c>
      <c r="AX85">
        <f>IF(ISNUMBER($AU85),ABS(IF(ISNUMBER($I85),$I85,0)-Settings!$B$24),"")</f>
        <v>0.45</v>
      </c>
      <c r="AY85" t="s">
        <v>549</v>
      </c>
      <c r="AZ85" t="str">
        <f>IF($A85="","",IFERROR(INDEX(Company_List!$H$3:$H$207,MATCH($A85,Company_List!$A$3:$A$207,0)),"unassigned"))</f>
        <v>Financials</v>
      </c>
      <c r="BC85">
        <f>IF($A85="","",IF(COUNTIFS($A$3:$A85,$A85,$C$3:$C85,$C85,$D$3:$D85,$D85,$G$3:$G85,$G85)=1,1,0))</f>
        <v>1</v>
      </c>
      <c r="BG85" t="s">
        <v>550</v>
      </c>
      <c r="BK85">
        <f t="shared" si="20"/>
        <v>0</v>
      </c>
      <c r="BL85" t="s">
        <v>551</v>
      </c>
      <c r="BM85">
        <v>3</v>
      </c>
      <c r="BN85" t="s">
        <v>882</v>
      </c>
      <c r="BO85" t="s">
        <v>596</v>
      </c>
      <c r="BP85" t="s">
        <v>550</v>
      </c>
      <c r="BQ85" t="s">
        <v>562</v>
      </c>
      <c r="BS85" t="s">
        <v>554</v>
      </c>
    </row>
    <row r="86" spans="1:71" ht="16.25" customHeight="1" x14ac:dyDescent="0.2">
      <c r="A86" s="95" t="s">
        <v>876</v>
      </c>
      <c r="B86" s="96" t="str">
        <f>IF(A86="","",_xlfn.XLOOKUP(A86, Company_List!$A:$A, Company_List!$B:$B, ""))</f>
        <v>GS</v>
      </c>
      <c r="C86" s="21">
        <v>2025</v>
      </c>
      <c r="D86" s="20" t="s">
        <v>555</v>
      </c>
      <c r="E86" s="19" t="s">
        <v>538</v>
      </c>
      <c r="F86" s="19" t="s">
        <v>538</v>
      </c>
      <c r="G86" s="20" t="s">
        <v>575</v>
      </c>
      <c r="H86" s="20" t="s">
        <v>540</v>
      </c>
      <c r="I86" s="127">
        <v>0.5</v>
      </c>
      <c r="J86" s="145" t="str">
        <f>IF(OR(I86="",Settings!$B$6=""),"",IF(I86&gt;Settings!$B$6,"BUY",IF(I86&lt;-Settings!$B$6,"SELL","HOLD")))</f>
        <v>BUY</v>
      </c>
      <c r="K86" s="139">
        <v>25</v>
      </c>
      <c r="L86" s="123">
        <v>45854</v>
      </c>
      <c r="M86" s="123">
        <v>45853</v>
      </c>
      <c r="N86" s="127">
        <v>702.51</v>
      </c>
      <c r="O86" s="123">
        <v>45854</v>
      </c>
      <c r="P86" s="22">
        <v>708.5</v>
      </c>
      <c r="Q86" s="148">
        <f t="shared" si="11"/>
        <v>8.5000000000000006E-3</v>
      </c>
      <c r="R86" s="20" t="str">
        <f>IF(OR(N86="",P86=""),"",IF(Q86&gt;Settings!$B$3/100,"UP",IF(Q86&lt;-Settings!$B$3/100,"DOWN","FLAT")))</f>
        <v>FLAT</v>
      </c>
      <c r="S86" s="20" t="str">
        <f t="shared" si="12"/>
        <v>NO</v>
      </c>
      <c r="T86" s="21">
        <f t="shared" si="13"/>
        <v>1</v>
      </c>
      <c r="U86" s="148">
        <f>IFERROR(IF(OR(J86="",N86="",P86=""),"",IF(T86=0,0,T86*Q86-Settings!$B$4/10000-IF(T86&lt;0,Settings!$B$5/10000,0))),"")</f>
        <v>7.5000000000000006E-3</v>
      </c>
      <c r="V86" s="23" t="s">
        <v>883</v>
      </c>
      <c r="W86" s="21">
        <f t="shared" si="14"/>
        <v>1500</v>
      </c>
      <c r="X86" s="91" t="str">
        <f t="shared" si="15"/>
        <v>Goldman Sachs|2025|Q2</v>
      </c>
      <c r="Y86" s="91" t="str">
        <f>IFERROR(IF($X86="","",INDEX(LLM_Data_Entry!$H$3:$H$548,MATCH($X86,INDEX(LLM_Data_Entry!$A$3:$A$548&amp;"|"&amp;LLM_Data_Entry!$C$3:$C$548&amp;"|"&amp;LLM_Data_Entry!$D$3:$D$548,0),0))),"")</f>
        <v>HOLD</v>
      </c>
      <c r="Z86" s="91" t="str">
        <f>IFERROR(IF($X86="","",INDEX(LLM_Data_Entry!$R$3:$R$548,MATCH($X86,INDEX(LLM_Data_Entry!$A$3:$A$548&amp;"|"&amp;LLM_Data_Entry!$C$3:$C$548&amp;"|"&amp;LLM_Data_Entry!$D$3:$D$548,0),0))),"")</f>
        <v>YES</v>
      </c>
      <c r="AB86" t="s">
        <v>807</v>
      </c>
      <c r="AC86" t="s">
        <v>878</v>
      </c>
      <c r="AD86" t="s">
        <v>719</v>
      </c>
      <c r="AE86">
        <v>688.6472</v>
      </c>
      <c r="AF86" t="s">
        <v>884</v>
      </c>
      <c r="AG86">
        <v>694.51890000000003</v>
      </c>
      <c r="AH86">
        <v>8.5265636345177812E-3</v>
      </c>
      <c r="AI86" t="s">
        <v>579</v>
      </c>
      <c r="AJ86" t="s">
        <v>546</v>
      </c>
      <c r="AK86">
        <v>7.5269999999999998E-3</v>
      </c>
      <c r="AL86" t="str">
        <f>IF($A86="","",IFERROR(INDEX(Company_List!$G$3:$G$207,MATCH($A86,Company_List!$A$3:$A$207,0)),"unassigned"))</f>
        <v>P2</v>
      </c>
      <c r="AM86" t="s">
        <v>885</v>
      </c>
      <c r="AN86" t="s">
        <v>886</v>
      </c>
      <c r="AO86" t="s">
        <v>754</v>
      </c>
      <c r="AP86" t="str">
        <f>IF($A86="","",IF(COUNTIFS(LLM_Data_Entry!$A$3:$A$548,$A86)&gt;0,"YES","NO"))</f>
        <v>YES</v>
      </c>
      <c r="AQ86" t="str">
        <f>IF($A86="","",IF(COUNTIFS($A$3:$A86,$A86,$C$3:$C86,$C86,$D$3:$D86,$D86)=1,"YES","NO"))</f>
        <v>YES</v>
      </c>
      <c r="AR86" t="str">
        <f>IF($A86="","",IF(AND($C86&amp;"-"&amp;$D86&gt;=Settings!$B$19,$C86&amp;"-"&amp;$D86&lt;=Settings!$B$20),"IN","OUT"))</f>
        <v>IN</v>
      </c>
      <c r="AS86" t="str">
        <f t="shared" si="16"/>
        <v>full</v>
      </c>
      <c r="AT86">
        <f t="shared" si="17"/>
        <v>7.5000000000000006E-3</v>
      </c>
      <c r="AU86">
        <f t="shared" si="18"/>
        <v>7.5269999999999998E-3</v>
      </c>
      <c r="AV86">
        <f>IF(ISNUMBER($AT86),ABS(IF(ISNUMBER($I86),$I86,0)-Settings!$B$24),"")</f>
        <v>0.5</v>
      </c>
      <c r="AW86">
        <f t="shared" si="19"/>
        <v>3.7500000000000003E-3</v>
      </c>
      <c r="AX86">
        <f>IF(ISNUMBER($AU86),ABS(IF(ISNUMBER($I86),$I86,0)-Settings!$B$24),"")</f>
        <v>0.5</v>
      </c>
      <c r="AY86" t="s">
        <v>549</v>
      </c>
      <c r="AZ86" t="str">
        <f>IF($A86="","",IFERROR(INDEX(Company_List!$H$3:$H$207,MATCH($A86,Company_List!$A$3:$A$207,0)),"unassigned"))</f>
        <v>Financials</v>
      </c>
      <c r="BC86">
        <f>IF($A86="","",IF(COUNTIFS($A$3:$A86,$A86,$C$3:$C86,$C86,$D$3:$D86,$D86,$G$3:$G86,$G86)=1,1,0))</f>
        <v>1</v>
      </c>
      <c r="BG86" t="s">
        <v>550</v>
      </c>
      <c r="BK86">
        <f t="shared" si="20"/>
        <v>0</v>
      </c>
      <c r="BL86" t="s">
        <v>551</v>
      </c>
      <c r="BM86">
        <v>3</v>
      </c>
      <c r="BN86" t="s">
        <v>595</v>
      </c>
      <c r="BO86" t="s">
        <v>596</v>
      </c>
      <c r="BP86" t="s">
        <v>550</v>
      </c>
      <c r="BQ86" t="s">
        <v>562</v>
      </c>
      <c r="BS86" t="s">
        <v>554</v>
      </c>
    </row>
    <row r="87" spans="1:71" ht="16.25" customHeight="1" x14ac:dyDescent="0.2">
      <c r="A87" s="95" t="s">
        <v>876</v>
      </c>
      <c r="B87" s="96" t="str">
        <f>IF(A87="","",_xlfn.XLOOKUP(A87, Company_List!$A:$A, Company_List!$B:$B, ""))</f>
        <v>GS</v>
      </c>
      <c r="C87" s="21">
        <v>2025</v>
      </c>
      <c r="D87" s="20" t="s">
        <v>563</v>
      </c>
      <c r="E87" s="19" t="s">
        <v>538</v>
      </c>
      <c r="F87" s="19" t="s">
        <v>538</v>
      </c>
      <c r="G87" s="20" t="s">
        <v>575</v>
      </c>
      <c r="H87" s="20" t="s">
        <v>540</v>
      </c>
      <c r="I87" s="127">
        <v>0.55000000000000004</v>
      </c>
      <c r="J87" s="145" t="str">
        <f>IF(OR(I87="",Settings!$B$6=""),"",IF(I87&gt;Settings!$B$6,"BUY",IF(I87&lt;-Settings!$B$6,"SELL","HOLD")))</f>
        <v>BUY</v>
      </c>
      <c r="K87" s="139">
        <v>34</v>
      </c>
      <c r="L87" s="123">
        <v>45944</v>
      </c>
      <c r="M87" s="123">
        <v>45943</v>
      </c>
      <c r="N87" s="127">
        <v>786.78</v>
      </c>
      <c r="O87" s="123">
        <v>45944</v>
      </c>
      <c r="P87" s="22">
        <v>764.45</v>
      </c>
      <c r="Q87" s="148">
        <f t="shared" si="11"/>
        <v>-2.8400000000000002E-2</v>
      </c>
      <c r="R87" s="20" t="str">
        <f>IF(OR(N87="",P87=""),"",IF(Q87&gt;Settings!$B$3/100,"UP",IF(Q87&lt;-Settings!$B$3/100,"DOWN","FLAT")))</f>
        <v>DOWN</v>
      </c>
      <c r="S87" s="20" t="str">
        <f t="shared" si="12"/>
        <v>NO</v>
      </c>
      <c r="T87" s="21">
        <f t="shared" si="13"/>
        <v>1</v>
      </c>
      <c r="U87" s="148">
        <f>IFERROR(IF(OR(J87="",N87="",P87=""),"",IF(T87=0,0,T87*Q87-Settings!$B$4/10000-IF(T87&lt;0,Settings!$B$5/10000,0))),"")</f>
        <v>-2.9400000000000003E-2</v>
      </c>
      <c r="V87" s="23" t="s">
        <v>887</v>
      </c>
      <c r="W87" s="21">
        <f t="shared" si="14"/>
        <v>2040</v>
      </c>
      <c r="X87" s="91" t="str">
        <f t="shared" si="15"/>
        <v>Goldman Sachs|2025|Q3</v>
      </c>
      <c r="Y87" s="91" t="str">
        <f>IFERROR(IF($X87="","",INDEX(LLM_Data_Entry!$H$3:$H$548,MATCH($X87,INDEX(LLM_Data_Entry!$A$3:$A$548&amp;"|"&amp;LLM_Data_Entry!$C$3:$C$548&amp;"|"&amp;LLM_Data_Entry!$D$3:$D$548,0),0))),"")</f>
        <v>BUY</v>
      </c>
      <c r="Z87" s="91" t="str">
        <f>IFERROR(IF($X87="","",INDEX(LLM_Data_Entry!$R$3:$R$548,MATCH($X87,INDEX(LLM_Data_Entry!$A$3:$A$548&amp;"|"&amp;LLM_Data_Entry!$C$3:$C$548&amp;"|"&amp;LLM_Data_Entry!$D$3:$D$548,0),0))),"")</f>
        <v>NO</v>
      </c>
      <c r="AB87" t="s">
        <v>541</v>
      </c>
      <c r="AC87" t="s">
        <v>878</v>
      </c>
      <c r="AD87" t="s">
        <v>757</v>
      </c>
      <c r="AE87">
        <v>775.38289999999995</v>
      </c>
      <c r="AF87" t="s">
        <v>722</v>
      </c>
      <c r="AG87">
        <v>753.37639999999999</v>
      </c>
      <c r="AH87">
        <v>-2.8381457298710409E-2</v>
      </c>
      <c r="AI87" t="s">
        <v>545</v>
      </c>
      <c r="AJ87" t="s">
        <v>546</v>
      </c>
      <c r="AK87">
        <v>-2.9381000000000001E-2</v>
      </c>
      <c r="AL87" t="str">
        <f>IF($A87="","",IFERROR(INDEX(Company_List!$G$3:$G$207,MATCH($A87,Company_List!$A$3:$A$207,0)),"unassigned"))</f>
        <v>P2</v>
      </c>
      <c r="AM87" t="s">
        <v>888</v>
      </c>
      <c r="AN87" t="s">
        <v>889</v>
      </c>
      <c r="AO87" t="s">
        <v>754</v>
      </c>
      <c r="AP87" t="str">
        <f>IF($A87="","",IF(COUNTIFS(LLM_Data_Entry!$A$3:$A$548,$A87)&gt;0,"YES","NO"))</f>
        <v>YES</v>
      </c>
      <c r="AQ87" t="str">
        <f>IF($A87="","",IF(COUNTIFS($A$3:$A87,$A87,$C$3:$C87,$C87,$D$3:$D87,$D87)=1,"YES","NO"))</f>
        <v>YES</v>
      </c>
      <c r="AR87" t="str">
        <f>IF($A87="","",IF(AND($C87&amp;"-"&amp;$D87&gt;=Settings!$B$19,$C87&amp;"-"&amp;$D87&lt;=Settings!$B$20),"IN","OUT"))</f>
        <v>IN</v>
      </c>
      <c r="AS87" t="str">
        <f t="shared" si="16"/>
        <v>full</v>
      </c>
      <c r="AT87">
        <f t="shared" si="17"/>
        <v>-2.9400000000000003E-2</v>
      </c>
      <c r="AU87">
        <f t="shared" si="18"/>
        <v>-2.9381000000000001E-2</v>
      </c>
      <c r="AV87">
        <f>IF(ISNUMBER($AT87),ABS(IF(ISNUMBER($I87),$I87,0)-Settings!$B$24),"")</f>
        <v>0.55000000000000004</v>
      </c>
      <c r="AW87">
        <f t="shared" si="19"/>
        <v>-1.6170000000000004E-2</v>
      </c>
      <c r="AX87">
        <f>IF(ISNUMBER($AU87),ABS(IF(ISNUMBER($I87),$I87,0)-Settings!$B$24),"")</f>
        <v>0.55000000000000004</v>
      </c>
      <c r="AY87" t="s">
        <v>549</v>
      </c>
      <c r="AZ87" t="str">
        <f>IF($A87="","",IFERROR(INDEX(Company_List!$H$3:$H$207,MATCH($A87,Company_List!$A$3:$A$207,0)),"unassigned"))</f>
        <v>Financials</v>
      </c>
      <c r="BC87">
        <f>IF($A87="","",IF(COUNTIFS($A$3:$A87,$A87,$C$3:$C87,$C87,$D$3:$D87,$D87,$G$3:$G87,$G87)=1,1,0))</f>
        <v>1</v>
      </c>
      <c r="BG87" t="s">
        <v>550</v>
      </c>
      <c r="BK87">
        <f t="shared" si="20"/>
        <v>1</v>
      </c>
      <c r="BL87" t="s">
        <v>551</v>
      </c>
      <c r="BM87">
        <v>3</v>
      </c>
      <c r="BN87" t="s">
        <v>882</v>
      </c>
      <c r="BO87" t="s">
        <v>596</v>
      </c>
      <c r="BP87" t="s">
        <v>550</v>
      </c>
      <c r="BQ87" t="s">
        <v>562</v>
      </c>
      <c r="BS87" t="s">
        <v>554</v>
      </c>
    </row>
    <row r="88" spans="1:71" ht="16.25" customHeight="1" x14ac:dyDescent="0.2">
      <c r="A88" s="95" t="s">
        <v>876</v>
      </c>
      <c r="B88" s="96" t="str">
        <f>IF(A88="","",_xlfn.XLOOKUP(A88, Company_List!$A:$A, Company_List!$B:$B, ""))</f>
        <v>GS</v>
      </c>
      <c r="C88" s="21">
        <v>2025</v>
      </c>
      <c r="D88" s="20" t="s">
        <v>569</v>
      </c>
      <c r="E88" s="19" t="s">
        <v>538</v>
      </c>
      <c r="F88" s="19" t="s">
        <v>538</v>
      </c>
      <c r="G88" s="20" t="s">
        <v>575</v>
      </c>
      <c r="H88" s="20" t="s">
        <v>540</v>
      </c>
      <c r="I88" s="127">
        <v>0.45</v>
      </c>
      <c r="J88" s="145" t="str">
        <f>IF(OR(I88="",Settings!$B$6=""),"",IF(I88&gt;Settings!$B$6,"BUY",IF(I88&lt;-Settings!$B$6,"SELL","HOLD")))</f>
        <v>BUY</v>
      </c>
      <c r="K88" s="139">
        <v>21</v>
      </c>
      <c r="L88" s="123">
        <v>46037</v>
      </c>
      <c r="M88" s="123">
        <v>46036</v>
      </c>
      <c r="N88" s="127">
        <v>932.67</v>
      </c>
      <c r="O88" s="123">
        <v>46037</v>
      </c>
      <c r="P88" s="22">
        <v>924.9</v>
      </c>
      <c r="Q88" s="148">
        <f t="shared" si="11"/>
        <v>-8.3000000000000001E-3</v>
      </c>
      <c r="R88" s="20" t="str">
        <f>IF(OR(N88="",P88=""),"",IF(Q88&gt;Settings!$B$3/100,"UP",IF(Q88&lt;-Settings!$B$3/100,"DOWN","FLAT")))</f>
        <v>FLAT</v>
      </c>
      <c r="S88" s="20" t="str">
        <f t="shared" si="12"/>
        <v>NO</v>
      </c>
      <c r="T88" s="21">
        <f t="shared" si="13"/>
        <v>1</v>
      </c>
      <c r="U88" s="148">
        <f>IFERROR(IF(OR(J88="",N88="",P88=""),"",IF(T88=0,0,T88*Q88-Settings!$B$4/10000-IF(T88&lt;0,Settings!$B$5/10000,0))),"")</f>
        <v>-9.2999999999999992E-3</v>
      </c>
      <c r="V88" s="23" t="s">
        <v>890</v>
      </c>
      <c r="W88" s="21">
        <f t="shared" si="14"/>
        <v>1260</v>
      </c>
      <c r="X88" s="91" t="str">
        <f t="shared" si="15"/>
        <v>Goldman Sachs|2025|Q4</v>
      </c>
      <c r="Y88" s="91" t="str">
        <f>IFERROR(IF($X88="","",INDEX(LLM_Data_Entry!$H$3:$H$548,MATCH($X88,INDEX(LLM_Data_Entry!$A$3:$A$548&amp;"|"&amp;LLM_Data_Entry!$C$3:$C$548&amp;"|"&amp;LLM_Data_Entry!$D$3:$D$548,0),0))),"")</f>
        <v>BUY</v>
      </c>
      <c r="Z88" s="91" t="str">
        <f>IFERROR(IF($X88="","",INDEX(LLM_Data_Entry!$R$3:$R$548,MATCH($X88,INDEX(LLM_Data_Entry!$A$3:$A$548&amp;"|"&amp;LLM_Data_Entry!$C$3:$C$548&amp;"|"&amp;LLM_Data_Entry!$D$3:$D$548,0),0))),"")</f>
        <v>NO</v>
      </c>
      <c r="AB88" t="s">
        <v>541</v>
      </c>
      <c r="AC88" t="s">
        <v>878</v>
      </c>
      <c r="AD88" t="s">
        <v>727</v>
      </c>
      <c r="AE88">
        <v>923.71630000000005</v>
      </c>
      <c r="AF88" t="s">
        <v>891</v>
      </c>
      <c r="AG88">
        <v>916.02089999999998</v>
      </c>
      <c r="AH88">
        <v>-8.3309253499483146E-3</v>
      </c>
      <c r="AI88" t="s">
        <v>579</v>
      </c>
      <c r="AJ88" t="s">
        <v>546</v>
      </c>
      <c r="AK88">
        <v>-9.3310000000000008E-3</v>
      </c>
      <c r="AL88" t="str">
        <f>IF($A88="","",IFERROR(INDEX(Company_List!$G$3:$G$207,MATCH($A88,Company_List!$A$3:$A$207,0)),"unassigned"))</f>
        <v>P2</v>
      </c>
      <c r="AM88" t="s">
        <v>892</v>
      </c>
      <c r="AN88" t="s">
        <v>893</v>
      </c>
      <c r="AO88" t="s">
        <v>754</v>
      </c>
      <c r="AP88" t="str">
        <f>IF($A88="","",IF(COUNTIFS(LLM_Data_Entry!$A$3:$A$548,$A88)&gt;0,"YES","NO"))</f>
        <v>YES</v>
      </c>
      <c r="AQ88" t="str">
        <f>IF($A88="","",IF(COUNTIFS($A$3:$A88,$A88,$C$3:$C88,$C88,$D$3:$D88,$D88)=1,"YES","NO"))</f>
        <v>YES</v>
      </c>
      <c r="AR88" t="str">
        <f>IF($A88="","",IF(AND($C88&amp;"-"&amp;$D88&gt;=Settings!$B$19,$C88&amp;"-"&amp;$D88&lt;=Settings!$B$20),"IN","OUT"))</f>
        <v>IN</v>
      </c>
      <c r="AS88" t="str">
        <f t="shared" si="16"/>
        <v>full</v>
      </c>
      <c r="AT88">
        <f t="shared" si="17"/>
        <v>-9.2999999999999992E-3</v>
      </c>
      <c r="AU88">
        <f t="shared" si="18"/>
        <v>-9.3310000000000008E-3</v>
      </c>
      <c r="AV88">
        <f>IF(ISNUMBER($AT88),ABS(IF(ISNUMBER($I88),$I88,0)-Settings!$B$24),"")</f>
        <v>0.45</v>
      </c>
      <c r="AW88">
        <f t="shared" si="19"/>
        <v>-4.1849999999999995E-3</v>
      </c>
      <c r="AX88">
        <f>IF(ISNUMBER($AU88),ABS(IF(ISNUMBER($I88),$I88,0)-Settings!$B$24),"")</f>
        <v>0.45</v>
      </c>
      <c r="AY88" t="s">
        <v>549</v>
      </c>
      <c r="AZ88" t="str">
        <f>IF($A88="","",IFERROR(INDEX(Company_List!$H$3:$H$207,MATCH($A88,Company_List!$A$3:$A$207,0)),"unassigned"))</f>
        <v>Financials</v>
      </c>
      <c r="BC88">
        <f>IF($A88="","",IF(COUNTIFS($A$3:$A88,$A88,$C$3:$C88,$C88,$D$3:$D88,$D88,$G$3:$G88,$G88)=1,1,0))</f>
        <v>1</v>
      </c>
      <c r="BG88" t="s">
        <v>550</v>
      </c>
      <c r="BK88">
        <f t="shared" si="20"/>
        <v>1</v>
      </c>
      <c r="BL88" t="s">
        <v>551</v>
      </c>
      <c r="BM88">
        <v>3</v>
      </c>
      <c r="BN88" t="s">
        <v>595</v>
      </c>
      <c r="BO88" t="s">
        <v>596</v>
      </c>
      <c r="BP88" t="s">
        <v>550</v>
      </c>
      <c r="BQ88" t="s">
        <v>562</v>
      </c>
      <c r="BS88" t="s">
        <v>554</v>
      </c>
    </row>
    <row r="89" spans="1:71" ht="16.25" customHeight="1" x14ac:dyDescent="0.2">
      <c r="A89" s="95" t="s">
        <v>876</v>
      </c>
      <c r="B89" s="96" t="str">
        <f>IF(A89="","",_xlfn.XLOOKUP(A89, Company_List!$A:$A, Company_List!$B:$B, ""))</f>
        <v>GS</v>
      </c>
      <c r="C89" s="21">
        <v>2026</v>
      </c>
      <c r="D89" s="20" t="s">
        <v>537</v>
      </c>
      <c r="E89" s="19" t="s">
        <v>538</v>
      </c>
      <c r="F89" s="19" t="s">
        <v>538</v>
      </c>
      <c r="G89" s="20" t="s">
        <v>575</v>
      </c>
      <c r="H89" s="20" t="s">
        <v>540</v>
      </c>
      <c r="I89" s="127">
        <v>0.4</v>
      </c>
      <c r="J89" s="145" t="str">
        <f>IF(OR(I89="",Settings!$B$6=""),"",IF(I89&gt;Settings!$B$6,"BUY",IF(I89&lt;-Settings!$B$6,"SELL","HOLD")))</f>
        <v>BUY</v>
      </c>
      <c r="K89" s="139">
        <v>24</v>
      </c>
      <c r="L89" s="123">
        <v>46125</v>
      </c>
      <c r="M89" s="123">
        <v>46122</v>
      </c>
      <c r="N89" s="127">
        <v>907.8</v>
      </c>
      <c r="O89" s="123">
        <v>46125</v>
      </c>
      <c r="P89" s="22">
        <v>875.55</v>
      </c>
      <c r="Q89" s="148">
        <f t="shared" si="11"/>
        <v>-3.5499999999999997E-2</v>
      </c>
      <c r="R89" s="20" t="str">
        <f>IF(OR(N89="",P89=""),"",IF(Q89&gt;Settings!$B$3/100,"UP",IF(Q89&lt;-Settings!$B$3/100,"DOWN","FLAT")))</f>
        <v>DOWN</v>
      </c>
      <c r="S89" s="20" t="str">
        <f t="shared" si="12"/>
        <v>NO</v>
      </c>
      <c r="T89" s="21">
        <f t="shared" si="13"/>
        <v>1</v>
      </c>
      <c r="U89" s="148">
        <f>IFERROR(IF(OR(J89="",N89="",P89=""),"",IF(T89=0,0,T89*Q89-Settings!$B$4/10000-IF(T89&lt;0,Settings!$B$5/10000,0))),"")</f>
        <v>-3.6499999999999998E-2</v>
      </c>
      <c r="V89" s="23" t="s">
        <v>894</v>
      </c>
      <c r="W89" s="21">
        <f t="shared" si="14"/>
        <v>1440</v>
      </c>
      <c r="X89" s="91" t="str">
        <f t="shared" si="15"/>
        <v>Goldman Sachs|2026|Q1</v>
      </c>
      <c r="Y89" s="91" t="str">
        <f>IFERROR(IF($X89="","",INDEX(LLM_Data_Entry!$H$3:$H$548,MATCH($X89,INDEX(LLM_Data_Entry!$A$3:$A$548&amp;"|"&amp;LLM_Data_Entry!$C$3:$C$548&amp;"|"&amp;LLM_Data_Entry!$D$3:$D$548,0),0))),"")</f>
        <v>SELL</v>
      </c>
      <c r="Z89" s="91" t="str">
        <f>IFERROR(IF($X89="","",INDEX(LLM_Data_Entry!$R$3:$R$548,MATCH($X89,INDEX(LLM_Data_Entry!$A$3:$A$548&amp;"|"&amp;LLM_Data_Entry!$C$3:$C$548&amp;"|"&amp;LLM_Data_Entry!$D$3:$D$548,0),0))),"")</f>
        <v>YES</v>
      </c>
      <c r="AB89" t="s">
        <v>541</v>
      </c>
      <c r="AC89" t="s">
        <v>878</v>
      </c>
      <c r="AD89" t="s">
        <v>895</v>
      </c>
      <c r="AE89">
        <v>903.81669999999997</v>
      </c>
      <c r="AF89" t="s">
        <v>766</v>
      </c>
      <c r="AG89">
        <v>871.70820000000003</v>
      </c>
      <c r="AH89">
        <v>-3.5525435864656209E-2</v>
      </c>
      <c r="AI89" t="s">
        <v>545</v>
      </c>
      <c r="AJ89" t="s">
        <v>546</v>
      </c>
      <c r="AK89">
        <v>-3.6525000000000002E-2</v>
      </c>
      <c r="AL89" t="str">
        <f>IF($A89="","",IFERROR(INDEX(Company_List!$G$3:$G$207,MATCH($A89,Company_List!$A$3:$A$207,0)),"unassigned"))</f>
        <v>P2</v>
      </c>
      <c r="AM89" t="s">
        <v>896</v>
      </c>
      <c r="AN89" t="s">
        <v>897</v>
      </c>
      <c r="AO89" t="s">
        <v>754</v>
      </c>
      <c r="AP89" t="str">
        <f>IF($A89="","",IF(COUNTIFS(LLM_Data_Entry!$A$3:$A$548,$A89)&gt;0,"YES","NO"))</f>
        <v>YES</v>
      </c>
      <c r="AQ89" t="str">
        <f>IF($A89="","",IF(COUNTIFS($A$3:$A89,$A89,$C$3:$C89,$C89,$D$3:$D89,$D89)=1,"YES","NO"))</f>
        <v>YES</v>
      </c>
      <c r="AR89" t="str">
        <f>IF($A89="","",IF(AND($C89&amp;"-"&amp;$D89&gt;=Settings!$B$19,$C89&amp;"-"&amp;$D89&lt;=Settings!$B$20),"IN","OUT"))</f>
        <v>IN</v>
      </c>
      <c r="AS89" t="str">
        <f t="shared" si="16"/>
        <v>full</v>
      </c>
      <c r="AT89">
        <f t="shared" si="17"/>
        <v>-3.6499999999999998E-2</v>
      </c>
      <c r="AU89">
        <f t="shared" si="18"/>
        <v>-3.6525000000000002E-2</v>
      </c>
      <c r="AV89">
        <f>IF(ISNUMBER($AT89),ABS(IF(ISNUMBER($I89),$I89,0)-Settings!$B$24),"")</f>
        <v>0.4</v>
      </c>
      <c r="AW89">
        <f t="shared" si="19"/>
        <v>-1.46E-2</v>
      </c>
      <c r="AX89">
        <f>IF(ISNUMBER($AU89),ABS(IF(ISNUMBER($I89),$I89,0)-Settings!$B$24),"")</f>
        <v>0.4</v>
      </c>
      <c r="AY89" t="s">
        <v>549</v>
      </c>
      <c r="AZ89" t="str">
        <f>IF($A89="","",IFERROR(INDEX(Company_List!$H$3:$H$207,MATCH($A89,Company_List!$A$3:$A$207,0)),"unassigned"))</f>
        <v>Financials</v>
      </c>
      <c r="BC89">
        <f>IF($A89="","",IF(COUNTIFS($A$3:$A89,$A89,$C$3:$C89,$C89,$D$3:$D89,$D89,$G$3:$G89,$G89)=1,1,0))</f>
        <v>1</v>
      </c>
      <c r="BG89" t="s">
        <v>550</v>
      </c>
      <c r="BK89">
        <f t="shared" si="20"/>
        <v>0</v>
      </c>
      <c r="BL89" t="s">
        <v>551</v>
      </c>
      <c r="BM89">
        <v>3</v>
      </c>
      <c r="BN89" t="s">
        <v>595</v>
      </c>
      <c r="BO89" t="s">
        <v>596</v>
      </c>
      <c r="BP89" t="s">
        <v>550</v>
      </c>
      <c r="BQ89" t="s">
        <v>562</v>
      </c>
      <c r="BS89" t="s">
        <v>554</v>
      </c>
    </row>
    <row r="90" spans="1:71" ht="16.25" customHeight="1" x14ac:dyDescent="0.2">
      <c r="A90" s="95" t="s">
        <v>876</v>
      </c>
      <c r="B90" s="96" t="str">
        <f>IF(A90="","",_xlfn.XLOOKUP(A90, Company_List!$A:$A, Company_List!$B:$B, ""))</f>
        <v>GS</v>
      </c>
      <c r="C90" s="21">
        <v>2026</v>
      </c>
      <c r="D90" s="20" t="s">
        <v>555</v>
      </c>
      <c r="E90" s="19" t="s">
        <v>538</v>
      </c>
      <c r="F90" s="19" t="s">
        <v>538</v>
      </c>
      <c r="G90" s="20" t="s">
        <v>575</v>
      </c>
      <c r="H90" s="20" t="s">
        <v>540</v>
      </c>
      <c r="I90" s="127">
        <v>0.8</v>
      </c>
      <c r="J90" s="145" t="str">
        <f>IF(OR(I90="",Settings!$B$6=""),"",IF(I90&gt;Settings!$B$6,"BUY",IF(I90&lt;-Settings!$B$6,"SELL","HOLD")))</f>
        <v>BUY</v>
      </c>
      <c r="K90" s="139">
        <v>21</v>
      </c>
      <c r="L90" s="123">
        <v>46217</v>
      </c>
      <c r="M90" s="123">
        <v>46216</v>
      </c>
      <c r="N90" s="127">
        <v>1045.9100000000001</v>
      </c>
      <c r="O90" s="123">
        <v>46217</v>
      </c>
      <c r="P90" s="22">
        <v>1085</v>
      </c>
      <c r="Q90" s="148">
        <f t="shared" si="11"/>
        <v>3.7400000000000003E-2</v>
      </c>
      <c r="R90" s="20" t="str">
        <f>IF(OR(N90="",P90=""),"",IF(Q90&gt;Settings!$B$3/100,"UP",IF(Q90&lt;-Settings!$B$3/100,"DOWN","FLAT")))</f>
        <v>UP</v>
      </c>
      <c r="S90" s="20" t="str">
        <f t="shared" si="12"/>
        <v>YES</v>
      </c>
      <c r="T90" s="21">
        <f t="shared" si="13"/>
        <v>1</v>
      </c>
      <c r="U90" s="148">
        <f>IFERROR(IF(OR(J90="",N90="",P90=""),"",IF(T90=0,0,T90*Q90-Settings!$B$4/10000-IF(T90&lt;0,Settings!$B$5/10000,0))),"")</f>
        <v>3.6400000000000002E-2</v>
      </c>
      <c r="V90" s="23" t="s">
        <v>898</v>
      </c>
      <c r="W90" s="21">
        <f t="shared" si="14"/>
        <v>1260</v>
      </c>
      <c r="X90" s="91" t="str">
        <f t="shared" si="15"/>
        <v>Goldman Sachs|2026|Q2</v>
      </c>
      <c r="Y90" s="91" t="str">
        <f>IFERROR(IF($X90="","",INDEX(LLM_Data_Entry!$H$3:$H$548,MATCH($X90,INDEX(LLM_Data_Entry!$A$3:$A$548&amp;"|"&amp;LLM_Data_Entry!$C$3:$C$548&amp;"|"&amp;LLM_Data_Entry!$D$3:$D$548,0),0))),"")</f>
        <v>HOLD</v>
      </c>
      <c r="Z90" s="91" t="str">
        <f>IFERROR(IF($X90="","",INDEX(LLM_Data_Entry!$R$3:$R$548,MATCH($X90,INDEX(LLM_Data_Entry!$A$3:$A$548&amp;"|"&amp;LLM_Data_Entry!$C$3:$C$548&amp;"|"&amp;LLM_Data_Entry!$D$3:$D$548,0),0))),"")</f>
        <v>NO</v>
      </c>
      <c r="AB90" t="s">
        <v>541</v>
      </c>
      <c r="AC90" t="s">
        <v>878</v>
      </c>
      <c r="AD90" t="s">
        <v>899</v>
      </c>
      <c r="AE90">
        <v>1045.9100000000001</v>
      </c>
      <c r="AF90" t="s">
        <v>900</v>
      </c>
      <c r="AG90">
        <v>1085</v>
      </c>
      <c r="AH90">
        <v>3.7374118929238608E-2</v>
      </c>
      <c r="AI90" t="s">
        <v>591</v>
      </c>
      <c r="AJ90" t="s">
        <v>554</v>
      </c>
      <c r="AK90">
        <v>3.6373999999999997E-2</v>
      </c>
      <c r="AL90" t="str">
        <f>IF($A90="","",IFERROR(INDEX(Company_List!$G$3:$G$207,MATCH($A90,Company_List!$A$3:$A$207,0)),"unassigned"))</f>
        <v>P2</v>
      </c>
      <c r="AM90" t="s">
        <v>901</v>
      </c>
      <c r="AN90" t="s">
        <v>902</v>
      </c>
      <c r="AO90" t="s">
        <v>754</v>
      </c>
      <c r="AP90" t="str">
        <f>IF($A90="","",IF(COUNTIFS(LLM_Data_Entry!$A$3:$A$548,$A90)&gt;0,"YES","NO"))</f>
        <v>YES</v>
      </c>
      <c r="AQ90" t="str">
        <f>IF($A90="","",IF(COUNTIFS($A$3:$A90,$A90,$C$3:$C90,$C90,$D$3:$D90,$D90)=1,"YES","NO"))</f>
        <v>YES</v>
      </c>
      <c r="AR90" t="str">
        <f>IF($A90="","",IF(AND($C90&amp;"-"&amp;$D90&gt;=Settings!$B$19,$C90&amp;"-"&amp;$D90&lt;=Settings!$B$20),"IN","OUT"))</f>
        <v>IN</v>
      </c>
      <c r="AS90" t="str">
        <f t="shared" si="16"/>
        <v>full</v>
      </c>
      <c r="AT90">
        <f t="shared" si="17"/>
        <v>3.6400000000000002E-2</v>
      </c>
      <c r="AU90">
        <f t="shared" si="18"/>
        <v>3.6373999999999997E-2</v>
      </c>
      <c r="AV90">
        <f>IF(ISNUMBER($AT90),ABS(IF(ISNUMBER($I90),$I90,0)-Settings!$B$24),"")</f>
        <v>0.8</v>
      </c>
      <c r="AW90">
        <f t="shared" si="19"/>
        <v>2.9120000000000004E-2</v>
      </c>
      <c r="AX90">
        <f>IF(ISNUMBER($AU90),ABS(IF(ISNUMBER($I90),$I90,0)-Settings!$B$24),"")</f>
        <v>0.8</v>
      </c>
      <c r="AY90" t="s">
        <v>549</v>
      </c>
      <c r="AZ90" t="str">
        <f>IF($A90="","",IFERROR(INDEX(Company_List!$H$3:$H$207,MATCH($A90,Company_List!$A$3:$A$207,0)),"unassigned"))</f>
        <v>Financials</v>
      </c>
      <c r="BC90">
        <f>IF($A90="","",IF(COUNTIFS($A$3:$A90,$A90,$C$3:$C90,$C90,$D$3:$D90,$D90,$G$3:$G90,$G90)=1,1,0))</f>
        <v>1</v>
      </c>
      <c r="BG90" t="s">
        <v>550</v>
      </c>
      <c r="BK90">
        <f t="shared" si="20"/>
        <v>0</v>
      </c>
      <c r="BL90" t="s">
        <v>551</v>
      </c>
      <c r="BM90">
        <v>3</v>
      </c>
      <c r="BN90" t="s">
        <v>561</v>
      </c>
      <c r="BO90" t="s">
        <v>561</v>
      </c>
      <c r="BP90" t="s">
        <v>550</v>
      </c>
      <c r="BQ90" t="s">
        <v>562</v>
      </c>
      <c r="BS90" t="s">
        <v>554</v>
      </c>
    </row>
    <row r="91" spans="1:71" ht="16.25" customHeight="1" x14ac:dyDescent="0.2">
      <c r="A91" s="95" t="s">
        <v>903</v>
      </c>
      <c r="B91" s="96" t="str">
        <f>IF(A91="","",_xlfn.XLOOKUP(A91, Company_List!$A:$A, Company_List!$B:$B, ""))</f>
        <v>SCHW</v>
      </c>
      <c r="C91" s="21">
        <v>2025</v>
      </c>
      <c r="D91" s="20" t="s">
        <v>537</v>
      </c>
      <c r="E91" s="19" t="s">
        <v>538</v>
      </c>
      <c r="F91" s="19" t="s">
        <v>538</v>
      </c>
      <c r="G91" s="20" t="s">
        <v>575</v>
      </c>
      <c r="H91" s="20" t="s">
        <v>540</v>
      </c>
      <c r="I91" s="127">
        <v>0.6</v>
      </c>
      <c r="J91" s="145" t="str">
        <f>IF(OR(I91="",Settings!$B$6=""),"",IF(I91&gt;Settings!$B$6,"BUY",IF(I91&lt;-Settings!$B$6,"SELL","HOLD")))</f>
        <v>BUY</v>
      </c>
      <c r="K91" s="139">
        <v>25</v>
      </c>
      <c r="L91" s="123">
        <v>45764</v>
      </c>
      <c r="M91" s="123">
        <v>45764</v>
      </c>
      <c r="N91" s="127">
        <v>76.150000000000006</v>
      </c>
      <c r="O91" s="123">
        <v>45765</v>
      </c>
      <c r="P91" s="22">
        <v>75.64</v>
      </c>
      <c r="Q91" s="148">
        <f t="shared" si="11"/>
        <v>-6.7000000000000002E-3</v>
      </c>
      <c r="R91" s="20" t="str">
        <f>IF(OR(N91="",P91=""),"",IF(Q91&gt;Settings!$B$3/100,"UP",IF(Q91&lt;-Settings!$B$3/100,"DOWN","FLAT")))</f>
        <v>FLAT</v>
      </c>
      <c r="S91" s="20" t="str">
        <f t="shared" si="12"/>
        <v>NO</v>
      </c>
      <c r="T91" s="21">
        <f t="shared" si="13"/>
        <v>1</v>
      </c>
      <c r="U91" s="148">
        <f>IFERROR(IF(OR(J91="",N91="",P91=""),"",IF(T91=0,0,T91*Q91-Settings!$B$4/10000-IF(T91&lt;0,Settings!$B$5/10000,0))),"")</f>
        <v>-7.7000000000000002E-3</v>
      </c>
      <c r="V91" s="23" t="s">
        <v>904</v>
      </c>
      <c r="W91" s="21">
        <f t="shared" si="14"/>
        <v>1500</v>
      </c>
      <c r="X91" s="91" t="str">
        <f t="shared" si="15"/>
        <v>Charles Schwab|2025|Q1</v>
      </c>
      <c r="Y91" s="91" t="str">
        <f>IFERROR(IF($X91="","",INDEX(LLM_Data_Entry!$H$3:$H$548,MATCH($X91,INDEX(LLM_Data_Entry!$A$3:$A$548&amp;"|"&amp;LLM_Data_Entry!$C$3:$C$548&amp;"|"&amp;LLM_Data_Entry!$D$3:$D$548,0),0))),"")</f>
        <v>HOLD</v>
      </c>
      <c r="Z91" s="91" t="str">
        <f>IFERROR(IF($X91="","",INDEX(LLM_Data_Entry!$R$3:$R$548,MATCH($X91,INDEX(LLM_Data_Entry!$A$3:$A$548&amp;"|"&amp;LLM_Data_Entry!$C$3:$C$548&amp;"|"&amp;LLM_Data_Entry!$D$3:$D$548,0),0))),"")</f>
        <v>YES</v>
      </c>
      <c r="AB91" t="s">
        <v>541</v>
      </c>
      <c r="AC91" t="s">
        <v>905</v>
      </c>
      <c r="AD91" t="s">
        <v>906</v>
      </c>
      <c r="AE91">
        <v>74.512500000000003</v>
      </c>
      <c r="AF91" t="s">
        <v>577</v>
      </c>
      <c r="AG91">
        <v>76.451700000000002</v>
      </c>
      <c r="AH91">
        <v>2.6023914416206339E-2</v>
      </c>
      <c r="AI91" t="s">
        <v>591</v>
      </c>
      <c r="AJ91" t="s">
        <v>554</v>
      </c>
      <c r="AK91">
        <v>2.5024000000000001E-2</v>
      </c>
      <c r="AL91" t="str">
        <f>IF($A91="","",IFERROR(INDEX(Company_List!$G$3:$G$207,MATCH($A91,Company_List!$A$3:$A$207,0)),"unassigned"))</f>
        <v>P2</v>
      </c>
      <c r="AM91" t="s">
        <v>907</v>
      </c>
      <c r="AN91" t="s">
        <v>908</v>
      </c>
      <c r="AO91" t="s">
        <v>754</v>
      </c>
      <c r="AP91" t="str">
        <f>IF($A91="","",IF(COUNTIFS(LLM_Data_Entry!$A$3:$A$548,$A91)&gt;0,"YES","NO"))</f>
        <v>YES</v>
      </c>
      <c r="AQ91" t="str">
        <f>IF($A91="","",IF(COUNTIFS($A$3:$A91,$A91,$C$3:$C91,$C91,$D$3:$D91,$D91)=1,"YES","NO"))</f>
        <v>YES</v>
      </c>
      <c r="AR91" t="str">
        <f>IF($A91="","",IF(AND($C91&amp;"-"&amp;$D91&gt;=Settings!$B$19,$C91&amp;"-"&amp;$D91&lt;=Settings!$B$20),"IN","OUT"))</f>
        <v>IN</v>
      </c>
      <c r="AS91" t="str">
        <f t="shared" si="16"/>
        <v>full</v>
      </c>
      <c r="AT91">
        <f t="shared" si="17"/>
        <v>-7.7000000000000002E-3</v>
      </c>
      <c r="AU91">
        <f t="shared" si="18"/>
        <v>2.5024000000000001E-2</v>
      </c>
      <c r="AV91">
        <f>IF(ISNUMBER($AT91),ABS(IF(ISNUMBER($I91),$I91,0)-Settings!$B$24),"")</f>
        <v>0.6</v>
      </c>
      <c r="AW91">
        <f t="shared" si="19"/>
        <v>-4.62E-3</v>
      </c>
      <c r="AX91">
        <f>IF(ISNUMBER($AU91),ABS(IF(ISNUMBER($I91),$I91,0)-Settings!$B$24),"")</f>
        <v>0.6</v>
      </c>
      <c r="AY91" t="s">
        <v>549</v>
      </c>
      <c r="AZ91" t="str">
        <f>IF($A91="","",IFERROR(INDEX(Company_List!$H$3:$H$207,MATCH($A91,Company_List!$A$3:$A$207,0)),"unassigned"))</f>
        <v>Financials</v>
      </c>
      <c r="BC91">
        <f>IF($A91="","",IF(COUNTIFS($A$3:$A91,$A91,$C$3:$C91,$C91,$D$3:$D91,$D91,$G$3:$G91,$G91)=1,1,0))</f>
        <v>1</v>
      </c>
      <c r="BG91" t="s">
        <v>550</v>
      </c>
      <c r="BK91">
        <f t="shared" si="20"/>
        <v>0</v>
      </c>
      <c r="BL91" t="s">
        <v>551</v>
      </c>
      <c r="BM91">
        <v>2</v>
      </c>
      <c r="BN91" t="s">
        <v>882</v>
      </c>
      <c r="BO91" t="s">
        <v>596</v>
      </c>
      <c r="BP91" t="s">
        <v>550</v>
      </c>
      <c r="BQ91" t="s">
        <v>562</v>
      </c>
      <c r="BS91" t="s">
        <v>554</v>
      </c>
    </row>
    <row r="92" spans="1:71" ht="16.25" customHeight="1" x14ac:dyDescent="0.2">
      <c r="A92" s="95" t="s">
        <v>903</v>
      </c>
      <c r="B92" s="96" t="str">
        <f>IF(A92="","",_xlfn.XLOOKUP(A92, Company_List!$A:$A, Company_List!$B:$B, ""))</f>
        <v>SCHW</v>
      </c>
      <c r="C92" s="21">
        <v>2025</v>
      </c>
      <c r="D92" s="20" t="s">
        <v>555</v>
      </c>
      <c r="E92" s="19" t="s">
        <v>538</v>
      </c>
      <c r="F92" s="19" t="s">
        <v>538</v>
      </c>
      <c r="G92" s="20" t="s">
        <v>575</v>
      </c>
      <c r="H92" s="20" t="s">
        <v>540</v>
      </c>
      <c r="I92" s="127">
        <v>0.7</v>
      </c>
      <c r="J92" s="145" t="str">
        <f>IF(OR(I92="",Settings!$B$6=""),"",IF(I92&gt;Settings!$B$6,"BUY",IF(I92&lt;-Settings!$B$6,"SELL","HOLD")))</f>
        <v>BUY</v>
      </c>
      <c r="K92" s="139">
        <v>30</v>
      </c>
      <c r="L92" s="123">
        <v>45856</v>
      </c>
      <c r="M92" s="123">
        <v>45856</v>
      </c>
      <c r="N92" s="127">
        <v>95.8</v>
      </c>
      <c r="O92" s="123">
        <v>45859</v>
      </c>
      <c r="P92" s="22">
        <v>96.02</v>
      </c>
      <c r="Q92" s="148">
        <f t="shared" si="11"/>
        <v>2.3E-3</v>
      </c>
      <c r="R92" s="20" t="str">
        <f>IF(OR(N92="",P92=""),"",IF(Q92&gt;Settings!$B$3/100,"UP",IF(Q92&lt;-Settings!$B$3/100,"DOWN","FLAT")))</f>
        <v>FLAT</v>
      </c>
      <c r="S92" s="20" t="str">
        <f t="shared" si="12"/>
        <v>NO</v>
      </c>
      <c r="T92" s="21">
        <f t="shared" si="13"/>
        <v>1</v>
      </c>
      <c r="U92" s="148">
        <f>IFERROR(IF(OR(J92="",N92="",P92=""),"",IF(T92=0,0,T92*Q92-Settings!$B$4/10000-IF(T92&lt;0,Settings!$B$5/10000,0))),"")</f>
        <v>1.2999999999999999E-3</v>
      </c>
      <c r="V92" s="23" t="s">
        <v>909</v>
      </c>
      <c r="W92" s="21">
        <f t="shared" si="14"/>
        <v>1800</v>
      </c>
      <c r="X92" s="91" t="str">
        <f t="shared" si="15"/>
        <v>Charles Schwab|2025|Q2</v>
      </c>
      <c r="Y92" s="91" t="str">
        <f>IFERROR(IF($X92="","",INDEX(LLM_Data_Entry!$H$3:$H$548,MATCH($X92,INDEX(LLM_Data_Entry!$A$3:$A$548&amp;"|"&amp;LLM_Data_Entry!$C$3:$C$548&amp;"|"&amp;LLM_Data_Entry!$D$3:$D$548,0),0))),"")</f>
        <v>HOLD</v>
      </c>
      <c r="Z92" s="91" t="str">
        <f>IFERROR(IF($X92="","",INDEX(LLM_Data_Entry!$R$3:$R$548,MATCH($X92,INDEX(LLM_Data_Entry!$A$3:$A$548&amp;"|"&amp;LLM_Data_Entry!$C$3:$C$548&amp;"|"&amp;LLM_Data_Entry!$D$3:$D$548,0),0))),"")</f>
        <v>YES</v>
      </c>
      <c r="AB92" t="s">
        <v>541</v>
      </c>
      <c r="AC92" t="s">
        <v>905</v>
      </c>
      <c r="AD92" t="s">
        <v>556</v>
      </c>
      <c r="AE92">
        <v>91.933800000000005</v>
      </c>
      <c r="AF92" t="s">
        <v>557</v>
      </c>
      <c r="AG92">
        <v>94.501199999999997</v>
      </c>
      <c r="AH92">
        <v>2.792702460304082E-2</v>
      </c>
      <c r="AI92" t="s">
        <v>591</v>
      </c>
      <c r="AJ92" t="s">
        <v>554</v>
      </c>
      <c r="AK92">
        <v>2.6927E-2</v>
      </c>
      <c r="AL92" t="str">
        <f>IF($A92="","",IFERROR(INDEX(Company_List!$G$3:$G$207,MATCH($A92,Company_List!$A$3:$A$207,0)),"unassigned"))</f>
        <v>P2</v>
      </c>
      <c r="AM92" t="s">
        <v>910</v>
      </c>
      <c r="AN92" t="s">
        <v>911</v>
      </c>
      <c r="AO92" t="s">
        <v>754</v>
      </c>
      <c r="AP92" t="str">
        <f>IF($A92="","",IF(COUNTIFS(LLM_Data_Entry!$A$3:$A$548,$A92)&gt;0,"YES","NO"))</f>
        <v>YES</v>
      </c>
      <c r="AQ92" t="str">
        <f>IF($A92="","",IF(COUNTIFS($A$3:$A92,$A92,$C$3:$C92,$C92,$D$3:$D92,$D92)=1,"YES","NO"))</f>
        <v>YES</v>
      </c>
      <c r="AR92" t="str">
        <f>IF($A92="","",IF(AND($C92&amp;"-"&amp;$D92&gt;=Settings!$B$19,$C92&amp;"-"&amp;$D92&lt;=Settings!$B$20),"IN","OUT"))</f>
        <v>IN</v>
      </c>
      <c r="AS92" t="str">
        <f t="shared" si="16"/>
        <v>full</v>
      </c>
      <c r="AT92">
        <f t="shared" si="17"/>
        <v>1.2999999999999999E-3</v>
      </c>
      <c r="AU92">
        <f t="shared" si="18"/>
        <v>2.6927E-2</v>
      </c>
      <c r="AV92">
        <f>IF(ISNUMBER($AT92),ABS(IF(ISNUMBER($I92),$I92,0)-Settings!$B$24),"")</f>
        <v>0.7</v>
      </c>
      <c r="AW92">
        <f t="shared" si="19"/>
        <v>9.0999999999999989E-4</v>
      </c>
      <c r="AX92">
        <f>IF(ISNUMBER($AU92),ABS(IF(ISNUMBER($I92),$I92,0)-Settings!$B$24),"")</f>
        <v>0.7</v>
      </c>
      <c r="AY92" t="s">
        <v>549</v>
      </c>
      <c r="AZ92" t="str">
        <f>IF($A92="","",IFERROR(INDEX(Company_List!$H$3:$H$207,MATCH($A92,Company_List!$A$3:$A$207,0)),"unassigned"))</f>
        <v>Financials</v>
      </c>
      <c r="BC92">
        <f>IF($A92="","",IF(COUNTIFS($A$3:$A92,$A92,$C$3:$C92,$C92,$D$3:$D92,$D92,$G$3:$G92,$G92)=1,1,0))</f>
        <v>1</v>
      </c>
      <c r="BG92" t="s">
        <v>550</v>
      </c>
      <c r="BK92">
        <f t="shared" si="20"/>
        <v>0</v>
      </c>
      <c r="BL92" t="s">
        <v>551</v>
      </c>
      <c r="BM92">
        <v>2</v>
      </c>
      <c r="BN92" t="s">
        <v>882</v>
      </c>
      <c r="BO92" t="s">
        <v>596</v>
      </c>
      <c r="BP92" t="s">
        <v>550</v>
      </c>
      <c r="BQ92" t="s">
        <v>562</v>
      </c>
      <c r="BS92" t="s">
        <v>554</v>
      </c>
    </row>
    <row r="93" spans="1:71" ht="16.25" customHeight="1" x14ac:dyDescent="0.2">
      <c r="A93" s="95" t="s">
        <v>903</v>
      </c>
      <c r="B93" s="96" t="str">
        <f>IF(A93="","",_xlfn.XLOOKUP(A93, Company_List!$A:$A, Company_List!$B:$B, ""))</f>
        <v>SCHW</v>
      </c>
      <c r="C93" s="21">
        <v>2025</v>
      </c>
      <c r="D93" s="20" t="s">
        <v>563</v>
      </c>
      <c r="E93" s="19" t="s">
        <v>538</v>
      </c>
      <c r="F93" s="19" t="s">
        <v>538</v>
      </c>
      <c r="G93" s="20" t="s">
        <v>575</v>
      </c>
      <c r="H93" s="20" t="s">
        <v>540</v>
      </c>
      <c r="I93" s="127">
        <v>0.7</v>
      </c>
      <c r="J93" s="145" t="str">
        <f>IF(OR(I93="",Settings!$B$6=""),"",IF(I93&gt;Settings!$B$6,"BUY",IF(I93&lt;-Settings!$B$6,"SELL","HOLD")))</f>
        <v>BUY</v>
      </c>
      <c r="K93" s="139">
        <v>26</v>
      </c>
      <c r="L93" s="123">
        <v>45946</v>
      </c>
      <c r="M93" s="123">
        <v>45946</v>
      </c>
      <c r="N93" s="127">
        <v>93.41</v>
      </c>
      <c r="O93" s="123">
        <v>45947</v>
      </c>
      <c r="P93" s="22">
        <v>94.72</v>
      </c>
      <c r="Q93" s="148">
        <f t="shared" si="11"/>
        <v>1.4E-2</v>
      </c>
      <c r="R93" s="20" t="str">
        <f>IF(OR(N93="",P93=""),"",IF(Q93&gt;Settings!$B$3/100,"UP",IF(Q93&lt;-Settings!$B$3/100,"DOWN","FLAT")))</f>
        <v>FLAT</v>
      </c>
      <c r="S93" s="20" t="str">
        <f t="shared" si="12"/>
        <v>NO</v>
      </c>
      <c r="T93" s="21">
        <f t="shared" si="13"/>
        <v>1</v>
      </c>
      <c r="U93" s="148">
        <f>IFERROR(IF(OR(J93="",N93="",P93=""),"",IF(T93=0,0,T93*Q93-Settings!$B$4/10000-IF(T93&lt;0,Settings!$B$5/10000,0))),"")</f>
        <v>1.3000000000000001E-2</v>
      </c>
      <c r="V93" s="23" t="s">
        <v>912</v>
      </c>
      <c r="W93" s="21">
        <f t="shared" si="14"/>
        <v>1560</v>
      </c>
      <c r="X93" s="91" t="str">
        <f t="shared" si="15"/>
        <v>Charles Schwab|2025|Q3</v>
      </c>
      <c r="Y93" s="91" t="str">
        <f>IFERROR(IF($X93="","",INDEX(LLM_Data_Entry!$H$3:$H$548,MATCH($X93,INDEX(LLM_Data_Entry!$A$3:$A$548&amp;"|"&amp;LLM_Data_Entry!$C$3:$C$548&amp;"|"&amp;LLM_Data_Entry!$D$3:$D$548,0),0))),"")</f>
        <v>BUY</v>
      </c>
      <c r="Z93" s="91" t="str">
        <f>IFERROR(IF($X93="","",INDEX(LLM_Data_Entry!$R$3:$R$548,MATCH($X93,INDEX(LLM_Data_Entry!$A$3:$A$548&amp;"|"&amp;LLM_Data_Entry!$C$3:$C$548&amp;"|"&amp;LLM_Data_Entry!$D$3:$D$548,0),0))),"")</f>
        <v>NO</v>
      </c>
      <c r="AB93" t="s">
        <v>807</v>
      </c>
      <c r="AC93" t="s">
        <v>905</v>
      </c>
      <c r="AD93" t="s">
        <v>723</v>
      </c>
      <c r="AE93">
        <v>93.411199999999994</v>
      </c>
      <c r="AF93" t="s">
        <v>913</v>
      </c>
      <c r="AG93">
        <v>93.846900000000005</v>
      </c>
      <c r="AH93">
        <v>4.6642878592325441E-3</v>
      </c>
      <c r="AI93" t="s">
        <v>579</v>
      </c>
      <c r="AJ93" t="s">
        <v>546</v>
      </c>
      <c r="AK93">
        <v>3.6640000000000002E-3</v>
      </c>
      <c r="AL93" t="str">
        <f>IF($A93="","",IFERROR(INDEX(Company_List!$G$3:$G$207,MATCH($A93,Company_List!$A$3:$A$207,0)),"unassigned"))</f>
        <v>P2</v>
      </c>
      <c r="AM93" t="s">
        <v>914</v>
      </c>
      <c r="AN93" t="s">
        <v>915</v>
      </c>
      <c r="AO93" t="s">
        <v>754</v>
      </c>
      <c r="AP93" t="str">
        <f>IF($A93="","",IF(COUNTIFS(LLM_Data_Entry!$A$3:$A$548,$A93)&gt;0,"YES","NO"))</f>
        <v>YES</v>
      </c>
      <c r="AQ93" t="str">
        <f>IF($A93="","",IF(COUNTIFS($A$3:$A93,$A93,$C$3:$C93,$C93,$D$3:$D93,$D93)=1,"YES","NO"))</f>
        <v>YES</v>
      </c>
      <c r="AR93" t="str">
        <f>IF($A93="","",IF(AND($C93&amp;"-"&amp;$D93&gt;=Settings!$B$19,$C93&amp;"-"&amp;$D93&lt;=Settings!$B$20),"IN","OUT"))</f>
        <v>IN</v>
      </c>
      <c r="AS93" t="str">
        <f t="shared" si="16"/>
        <v>full</v>
      </c>
      <c r="AT93">
        <f t="shared" si="17"/>
        <v>1.3000000000000001E-2</v>
      </c>
      <c r="AU93">
        <f t="shared" si="18"/>
        <v>3.6640000000000002E-3</v>
      </c>
      <c r="AV93">
        <f>IF(ISNUMBER($AT93),ABS(IF(ISNUMBER($I93),$I93,0)-Settings!$B$24),"")</f>
        <v>0.7</v>
      </c>
      <c r="AW93">
        <f t="shared" si="19"/>
        <v>9.1000000000000004E-3</v>
      </c>
      <c r="AX93">
        <f>IF(ISNUMBER($AU93),ABS(IF(ISNUMBER($I93),$I93,0)-Settings!$B$24),"")</f>
        <v>0.7</v>
      </c>
      <c r="AY93" t="s">
        <v>549</v>
      </c>
      <c r="AZ93" t="str">
        <f>IF($A93="","",IFERROR(INDEX(Company_List!$H$3:$H$207,MATCH($A93,Company_List!$A$3:$A$207,0)),"unassigned"))</f>
        <v>Financials</v>
      </c>
      <c r="BC93">
        <f>IF($A93="","",IF(COUNTIFS($A$3:$A93,$A93,$C$3:$C93,$C93,$D$3:$D93,$D93,$G$3:$G93,$G93)=1,1,0))</f>
        <v>1</v>
      </c>
      <c r="BG93" t="s">
        <v>550</v>
      </c>
      <c r="BK93">
        <f t="shared" si="20"/>
        <v>1</v>
      </c>
      <c r="BL93" t="s">
        <v>551</v>
      </c>
      <c r="BM93">
        <v>2</v>
      </c>
      <c r="BN93" t="s">
        <v>882</v>
      </c>
      <c r="BO93" t="s">
        <v>596</v>
      </c>
      <c r="BP93" t="s">
        <v>550</v>
      </c>
      <c r="BQ93" t="s">
        <v>562</v>
      </c>
      <c r="BS93" t="s">
        <v>554</v>
      </c>
    </row>
    <row r="94" spans="1:71" ht="16.25" customHeight="1" x14ac:dyDescent="0.2">
      <c r="A94" s="95" t="s">
        <v>903</v>
      </c>
      <c r="B94" s="96" t="str">
        <f>IF(A94="","",_xlfn.XLOOKUP(A94, Company_List!$A:$A, Company_List!$B:$B, ""))</f>
        <v>SCHW</v>
      </c>
      <c r="C94" s="21">
        <v>2025</v>
      </c>
      <c r="D94" s="20" t="s">
        <v>569</v>
      </c>
      <c r="E94" s="19" t="s">
        <v>538</v>
      </c>
      <c r="F94" s="19" t="s">
        <v>538</v>
      </c>
      <c r="G94" s="20" t="s">
        <v>575</v>
      </c>
      <c r="H94" s="20" t="s">
        <v>540</v>
      </c>
      <c r="I94" s="127">
        <v>0.5</v>
      </c>
      <c r="J94" s="145" t="str">
        <f>IF(OR(I94="",Settings!$B$6=""),"",IF(I94&gt;Settings!$B$6,"BUY",IF(I94&lt;-Settings!$B$6,"SELL","HOLD")))</f>
        <v>BUY</v>
      </c>
      <c r="K94" s="139">
        <v>29</v>
      </c>
      <c r="L94" s="123">
        <v>46043</v>
      </c>
      <c r="M94" s="123">
        <v>46043</v>
      </c>
      <c r="N94" s="127">
        <v>101.79</v>
      </c>
      <c r="O94" s="123">
        <v>46044</v>
      </c>
      <c r="P94" s="22">
        <v>103.07</v>
      </c>
      <c r="Q94" s="148">
        <f t="shared" si="11"/>
        <v>1.26E-2</v>
      </c>
      <c r="R94" s="20" t="str">
        <f>IF(OR(N94="",P94=""),"",IF(Q94&gt;Settings!$B$3/100,"UP",IF(Q94&lt;-Settings!$B$3/100,"DOWN","FLAT")))</f>
        <v>FLAT</v>
      </c>
      <c r="S94" s="20" t="str">
        <f t="shared" si="12"/>
        <v>NO</v>
      </c>
      <c r="T94" s="21">
        <f t="shared" si="13"/>
        <v>1</v>
      </c>
      <c r="U94" s="148">
        <f>IFERROR(IF(OR(J94="",N94="",P94=""),"",IF(T94=0,0,T94*Q94-Settings!$B$4/10000-IF(T94&lt;0,Settings!$B$5/10000,0))),"")</f>
        <v>1.1599999999999999E-2</v>
      </c>
      <c r="V94" s="23" t="s">
        <v>916</v>
      </c>
      <c r="W94" s="21">
        <f t="shared" si="14"/>
        <v>1740</v>
      </c>
      <c r="X94" s="91" t="str">
        <f t="shared" si="15"/>
        <v>Charles Schwab|2025|Q4</v>
      </c>
      <c r="Y94" s="91" t="str">
        <f>IFERROR(IF($X94="","",INDEX(LLM_Data_Entry!$H$3:$H$548,MATCH($X94,INDEX(LLM_Data_Entry!$A$3:$A$548&amp;"|"&amp;LLM_Data_Entry!$C$3:$C$548&amp;"|"&amp;LLM_Data_Entry!$D$3:$D$548,0),0))),"")</f>
        <v>BUY</v>
      </c>
      <c r="Z94" s="91" t="str">
        <f>IFERROR(IF($X94="","",INDEX(LLM_Data_Entry!$R$3:$R$548,MATCH($X94,INDEX(LLM_Data_Entry!$A$3:$A$548&amp;"|"&amp;LLM_Data_Entry!$C$3:$C$548&amp;"|"&amp;LLM_Data_Entry!$D$3:$D$548,0),0))),"")</f>
        <v>NO</v>
      </c>
      <c r="AB94" t="s">
        <v>807</v>
      </c>
      <c r="AC94" t="s">
        <v>905</v>
      </c>
      <c r="AD94" t="s">
        <v>570</v>
      </c>
      <c r="AE94">
        <v>100.2902</v>
      </c>
      <c r="AF94" t="s">
        <v>571</v>
      </c>
      <c r="AG94">
        <v>100.6279</v>
      </c>
      <c r="AH94">
        <v>3.3667615659337909E-3</v>
      </c>
      <c r="AI94" t="s">
        <v>579</v>
      </c>
      <c r="AJ94" t="s">
        <v>546</v>
      </c>
      <c r="AK94">
        <v>2.3670000000000002E-3</v>
      </c>
      <c r="AL94" t="str">
        <f>IF($A94="","",IFERROR(INDEX(Company_List!$G$3:$G$207,MATCH($A94,Company_List!$A$3:$A$207,0)),"unassigned"))</f>
        <v>P2</v>
      </c>
      <c r="AM94" t="s">
        <v>917</v>
      </c>
      <c r="AN94" t="s">
        <v>918</v>
      </c>
      <c r="AO94" t="s">
        <v>754</v>
      </c>
      <c r="AP94" t="str">
        <f>IF($A94="","",IF(COUNTIFS(LLM_Data_Entry!$A$3:$A$548,$A94)&gt;0,"YES","NO"))</f>
        <v>YES</v>
      </c>
      <c r="AQ94" t="str">
        <f>IF($A94="","",IF(COUNTIFS($A$3:$A94,$A94,$C$3:$C94,$C94,$D$3:$D94,$D94)=1,"YES","NO"))</f>
        <v>YES</v>
      </c>
      <c r="AR94" t="str">
        <f>IF($A94="","",IF(AND($C94&amp;"-"&amp;$D94&gt;=Settings!$B$19,$C94&amp;"-"&amp;$D94&lt;=Settings!$B$20),"IN","OUT"))</f>
        <v>IN</v>
      </c>
      <c r="AS94" t="str">
        <f t="shared" si="16"/>
        <v>full</v>
      </c>
      <c r="AT94">
        <f t="shared" si="17"/>
        <v>1.1599999999999999E-2</v>
      </c>
      <c r="AU94">
        <f t="shared" si="18"/>
        <v>2.3670000000000002E-3</v>
      </c>
      <c r="AV94">
        <f>IF(ISNUMBER($AT94),ABS(IF(ISNUMBER($I94),$I94,0)-Settings!$B$24),"")</f>
        <v>0.5</v>
      </c>
      <c r="AW94">
        <f t="shared" si="19"/>
        <v>5.7999999999999996E-3</v>
      </c>
      <c r="AX94">
        <f>IF(ISNUMBER($AU94),ABS(IF(ISNUMBER($I94),$I94,0)-Settings!$B$24),"")</f>
        <v>0.5</v>
      </c>
      <c r="AY94" t="s">
        <v>549</v>
      </c>
      <c r="AZ94" t="str">
        <f>IF($A94="","",IFERROR(INDEX(Company_List!$H$3:$H$207,MATCH($A94,Company_List!$A$3:$A$207,0)),"unassigned"))</f>
        <v>Financials</v>
      </c>
      <c r="BC94">
        <f>IF($A94="","",IF(COUNTIFS($A$3:$A94,$A94,$C$3:$C94,$C94,$D$3:$D94,$D94,$G$3:$G94,$G94)=1,1,0))</f>
        <v>1</v>
      </c>
      <c r="BG94" t="s">
        <v>550</v>
      </c>
      <c r="BK94">
        <f t="shared" si="20"/>
        <v>1</v>
      </c>
      <c r="BL94" t="s">
        <v>551</v>
      </c>
      <c r="BM94">
        <v>2</v>
      </c>
      <c r="BN94" t="s">
        <v>595</v>
      </c>
      <c r="BO94" t="s">
        <v>596</v>
      </c>
      <c r="BP94" t="s">
        <v>550</v>
      </c>
      <c r="BQ94" t="s">
        <v>562</v>
      </c>
      <c r="BS94" t="s">
        <v>554</v>
      </c>
    </row>
    <row r="95" spans="1:71" ht="16.25" customHeight="1" x14ac:dyDescent="0.2">
      <c r="A95" s="95" t="s">
        <v>903</v>
      </c>
      <c r="B95" s="96" t="str">
        <f>IF(A95="","",_xlfn.XLOOKUP(A95, Company_List!$A:$A, Company_List!$B:$B, ""))</f>
        <v>SCHW</v>
      </c>
      <c r="C95" s="21">
        <v>2026</v>
      </c>
      <c r="D95" s="20" t="s">
        <v>537</v>
      </c>
      <c r="E95" s="19" t="s">
        <v>538</v>
      </c>
      <c r="F95" s="19" t="s">
        <v>538</v>
      </c>
      <c r="G95" s="20" t="s">
        <v>575</v>
      </c>
      <c r="H95" s="20" t="s">
        <v>540</v>
      </c>
      <c r="I95" s="127">
        <v>0.5</v>
      </c>
      <c r="J95" s="145" t="str">
        <f>IF(OR(I95="",Settings!$B$6=""),"",IF(I95&gt;Settings!$B$6,"BUY",IF(I95&lt;-Settings!$B$6,"SELL","HOLD")))</f>
        <v>BUY</v>
      </c>
      <c r="K95" s="139">
        <v>21</v>
      </c>
      <c r="L95" s="123">
        <v>46128</v>
      </c>
      <c r="M95" s="123">
        <v>46128</v>
      </c>
      <c r="N95" s="127">
        <v>92.62</v>
      </c>
      <c r="O95" s="123">
        <v>46129</v>
      </c>
      <c r="P95" s="22">
        <v>93.35</v>
      </c>
      <c r="Q95" s="148">
        <f t="shared" si="11"/>
        <v>7.9000000000000008E-3</v>
      </c>
      <c r="R95" s="20" t="str">
        <f>IF(OR(N95="",P95=""),"",IF(Q95&gt;Settings!$B$3/100,"UP",IF(Q95&lt;-Settings!$B$3/100,"DOWN","FLAT")))</f>
        <v>FLAT</v>
      </c>
      <c r="S95" s="20" t="str">
        <f t="shared" si="12"/>
        <v>NO</v>
      </c>
      <c r="T95" s="21">
        <f t="shared" si="13"/>
        <v>1</v>
      </c>
      <c r="U95" s="148">
        <f>IFERROR(IF(OR(J95="",N95="",P95=""),"",IF(T95=0,0,T95*Q95-Settings!$B$4/10000-IF(T95&lt;0,Settings!$B$5/10000,0))),"")</f>
        <v>6.9000000000000008E-3</v>
      </c>
      <c r="V95" s="23" t="s">
        <v>919</v>
      </c>
      <c r="W95" s="21">
        <f t="shared" si="14"/>
        <v>1260</v>
      </c>
      <c r="X95" s="91" t="str">
        <f t="shared" si="15"/>
        <v>Charles Schwab|2026|Q1</v>
      </c>
      <c r="Y95" s="91" t="str">
        <f>IFERROR(IF($X95="","",INDEX(LLM_Data_Entry!$H$3:$H$548,MATCH($X95,INDEX(LLM_Data_Entry!$A$3:$A$548&amp;"|"&amp;LLM_Data_Entry!$C$3:$C$548&amp;"|"&amp;LLM_Data_Entry!$D$3:$D$548,0),0))),"")</f>
        <v>HOLD</v>
      </c>
      <c r="Z95" s="91" t="str">
        <f>IFERROR(IF($X95="","",INDEX(LLM_Data_Entry!$R$3:$R$548,MATCH($X95,INDEX(LLM_Data_Entry!$A$3:$A$548&amp;"|"&amp;LLM_Data_Entry!$C$3:$C$548&amp;"|"&amp;LLM_Data_Entry!$D$3:$D$548,0),0))),"")</f>
        <v>YES</v>
      </c>
      <c r="AB95" t="s">
        <v>685</v>
      </c>
      <c r="AC95" t="s">
        <v>905</v>
      </c>
      <c r="AD95" t="s">
        <v>920</v>
      </c>
      <c r="AE95">
        <v>99.911500000000004</v>
      </c>
      <c r="AF95" t="s">
        <v>543</v>
      </c>
      <c r="AG95">
        <v>95.417599999999993</v>
      </c>
      <c r="AH95">
        <v>-4.497844079049667E-2</v>
      </c>
      <c r="AI95" t="s">
        <v>545</v>
      </c>
      <c r="AJ95" t="s">
        <v>546</v>
      </c>
      <c r="AK95">
        <v>-4.5977999999999998E-2</v>
      </c>
      <c r="AL95" t="str">
        <f>IF($A95="","",IFERROR(INDEX(Company_List!$G$3:$G$207,MATCH($A95,Company_List!$A$3:$A$207,0)),"unassigned"))</f>
        <v>P2</v>
      </c>
      <c r="AM95" t="s">
        <v>921</v>
      </c>
      <c r="AN95" t="s">
        <v>922</v>
      </c>
      <c r="AO95" t="s">
        <v>754</v>
      </c>
      <c r="AP95" t="str">
        <f>IF($A95="","",IF(COUNTIFS(LLM_Data_Entry!$A$3:$A$548,$A95)&gt;0,"YES","NO"))</f>
        <v>YES</v>
      </c>
      <c r="AQ95" t="str">
        <f>IF($A95="","",IF(COUNTIFS($A$3:$A95,$A95,$C$3:$C95,$C95,$D$3:$D95,$D95)=1,"YES","NO"))</f>
        <v>YES</v>
      </c>
      <c r="AR95" t="str">
        <f>IF($A95="","",IF(AND($C95&amp;"-"&amp;$D95&gt;=Settings!$B$19,$C95&amp;"-"&amp;$D95&lt;=Settings!$B$20),"IN","OUT"))</f>
        <v>IN</v>
      </c>
      <c r="AS95" t="str">
        <f t="shared" si="16"/>
        <v>full</v>
      </c>
      <c r="AT95">
        <f t="shared" si="17"/>
        <v>6.9000000000000008E-3</v>
      </c>
      <c r="AU95">
        <f t="shared" si="18"/>
        <v>-4.5977999999999998E-2</v>
      </c>
      <c r="AV95">
        <f>IF(ISNUMBER($AT95),ABS(IF(ISNUMBER($I95),$I95,0)-Settings!$B$24),"")</f>
        <v>0.5</v>
      </c>
      <c r="AW95">
        <f t="shared" si="19"/>
        <v>3.4500000000000004E-3</v>
      </c>
      <c r="AX95">
        <f>IF(ISNUMBER($AU95),ABS(IF(ISNUMBER($I95),$I95,0)-Settings!$B$24),"")</f>
        <v>0.5</v>
      </c>
      <c r="AY95" t="s">
        <v>549</v>
      </c>
      <c r="AZ95" t="str">
        <f>IF($A95="","",IFERROR(INDEX(Company_List!$H$3:$H$207,MATCH($A95,Company_List!$A$3:$A$207,0)),"unassigned"))</f>
        <v>Financials</v>
      </c>
      <c r="BC95">
        <f>IF($A95="","",IF(COUNTIFS($A$3:$A95,$A95,$C$3:$C95,$C95,$D$3:$D95,$D95,$G$3:$G95,$G95)=1,1,0))</f>
        <v>1</v>
      </c>
      <c r="BG95" t="s">
        <v>550</v>
      </c>
      <c r="BK95">
        <f t="shared" si="20"/>
        <v>0</v>
      </c>
      <c r="BL95" t="s">
        <v>551</v>
      </c>
      <c r="BM95">
        <v>2</v>
      </c>
      <c r="BN95" t="s">
        <v>882</v>
      </c>
      <c r="BO95" t="s">
        <v>596</v>
      </c>
      <c r="BP95" t="s">
        <v>550</v>
      </c>
      <c r="BQ95" t="s">
        <v>562</v>
      </c>
      <c r="BS95" t="s">
        <v>554</v>
      </c>
    </row>
    <row r="96" spans="1:71" ht="16.25" customHeight="1" x14ac:dyDescent="0.2">
      <c r="A96" s="95" t="s">
        <v>740</v>
      </c>
      <c r="B96" s="96" t="str">
        <f>IF(A96="","",_xlfn.XLOOKUP(A96, Company_List!$A:$A, Company_List!$B:$B, ""))</f>
        <v>ABNB</v>
      </c>
      <c r="C96" s="21">
        <v>2025</v>
      </c>
      <c r="D96" s="20" t="s">
        <v>569</v>
      </c>
      <c r="E96" s="19" t="s">
        <v>647</v>
      </c>
      <c r="F96" s="19" t="s">
        <v>538</v>
      </c>
      <c r="G96" s="20" t="s">
        <v>539</v>
      </c>
      <c r="H96" s="20" t="s">
        <v>540</v>
      </c>
      <c r="I96" s="127">
        <v>0.3</v>
      </c>
      <c r="J96" s="145" t="str">
        <f>IF(OR(I96="",Settings!$B$6=""),"",IF(I96&gt;Settings!$B$6,"BUY",IF(I96&lt;-Settings!$B$6,"SELL","HOLD")))</f>
        <v>BUY</v>
      </c>
      <c r="K96" s="139">
        <v>25</v>
      </c>
      <c r="L96" s="123">
        <v>46065</v>
      </c>
      <c r="M96" s="123">
        <v>46065</v>
      </c>
      <c r="N96" s="127">
        <v>115.96</v>
      </c>
      <c r="O96" s="123">
        <v>46066</v>
      </c>
      <c r="P96" s="22">
        <v>126.47</v>
      </c>
      <c r="Q96" s="148">
        <f t="shared" si="11"/>
        <v>9.06E-2</v>
      </c>
      <c r="R96" s="20" t="str">
        <f>IF(OR(N96="",P96=""),"",IF(Q96&gt;Settings!$B$3/100,"UP",IF(Q96&lt;-Settings!$B$3/100,"DOWN","FLAT")))</f>
        <v>UP</v>
      </c>
      <c r="S96" s="20" t="str">
        <f t="shared" si="12"/>
        <v>YES</v>
      </c>
      <c r="T96" s="21">
        <f t="shared" si="13"/>
        <v>1</v>
      </c>
      <c r="U96" s="148">
        <f>IFERROR(IF(OR(J96="",N96="",P96=""),"",IF(T96=0,0,T96*Q96-Settings!$B$4/10000-IF(T96&lt;0,Settings!$B$5/10000,0))),"")</f>
        <v>8.9599999999999999E-2</v>
      </c>
      <c r="V96" s="23"/>
      <c r="W96" s="21">
        <f t="shared" si="14"/>
        <v>1500</v>
      </c>
      <c r="X96" s="91" t="str">
        <f t="shared" si="15"/>
        <v>Airbnb|2025|Q4</v>
      </c>
      <c r="Y96" s="91" t="str">
        <f>IFERROR(IF($X96="","",INDEX(LLM_Data_Entry!$H$3:$H$548,MATCH($X96,INDEX(LLM_Data_Entry!$A$3:$A$548&amp;"|"&amp;LLM_Data_Entry!$C$3:$C$548&amp;"|"&amp;LLM_Data_Entry!$D$3:$D$548,0),0))),"")</f>
        <v>BUY</v>
      </c>
      <c r="Z96" s="91" t="str">
        <f>IFERROR(IF($X96="","",INDEX(LLM_Data_Entry!$R$3:$R$548,MATCH($X96,INDEX(LLM_Data_Entry!$A$3:$A$548&amp;"|"&amp;LLM_Data_Entry!$C$3:$C$548&amp;"|"&amp;LLM_Data_Entry!$D$3:$D$548,0),0))),"")</f>
        <v>YES</v>
      </c>
      <c r="AB96" t="s">
        <v>541</v>
      </c>
      <c r="AC96" t="s">
        <v>741</v>
      </c>
      <c r="AD96" t="s">
        <v>677</v>
      </c>
      <c r="AE96">
        <v>115.96</v>
      </c>
      <c r="AF96" t="s">
        <v>923</v>
      </c>
      <c r="AG96">
        <v>126.465</v>
      </c>
      <c r="AH96">
        <v>9.0591558214828921E-2</v>
      </c>
      <c r="AI96" t="s">
        <v>591</v>
      </c>
      <c r="AJ96" t="s">
        <v>554</v>
      </c>
      <c r="AK96">
        <v>8.9592000000000005E-2</v>
      </c>
      <c r="AL96" t="str">
        <f>IF($A96="","",IFERROR(INDEX(Company_List!$G$3:$G$207,MATCH($A96,Company_List!$A$3:$A$207,0)),"unassigned"))</f>
        <v>P2</v>
      </c>
      <c r="AM96" t="s">
        <v>924</v>
      </c>
      <c r="AO96" t="s">
        <v>548</v>
      </c>
      <c r="AP96" t="str">
        <f>IF($A96="","",IF(COUNTIFS(LLM_Data_Entry!$A$3:$A$548,$A96)&gt;0,"YES","NO"))</f>
        <v>YES</v>
      </c>
      <c r="AQ96" t="str">
        <f>IF($A96="","",IF(COUNTIFS($A$3:$A96,$A96,$C$3:$C96,$C96,$D$3:$D96,$D96)=1,"YES","NO"))</f>
        <v>YES</v>
      </c>
      <c r="AR96" t="str">
        <f>IF($A96="","",IF(AND($C96&amp;"-"&amp;$D96&gt;=Settings!$B$19,$C96&amp;"-"&amp;$D96&lt;=Settings!$B$20),"IN","OUT"))</f>
        <v>IN</v>
      </c>
      <c r="AS96" t="str">
        <f t="shared" si="16"/>
        <v>transcript only</v>
      </c>
      <c r="AT96">
        <f t="shared" si="17"/>
        <v>8.9599999999999999E-2</v>
      </c>
      <c r="AU96">
        <f t="shared" si="18"/>
        <v>8.9592000000000005E-2</v>
      </c>
      <c r="AV96">
        <f>IF(ISNUMBER($AT96),ABS(IF(ISNUMBER($I96),$I96,0)-Settings!$B$24),"")</f>
        <v>0.3</v>
      </c>
      <c r="AW96">
        <f t="shared" si="19"/>
        <v>2.6879999999999998E-2</v>
      </c>
      <c r="AX96">
        <f>IF(ISNUMBER($AU96),ABS(IF(ISNUMBER($I96),$I96,0)-Settings!$B$24),"")</f>
        <v>0.3</v>
      </c>
      <c r="AY96" t="s">
        <v>549</v>
      </c>
      <c r="AZ96" t="str">
        <f>IF($A96="","",IFERROR(INDEX(Company_List!$H$3:$H$207,MATCH($A96,Company_List!$A$3:$A$207,0)),"unassigned"))</f>
        <v>Consumer Discretionary</v>
      </c>
      <c r="BC96">
        <f>IF($A96="","",IF(COUNTIFS($A$3:$A96,$A96,$C$3:$C96,$C96,$D$3:$D96,$D96,$G$3:$G96,$G96)=1,1,0))</f>
        <v>1</v>
      </c>
      <c r="BG96" t="s">
        <v>550</v>
      </c>
      <c r="BK96">
        <f t="shared" si="20"/>
        <v>1</v>
      </c>
      <c r="BL96" t="s">
        <v>551</v>
      </c>
      <c r="BM96">
        <v>1</v>
      </c>
      <c r="BN96" t="s">
        <v>617</v>
      </c>
      <c r="BO96" t="s">
        <v>553</v>
      </c>
      <c r="BP96" t="s">
        <v>550</v>
      </c>
      <c r="BQ96" t="s">
        <v>550</v>
      </c>
      <c r="BS96" t="s">
        <v>554</v>
      </c>
    </row>
    <row r="97" spans="1:71" ht="16.25" customHeight="1" x14ac:dyDescent="0.2">
      <c r="A97" s="95" t="s">
        <v>833</v>
      </c>
      <c r="B97" s="96" t="str">
        <f>IF(A97="","",_xlfn.XLOOKUP(A97, Company_List!$A:$A, Company_List!$B:$B, ""))</f>
        <v>LOW</v>
      </c>
      <c r="C97" s="21">
        <v>2025</v>
      </c>
      <c r="D97" s="20" t="s">
        <v>569</v>
      </c>
      <c r="E97" s="19" t="s">
        <v>647</v>
      </c>
      <c r="F97" s="19" t="s">
        <v>538</v>
      </c>
      <c r="G97" s="20" t="s">
        <v>539</v>
      </c>
      <c r="H97" s="20" t="s">
        <v>540</v>
      </c>
      <c r="I97" s="127">
        <v>-0.3</v>
      </c>
      <c r="J97" s="145" t="str">
        <f>IF(OR(I97="",Settings!$B$6=""),"",IF(I97&gt;Settings!$B$6,"BUY",IF(I97&lt;-Settings!$B$6,"SELL","HOLD")))</f>
        <v>SELL</v>
      </c>
      <c r="K97" s="139">
        <v>23</v>
      </c>
      <c r="L97" s="123">
        <v>46078</v>
      </c>
      <c r="M97" s="123">
        <v>46077</v>
      </c>
      <c r="N97" s="127">
        <v>278.58999999999997</v>
      </c>
      <c r="O97" s="123">
        <v>46078</v>
      </c>
      <c r="P97" s="22">
        <v>266.25</v>
      </c>
      <c r="Q97" s="148">
        <f t="shared" si="11"/>
        <v>-4.4299999999999999E-2</v>
      </c>
      <c r="R97" s="20" t="str">
        <f>IF(OR(N97="",P97=""),"",IF(Q97&gt;Settings!$B$3/100,"UP",IF(Q97&lt;-Settings!$B$3/100,"DOWN","FLAT")))</f>
        <v>DOWN</v>
      </c>
      <c r="S97" s="20" t="str">
        <f t="shared" si="12"/>
        <v>YES</v>
      </c>
      <c r="T97" s="21">
        <f t="shared" si="13"/>
        <v>-1</v>
      </c>
      <c r="U97" s="148">
        <f>IFERROR(IF(OR(J97="",N97="",P97=""),"",IF(T97=0,0,T97*Q97-Settings!$B$4/10000-IF(T97&lt;0,Settings!$B$5/10000,0))),"")</f>
        <v>4.3299999999999998E-2</v>
      </c>
      <c r="V97" s="23"/>
      <c r="W97" s="21">
        <f t="shared" si="14"/>
        <v>1380</v>
      </c>
      <c r="X97" s="91" t="str">
        <f t="shared" si="15"/>
        <v>Lowe's|2025|Q4</v>
      </c>
      <c r="Y97" s="91" t="str">
        <f>IFERROR(IF($X97="","",INDEX(LLM_Data_Entry!$H$3:$H$548,MATCH($X97,INDEX(LLM_Data_Entry!$A$3:$A$548&amp;"|"&amp;LLM_Data_Entry!$C$3:$C$548&amp;"|"&amp;LLM_Data_Entry!$D$3:$D$548,0),0))),"")</f>
        <v>SELL</v>
      </c>
      <c r="Z97" s="91" t="str">
        <f>IFERROR(IF($X97="","",INDEX(LLM_Data_Entry!$R$3:$R$548,MATCH($X97,INDEX(LLM_Data_Entry!$A$3:$A$548&amp;"|"&amp;LLM_Data_Entry!$C$3:$C$548&amp;"|"&amp;LLM_Data_Entry!$D$3:$D$548,0),0))),"")</f>
        <v>YES</v>
      </c>
      <c r="AB97" t="s">
        <v>630</v>
      </c>
      <c r="AC97" t="s">
        <v>836</v>
      </c>
      <c r="AD97" t="s">
        <v>925</v>
      </c>
      <c r="AE97">
        <v>275.55610000000001</v>
      </c>
      <c r="AF97" t="s">
        <v>926</v>
      </c>
      <c r="AG97">
        <v>263.35050000000001</v>
      </c>
      <c r="AH97">
        <v>-4.4294483881624748E-2</v>
      </c>
      <c r="AI97" t="s">
        <v>545</v>
      </c>
      <c r="AJ97" t="s">
        <v>554</v>
      </c>
      <c r="AK97">
        <v>4.3293999999999999E-2</v>
      </c>
      <c r="AL97" t="str">
        <f>IF($A97="","",IFERROR(INDEX(Company_List!$G$3:$G$207,MATCH($A97,Company_List!$A$3:$A$207,0)),"unassigned"))</f>
        <v>P2</v>
      </c>
      <c r="AM97" t="s">
        <v>927</v>
      </c>
      <c r="AO97" t="s">
        <v>548</v>
      </c>
      <c r="AP97" t="str">
        <f>IF($A97="","",IF(COUNTIFS(LLM_Data_Entry!$A$3:$A$548,$A97)&gt;0,"YES","NO"))</f>
        <v>YES</v>
      </c>
      <c r="AQ97" t="str">
        <f>IF($A97="","",IF(COUNTIFS($A$3:$A97,$A97,$C$3:$C97,$C97,$D$3:$D97,$D97)=1,"YES","NO"))</f>
        <v>YES</v>
      </c>
      <c r="AR97" t="str">
        <f>IF($A97="","",IF(AND($C97&amp;"-"&amp;$D97&gt;=Settings!$B$19,$C97&amp;"-"&amp;$D97&lt;=Settings!$B$20),"IN","OUT"))</f>
        <v>IN</v>
      </c>
      <c r="AS97" t="str">
        <f t="shared" si="16"/>
        <v>transcript only</v>
      </c>
      <c r="AT97">
        <f t="shared" si="17"/>
        <v>4.3299999999999998E-2</v>
      </c>
      <c r="AU97">
        <f t="shared" si="18"/>
        <v>4.3293999999999999E-2</v>
      </c>
      <c r="AV97">
        <f>IF(ISNUMBER($AT97),ABS(IF(ISNUMBER($I97),$I97,0)-Settings!$B$24),"")</f>
        <v>0.3</v>
      </c>
      <c r="AW97">
        <f t="shared" si="19"/>
        <v>1.299E-2</v>
      </c>
      <c r="AX97">
        <f>IF(ISNUMBER($AU97),ABS(IF(ISNUMBER($I97),$I97,0)-Settings!$B$24),"")</f>
        <v>0.3</v>
      </c>
      <c r="AY97" t="s">
        <v>549</v>
      </c>
      <c r="AZ97" t="str">
        <f>IF($A97="","",IFERROR(INDEX(Company_List!$H$3:$H$207,MATCH($A97,Company_List!$A$3:$A$207,0)),"unassigned"))</f>
        <v>Consumer Discretionary</v>
      </c>
      <c r="BC97">
        <f>IF($A97="","",IF(COUNTIFS($A$3:$A97,$A97,$C$3:$C97,$C97,$D$3:$D97,$D97,$G$3:$G97,$G97)=1,1,0))</f>
        <v>1</v>
      </c>
      <c r="BG97" t="s">
        <v>550</v>
      </c>
      <c r="BK97">
        <f t="shared" si="20"/>
        <v>1</v>
      </c>
      <c r="BL97" t="s">
        <v>551</v>
      </c>
      <c r="BM97">
        <v>1</v>
      </c>
      <c r="BN97" t="s">
        <v>788</v>
      </c>
      <c r="BO97" t="s">
        <v>553</v>
      </c>
      <c r="BP97" t="s">
        <v>550</v>
      </c>
      <c r="BQ97" t="s">
        <v>550</v>
      </c>
      <c r="BS97" t="s">
        <v>554</v>
      </c>
    </row>
    <row r="98" spans="1:71" ht="16.25" customHeight="1" x14ac:dyDescent="0.2">
      <c r="A98" s="95" t="s">
        <v>833</v>
      </c>
      <c r="B98" s="96" t="str">
        <f>IF(A98="","",_xlfn.XLOOKUP(A98, Company_List!$A:$A, Company_List!$B:$B, ""))</f>
        <v>LOW</v>
      </c>
      <c r="C98" s="21">
        <v>2025</v>
      </c>
      <c r="D98" s="20" t="s">
        <v>555</v>
      </c>
      <c r="E98" s="19" t="s">
        <v>647</v>
      </c>
      <c r="F98" s="19" t="s">
        <v>538</v>
      </c>
      <c r="G98" s="20" t="s">
        <v>539</v>
      </c>
      <c r="H98" s="20" t="s">
        <v>540</v>
      </c>
      <c r="I98" s="127">
        <v>0.2</v>
      </c>
      <c r="J98" s="145" t="str">
        <f>IF(OR(I98="",Settings!$B$6=""),"",IF(I98&gt;Settings!$B$6,"BUY",IF(I98&lt;-Settings!$B$6,"SELL","HOLD")))</f>
        <v>HOLD</v>
      </c>
      <c r="K98" s="139">
        <v>25</v>
      </c>
      <c r="L98" s="123">
        <v>45889</v>
      </c>
      <c r="M98" s="123">
        <v>45888</v>
      </c>
      <c r="N98" s="127">
        <v>256.36</v>
      </c>
      <c r="O98" s="123">
        <v>45889</v>
      </c>
      <c r="P98" s="22">
        <v>265.39999999999998</v>
      </c>
      <c r="Q98" s="148">
        <f t="shared" si="11"/>
        <v>3.5299999999999998E-2</v>
      </c>
      <c r="R98" s="20" t="str">
        <f>IF(OR(N98="",P98=""),"",IF(Q98&gt;Settings!$B$3/100,"UP",IF(Q98&lt;-Settings!$B$3/100,"DOWN","FLAT")))</f>
        <v>UP</v>
      </c>
      <c r="S98" s="20" t="str">
        <f t="shared" si="12"/>
        <v>NO</v>
      </c>
      <c r="T98" s="21">
        <f t="shared" si="13"/>
        <v>0</v>
      </c>
      <c r="U98" s="148">
        <f>IFERROR(IF(OR(J98="",N98="",P98=""),"",IF(T98=0,0,T98*Q98-Settings!$B$4/10000-IF(T98&lt;0,Settings!$B$5/10000,0))),"")</f>
        <v>0</v>
      </c>
      <c r="V98" s="23"/>
      <c r="W98" s="21">
        <f t="shared" si="14"/>
        <v>1500</v>
      </c>
      <c r="X98" s="91" t="str">
        <f t="shared" si="15"/>
        <v>Lowe's|2025|Q2</v>
      </c>
      <c r="Y98" s="91" t="str">
        <f>IFERROR(IF($X98="","",INDEX(LLM_Data_Entry!$H$3:$H$548,MATCH($X98,INDEX(LLM_Data_Entry!$A$3:$A$548&amp;"|"&amp;LLM_Data_Entry!$C$3:$C$548&amp;"|"&amp;LLM_Data_Entry!$D$3:$D$548,0),0))),"")</f>
        <v>HOLD</v>
      </c>
      <c r="Z98" s="91" t="str">
        <f>IFERROR(IF($X98="","",INDEX(LLM_Data_Entry!$R$3:$R$548,MATCH($X98,INDEX(LLM_Data_Entry!$A$3:$A$548&amp;"|"&amp;LLM_Data_Entry!$C$3:$C$548&amp;"|"&amp;LLM_Data_Entry!$D$3:$D$548,0),0))),"")</f>
        <v>NO</v>
      </c>
      <c r="AB98" t="s">
        <v>636</v>
      </c>
      <c r="AC98" t="s">
        <v>836</v>
      </c>
      <c r="AD98" t="s">
        <v>784</v>
      </c>
      <c r="AE98">
        <v>251.1994</v>
      </c>
      <c r="AF98" t="s">
        <v>785</v>
      </c>
      <c r="AG98">
        <v>260.0575</v>
      </c>
      <c r="AH98">
        <v>3.5263014788609923E-2</v>
      </c>
      <c r="AI98" t="s">
        <v>591</v>
      </c>
      <c r="AJ98" t="s">
        <v>546</v>
      </c>
      <c r="AK98">
        <v>0</v>
      </c>
      <c r="AL98" t="str">
        <f>IF($A98="","",IFERROR(INDEX(Company_List!$G$3:$G$207,MATCH($A98,Company_List!$A$3:$A$207,0)),"unassigned"))</f>
        <v>P2</v>
      </c>
      <c r="AM98" t="s">
        <v>928</v>
      </c>
      <c r="AO98" t="s">
        <v>548</v>
      </c>
      <c r="AP98" t="str">
        <f>IF($A98="","",IF(COUNTIFS(LLM_Data_Entry!$A$3:$A$548,$A98)&gt;0,"YES","NO"))</f>
        <v>YES</v>
      </c>
      <c r="AQ98" t="str">
        <f>IF($A98="","",IF(COUNTIFS($A$3:$A98,$A98,$C$3:$C98,$C98,$D$3:$D98,$D98)=1,"YES","NO"))</f>
        <v>YES</v>
      </c>
      <c r="AR98" t="str">
        <f>IF($A98="","",IF(AND($C98&amp;"-"&amp;$D98&gt;=Settings!$B$19,$C98&amp;"-"&amp;$D98&lt;=Settings!$B$20),"IN","OUT"))</f>
        <v>IN</v>
      </c>
      <c r="AS98" t="str">
        <f t="shared" si="16"/>
        <v>transcript only</v>
      </c>
      <c r="AT98" t="str">
        <f t="shared" si="17"/>
        <v/>
      </c>
      <c r="AU98" t="str">
        <f t="shared" si="18"/>
        <v/>
      </c>
      <c r="AV98" t="str">
        <f>IF(ISNUMBER($AT98),ABS(IF(ISNUMBER($I98),$I98,0)-Settings!$B$24),"")</f>
        <v/>
      </c>
      <c r="AW98" t="str">
        <f t="shared" si="19"/>
        <v/>
      </c>
      <c r="AX98" t="str">
        <f>IF(ISNUMBER($AU98),ABS(IF(ISNUMBER($I98),$I98,0)-Settings!$B$24),"")</f>
        <v/>
      </c>
      <c r="AY98" t="s">
        <v>549</v>
      </c>
      <c r="AZ98" t="str">
        <f>IF($A98="","",IFERROR(INDEX(Company_List!$H$3:$H$207,MATCH($A98,Company_List!$A$3:$A$207,0)),"unassigned"))</f>
        <v>Consumer Discretionary</v>
      </c>
      <c r="BC98">
        <f>IF($A98="","",IF(COUNTIFS($A$3:$A98,$A98,$C$3:$C98,$C98,$D$3:$D98,$D98,$G$3:$G98,$G98)=1,1,0))</f>
        <v>1</v>
      </c>
      <c r="BG98" t="s">
        <v>550</v>
      </c>
      <c r="BK98">
        <f t="shared" si="20"/>
        <v>1</v>
      </c>
      <c r="BL98" t="s">
        <v>551</v>
      </c>
      <c r="BM98">
        <v>1</v>
      </c>
      <c r="BN98" t="s">
        <v>788</v>
      </c>
      <c r="BO98" t="s">
        <v>553</v>
      </c>
      <c r="BP98" t="s">
        <v>550</v>
      </c>
      <c r="BQ98" t="s">
        <v>550</v>
      </c>
      <c r="BS98" t="s">
        <v>554</v>
      </c>
    </row>
    <row r="99" spans="1:71" ht="16.25" customHeight="1" x14ac:dyDescent="0.2">
      <c r="A99" s="95" t="s">
        <v>833</v>
      </c>
      <c r="B99" s="96" t="str">
        <f>IF(A99="","",_xlfn.XLOOKUP(A99, Company_List!$A:$A, Company_List!$B:$B, ""))</f>
        <v>LOW</v>
      </c>
      <c r="C99" s="21">
        <v>2025</v>
      </c>
      <c r="D99" s="20" t="s">
        <v>563</v>
      </c>
      <c r="E99" s="19" t="s">
        <v>647</v>
      </c>
      <c r="F99" s="19" t="s">
        <v>538</v>
      </c>
      <c r="G99" s="20" t="s">
        <v>539</v>
      </c>
      <c r="H99" s="20" t="s">
        <v>540</v>
      </c>
      <c r="I99" s="127">
        <v>0.1</v>
      </c>
      <c r="J99" s="145" t="str">
        <f>IF(OR(I99="",Settings!$B$6=""),"",IF(I99&gt;Settings!$B$6,"BUY",IF(I99&lt;-Settings!$B$6,"SELL","HOLD")))</f>
        <v>HOLD</v>
      </c>
      <c r="K99" s="139">
        <v>30</v>
      </c>
      <c r="L99" s="123">
        <v>45980</v>
      </c>
      <c r="M99" s="123">
        <v>45979</v>
      </c>
      <c r="N99" s="127">
        <v>219.57</v>
      </c>
      <c r="O99" s="123">
        <v>45980</v>
      </c>
      <c r="P99" s="22">
        <v>230.01</v>
      </c>
      <c r="Q99" s="148">
        <f t="shared" ref="Q99:Q130" si="21">IF(OR(N99="",P99=""),"",ROUND((P99-N99)/N99,4))</f>
        <v>4.7500000000000001E-2</v>
      </c>
      <c r="R99" s="20" t="str">
        <f>IF(OR(N99="",P99=""),"",IF(Q99&gt;Settings!$B$3/100,"UP",IF(Q99&lt;-Settings!$B$3/100,"DOWN","FLAT")))</f>
        <v>UP</v>
      </c>
      <c r="S99" s="20" t="str">
        <f t="shared" si="12"/>
        <v>NO</v>
      </c>
      <c r="T99" s="21">
        <f t="shared" si="13"/>
        <v>0</v>
      </c>
      <c r="U99" s="148">
        <f>IFERROR(IF(OR(J99="",N99="",P99=""),"",IF(T99=0,0,T99*Q99-Settings!$B$4/10000-IF(T99&lt;0,Settings!$B$5/10000,0))),"")</f>
        <v>0</v>
      </c>
      <c r="V99" s="23"/>
      <c r="W99" s="21">
        <f t="shared" si="14"/>
        <v>1800</v>
      </c>
      <c r="X99" s="91" t="str">
        <f t="shared" si="15"/>
        <v>Lowe's|2025|Q3</v>
      </c>
      <c r="Y99" s="91" t="str">
        <f>IFERROR(IF($X99="","",INDEX(LLM_Data_Entry!$H$3:$H$548,MATCH($X99,INDEX(LLM_Data_Entry!$A$3:$A$548&amp;"|"&amp;LLM_Data_Entry!$C$3:$C$548&amp;"|"&amp;LLM_Data_Entry!$D$3:$D$548,0),0))),"")</f>
        <v>SELL</v>
      </c>
      <c r="Z99" s="91" t="str">
        <f>IFERROR(IF($X99="","",INDEX(LLM_Data_Entry!$R$3:$R$548,MATCH($X99,INDEX(LLM_Data_Entry!$A$3:$A$548&amp;"|"&amp;LLM_Data_Entry!$C$3:$C$548&amp;"|"&amp;LLM_Data_Entry!$D$3:$D$548,0),0))),"")</f>
        <v>NO</v>
      </c>
      <c r="AB99" t="s">
        <v>748</v>
      </c>
      <c r="AC99" t="s">
        <v>836</v>
      </c>
      <c r="AD99" t="s">
        <v>793</v>
      </c>
      <c r="AE99">
        <v>216.2079</v>
      </c>
      <c r="AF99" t="s">
        <v>606</v>
      </c>
      <c r="AG99">
        <v>226.488</v>
      </c>
      <c r="AH99">
        <v>4.7547497056776328E-2</v>
      </c>
      <c r="AI99" t="s">
        <v>591</v>
      </c>
      <c r="AJ99" t="s">
        <v>546</v>
      </c>
      <c r="AK99">
        <v>0</v>
      </c>
      <c r="AL99" t="str">
        <f>IF($A99="","",IFERROR(INDEX(Company_List!$G$3:$G$207,MATCH($A99,Company_List!$A$3:$A$207,0)),"unassigned"))</f>
        <v>P2</v>
      </c>
      <c r="AM99" t="s">
        <v>929</v>
      </c>
      <c r="AO99" t="s">
        <v>548</v>
      </c>
      <c r="AP99" t="str">
        <f>IF($A99="","",IF(COUNTIFS(LLM_Data_Entry!$A$3:$A$548,$A99)&gt;0,"YES","NO"))</f>
        <v>YES</v>
      </c>
      <c r="AQ99" t="str">
        <f>IF($A99="","",IF(COUNTIFS($A$3:$A99,$A99,$C$3:$C99,$C99,$D$3:$D99,$D99)=1,"YES","NO"))</f>
        <v>YES</v>
      </c>
      <c r="AR99" t="str">
        <f>IF($A99="","",IF(AND($C99&amp;"-"&amp;$D99&gt;=Settings!$B$19,$C99&amp;"-"&amp;$D99&lt;=Settings!$B$20),"IN","OUT"))</f>
        <v>IN</v>
      </c>
      <c r="AS99" t="str">
        <f t="shared" si="16"/>
        <v>transcript only</v>
      </c>
      <c r="AT99" t="str">
        <f t="shared" si="17"/>
        <v/>
      </c>
      <c r="AU99" t="str">
        <f t="shared" si="18"/>
        <v/>
      </c>
      <c r="AV99" t="str">
        <f>IF(ISNUMBER($AT99),ABS(IF(ISNUMBER($I99),$I99,0)-Settings!$B$24),"")</f>
        <v/>
      </c>
      <c r="AW99" t="str">
        <f t="shared" si="19"/>
        <v/>
      </c>
      <c r="AX99" t="str">
        <f>IF(ISNUMBER($AU99),ABS(IF(ISNUMBER($I99),$I99,0)-Settings!$B$24),"")</f>
        <v/>
      </c>
      <c r="AY99" t="s">
        <v>549</v>
      </c>
      <c r="AZ99" t="str">
        <f>IF($A99="","",IFERROR(INDEX(Company_List!$H$3:$H$207,MATCH($A99,Company_List!$A$3:$A$207,0)),"unassigned"))</f>
        <v>Consumer Discretionary</v>
      </c>
      <c r="BC99">
        <f>IF($A99="","",IF(COUNTIFS($A$3:$A99,$A99,$C$3:$C99,$C99,$D$3:$D99,$D99,$G$3:$G99,$G99)=1,1,0))</f>
        <v>1</v>
      </c>
      <c r="BG99" t="s">
        <v>550</v>
      </c>
      <c r="BK99">
        <f t="shared" si="20"/>
        <v>0</v>
      </c>
      <c r="BL99" t="s">
        <v>551</v>
      </c>
      <c r="BM99">
        <v>1</v>
      </c>
      <c r="BN99" t="s">
        <v>788</v>
      </c>
      <c r="BO99" t="s">
        <v>553</v>
      </c>
      <c r="BP99" t="s">
        <v>550</v>
      </c>
      <c r="BQ99" t="s">
        <v>550</v>
      </c>
      <c r="BS99" t="s">
        <v>554</v>
      </c>
    </row>
    <row r="100" spans="1:71" ht="16.25" customHeight="1" x14ac:dyDescent="0.2">
      <c r="A100" s="95" t="s">
        <v>833</v>
      </c>
      <c r="B100" s="96" t="str">
        <f>IF(A100="","",_xlfn.XLOOKUP(A100, Company_List!$A:$A, Company_List!$B:$B, ""))</f>
        <v>LOW</v>
      </c>
      <c r="C100" s="21">
        <v>2026</v>
      </c>
      <c r="D100" s="20" t="s">
        <v>537</v>
      </c>
      <c r="E100" s="19" t="s">
        <v>647</v>
      </c>
      <c r="F100" s="19" t="s">
        <v>538</v>
      </c>
      <c r="G100" s="20" t="s">
        <v>539</v>
      </c>
      <c r="H100" s="20" t="s">
        <v>540</v>
      </c>
      <c r="I100" s="127">
        <v>0.4</v>
      </c>
      <c r="J100" s="145" t="str">
        <f>IF(OR(I100="",Settings!$B$6=""),"",IF(I100&gt;Settings!$B$6,"BUY",IF(I100&lt;-Settings!$B$6,"SELL","HOLD")))</f>
        <v>BUY</v>
      </c>
      <c r="K100" s="139">
        <v>22</v>
      </c>
      <c r="L100" s="123">
        <v>45798</v>
      </c>
      <c r="M100" s="123">
        <v>46161</v>
      </c>
      <c r="N100" s="127">
        <v>218.37</v>
      </c>
      <c r="O100" s="123">
        <v>46162</v>
      </c>
      <c r="P100" s="22">
        <v>213.98</v>
      </c>
      <c r="Q100" s="148">
        <f t="shared" si="21"/>
        <v>-2.01E-2</v>
      </c>
      <c r="R100" s="20" t="str">
        <f>IF(OR(N100="",P100=""),"",IF(Q100&gt;Settings!$B$3/100,"UP",IF(Q100&lt;-Settings!$B$3/100,"DOWN","FLAT")))</f>
        <v>DOWN</v>
      </c>
      <c r="S100" s="20" t="str">
        <f t="shared" si="12"/>
        <v>NO</v>
      </c>
      <c r="T100" s="21">
        <f t="shared" si="13"/>
        <v>1</v>
      </c>
      <c r="U100" s="148">
        <f>IFERROR(IF(OR(J100="",N100="",P100=""),"",IF(T100=0,0,T100*Q100-Settings!$B$4/10000-IF(T100&lt;0,Settings!$B$5/10000,0))),"")</f>
        <v>-2.1100000000000001E-2</v>
      </c>
      <c r="V100" s="23"/>
      <c r="W100" s="21">
        <f t="shared" si="14"/>
        <v>1320</v>
      </c>
      <c r="X100" s="91" t="str">
        <f t="shared" si="15"/>
        <v>Lowe's|2026|Q1</v>
      </c>
      <c r="Y100" s="91" t="str">
        <f>IFERROR(IF($X100="","",INDEX(LLM_Data_Entry!$H$3:$H$548,MATCH($X100,INDEX(LLM_Data_Entry!$A$3:$A$548&amp;"|"&amp;LLM_Data_Entry!$C$3:$C$548&amp;"|"&amp;LLM_Data_Entry!$D$3:$D$548,0),0))),"")</f>
        <v>SELL</v>
      </c>
      <c r="Z100" s="91" t="str">
        <f>IFERROR(IF($X100="","",INDEX(LLM_Data_Entry!$R$3:$R$548,MATCH($X100,INDEX(LLM_Data_Entry!$A$3:$A$548&amp;"|"&amp;LLM_Data_Entry!$C$3:$C$548&amp;"|"&amp;LLM_Data_Entry!$D$3:$D$548,0),0))),"")</f>
        <v>YES</v>
      </c>
      <c r="AB100" t="s">
        <v>612</v>
      </c>
      <c r="AC100" t="s">
        <v>836</v>
      </c>
      <c r="AD100" t="s">
        <v>789</v>
      </c>
      <c r="AE100">
        <v>225.39619999999999</v>
      </c>
      <c r="AF100" t="s">
        <v>790</v>
      </c>
      <c r="AG100">
        <v>226.80950000000001</v>
      </c>
      <c r="AH100">
        <v>6.2702709103862869E-3</v>
      </c>
      <c r="AI100" t="s">
        <v>579</v>
      </c>
      <c r="AJ100" t="s">
        <v>546</v>
      </c>
      <c r="AK100">
        <v>5.2700000000000004E-3</v>
      </c>
      <c r="AL100" t="str">
        <f>IF($A100="","",IFERROR(INDEX(Company_List!$G$3:$G$207,MATCH($A100,Company_List!$A$3:$A$207,0)),"unassigned"))</f>
        <v>P2</v>
      </c>
      <c r="AM100" t="s">
        <v>930</v>
      </c>
      <c r="AN100" t="s">
        <v>931</v>
      </c>
      <c r="AO100" t="s">
        <v>560</v>
      </c>
      <c r="AP100" t="str">
        <f>IF($A100="","",IF(COUNTIFS(LLM_Data_Entry!$A$3:$A$548,$A100)&gt;0,"YES","NO"))</f>
        <v>YES</v>
      </c>
      <c r="AQ100" t="str">
        <f>IF($A100="","",IF(COUNTIFS($A$3:$A100,$A100,$C$3:$C100,$C100,$D$3:$D100,$D100)=1,"YES","NO"))</f>
        <v>YES</v>
      </c>
      <c r="AR100" t="str">
        <f>IF($A100="","",IF(AND($C100&amp;"-"&amp;$D100&gt;=Settings!$B$19,$C100&amp;"-"&amp;$D100&lt;=Settings!$B$20),"IN","OUT"))</f>
        <v>IN</v>
      </c>
      <c r="AS100" t="str">
        <f t="shared" si="16"/>
        <v>transcript only</v>
      </c>
      <c r="AT100">
        <f t="shared" si="17"/>
        <v>-2.1100000000000001E-2</v>
      </c>
      <c r="AU100">
        <f t="shared" si="18"/>
        <v>5.2700000000000004E-3</v>
      </c>
      <c r="AV100">
        <f>IF(ISNUMBER($AT100),ABS(IF(ISNUMBER($I100),$I100,0)-Settings!$B$24),"")</f>
        <v>0.4</v>
      </c>
      <c r="AW100">
        <f t="shared" si="19"/>
        <v>-8.4400000000000013E-3</v>
      </c>
      <c r="AX100">
        <f>IF(ISNUMBER($AU100),ABS(IF(ISNUMBER($I100),$I100,0)-Settings!$B$24),"")</f>
        <v>0.4</v>
      </c>
      <c r="AY100" t="s">
        <v>549</v>
      </c>
      <c r="AZ100" t="str">
        <f>IF($A100="","",IFERROR(INDEX(Company_List!$H$3:$H$207,MATCH($A100,Company_List!$A$3:$A$207,0)),"unassigned"))</f>
        <v>Consumer Discretionary</v>
      </c>
      <c r="BC100">
        <f>IF($A100="","",IF(COUNTIFS($A$3:$A100,$A100,$C$3:$C100,$C100,$D$3:$D100,$D100,$G$3:$G100,$G100)=1,1,0))</f>
        <v>1</v>
      </c>
      <c r="BG100" t="s">
        <v>550</v>
      </c>
      <c r="BK100">
        <f t="shared" si="20"/>
        <v>0</v>
      </c>
      <c r="BL100" t="s">
        <v>551</v>
      </c>
      <c r="BM100">
        <v>1</v>
      </c>
      <c r="BN100" t="s">
        <v>788</v>
      </c>
      <c r="BO100" t="s">
        <v>553</v>
      </c>
      <c r="BP100" t="s">
        <v>550</v>
      </c>
      <c r="BQ100" t="s">
        <v>562</v>
      </c>
      <c r="BS100" t="s">
        <v>554</v>
      </c>
    </row>
    <row r="101" spans="1:71" ht="16.25" customHeight="1" x14ac:dyDescent="0.2">
      <c r="A101" s="95" t="s">
        <v>932</v>
      </c>
      <c r="B101" s="96" t="str">
        <f>IF(A101="","",_xlfn.XLOOKUP(A101, Company_List!$A:$A, Company_List!$B:$B, ""))</f>
        <v>CVS</v>
      </c>
      <c r="C101" s="21">
        <v>2026</v>
      </c>
      <c r="D101" s="20" t="s">
        <v>537</v>
      </c>
      <c r="E101" s="19" t="s">
        <v>647</v>
      </c>
      <c r="F101" s="19" t="s">
        <v>538</v>
      </c>
      <c r="G101" s="20" t="s">
        <v>539</v>
      </c>
      <c r="H101" s="20" t="s">
        <v>540</v>
      </c>
      <c r="I101" s="127">
        <v>0.5</v>
      </c>
      <c r="J101" s="145" t="str">
        <f>IF(OR(I101="",Settings!$B$6=""),"",IF(I101&gt;Settings!$B$6,"BUY",IF(I101&lt;-Settings!$B$6,"SELL","HOLD")))</f>
        <v>BUY</v>
      </c>
      <c r="K101" s="139">
        <v>35</v>
      </c>
      <c r="L101" s="123">
        <v>46148</v>
      </c>
      <c r="M101" s="123">
        <v>46147</v>
      </c>
      <c r="N101" s="127">
        <v>80.69</v>
      </c>
      <c r="O101" s="123">
        <v>46148</v>
      </c>
      <c r="P101" s="22">
        <v>85.51</v>
      </c>
      <c r="Q101" s="148">
        <f t="shared" si="21"/>
        <v>5.9700000000000003E-2</v>
      </c>
      <c r="R101" s="20" t="str">
        <f>IF(OR(N101="",P101=""),"",IF(Q101&gt;Settings!$B$3/100,"UP",IF(Q101&lt;-Settings!$B$3/100,"DOWN","FLAT")))</f>
        <v>UP</v>
      </c>
      <c r="S101" s="20" t="str">
        <f t="shared" si="12"/>
        <v>YES</v>
      </c>
      <c r="T101" s="21">
        <f t="shared" si="13"/>
        <v>1</v>
      </c>
      <c r="U101" s="148">
        <f>IFERROR(IF(OR(J101="",N101="",P101=""),"",IF(T101=0,0,T101*Q101-Settings!$B$4/10000-IF(T101&lt;0,Settings!$B$5/10000,0))),"")</f>
        <v>5.8700000000000002E-2</v>
      </c>
      <c r="V101" s="23"/>
      <c r="W101" s="21">
        <f t="shared" si="14"/>
        <v>2100</v>
      </c>
      <c r="X101" s="91" t="str">
        <f t="shared" si="15"/>
        <v>CVS Health|2026|Q1</v>
      </c>
      <c r="Y101" s="91" t="str">
        <f>IFERROR(IF($X101="","",INDEX(LLM_Data_Entry!$H$3:$H$548,MATCH($X101,INDEX(LLM_Data_Entry!$A$3:$A$548&amp;"|"&amp;LLM_Data_Entry!$C$3:$C$548&amp;"|"&amp;LLM_Data_Entry!$D$3:$D$548,0),0))),"")</f>
        <v>HOLD</v>
      </c>
      <c r="Z101" s="91" t="str">
        <f>IFERROR(IF($X101="","",INDEX(LLM_Data_Entry!$R$3:$R$548,MATCH($X101,INDEX(LLM_Data_Entry!$A$3:$A$548&amp;"|"&amp;LLM_Data_Entry!$C$3:$C$548&amp;"|"&amp;LLM_Data_Entry!$D$3:$D$548,0),0))),"")</f>
        <v>NO</v>
      </c>
      <c r="AB101" t="s">
        <v>630</v>
      </c>
      <c r="AC101" t="s">
        <v>933</v>
      </c>
      <c r="AD101" t="s">
        <v>731</v>
      </c>
      <c r="AE101">
        <v>80.1935</v>
      </c>
      <c r="AF101" t="s">
        <v>680</v>
      </c>
      <c r="AG101">
        <v>84.983900000000006</v>
      </c>
      <c r="AH101">
        <v>5.9734776091273312E-2</v>
      </c>
      <c r="AI101" t="s">
        <v>591</v>
      </c>
      <c r="AJ101" t="s">
        <v>554</v>
      </c>
      <c r="AK101">
        <v>5.8735000000000002E-2</v>
      </c>
      <c r="AL101" t="str">
        <f>IF($A101="","",IFERROR(INDEX(Company_List!$G$3:$G$207,MATCH($A101,Company_List!$A$3:$A$207,0)),"unassigned"))</f>
        <v>P2</v>
      </c>
      <c r="AM101" t="s">
        <v>934</v>
      </c>
      <c r="AO101" t="s">
        <v>548</v>
      </c>
      <c r="AP101" t="str">
        <f>IF($A101="","",IF(COUNTIFS(LLM_Data_Entry!$A$3:$A$548,$A101)&gt;0,"YES","NO"))</f>
        <v>YES</v>
      </c>
      <c r="AQ101" t="str">
        <f>IF($A101="","",IF(COUNTIFS($A$3:$A101,$A101,$C$3:$C101,$C101,$D$3:$D101,$D101)=1,"YES","NO"))</f>
        <v>YES</v>
      </c>
      <c r="AR101" t="str">
        <f>IF($A101="","",IF(AND($C101&amp;"-"&amp;$D101&gt;=Settings!$B$19,$C101&amp;"-"&amp;$D101&lt;=Settings!$B$20),"IN","OUT"))</f>
        <v>IN</v>
      </c>
      <c r="AS101" t="str">
        <f t="shared" si="16"/>
        <v>transcript only</v>
      </c>
      <c r="AT101">
        <f t="shared" si="17"/>
        <v>5.8700000000000002E-2</v>
      </c>
      <c r="AU101">
        <f t="shared" si="18"/>
        <v>5.8735000000000002E-2</v>
      </c>
      <c r="AV101">
        <f>IF(ISNUMBER($AT101),ABS(IF(ISNUMBER($I101),$I101,0)-Settings!$B$24),"")</f>
        <v>0.5</v>
      </c>
      <c r="AW101">
        <f t="shared" si="19"/>
        <v>2.9350000000000001E-2</v>
      </c>
      <c r="AX101">
        <f>IF(ISNUMBER($AU101),ABS(IF(ISNUMBER($I101),$I101,0)-Settings!$B$24),"")</f>
        <v>0.5</v>
      </c>
      <c r="AY101" t="s">
        <v>549</v>
      </c>
      <c r="AZ101" t="str">
        <f>IF($A101="","",IFERROR(INDEX(Company_List!$H$3:$H$207,MATCH($A101,Company_List!$A$3:$A$207,0)),"unassigned"))</f>
        <v>Health Care</v>
      </c>
      <c r="BC101">
        <f>IF($A101="","",IF(COUNTIFS($A$3:$A101,$A101,$C$3:$C101,$C101,$D$3:$D101,$D101,$G$3:$G101,$G101)=1,1,0))</f>
        <v>1</v>
      </c>
      <c r="BG101" t="s">
        <v>550</v>
      </c>
      <c r="BK101">
        <f t="shared" si="20"/>
        <v>0</v>
      </c>
      <c r="BL101" t="s">
        <v>551</v>
      </c>
      <c r="BM101">
        <v>1</v>
      </c>
      <c r="BN101" t="s">
        <v>617</v>
      </c>
      <c r="BO101" t="s">
        <v>553</v>
      </c>
      <c r="BP101" t="s">
        <v>550</v>
      </c>
      <c r="BQ101" t="s">
        <v>550</v>
      </c>
      <c r="BS101" t="s">
        <v>554</v>
      </c>
    </row>
    <row r="102" spans="1:71" ht="16.25" customHeight="1" x14ac:dyDescent="0.2">
      <c r="A102" s="95" t="s">
        <v>935</v>
      </c>
      <c r="B102" s="96" t="str">
        <f>IF(A102="","",_xlfn.XLOOKUP(A102, Company_List!$A:$A, Company_List!$B:$B, ""))</f>
        <v>UBER</v>
      </c>
      <c r="C102" s="21">
        <v>2025</v>
      </c>
      <c r="D102" s="20" t="s">
        <v>537</v>
      </c>
      <c r="E102" s="19" t="s">
        <v>647</v>
      </c>
      <c r="F102" s="19" t="s">
        <v>538</v>
      </c>
      <c r="G102" s="20" t="s">
        <v>712</v>
      </c>
      <c r="H102" s="20" t="s">
        <v>540</v>
      </c>
      <c r="I102" s="127">
        <v>-0.3</v>
      </c>
      <c r="J102" s="145" t="str">
        <f>IF(OR(I102="",Settings!$B$6=""),"",IF(I102&gt;Settings!$B$6,"BUY",IF(I102&lt;-Settings!$B$6,"SELL","HOLD")))</f>
        <v>SELL</v>
      </c>
      <c r="K102" s="139">
        <v>30</v>
      </c>
      <c r="L102" s="123">
        <v>45784</v>
      </c>
      <c r="M102" s="123">
        <v>45783</v>
      </c>
      <c r="N102" s="127">
        <v>85.83</v>
      </c>
      <c r="O102" s="123">
        <v>45784</v>
      </c>
      <c r="P102" s="22">
        <v>83.13</v>
      </c>
      <c r="Q102" s="148">
        <f t="shared" si="21"/>
        <v>-3.15E-2</v>
      </c>
      <c r="R102" s="20" t="str">
        <f>IF(OR(N102="",P102=""),"",IF(Q102&gt;Settings!$B$3/100,"UP",IF(Q102&lt;-Settings!$B$3/100,"DOWN","FLAT")))</f>
        <v>DOWN</v>
      </c>
      <c r="S102" s="20" t="str">
        <f t="shared" si="12"/>
        <v>YES</v>
      </c>
      <c r="T102" s="21">
        <f t="shared" si="13"/>
        <v>-1</v>
      </c>
      <c r="U102" s="148">
        <f>IFERROR(IF(OR(J102="",N102="",P102=""),"",IF(T102=0,0,T102*Q102-Settings!$B$4/10000-IF(T102&lt;0,Settings!$B$5/10000,0))),"")</f>
        <v>3.0499999999999999E-2</v>
      </c>
      <c r="V102" s="23"/>
      <c r="W102" s="21">
        <f t="shared" si="14"/>
        <v>1800</v>
      </c>
      <c r="X102" s="91" t="str">
        <f t="shared" si="15"/>
        <v>Uber|2025|Q1</v>
      </c>
      <c r="Y102" s="91" t="str">
        <f>IFERROR(IF($X102="","",INDEX(LLM_Data_Entry!$H$3:$H$548,MATCH($X102,INDEX(LLM_Data_Entry!$A$3:$A$548&amp;"|"&amp;LLM_Data_Entry!$C$3:$C$548&amp;"|"&amp;LLM_Data_Entry!$D$3:$D$548,0),0))),"")</f>
        <v>HOLD</v>
      </c>
      <c r="Z102" s="91" t="str">
        <f>IFERROR(IF($X102="","",INDEX(LLM_Data_Entry!$R$3:$R$548,MATCH($X102,INDEX(LLM_Data_Entry!$A$3:$A$548&amp;"|"&amp;LLM_Data_Entry!$C$3:$C$548&amp;"|"&amp;LLM_Data_Entry!$D$3:$D$548,0),0))),"")</f>
        <v>NO</v>
      </c>
      <c r="AB102" t="s">
        <v>685</v>
      </c>
      <c r="AC102" t="s">
        <v>936</v>
      </c>
      <c r="AD102" t="s">
        <v>937</v>
      </c>
      <c r="AE102">
        <v>85.83</v>
      </c>
      <c r="AF102" t="s">
        <v>938</v>
      </c>
      <c r="AG102">
        <v>83.13</v>
      </c>
      <c r="AH102">
        <v>-3.145758985302121E-2</v>
      </c>
      <c r="AI102" t="s">
        <v>545</v>
      </c>
      <c r="AJ102" t="s">
        <v>554</v>
      </c>
      <c r="AK102">
        <v>3.0457999999999999E-2</v>
      </c>
      <c r="AL102" t="str">
        <f>IF($A102="","",IFERROR(INDEX(Company_List!$G$3:$G$207,MATCH($A102,Company_List!$A$3:$A$207,0)),"unassigned"))</f>
        <v>P2</v>
      </c>
      <c r="AM102" t="s">
        <v>939</v>
      </c>
      <c r="AO102" t="s">
        <v>548</v>
      </c>
      <c r="AP102" t="str">
        <f>IF($A102="","",IF(COUNTIFS(LLM_Data_Entry!$A$3:$A$548,$A102)&gt;0,"YES","NO"))</f>
        <v>YES</v>
      </c>
      <c r="AQ102" t="str">
        <f>IF($A102="","",IF(COUNTIFS($A$3:$A102,$A102,$C$3:$C102,$C102,$D$3:$D102,$D102)=1,"YES","NO"))</f>
        <v>YES</v>
      </c>
      <c r="AR102" t="str">
        <f>IF($A102="","",IF(AND($C102&amp;"-"&amp;$D102&gt;=Settings!$B$19,$C102&amp;"-"&amp;$D102&lt;=Settings!$B$20),"IN","OUT"))</f>
        <v>IN</v>
      </c>
      <c r="AS102" t="str">
        <f t="shared" si="16"/>
        <v>transcript only</v>
      </c>
      <c r="AT102">
        <f t="shared" si="17"/>
        <v>3.0499999999999999E-2</v>
      </c>
      <c r="AU102">
        <f t="shared" si="18"/>
        <v>3.0457999999999999E-2</v>
      </c>
      <c r="AV102">
        <f>IF(ISNUMBER($AT102),ABS(IF(ISNUMBER($I102),$I102,0)-Settings!$B$24),"")</f>
        <v>0.3</v>
      </c>
      <c r="AW102">
        <f t="shared" si="19"/>
        <v>9.1500000000000001E-3</v>
      </c>
      <c r="AX102">
        <f>IF(ISNUMBER($AU102),ABS(IF(ISNUMBER($I102),$I102,0)-Settings!$B$24),"")</f>
        <v>0.3</v>
      </c>
      <c r="AY102" t="s">
        <v>549</v>
      </c>
      <c r="AZ102" t="str">
        <f>IF($A102="","",IFERROR(INDEX(Company_List!$H$3:$H$207,MATCH($A102,Company_List!$A$3:$A$207,0)),"unassigned"))</f>
        <v>Industrials</v>
      </c>
      <c r="BC102">
        <f>IF($A102="","",IF(COUNTIFS($A$3:$A102,$A102,$C$3:$C102,$C102,$D$3:$D102,$D102,$G$3:$G102,$G102)=1,1,0))</f>
        <v>1</v>
      </c>
      <c r="BG102" t="s">
        <v>550</v>
      </c>
      <c r="BK102">
        <f t="shared" si="20"/>
        <v>0</v>
      </c>
      <c r="BL102" t="s">
        <v>551</v>
      </c>
      <c r="BM102">
        <v>1</v>
      </c>
      <c r="BN102" t="s">
        <v>617</v>
      </c>
      <c r="BO102" t="s">
        <v>553</v>
      </c>
      <c r="BP102" t="s">
        <v>550</v>
      </c>
      <c r="BQ102" t="s">
        <v>550</v>
      </c>
      <c r="BS102" t="s">
        <v>554</v>
      </c>
    </row>
    <row r="103" spans="1:71" ht="16.25" customHeight="1" x14ac:dyDescent="0.2">
      <c r="A103" s="95" t="s">
        <v>935</v>
      </c>
      <c r="B103" s="96" t="str">
        <f>IF(A103="","",_xlfn.XLOOKUP(A103, Company_List!$A:$A, Company_List!$B:$B, ""))</f>
        <v>UBER</v>
      </c>
      <c r="C103" s="21">
        <v>2025</v>
      </c>
      <c r="D103" s="20" t="s">
        <v>555</v>
      </c>
      <c r="E103" s="19" t="s">
        <v>647</v>
      </c>
      <c r="F103" s="19" t="s">
        <v>538</v>
      </c>
      <c r="G103" s="20" t="s">
        <v>712</v>
      </c>
      <c r="H103" s="20" t="s">
        <v>540</v>
      </c>
      <c r="I103" s="127">
        <v>0.4</v>
      </c>
      <c r="J103" s="145" t="str">
        <f>IF(OR(I103="",Settings!$B$6=""),"",IF(I103&gt;Settings!$B$6,"BUY",IF(I103&lt;-Settings!$B$6,"SELL","HOLD")))</f>
        <v>BUY</v>
      </c>
      <c r="K103" s="139">
        <v>21</v>
      </c>
      <c r="L103" s="123">
        <v>45875</v>
      </c>
      <c r="M103" s="123">
        <v>45874</v>
      </c>
      <c r="N103" s="127">
        <v>89.39</v>
      </c>
      <c r="O103" s="123">
        <v>45875</v>
      </c>
      <c r="P103" s="22">
        <v>90.95</v>
      </c>
      <c r="Q103" s="148">
        <f t="shared" si="21"/>
        <v>1.7500000000000002E-2</v>
      </c>
      <c r="R103" s="20" t="str">
        <f>IF(OR(N103="",P103=""),"",IF(Q103&gt;Settings!$B$3/100,"UP",IF(Q103&lt;-Settings!$B$3/100,"DOWN","FLAT")))</f>
        <v>FLAT</v>
      </c>
      <c r="S103" s="20" t="str">
        <f t="shared" si="12"/>
        <v>NO</v>
      </c>
      <c r="T103" s="21">
        <f t="shared" si="13"/>
        <v>1</v>
      </c>
      <c r="U103" s="148">
        <f>IFERROR(IF(OR(J103="",N103="",P103=""),"",IF(T103=0,0,T103*Q103-Settings!$B$4/10000-IF(T103&lt;0,Settings!$B$5/10000,0))),"")</f>
        <v>1.6500000000000001E-2</v>
      </c>
      <c r="V103" s="23"/>
      <c r="W103" s="21">
        <f t="shared" si="14"/>
        <v>1260</v>
      </c>
      <c r="X103" s="91" t="str">
        <f t="shared" si="15"/>
        <v>Uber|2025|Q2</v>
      </c>
      <c r="Y103" s="91" t="str">
        <f>IFERROR(IF($X103="","",INDEX(LLM_Data_Entry!$H$3:$H$548,MATCH($X103,INDEX(LLM_Data_Entry!$A$3:$A$548&amp;"|"&amp;LLM_Data_Entry!$C$3:$C$548&amp;"|"&amp;LLM_Data_Entry!$D$3:$D$548,0),0))),"")</f>
        <v>HOLD</v>
      </c>
      <c r="Z103" s="91" t="str">
        <f>IFERROR(IF($X103="","",INDEX(LLM_Data_Entry!$R$3:$R$548,MATCH($X103,INDEX(LLM_Data_Entry!$A$3:$A$548&amp;"|"&amp;LLM_Data_Entry!$C$3:$C$548&amp;"|"&amp;LLM_Data_Entry!$D$3:$D$548,0),0))),"")</f>
        <v>YES</v>
      </c>
      <c r="AB103" t="s">
        <v>541</v>
      </c>
      <c r="AC103" t="s">
        <v>936</v>
      </c>
      <c r="AD103" t="s">
        <v>641</v>
      </c>
      <c r="AE103">
        <v>89.39</v>
      </c>
      <c r="AF103" t="s">
        <v>642</v>
      </c>
      <c r="AG103">
        <v>90.95</v>
      </c>
      <c r="AH103">
        <v>1.7451594333276511E-2</v>
      </c>
      <c r="AI103" t="s">
        <v>579</v>
      </c>
      <c r="AJ103" t="s">
        <v>546</v>
      </c>
      <c r="AK103">
        <v>1.6452000000000001E-2</v>
      </c>
      <c r="AL103" t="str">
        <f>IF($A103="","",IFERROR(INDEX(Company_List!$G$3:$G$207,MATCH($A103,Company_List!$A$3:$A$207,0)),"unassigned"))</f>
        <v>P2</v>
      </c>
      <c r="AM103" t="s">
        <v>940</v>
      </c>
      <c r="AO103" t="s">
        <v>548</v>
      </c>
      <c r="AP103" t="str">
        <f>IF($A103="","",IF(COUNTIFS(LLM_Data_Entry!$A$3:$A$548,$A103)&gt;0,"YES","NO"))</f>
        <v>YES</v>
      </c>
      <c r="AQ103" t="str">
        <f>IF($A103="","",IF(COUNTIFS($A$3:$A103,$A103,$C$3:$C103,$C103,$D$3:$D103,$D103)=1,"YES","NO"))</f>
        <v>YES</v>
      </c>
      <c r="AR103" t="str">
        <f>IF($A103="","",IF(AND($C103&amp;"-"&amp;$D103&gt;=Settings!$B$19,$C103&amp;"-"&amp;$D103&lt;=Settings!$B$20),"IN","OUT"))</f>
        <v>IN</v>
      </c>
      <c r="AS103" t="str">
        <f t="shared" si="16"/>
        <v>transcript only</v>
      </c>
      <c r="AT103">
        <f t="shared" si="17"/>
        <v>1.6500000000000001E-2</v>
      </c>
      <c r="AU103">
        <f t="shared" si="18"/>
        <v>1.6452000000000001E-2</v>
      </c>
      <c r="AV103">
        <f>IF(ISNUMBER($AT103),ABS(IF(ISNUMBER($I103),$I103,0)-Settings!$B$24),"")</f>
        <v>0.4</v>
      </c>
      <c r="AW103">
        <f t="shared" si="19"/>
        <v>6.6000000000000008E-3</v>
      </c>
      <c r="AX103">
        <f>IF(ISNUMBER($AU103),ABS(IF(ISNUMBER($I103),$I103,0)-Settings!$B$24),"")</f>
        <v>0.4</v>
      </c>
      <c r="AY103" t="s">
        <v>549</v>
      </c>
      <c r="AZ103" t="str">
        <f>IF($A103="","",IFERROR(INDEX(Company_List!$H$3:$H$207,MATCH($A103,Company_List!$A$3:$A$207,0)),"unassigned"))</f>
        <v>Industrials</v>
      </c>
      <c r="BC103">
        <f>IF($A103="","",IF(COUNTIFS($A$3:$A103,$A103,$C$3:$C103,$C103,$D$3:$D103,$D103,$G$3:$G103,$G103)=1,1,0))</f>
        <v>1</v>
      </c>
      <c r="BG103" t="s">
        <v>550</v>
      </c>
      <c r="BK103">
        <f t="shared" si="20"/>
        <v>0</v>
      </c>
      <c r="BL103" t="s">
        <v>551</v>
      </c>
      <c r="BM103">
        <v>1</v>
      </c>
      <c r="BN103" t="s">
        <v>617</v>
      </c>
      <c r="BO103" t="s">
        <v>553</v>
      </c>
      <c r="BP103" t="s">
        <v>550</v>
      </c>
      <c r="BQ103" t="s">
        <v>550</v>
      </c>
      <c r="BS103" t="s">
        <v>554</v>
      </c>
    </row>
    <row r="104" spans="1:71" ht="16.25" customHeight="1" x14ac:dyDescent="0.2">
      <c r="A104" s="95" t="s">
        <v>935</v>
      </c>
      <c r="B104" s="96" t="str">
        <f>IF(A104="","",_xlfn.XLOOKUP(A104, Company_List!$A:$A, Company_List!$B:$B, ""))</f>
        <v>UBER</v>
      </c>
      <c r="C104" s="21">
        <v>2025</v>
      </c>
      <c r="D104" s="20" t="s">
        <v>569</v>
      </c>
      <c r="E104" s="19" t="s">
        <v>647</v>
      </c>
      <c r="F104" s="19" t="s">
        <v>538</v>
      </c>
      <c r="G104" s="20" t="s">
        <v>712</v>
      </c>
      <c r="H104" s="20" t="s">
        <v>540</v>
      </c>
      <c r="I104" s="127">
        <v>0.5</v>
      </c>
      <c r="J104" s="145" t="str">
        <f>IF(OR(I104="",Settings!$B$6=""),"",IF(I104&gt;Settings!$B$6,"BUY",IF(I104&lt;-Settings!$B$6,"SELL","HOLD")))</f>
        <v>BUY</v>
      </c>
      <c r="K104" s="139">
        <v>27</v>
      </c>
      <c r="L104" s="123">
        <v>46057</v>
      </c>
      <c r="M104" s="123">
        <v>46056</v>
      </c>
      <c r="N104" s="127">
        <v>77.930000000000007</v>
      </c>
      <c r="O104" s="123">
        <v>46057</v>
      </c>
      <c r="P104" s="22">
        <v>75.62</v>
      </c>
      <c r="Q104" s="148">
        <f t="shared" si="21"/>
        <v>-2.9600000000000001E-2</v>
      </c>
      <c r="R104" s="20" t="str">
        <f>IF(OR(N104="",P104=""),"",IF(Q104&gt;Settings!$B$3/100,"UP",IF(Q104&lt;-Settings!$B$3/100,"DOWN","FLAT")))</f>
        <v>DOWN</v>
      </c>
      <c r="S104" s="20" t="str">
        <f t="shared" si="12"/>
        <v>NO</v>
      </c>
      <c r="T104" s="21">
        <f t="shared" si="13"/>
        <v>1</v>
      </c>
      <c r="U104" s="148">
        <f>IFERROR(IF(OR(J104="",N104="",P104=""),"",IF(T104=0,0,T104*Q104-Settings!$B$4/10000-IF(T104&lt;0,Settings!$B$5/10000,0))),"")</f>
        <v>-3.0600000000000002E-2</v>
      </c>
      <c r="V104" s="23"/>
      <c r="W104" s="21">
        <f t="shared" si="14"/>
        <v>1620</v>
      </c>
      <c r="X104" s="91" t="str">
        <f t="shared" si="15"/>
        <v>Uber|2025|Q4</v>
      </c>
      <c r="Y104" s="91" t="str">
        <f>IFERROR(IF($X104="","",INDEX(LLM_Data_Entry!$H$3:$H$548,MATCH($X104,INDEX(LLM_Data_Entry!$A$3:$A$548&amp;"|"&amp;LLM_Data_Entry!$C$3:$C$548&amp;"|"&amp;LLM_Data_Entry!$D$3:$D$548,0),0))),"")</f>
        <v>BUY</v>
      </c>
      <c r="Z104" s="91" t="str">
        <f>IFERROR(IF($X104="","",INDEX(LLM_Data_Entry!$R$3:$R$548,MATCH($X104,INDEX(LLM_Data_Entry!$A$3:$A$548&amp;"|"&amp;LLM_Data_Entry!$C$3:$C$548&amp;"|"&amp;LLM_Data_Entry!$D$3:$D$548,0),0))),"")</f>
        <v>NO</v>
      </c>
      <c r="AB104" t="s">
        <v>541</v>
      </c>
      <c r="AC104" t="s">
        <v>936</v>
      </c>
      <c r="AD104" t="s">
        <v>736</v>
      </c>
      <c r="AE104">
        <v>77.930000000000007</v>
      </c>
      <c r="AF104" t="s">
        <v>737</v>
      </c>
      <c r="AG104">
        <v>75.625</v>
      </c>
      <c r="AH104">
        <v>-2.9577826254330891E-2</v>
      </c>
      <c r="AI104" t="s">
        <v>545</v>
      </c>
      <c r="AJ104" t="s">
        <v>546</v>
      </c>
      <c r="AK104">
        <v>-3.0578000000000001E-2</v>
      </c>
      <c r="AL104" t="str">
        <f>IF($A104="","",IFERROR(INDEX(Company_List!$G$3:$G$207,MATCH($A104,Company_List!$A$3:$A$207,0)),"unassigned"))</f>
        <v>P2</v>
      </c>
      <c r="AM104" t="s">
        <v>941</v>
      </c>
      <c r="AO104" t="s">
        <v>548</v>
      </c>
      <c r="AP104" t="str">
        <f>IF($A104="","",IF(COUNTIFS(LLM_Data_Entry!$A$3:$A$548,$A104)&gt;0,"YES","NO"))</f>
        <v>YES</v>
      </c>
      <c r="AQ104" t="str">
        <f>IF($A104="","",IF(COUNTIFS($A$3:$A104,$A104,$C$3:$C104,$C104,$D$3:$D104,$D104)=1,"YES","NO"))</f>
        <v>YES</v>
      </c>
      <c r="AR104" t="str">
        <f>IF($A104="","",IF(AND($C104&amp;"-"&amp;$D104&gt;=Settings!$B$19,$C104&amp;"-"&amp;$D104&lt;=Settings!$B$20),"IN","OUT"))</f>
        <v>IN</v>
      </c>
      <c r="AS104" t="str">
        <f t="shared" si="16"/>
        <v>transcript only</v>
      </c>
      <c r="AT104">
        <f t="shared" si="17"/>
        <v>-3.0600000000000002E-2</v>
      </c>
      <c r="AU104">
        <f t="shared" si="18"/>
        <v>-3.0578000000000001E-2</v>
      </c>
      <c r="AV104">
        <f>IF(ISNUMBER($AT104),ABS(IF(ISNUMBER($I104),$I104,0)-Settings!$B$24),"")</f>
        <v>0.5</v>
      </c>
      <c r="AW104">
        <f t="shared" si="19"/>
        <v>-1.5300000000000001E-2</v>
      </c>
      <c r="AX104">
        <f>IF(ISNUMBER($AU104),ABS(IF(ISNUMBER($I104),$I104,0)-Settings!$B$24),"")</f>
        <v>0.5</v>
      </c>
      <c r="AY104" t="s">
        <v>549</v>
      </c>
      <c r="AZ104" t="str">
        <f>IF($A104="","",IFERROR(INDEX(Company_List!$H$3:$H$207,MATCH($A104,Company_List!$A$3:$A$207,0)),"unassigned"))</f>
        <v>Industrials</v>
      </c>
      <c r="BC104">
        <f>IF($A104="","",IF(COUNTIFS($A$3:$A104,$A104,$C$3:$C104,$C104,$D$3:$D104,$D104,$G$3:$G104,$G104)=1,1,0))</f>
        <v>1</v>
      </c>
      <c r="BG104" t="s">
        <v>550</v>
      </c>
      <c r="BK104">
        <f t="shared" si="20"/>
        <v>1</v>
      </c>
      <c r="BL104" t="s">
        <v>551</v>
      </c>
      <c r="BM104">
        <v>1</v>
      </c>
      <c r="BN104" t="s">
        <v>617</v>
      </c>
      <c r="BO104" t="s">
        <v>553</v>
      </c>
      <c r="BP104" t="s">
        <v>550</v>
      </c>
      <c r="BQ104" t="s">
        <v>550</v>
      </c>
      <c r="BS104" t="s">
        <v>554</v>
      </c>
    </row>
    <row r="105" spans="1:71" ht="16.25" customHeight="1" x14ac:dyDescent="0.2">
      <c r="A105" s="95" t="s">
        <v>935</v>
      </c>
      <c r="B105" s="96" t="str">
        <f>IF(A105="","",_xlfn.XLOOKUP(A105, Company_List!$A:$A, Company_List!$B:$B, ""))</f>
        <v>UBER</v>
      </c>
      <c r="C105" s="21">
        <v>2026</v>
      </c>
      <c r="D105" s="20" t="s">
        <v>537</v>
      </c>
      <c r="E105" s="19" t="s">
        <v>647</v>
      </c>
      <c r="F105" s="19" t="s">
        <v>538</v>
      </c>
      <c r="G105" s="20" t="s">
        <v>712</v>
      </c>
      <c r="H105" s="20" t="s">
        <v>540</v>
      </c>
      <c r="I105" s="127">
        <v>0.3</v>
      </c>
      <c r="J105" s="145" t="str">
        <f>IF(OR(I105="",Settings!$B$6=""),"",IF(I105&gt;Settings!$B$6,"BUY",IF(I105&lt;-Settings!$B$6,"SELL","HOLD")))</f>
        <v>BUY</v>
      </c>
      <c r="K105" s="139">
        <v>35</v>
      </c>
      <c r="L105" s="123">
        <v>46148</v>
      </c>
      <c r="M105" s="123">
        <v>46147</v>
      </c>
      <c r="N105" s="127">
        <v>72.95</v>
      </c>
      <c r="O105" s="123">
        <v>46148</v>
      </c>
      <c r="P105" s="22">
        <v>77.459999999999994</v>
      </c>
      <c r="Q105" s="148">
        <f t="shared" si="21"/>
        <v>6.1800000000000001E-2</v>
      </c>
      <c r="R105" s="20" t="str">
        <f>IF(OR(N105="",P105=""),"",IF(Q105&gt;Settings!$B$3/100,"UP",IF(Q105&lt;-Settings!$B$3/100,"DOWN","FLAT")))</f>
        <v>UP</v>
      </c>
      <c r="S105" s="20" t="str">
        <f t="shared" si="12"/>
        <v>YES</v>
      </c>
      <c r="T105" s="21">
        <f t="shared" si="13"/>
        <v>1</v>
      </c>
      <c r="U105" s="148">
        <f>IFERROR(IF(OR(J105="",N105="",P105=""),"",IF(T105=0,0,T105*Q105-Settings!$B$4/10000-IF(T105&lt;0,Settings!$B$5/10000,0))),"")</f>
        <v>6.08E-2</v>
      </c>
      <c r="V105" s="23"/>
      <c r="W105" s="21">
        <f t="shared" si="14"/>
        <v>2100</v>
      </c>
      <c r="X105" s="91" t="str">
        <f t="shared" si="15"/>
        <v>Uber|2026|Q1</v>
      </c>
      <c r="Y105" s="91" t="str">
        <f>IFERROR(IF($X105="","",INDEX(LLM_Data_Entry!$H$3:$H$548,MATCH($X105,INDEX(LLM_Data_Entry!$A$3:$A$548&amp;"|"&amp;LLM_Data_Entry!$C$3:$C$548&amp;"|"&amp;LLM_Data_Entry!$D$3:$D$548,0),0))),"")</f>
        <v>HOLD</v>
      </c>
      <c r="Z105" s="91" t="str">
        <f>IFERROR(IF($X105="","",INDEX(LLM_Data_Entry!$R$3:$R$548,MATCH($X105,INDEX(LLM_Data_Entry!$A$3:$A$548&amp;"|"&amp;LLM_Data_Entry!$C$3:$C$548&amp;"|"&amp;LLM_Data_Entry!$D$3:$D$548,0),0))),"")</f>
        <v>NO</v>
      </c>
      <c r="AB105" t="s">
        <v>541</v>
      </c>
      <c r="AC105" t="s">
        <v>936</v>
      </c>
      <c r="AD105" t="s">
        <v>731</v>
      </c>
      <c r="AE105">
        <v>72.95</v>
      </c>
      <c r="AF105" t="s">
        <v>680</v>
      </c>
      <c r="AG105">
        <v>77.459999999999994</v>
      </c>
      <c r="AH105">
        <v>6.1823196510892263E-2</v>
      </c>
      <c r="AI105" t="s">
        <v>591</v>
      </c>
      <c r="AJ105" t="s">
        <v>554</v>
      </c>
      <c r="AK105">
        <v>6.0823000000000002E-2</v>
      </c>
      <c r="AL105" t="str">
        <f>IF($A105="","",IFERROR(INDEX(Company_List!$G$3:$G$207,MATCH($A105,Company_List!$A$3:$A$207,0)),"unassigned"))</f>
        <v>P2</v>
      </c>
      <c r="AM105" t="s">
        <v>942</v>
      </c>
      <c r="AO105" t="s">
        <v>548</v>
      </c>
      <c r="AP105" t="str">
        <f>IF($A105="","",IF(COUNTIFS(LLM_Data_Entry!$A$3:$A$548,$A105)&gt;0,"YES","NO"))</f>
        <v>YES</v>
      </c>
      <c r="AQ105" t="str">
        <f>IF($A105="","",IF(COUNTIFS($A$3:$A105,$A105,$C$3:$C105,$C105,$D$3:$D105,$D105)=1,"YES","NO"))</f>
        <v>YES</v>
      </c>
      <c r="AR105" t="str">
        <f>IF($A105="","",IF(AND($C105&amp;"-"&amp;$D105&gt;=Settings!$B$19,$C105&amp;"-"&amp;$D105&lt;=Settings!$B$20),"IN","OUT"))</f>
        <v>IN</v>
      </c>
      <c r="AS105" t="str">
        <f t="shared" si="16"/>
        <v>transcript only</v>
      </c>
      <c r="AT105">
        <f t="shared" si="17"/>
        <v>6.08E-2</v>
      </c>
      <c r="AU105">
        <f t="shared" si="18"/>
        <v>6.0823000000000002E-2</v>
      </c>
      <c r="AV105">
        <f>IF(ISNUMBER($AT105),ABS(IF(ISNUMBER($I105),$I105,0)-Settings!$B$24),"")</f>
        <v>0.3</v>
      </c>
      <c r="AW105">
        <f t="shared" si="19"/>
        <v>1.8239999999999999E-2</v>
      </c>
      <c r="AX105">
        <f>IF(ISNUMBER($AU105),ABS(IF(ISNUMBER($I105),$I105,0)-Settings!$B$24),"")</f>
        <v>0.3</v>
      </c>
      <c r="AY105" t="s">
        <v>549</v>
      </c>
      <c r="AZ105" t="str">
        <f>IF($A105="","",IFERROR(INDEX(Company_List!$H$3:$H$207,MATCH($A105,Company_List!$A$3:$A$207,0)),"unassigned"))</f>
        <v>Industrials</v>
      </c>
      <c r="BC105">
        <f>IF($A105="","",IF(COUNTIFS($A$3:$A105,$A105,$C$3:$C105,$C105,$D$3:$D105,$D105,$G$3:$G105,$G105)=1,1,0))</f>
        <v>1</v>
      </c>
      <c r="BG105" t="s">
        <v>550</v>
      </c>
      <c r="BK105">
        <f t="shared" si="20"/>
        <v>0</v>
      </c>
      <c r="BL105" t="s">
        <v>551</v>
      </c>
      <c r="BM105">
        <v>1</v>
      </c>
      <c r="BN105" t="s">
        <v>617</v>
      </c>
      <c r="BO105" t="s">
        <v>553</v>
      </c>
      <c r="BP105" t="s">
        <v>550</v>
      </c>
      <c r="BQ105" t="s">
        <v>550</v>
      </c>
      <c r="BS105" t="s">
        <v>554</v>
      </c>
    </row>
    <row r="106" spans="1:71" ht="16.25" customHeight="1" x14ac:dyDescent="0.2">
      <c r="A106" s="95" t="s">
        <v>943</v>
      </c>
      <c r="B106" s="96" t="str">
        <f>IF(A106="","",_xlfn.XLOOKUP(A106, Company_List!$A:$A, Company_List!$B:$B, ""))</f>
        <v>COIN</v>
      </c>
      <c r="C106" s="21">
        <v>2026</v>
      </c>
      <c r="D106" s="20" t="s">
        <v>537</v>
      </c>
      <c r="E106" s="19" t="s">
        <v>538</v>
      </c>
      <c r="F106" s="19" t="s">
        <v>538</v>
      </c>
      <c r="G106" s="20" t="s">
        <v>648</v>
      </c>
      <c r="H106" s="20" t="s">
        <v>540</v>
      </c>
      <c r="I106" s="127">
        <v>0.35</v>
      </c>
      <c r="J106" s="145" t="str">
        <f>IF(OR(I106="",Settings!$B$6=""),"",IF(I106&gt;Settings!$B$6,"BUY",IF(I106&lt;-Settings!$B$6,"SELL","HOLD")))</f>
        <v>BUY</v>
      </c>
      <c r="K106" s="139">
        <v>63</v>
      </c>
      <c r="L106" s="123">
        <v>46149</v>
      </c>
      <c r="M106" s="123">
        <v>46149</v>
      </c>
      <c r="N106" s="127">
        <v>192.96</v>
      </c>
      <c r="O106" s="123">
        <v>46150</v>
      </c>
      <c r="P106" s="22">
        <v>186.05</v>
      </c>
      <c r="Q106" s="148">
        <f t="shared" si="21"/>
        <v>-3.5799999999999998E-2</v>
      </c>
      <c r="R106" s="20" t="str">
        <f>IF(OR(N106="",P106=""),"",IF(Q106&gt;Settings!$B$3/100,"UP",IF(Q106&lt;-Settings!$B$3/100,"DOWN","FLAT")))</f>
        <v>DOWN</v>
      </c>
      <c r="S106" s="20" t="str">
        <f t="shared" si="12"/>
        <v>NO</v>
      </c>
      <c r="T106" s="21">
        <f t="shared" si="13"/>
        <v>1</v>
      </c>
      <c r="U106" s="148">
        <f>IFERROR(IF(OR(J106="",N106="",P106=""),"",IF(T106=0,0,T106*Q106-Settings!$B$4/10000-IF(T106&lt;0,Settings!$B$5/10000,0))),"")</f>
        <v>-3.6799999999999999E-2</v>
      </c>
      <c r="V106" s="23"/>
      <c r="W106" s="21">
        <f t="shared" si="14"/>
        <v>3780</v>
      </c>
      <c r="X106" s="91" t="str">
        <f t="shared" si="15"/>
        <v>Coinbase|2026|Q1</v>
      </c>
      <c r="Y106" s="91" t="str">
        <f>IFERROR(IF($X106="","",INDEX(LLM_Data_Entry!$H$3:$H$548,MATCH($X106,INDEX(LLM_Data_Entry!$A$3:$A$548&amp;"|"&amp;LLM_Data_Entry!$C$3:$C$548&amp;"|"&amp;LLM_Data_Entry!$D$3:$D$548,0),0))),"")</f>
        <v>SELL</v>
      </c>
      <c r="Z106" s="91" t="str">
        <f>IFERROR(IF($X106="","",INDEX(LLM_Data_Entry!$R$3:$R$548,MATCH($X106,INDEX(LLM_Data_Entry!$A$3:$A$548&amp;"|"&amp;LLM_Data_Entry!$C$3:$C$548&amp;"|"&amp;LLM_Data_Entry!$D$3:$D$548,0),0))),"")</f>
        <v>YES</v>
      </c>
      <c r="AB106" t="s">
        <v>564</v>
      </c>
      <c r="AC106" t="s">
        <v>944</v>
      </c>
      <c r="AD106" t="s">
        <v>681</v>
      </c>
      <c r="AE106">
        <v>192.96</v>
      </c>
      <c r="AF106" t="s">
        <v>830</v>
      </c>
      <c r="AG106">
        <v>186.05</v>
      </c>
      <c r="AH106">
        <v>-3.5810550110521019E-2</v>
      </c>
      <c r="AI106" t="s">
        <v>545</v>
      </c>
      <c r="AJ106" t="s">
        <v>546</v>
      </c>
      <c r="AK106">
        <v>-3.6811000000000003E-2</v>
      </c>
      <c r="AL106" t="str">
        <f>IF($A106="","",IFERROR(INDEX(Company_List!$G$3:$G$207,MATCH($A106,Company_List!$A$3:$A$207,0)),"unassigned"))</f>
        <v>P2</v>
      </c>
      <c r="AM106" t="s">
        <v>945</v>
      </c>
      <c r="AN106" t="s">
        <v>946</v>
      </c>
      <c r="AO106" t="s">
        <v>560</v>
      </c>
      <c r="AP106" t="str">
        <f>IF($A106="","",IF(COUNTIFS(LLM_Data_Entry!$A$3:$A$548,$A106)&gt;0,"YES","NO"))</f>
        <v>YES</v>
      </c>
      <c r="AQ106" t="str">
        <f>IF($A106="","",IF(COUNTIFS($A$3:$A106,$A106,$C$3:$C106,$C106,$D$3:$D106,$D106)=1,"YES","NO"))</f>
        <v>YES</v>
      </c>
      <c r="AR106" t="str">
        <f>IF($A106="","",IF(AND($C106&amp;"-"&amp;$D106&gt;=Settings!$B$19,$C106&amp;"-"&amp;$D106&lt;=Settings!$B$20),"IN","OUT"))</f>
        <v>IN</v>
      </c>
      <c r="AS106" t="str">
        <f t="shared" si="16"/>
        <v>full</v>
      </c>
      <c r="AT106">
        <f t="shared" si="17"/>
        <v>-3.6799999999999999E-2</v>
      </c>
      <c r="AU106">
        <f t="shared" si="18"/>
        <v>-3.6811000000000003E-2</v>
      </c>
      <c r="AV106">
        <f>IF(ISNUMBER($AT106),ABS(IF(ISNUMBER($I106),$I106,0)-Settings!$B$24),"")</f>
        <v>0.35</v>
      </c>
      <c r="AW106">
        <f t="shared" si="19"/>
        <v>-1.2879999999999999E-2</v>
      </c>
      <c r="AX106">
        <f>IF(ISNUMBER($AU106),ABS(IF(ISNUMBER($I106),$I106,0)-Settings!$B$24),"")</f>
        <v>0.35</v>
      </c>
      <c r="AY106" t="s">
        <v>549</v>
      </c>
      <c r="AZ106" t="str">
        <f>IF($A106="","",IFERROR(INDEX(Company_List!$H$3:$H$207,MATCH($A106,Company_List!$A$3:$A$207,0)),"unassigned"))</f>
        <v>Financials</v>
      </c>
      <c r="BC106">
        <f>IF($A106="","",IF(COUNTIFS($A$3:$A106,$A106,$C$3:$C106,$C106,$D$3:$D106,$D106,$G$3:$G106,$G106)=1,1,0))</f>
        <v>1</v>
      </c>
      <c r="BG106" t="s">
        <v>550</v>
      </c>
      <c r="BK106">
        <f t="shared" si="20"/>
        <v>0</v>
      </c>
      <c r="BL106" t="s">
        <v>551</v>
      </c>
      <c r="BM106">
        <v>1</v>
      </c>
      <c r="BN106" t="s">
        <v>561</v>
      </c>
      <c r="BO106" t="s">
        <v>561</v>
      </c>
      <c r="BP106" t="s">
        <v>550</v>
      </c>
      <c r="BQ106" t="s">
        <v>562</v>
      </c>
      <c r="BR106" t="s">
        <v>649</v>
      </c>
      <c r="BS106" t="s">
        <v>554</v>
      </c>
    </row>
    <row r="107" spans="1:71" ht="16.25" customHeight="1" x14ac:dyDescent="0.2">
      <c r="A107" s="95" t="s">
        <v>943</v>
      </c>
      <c r="B107" s="96" t="str">
        <f>IF(A107="","",_xlfn.XLOOKUP(A107, Company_List!$A:$A, Company_List!$B:$B, ""))</f>
        <v>COIN</v>
      </c>
      <c r="C107" s="21">
        <v>2025</v>
      </c>
      <c r="D107" s="20" t="s">
        <v>563</v>
      </c>
      <c r="E107" s="19" t="s">
        <v>538</v>
      </c>
      <c r="F107" s="19" t="s">
        <v>538</v>
      </c>
      <c r="G107" s="20" t="s">
        <v>648</v>
      </c>
      <c r="H107" s="20" t="s">
        <v>540</v>
      </c>
      <c r="I107" s="127">
        <v>0.6</v>
      </c>
      <c r="J107" s="145" t="str">
        <f>IF(OR(I107="",Settings!$B$6=""),"",IF(I107&gt;Settings!$B$6,"BUY",IF(I107&lt;-Settings!$B$6,"SELL","HOLD")))</f>
        <v>BUY</v>
      </c>
      <c r="K107" s="139">
        <v>49</v>
      </c>
      <c r="L107" s="123">
        <v>45960</v>
      </c>
      <c r="M107" s="123">
        <v>45960</v>
      </c>
      <c r="N107" s="127">
        <v>328.51</v>
      </c>
      <c r="O107" s="123">
        <v>45961</v>
      </c>
      <c r="P107" s="22">
        <v>336</v>
      </c>
      <c r="Q107" s="148">
        <f t="shared" si="21"/>
        <v>2.2800000000000001E-2</v>
      </c>
      <c r="R107" s="20" t="str">
        <f>IF(OR(N107="",P107=""),"",IF(Q107&gt;Settings!$B$3/100,"UP",IF(Q107&lt;-Settings!$B$3/100,"DOWN","FLAT")))</f>
        <v>UP</v>
      </c>
      <c r="S107" s="20" t="str">
        <f t="shared" si="12"/>
        <v>YES</v>
      </c>
      <c r="T107" s="21">
        <f t="shared" si="13"/>
        <v>1</v>
      </c>
      <c r="U107" s="148">
        <f>IFERROR(IF(OR(J107="",N107="",P107=""),"",IF(T107=0,0,T107*Q107-Settings!$B$4/10000-IF(T107&lt;0,Settings!$B$5/10000,0))),"")</f>
        <v>2.18E-2</v>
      </c>
      <c r="V107" s="23"/>
      <c r="W107" s="21">
        <f t="shared" si="14"/>
        <v>2940</v>
      </c>
      <c r="X107" s="91" t="str">
        <f t="shared" si="15"/>
        <v>Coinbase|2025|Q3</v>
      </c>
      <c r="Y107" s="91" t="str">
        <f>IFERROR(IF($X107="","",INDEX(LLM_Data_Entry!$H$3:$H$548,MATCH($X107,INDEX(LLM_Data_Entry!$A$3:$A$548&amp;"|"&amp;LLM_Data_Entry!$C$3:$C$548&amp;"|"&amp;LLM_Data_Entry!$D$3:$D$548,0),0))),"")</f>
        <v>BUY</v>
      </c>
      <c r="Z107" s="91" t="str">
        <f>IFERROR(IF($X107="","",INDEX(LLM_Data_Entry!$R$3:$R$548,MATCH($X107,INDEX(LLM_Data_Entry!$A$3:$A$548&amp;"|"&amp;LLM_Data_Entry!$C$3:$C$548&amp;"|"&amp;LLM_Data_Entry!$D$3:$D$548,0),0))),"")</f>
        <v>YES</v>
      </c>
      <c r="AB107" t="s">
        <v>564</v>
      </c>
      <c r="AC107" t="s">
        <v>944</v>
      </c>
      <c r="AD107" t="s">
        <v>660</v>
      </c>
      <c r="AE107">
        <v>328.51</v>
      </c>
      <c r="AF107" t="s">
        <v>661</v>
      </c>
      <c r="AG107">
        <v>336</v>
      </c>
      <c r="AH107">
        <v>2.2799883632160789E-2</v>
      </c>
      <c r="AI107" t="s">
        <v>591</v>
      </c>
      <c r="AJ107" t="s">
        <v>554</v>
      </c>
      <c r="AK107">
        <v>2.18E-2</v>
      </c>
      <c r="AL107" t="str">
        <f>IF($A107="","",IFERROR(INDEX(Company_List!$G$3:$G$207,MATCH($A107,Company_List!$A$3:$A$207,0)),"unassigned"))</f>
        <v>P2</v>
      </c>
      <c r="AM107" t="s">
        <v>947</v>
      </c>
      <c r="AN107" t="s">
        <v>948</v>
      </c>
      <c r="AO107" t="s">
        <v>560</v>
      </c>
      <c r="AP107" t="str">
        <f>IF($A107="","",IF(COUNTIFS(LLM_Data_Entry!$A$3:$A$548,$A107)&gt;0,"YES","NO"))</f>
        <v>YES</v>
      </c>
      <c r="AQ107" t="str">
        <f>IF($A107="","",IF(COUNTIFS($A$3:$A107,$A107,$C$3:$C107,$C107,$D$3:$D107,$D107)=1,"YES","NO"))</f>
        <v>YES</v>
      </c>
      <c r="AR107" t="str">
        <f>IF($A107="","",IF(AND($C107&amp;"-"&amp;$D107&gt;=Settings!$B$19,$C107&amp;"-"&amp;$D107&lt;=Settings!$B$20),"IN","OUT"))</f>
        <v>IN</v>
      </c>
      <c r="AS107" t="str">
        <f t="shared" si="16"/>
        <v>full</v>
      </c>
      <c r="AT107">
        <f t="shared" si="17"/>
        <v>2.18E-2</v>
      </c>
      <c r="AU107">
        <f t="shared" si="18"/>
        <v>2.18E-2</v>
      </c>
      <c r="AV107">
        <f>IF(ISNUMBER($AT107),ABS(IF(ISNUMBER($I107),$I107,0)-Settings!$B$24),"")</f>
        <v>0.6</v>
      </c>
      <c r="AW107">
        <f t="shared" si="19"/>
        <v>1.308E-2</v>
      </c>
      <c r="AX107">
        <f>IF(ISNUMBER($AU107),ABS(IF(ISNUMBER($I107),$I107,0)-Settings!$B$24),"")</f>
        <v>0.6</v>
      </c>
      <c r="AY107" t="s">
        <v>549</v>
      </c>
      <c r="AZ107" t="str">
        <f>IF($A107="","",IFERROR(INDEX(Company_List!$H$3:$H$207,MATCH($A107,Company_List!$A$3:$A$207,0)),"unassigned"))</f>
        <v>Financials</v>
      </c>
      <c r="BC107">
        <f>IF($A107="","",IF(COUNTIFS($A$3:$A107,$A107,$C$3:$C107,$C107,$D$3:$D107,$D107,$G$3:$G107,$G107)=1,1,0))</f>
        <v>1</v>
      </c>
      <c r="BG107" t="s">
        <v>550</v>
      </c>
      <c r="BK107">
        <f t="shared" si="20"/>
        <v>1</v>
      </c>
      <c r="BL107" t="s">
        <v>551</v>
      </c>
      <c r="BM107">
        <v>1</v>
      </c>
      <c r="BN107" t="s">
        <v>561</v>
      </c>
      <c r="BO107" t="s">
        <v>561</v>
      </c>
      <c r="BP107" t="s">
        <v>550</v>
      </c>
      <c r="BQ107" t="s">
        <v>562</v>
      </c>
      <c r="BR107" t="s">
        <v>649</v>
      </c>
      <c r="BS107" t="s">
        <v>554</v>
      </c>
    </row>
    <row r="108" spans="1:71" ht="16.25" customHeight="1" x14ac:dyDescent="0.2">
      <c r="A108" s="95" t="s">
        <v>943</v>
      </c>
      <c r="B108" s="96" t="str">
        <f>IF(A108="","",_xlfn.XLOOKUP(A108, Company_List!$A:$A, Company_List!$B:$B, ""))</f>
        <v>COIN</v>
      </c>
      <c r="C108" s="21">
        <v>2025</v>
      </c>
      <c r="D108" s="20" t="s">
        <v>569</v>
      </c>
      <c r="E108" s="19" t="s">
        <v>538</v>
      </c>
      <c r="F108" s="19" t="s">
        <v>538</v>
      </c>
      <c r="G108" s="20" t="s">
        <v>648</v>
      </c>
      <c r="H108" s="20" t="s">
        <v>540</v>
      </c>
      <c r="I108" s="127">
        <v>-0.1</v>
      </c>
      <c r="J108" s="145" t="str">
        <f>IF(OR(I108="",Settings!$B$6=""),"",IF(I108&gt;Settings!$B$6,"BUY",IF(I108&lt;-Settings!$B$6,"SELL","HOLD")))</f>
        <v>HOLD</v>
      </c>
      <c r="K108" s="139">
        <v>42</v>
      </c>
      <c r="L108" s="123">
        <v>46065</v>
      </c>
      <c r="M108" s="123">
        <v>46065</v>
      </c>
      <c r="N108" s="127">
        <v>141.09</v>
      </c>
      <c r="O108" s="123">
        <v>46066</v>
      </c>
      <c r="P108" s="22">
        <v>153.69999999999999</v>
      </c>
      <c r="Q108" s="148">
        <f t="shared" si="21"/>
        <v>8.9399999999999993E-2</v>
      </c>
      <c r="R108" s="20" t="str">
        <f>IF(OR(N108="",P108=""),"",IF(Q108&gt;Settings!$B$3/100,"UP",IF(Q108&lt;-Settings!$B$3/100,"DOWN","FLAT")))</f>
        <v>UP</v>
      </c>
      <c r="S108" s="20" t="str">
        <f t="shared" si="12"/>
        <v>NO</v>
      </c>
      <c r="T108" s="21">
        <f t="shared" si="13"/>
        <v>0</v>
      </c>
      <c r="U108" s="148">
        <f>IFERROR(IF(OR(J108="",N108="",P108=""),"",IF(T108=0,0,T108*Q108-Settings!$B$4/10000-IF(T108&lt;0,Settings!$B$5/10000,0))),"")</f>
        <v>0</v>
      </c>
      <c r="V108" s="23"/>
      <c r="W108" s="21">
        <f t="shared" si="14"/>
        <v>2520</v>
      </c>
      <c r="X108" s="91" t="str">
        <f t="shared" si="15"/>
        <v>Coinbase|2025|Q4</v>
      </c>
      <c r="Y108" s="91" t="str">
        <f>IFERROR(IF($X108="","",INDEX(LLM_Data_Entry!$H$3:$H$548,MATCH($X108,INDEX(LLM_Data_Entry!$A$3:$A$548&amp;"|"&amp;LLM_Data_Entry!$C$3:$C$548&amp;"|"&amp;LLM_Data_Entry!$D$3:$D$548,0),0))),"")</f>
        <v>HOLD</v>
      </c>
      <c r="Z108" s="91" t="str">
        <f>IFERROR(IF($X108="","",INDEX(LLM_Data_Entry!$R$3:$R$548,MATCH($X108,INDEX(LLM_Data_Entry!$A$3:$A$548&amp;"|"&amp;LLM_Data_Entry!$C$3:$C$548&amp;"|"&amp;LLM_Data_Entry!$D$3:$D$548,0),0))),"")</f>
        <v>NO</v>
      </c>
      <c r="AB108" t="s">
        <v>564</v>
      </c>
      <c r="AC108" t="s">
        <v>944</v>
      </c>
      <c r="AD108" t="s">
        <v>677</v>
      </c>
      <c r="AE108">
        <v>141.09</v>
      </c>
      <c r="AF108" t="s">
        <v>923</v>
      </c>
      <c r="AG108">
        <v>153.69999999999999</v>
      </c>
      <c r="AH108">
        <v>8.9375585495090532E-2</v>
      </c>
      <c r="AI108" t="s">
        <v>591</v>
      </c>
      <c r="AJ108" t="s">
        <v>546</v>
      </c>
      <c r="AK108">
        <v>0</v>
      </c>
      <c r="AL108" t="str">
        <f>IF($A108="","",IFERROR(INDEX(Company_List!$G$3:$G$207,MATCH($A108,Company_List!$A$3:$A$207,0)),"unassigned"))</f>
        <v>P2</v>
      </c>
      <c r="AM108" t="s">
        <v>949</v>
      </c>
      <c r="AN108" t="s">
        <v>950</v>
      </c>
      <c r="AO108" t="s">
        <v>560</v>
      </c>
      <c r="AP108" t="str">
        <f>IF($A108="","",IF(COUNTIFS(LLM_Data_Entry!$A$3:$A$548,$A108)&gt;0,"YES","NO"))</f>
        <v>YES</v>
      </c>
      <c r="AQ108" t="str">
        <f>IF($A108="","",IF(COUNTIFS($A$3:$A108,$A108,$C$3:$C108,$C108,$D$3:$D108,$D108)=1,"YES","NO"))</f>
        <v>YES</v>
      </c>
      <c r="AR108" t="str">
        <f>IF($A108="","",IF(AND($C108&amp;"-"&amp;$D108&gt;=Settings!$B$19,$C108&amp;"-"&amp;$D108&lt;=Settings!$B$20),"IN","OUT"))</f>
        <v>IN</v>
      </c>
      <c r="AS108" t="str">
        <f t="shared" si="16"/>
        <v>full</v>
      </c>
      <c r="AT108" t="str">
        <f t="shared" si="17"/>
        <v/>
      </c>
      <c r="AU108" t="str">
        <f t="shared" si="18"/>
        <v/>
      </c>
      <c r="AV108" t="str">
        <f>IF(ISNUMBER($AT108),ABS(IF(ISNUMBER($I108),$I108,0)-Settings!$B$24),"")</f>
        <v/>
      </c>
      <c r="AW108" t="str">
        <f t="shared" si="19"/>
        <v/>
      </c>
      <c r="AX108" t="str">
        <f>IF(ISNUMBER($AU108),ABS(IF(ISNUMBER($I108),$I108,0)-Settings!$B$24),"")</f>
        <v/>
      </c>
      <c r="AY108" t="s">
        <v>549</v>
      </c>
      <c r="AZ108" t="str">
        <f>IF($A108="","",IFERROR(INDEX(Company_List!$H$3:$H$207,MATCH($A108,Company_List!$A$3:$A$207,0)),"unassigned"))</f>
        <v>Financials</v>
      </c>
      <c r="BC108">
        <f>IF($A108="","",IF(COUNTIFS($A$3:$A108,$A108,$C$3:$C108,$C108,$D$3:$D108,$D108,$G$3:$G108,$G108)=1,1,0))</f>
        <v>1</v>
      </c>
      <c r="BG108" t="s">
        <v>550</v>
      </c>
      <c r="BK108">
        <f t="shared" si="20"/>
        <v>1</v>
      </c>
      <c r="BL108" t="s">
        <v>551</v>
      </c>
      <c r="BM108">
        <v>1</v>
      </c>
      <c r="BN108" t="s">
        <v>561</v>
      </c>
      <c r="BO108" t="s">
        <v>561</v>
      </c>
      <c r="BP108" t="s">
        <v>550</v>
      </c>
      <c r="BQ108" t="s">
        <v>562</v>
      </c>
      <c r="BR108" t="s">
        <v>649</v>
      </c>
      <c r="BS108" t="s">
        <v>554</v>
      </c>
    </row>
    <row r="109" spans="1:71" ht="16.25" customHeight="1" x14ac:dyDescent="0.2">
      <c r="A109" s="95" t="s">
        <v>951</v>
      </c>
      <c r="B109" s="96" t="str">
        <f>IF(A109="","",_xlfn.XLOOKUP(A109, Company_List!$A:$A, Company_List!$B:$B, ""))</f>
        <v>LLY</v>
      </c>
      <c r="C109" s="21">
        <v>2026</v>
      </c>
      <c r="D109" s="20" t="s">
        <v>537</v>
      </c>
      <c r="E109" s="19" t="s">
        <v>538</v>
      </c>
      <c r="F109" s="19" t="s">
        <v>538</v>
      </c>
      <c r="G109" s="20" t="s">
        <v>648</v>
      </c>
      <c r="H109" s="20" t="s">
        <v>540</v>
      </c>
      <c r="I109" s="127">
        <v>0.85</v>
      </c>
      <c r="J109" s="145" t="str">
        <f>IF(OR(I109="",Settings!$B$6=""),"",IF(I109&gt;Settings!$B$6,"BUY",IF(I109&lt;-Settings!$B$6,"SELL","HOLD")))</f>
        <v>BUY</v>
      </c>
      <c r="K109" s="139">
        <v>68</v>
      </c>
      <c r="L109" s="123">
        <v>46142</v>
      </c>
      <c r="M109" s="123">
        <v>46141</v>
      </c>
      <c r="N109" s="127">
        <v>851.21</v>
      </c>
      <c r="O109" s="123">
        <v>46142</v>
      </c>
      <c r="P109" s="22">
        <v>898.78</v>
      </c>
      <c r="Q109" s="148">
        <f t="shared" si="21"/>
        <v>5.5899999999999998E-2</v>
      </c>
      <c r="R109" s="20" t="str">
        <f>IF(OR(N109="",P109=""),"",IF(Q109&gt;Settings!$B$3/100,"UP",IF(Q109&lt;-Settings!$B$3/100,"DOWN","FLAT")))</f>
        <v>UP</v>
      </c>
      <c r="S109" s="20" t="str">
        <f t="shared" si="12"/>
        <v>YES</v>
      </c>
      <c r="T109" s="21">
        <f t="shared" si="13"/>
        <v>1</v>
      </c>
      <c r="U109" s="148">
        <f>IFERROR(IF(OR(J109="",N109="",P109=""),"",IF(T109=0,0,T109*Q109-Settings!$B$4/10000-IF(T109&lt;0,Settings!$B$5/10000,0))),"")</f>
        <v>5.4899999999999997E-2</v>
      </c>
      <c r="V109" s="23"/>
      <c r="W109" s="21">
        <f t="shared" si="14"/>
        <v>4080</v>
      </c>
      <c r="X109" s="91" t="str">
        <f t="shared" si="15"/>
        <v>Eli Lilly|2026|Q1</v>
      </c>
      <c r="Y109" s="91" t="str">
        <f>IFERROR(IF($X109="","",INDEX(LLM_Data_Entry!$H$3:$H$548,MATCH($X109,INDEX(LLM_Data_Entry!$A$3:$A$548&amp;"|"&amp;LLM_Data_Entry!$C$3:$C$548&amp;"|"&amp;LLM_Data_Entry!$D$3:$D$548,0),0))),"")</f>
        <v>BUY</v>
      </c>
      <c r="Z109" s="91" t="str">
        <f>IFERROR(IF($X109="","",INDEX(LLM_Data_Entry!$R$3:$R$548,MATCH($X109,INDEX(LLM_Data_Entry!$A$3:$A$548&amp;"|"&amp;LLM_Data_Entry!$C$3:$C$548&amp;"|"&amp;LLM_Data_Entry!$D$3:$D$548,0),0))),"")</f>
        <v>YES</v>
      </c>
      <c r="AB109" t="s">
        <v>564</v>
      </c>
      <c r="AC109" t="s">
        <v>952</v>
      </c>
      <c r="AD109" t="s">
        <v>656</v>
      </c>
      <c r="AE109">
        <v>849.7473</v>
      </c>
      <c r="AF109" t="s">
        <v>657</v>
      </c>
      <c r="AG109">
        <v>897.2355</v>
      </c>
      <c r="AH109">
        <v>5.5885148506473109E-2</v>
      </c>
      <c r="AI109" t="s">
        <v>591</v>
      </c>
      <c r="AJ109" t="s">
        <v>554</v>
      </c>
      <c r="AK109">
        <v>5.4885000000000003E-2</v>
      </c>
      <c r="AL109" t="str">
        <f>IF($A109="","",IFERROR(INDEX(Company_List!$G$3:$G$207,MATCH($A109,Company_List!$A$3:$A$207,0)),"unassigned"))</f>
        <v>P2</v>
      </c>
      <c r="AM109" t="s">
        <v>953</v>
      </c>
      <c r="AN109" t="s">
        <v>954</v>
      </c>
      <c r="AO109" t="s">
        <v>560</v>
      </c>
      <c r="AP109" t="str">
        <f>IF($A109="","",IF(COUNTIFS(LLM_Data_Entry!$A$3:$A$548,$A109)&gt;0,"YES","NO"))</f>
        <v>YES</v>
      </c>
      <c r="AQ109" t="str">
        <f>IF($A109="","",IF(COUNTIFS($A$3:$A109,$A109,$C$3:$C109,$C109,$D$3:$D109,$D109)=1,"YES","NO"))</f>
        <v>YES</v>
      </c>
      <c r="AR109" t="str">
        <f>IF($A109="","",IF(AND($C109&amp;"-"&amp;$D109&gt;=Settings!$B$19,$C109&amp;"-"&amp;$D109&lt;=Settings!$B$20),"IN","OUT"))</f>
        <v>IN</v>
      </c>
      <c r="AS109" t="str">
        <f t="shared" si="16"/>
        <v>full</v>
      </c>
      <c r="AT109">
        <f t="shared" si="17"/>
        <v>5.4899999999999997E-2</v>
      </c>
      <c r="AU109">
        <f t="shared" si="18"/>
        <v>5.4885000000000003E-2</v>
      </c>
      <c r="AV109">
        <f>IF(ISNUMBER($AT109),ABS(IF(ISNUMBER($I109),$I109,0)-Settings!$B$24),"")</f>
        <v>0.85</v>
      </c>
      <c r="AW109">
        <f t="shared" si="19"/>
        <v>4.6664999999999998E-2</v>
      </c>
      <c r="AX109">
        <f>IF(ISNUMBER($AU109),ABS(IF(ISNUMBER($I109),$I109,0)-Settings!$B$24),"")</f>
        <v>0.85</v>
      </c>
      <c r="AY109" t="s">
        <v>549</v>
      </c>
      <c r="AZ109" t="str">
        <f>IF($A109="","",IFERROR(INDEX(Company_List!$H$3:$H$207,MATCH($A109,Company_List!$A$3:$A$207,0)),"unassigned"))</f>
        <v>Health Care</v>
      </c>
      <c r="BC109">
        <f>IF($A109="","",IF(COUNTIFS($A$3:$A109,$A109,$C$3:$C109,$C109,$D$3:$D109,$D109,$G$3:$G109,$G109)=1,1,0))</f>
        <v>1</v>
      </c>
      <c r="BG109" t="s">
        <v>550</v>
      </c>
      <c r="BK109">
        <f t="shared" si="20"/>
        <v>1</v>
      </c>
      <c r="BL109" t="s">
        <v>551</v>
      </c>
      <c r="BM109">
        <v>1</v>
      </c>
      <c r="BN109" t="s">
        <v>561</v>
      </c>
      <c r="BO109" t="s">
        <v>561</v>
      </c>
      <c r="BP109" t="s">
        <v>550</v>
      </c>
      <c r="BQ109" t="s">
        <v>562</v>
      </c>
      <c r="BR109" t="s">
        <v>649</v>
      </c>
      <c r="BS109" t="s">
        <v>554</v>
      </c>
    </row>
    <row r="110" spans="1:71" ht="16.25" customHeight="1" x14ac:dyDescent="0.2">
      <c r="A110" s="95" t="s">
        <v>951</v>
      </c>
      <c r="B110" s="96" t="str">
        <f>IF(A110="","",_xlfn.XLOOKUP(A110, Company_List!$A:$A, Company_List!$B:$B, ""))</f>
        <v>LLY</v>
      </c>
      <c r="C110" s="21">
        <v>2025</v>
      </c>
      <c r="D110" s="20" t="s">
        <v>563</v>
      </c>
      <c r="E110" s="19" t="s">
        <v>538</v>
      </c>
      <c r="F110" s="19" t="s">
        <v>538</v>
      </c>
      <c r="G110" s="20" t="s">
        <v>648</v>
      </c>
      <c r="H110" s="20" t="s">
        <v>540</v>
      </c>
      <c r="I110" s="127">
        <v>-0.35</v>
      </c>
      <c r="J110" s="145" t="str">
        <f>IF(OR(I110="",Settings!$B$6=""),"",IF(I110&gt;Settings!$B$6,"BUY",IF(I110&lt;-Settings!$B$6,"SELL","HOLD")))</f>
        <v>SELL</v>
      </c>
      <c r="K110" s="139">
        <v>61</v>
      </c>
      <c r="L110" s="123">
        <v>45960</v>
      </c>
      <c r="M110" s="123">
        <v>45959</v>
      </c>
      <c r="N110" s="127">
        <v>813.53</v>
      </c>
      <c r="O110" s="123">
        <v>45960</v>
      </c>
      <c r="P110" s="22">
        <v>837.5</v>
      </c>
      <c r="Q110" s="148">
        <f t="shared" si="21"/>
        <v>2.9499999999999998E-2</v>
      </c>
      <c r="R110" s="20" t="str">
        <f>IF(OR(N110="",P110=""),"",IF(Q110&gt;Settings!$B$3/100,"UP",IF(Q110&lt;-Settings!$B$3/100,"DOWN","FLAT")))</f>
        <v>UP</v>
      </c>
      <c r="S110" s="20" t="str">
        <f t="shared" si="12"/>
        <v>NO</v>
      </c>
      <c r="T110" s="21">
        <f t="shared" si="13"/>
        <v>-1</v>
      </c>
      <c r="U110" s="148">
        <f>IFERROR(IF(OR(J110="",N110="",P110=""),"",IF(T110=0,0,T110*Q110-Settings!$B$4/10000-IF(T110&lt;0,Settings!$B$5/10000,0))),"")</f>
        <v>-3.0499999999999999E-2</v>
      </c>
      <c r="V110" s="23"/>
      <c r="W110" s="21">
        <f t="shared" si="14"/>
        <v>3660</v>
      </c>
      <c r="X110" s="91" t="str">
        <f t="shared" si="15"/>
        <v>Eli Lilly|2025|Q3</v>
      </c>
      <c r="Y110" s="91" t="str">
        <f>IFERROR(IF($X110="","",INDEX(LLM_Data_Entry!$H$3:$H$548,MATCH($X110,INDEX(LLM_Data_Entry!$A$3:$A$548&amp;"|"&amp;LLM_Data_Entry!$C$3:$C$548&amp;"|"&amp;LLM_Data_Entry!$D$3:$D$548,0),0))),"")</f>
        <v>BUY</v>
      </c>
      <c r="Z110" s="91" t="str">
        <f>IFERROR(IF($X110="","",INDEX(LLM_Data_Entry!$R$3:$R$548,MATCH($X110,INDEX(LLM_Data_Entry!$A$3:$A$548&amp;"|"&amp;LLM_Data_Entry!$C$3:$C$548&amp;"|"&amp;LLM_Data_Entry!$D$3:$D$548,0),0))),"")</f>
        <v>YES</v>
      </c>
      <c r="AB110" t="s">
        <v>564</v>
      </c>
      <c r="AC110" t="s">
        <v>952</v>
      </c>
      <c r="AD110" t="s">
        <v>626</v>
      </c>
      <c r="AE110">
        <v>809.58979999999997</v>
      </c>
      <c r="AF110" t="s">
        <v>660</v>
      </c>
      <c r="AG110">
        <v>833.44370000000004</v>
      </c>
      <c r="AH110">
        <v>2.9464116471386179E-2</v>
      </c>
      <c r="AI110" t="s">
        <v>591</v>
      </c>
      <c r="AJ110" t="s">
        <v>546</v>
      </c>
      <c r="AK110">
        <v>-3.0464000000000001E-2</v>
      </c>
      <c r="AL110" t="str">
        <f>IF($A110="","",IFERROR(INDEX(Company_List!$G$3:$G$207,MATCH($A110,Company_List!$A$3:$A$207,0)),"unassigned"))</f>
        <v>P2</v>
      </c>
      <c r="AM110" t="s">
        <v>955</v>
      </c>
      <c r="AN110" t="s">
        <v>956</v>
      </c>
      <c r="AO110" t="s">
        <v>560</v>
      </c>
      <c r="AP110" t="str">
        <f>IF($A110="","",IF(COUNTIFS(LLM_Data_Entry!$A$3:$A$548,$A110)&gt;0,"YES","NO"))</f>
        <v>YES</v>
      </c>
      <c r="AQ110" t="str">
        <f>IF($A110="","",IF(COUNTIFS($A$3:$A110,$A110,$C$3:$C110,$C110,$D$3:$D110,$D110)=1,"YES","NO"))</f>
        <v>YES</v>
      </c>
      <c r="AR110" t="str">
        <f>IF($A110="","",IF(AND($C110&amp;"-"&amp;$D110&gt;=Settings!$B$19,$C110&amp;"-"&amp;$D110&lt;=Settings!$B$20),"IN","OUT"))</f>
        <v>IN</v>
      </c>
      <c r="AS110" t="str">
        <f t="shared" si="16"/>
        <v>full</v>
      </c>
      <c r="AT110">
        <f t="shared" si="17"/>
        <v>-3.0499999999999999E-2</v>
      </c>
      <c r="AU110">
        <f t="shared" si="18"/>
        <v>-3.0464000000000001E-2</v>
      </c>
      <c r="AV110">
        <f>IF(ISNUMBER($AT110),ABS(IF(ISNUMBER($I110),$I110,0)-Settings!$B$24),"")</f>
        <v>0.35</v>
      </c>
      <c r="AW110">
        <f t="shared" si="19"/>
        <v>-1.0674999999999999E-2</v>
      </c>
      <c r="AX110">
        <f>IF(ISNUMBER($AU110),ABS(IF(ISNUMBER($I110),$I110,0)-Settings!$B$24),"")</f>
        <v>0.35</v>
      </c>
      <c r="AY110" t="s">
        <v>549</v>
      </c>
      <c r="AZ110" t="str">
        <f>IF($A110="","",IFERROR(INDEX(Company_List!$H$3:$H$207,MATCH($A110,Company_List!$A$3:$A$207,0)),"unassigned"))</f>
        <v>Health Care</v>
      </c>
      <c r="BC110">
        <f>IF($A110="","",IF(COUNTIFS($A$3:$A110,$A110,$C$3:$C110,$C110,$D$3:$D110,$D110,$G$3:$G110,$G110)=1,1,0))</f>
        <v>1</v>
      </c>
      <c r="BG110" t="s">
        <v>550</v>
      </c>
      <c r="BK110">
        <f t="shared" si="20"/>
        <v>0</v>
      </c>
      <c r="BL110" t="s">
        <v>551</v>
      </c>
      <c r="BM110">
        <v>1</v>
      </c>
      <c r="BN110" t="s">
        <v>561</v>
      </c>
      <c r="BO110" t="s">
        <v>561</v>
      </c>
      <c r="BP110" t="s">
        <v>550</v>
      </c>
      <c r="BQ110" t="s">
        <v>562</v>
      </c>
      <c r="BR110" t="s">
        <v>649</v>
      </c>
      <c r="BS110" t="s">
        <v>554</v>
      </c>
    </row>
    <row r="111" spans="1:71" ht="16.25" customHeight="1" x14ac:dyDescent="0.2">
      <c r="A111" s="95" t="s">
        <v>951</v>
      </c>
      <c r="B111" s="96" t="str">
        <f>IF(A111="","",_xlfn.XLOOKUP(A111, Company_List!$A:$A, Company_List!$B:$B, ""))</f>
        <v>LLY</v>
      </c>
      <c r="C111" s="21">
        <v>2025</v>
      </c>
      <c r="D111" s="20" t="s">
        <v>569</v>
      </c>
      <c r="E111" s="19" t="s">
        <v>538</v>
      </c>
      <c r="F111" s="19" t="s">
        <v>538</v>
      </c>
      <c r="G111" s="20" t="s">
        <v>648</v>
      </c>
      <c r="H111" s="20" t="s">
        <v>540</v>
      </c>
      <c r="I111" s="127">
        <v>0.8</v>
      </c>
      <c r="J111" s="145" t="str">
        <f>IF(OR(I111="",Settings!$B$6=""),"",IF(I111&gt;Settings!$B$6,"BUY",IF(I111&lt;-Settings!$B$6,"SELL","HOLD")))</f>
        <v>BUY</v>
      </c>
      <c r="K111" s="139">
        <v>57</v>
      </c>
      <c r="L111" s="123">
        <v>46057</v>
      </c>
      <c r="M111" s="123">
        <v>46056</v>
      </c>
      <c r="N111" s="127">
        <v>1003.46</v>
      </c>
      <c r="O111" s="123">
        <v>46057</v>
      </c>
      <c r="P111" s="22">
        <v>1075.1199999999999</v>
      </c>
      <c r="Q111" s="148">
        <f t="shared" si="21"/>
        <v>7.1400000000000005E-2</v>
      </c>
      <c r="R111" s="20" t="str">
        <f>IF(OR(N111="",P111=""),"",IF(Q111&gt;Settings!$B$3/100,"UP",IF(Q111&lt;-Settings!$B$3/100,"DOWN","FLAT")))</f>
        <v>UP</v>
      </c>
      <c r="S111" s="20" t="str">
        <f t="shared" si="12"/>
        <v>YES</v>
      </c>
      <c r="T111" s="21">
        <f t="shared" si="13"/>
        <v>1</v>
      </c>
      <c r="U111" s="148">
        <f>IFERROR(IF(OR(J111="",N111="",P111=""),"",IF(T111=0,0,T111*Q111-Settings!$B$4/10000-IF(T111&lt;0,Settings!$B$5/10000,0))),"")</f>
        <v>7.0400000000000004E-2</v>
      </c>
      <c r="V111" s="23"/>
      <c r="W111" s="21">
        <f t="shared" si="14"/>
        <v>3420</v>
      </c>
      <c r="X111" s="91" t="str">
        <f t="shared" si="15"/>
        <v>Eli Lilly|2025|Q4</v>
      </c>
      <c r="Y111" s="91" t="str">
        <f>IFERROR(IF($X111="","",INDEX(LLM_Data_Entry!$H$3:$H$548,MATCH($X111,INDEX(LLM_Data_Entry!$A$3:$A$548&amp;"|"&amp;LLM_Data_Entry!$C$3:$C$548&amp;"|"&amp;LLM_Data_Entry!$D$3:$D$548,0),0))),"")</f>
        <v>BUY</v>
      </c>
      <c r="Z111" s="91" t="str">
        <f>IFERROR(IF($X111="","",INDEX(LLM_Data_Entry!$R$3:$R$548,MATCH($X111,INDEX(LLM_Data_Entry!$A$3:$A$548&amp;"|"&amp;LLM_Data_Entry!$C$3:$C$548&amp;"|"&amp;LLM_Data_Entry!$D$3:$D$548,0),0))),"")</f>
        <v>YES</v>
      </c>
      <c r="AB111" t="s">
        <v>564</v>
      </c>
      <c r="AC111" t="s">
        <v>952</v>
      </c>
      <c r="AD111" t="s">
        <v>736</v>
      </c>
      <c r="AE111">
        <v>1000.0665</v>
      </c>
      <c r="AF111" t="s">
        <v>737</v>
      </c>
      <c r="AG111">
        <v>1071.4840999999999</v>
      </c>
      <c r="AH111">
        <v>7.1412860388890456E-2</v>
      </c>
      <c r="AI111" t="s">
        <v>591</v>
      </c>
      <c r="AJ111" t="s">
        <v>554</v>
      </c>
      <c r="AK111">
        <v>7.0413000000000003E-2</v>
      </c>
      <c r="AL111" t="str">
        <f>IF($A111="","",IFERROR(INDEX(Company_List!$G$3:$G$207,MATCH($A111,Company_List!$A$3:$A$207,0)),"unassigned"))</f>
        <v>P2</v>
      </c>
      <c r="AM111" t="s">
        <v>957</v>
      </c>
      <c r="AN111" t="s">
        <v>958</v>
      </c>
      <c r="AO111" t="s">
        <v>560</v>
      </c>
      <c r="AP111" t="str">
        <f>IF($A111="","",IF(COUNTIFS(LLM_Data_Entry!$A$3:$A$548,$A111)&gt;0,"YES","NO"))</f>
        <v>YES</v>
      </c>
      <c r="AQ111" t="str">
        <f>IF($A111="","",IF(COUNTIFS($A$3:$A111,$A111,$C$3:$C111,$C111,$D$3:$D111,$D111)=1,"YES","NO"))</f>
        <v>YES</v>
      </c>
      <c r="AR111" t="str">
        <f>IF($A111="","",IF(AND($C111&amp;"-"&amp;$D111&gt;=Settings!$B$19,$C111&amp;"-"&amp;$D111&lt;=Settings!$B$20),"IN","OUT"))</f>
        <v>IN</v>
      </c>
      <c r="AS111" t="str">
        <f t="shared" si="16"/>
        <v>full</v>
      </c>
      <c r="AT111">
        <f t="shared" si="17"/>
        <v>7.0400000000000004E-2</v>
      </c>
      <c r="AU111">
        <f t="shared" si="18"/>
        <v>7.0413000000000003E-2</v>
      </c>
      <c r="AV111">
        <f>IF(ISNUMBER($AT111),ABS(IF(ISNUMBER($I111),$I111,0)-Settings!$B$24),"")</f>
        <v>0.8</v>
      </c>
      <c r="AW111">
        <f t="shared" si="19"/>
        <v>5.6320000000000009E-2</v>
      </c>
      <c r="AX111">
        <f>IF(ISNUMBER($AU111),ABS(IF(ISNUMBER($I111),$I111,0)-Settings!$B$24),"")</f>
        <v>0.8</v>
      </c>
      <c r="AY111" t="s">
        <v>549</v>
      </c>
      <c r="AZ111" t="str">
        <f>IF($A111="","",IFERROR(INDEX(Company_List!$H$3:$H$207,MATCH($A111,Company_List!$A$3:$A$207,0)),"unassigned"))</f>
        <v>Health Care</v>
      </c>
      <c r="BC111">
        <f>IF($A111="","",IF(COUNTIFS($A$3:$A111,$A111,$C$3:$C111,$C111,$D$3:$D111,$D111,$G$3:$G111,$G111)=1,1,0))</f>
        <v>1</v>
      </c>
      <c r="BG111" t="s">
        <v>550</v>
      </c>
      <c r="BK111">
        <f t="shared" si="20"/>
        <v>1</v>
      </c>
      <c r="BL111" t="s">
        <v>551</v>
      </c>
      <c r="BM111">
        <v>1</v>
      </c>
      <c r="BN111" t="s">
        <v>561</v>
      </c>
      <c r="BO111" t="s">
        <v>561</v>
      </c>
      <c r="BP111" t="s">
        <v>550</v>
      </c>
      <c r="BQ111" t="s">
        <v>562</v>
      </c>
      <c r="BR111" t="s">
        <v>649</v>
      </c>
      <c r="BS111" t="s">
        <v>554</v>
      </c>
    </row>
    <row r="112" spans="1:71" ht="16.25" customHeight="1" x14ac:dyDescent="0.2">
      <c r="A112" s="95" t="s">
        <v>959</v>
      </c>
      <c r="B112" s="96" t="str">
        <f>IF(A112="","",_xlfn.XLOOKUP(A112, Company_List!$A:$A, Company_List!$B:$B, ""))</f>
        <v>META</v>
      </c>
      <c r="C112" s="21">
        <v>2026</v>
      </c>
      <c r="D112" s="20" t="s">
        <v>537</v>
      </c>
      <c r="E112" s="19" t="s">
        <v>538</v>
      </c>
      <c r="F112" s="19" t="s">
        <v>538</v>
      </c>
      <c r="G112" s="20" t="s">
        <v>648</v>
      </c>
      <c r="H112" s="20" t="s">
        <v>540</v>
      </c>
      <c r="I112" s="127">
        <v>0.7</v>
      </c>
      <c r="J112" s="145" t="str">
        <f>IF(OR(I112="",Settings!$B$6=""),"",IF(I112&gt;Settings!$B$6,"BUY",IF(I112&lt;-Settings!$B$6,"SELL","HOLD")))</f>
        <v>BUY</v>
      </c>
      <c r="K112" s="139">
        <v>46</v>
      </c>
      <c r="L112" s="123">
        <v>46141</v>
      </c>
      <c r="M112" s="123">
        <v>46141</v>
      </c>
      <c r="N112" s="127">
        <v>669.12</v>
      </c>
      <c r="O112" s="123">
        <v>46142</v>
      </c>
      <c r="P112" s="22">
        <v>619.32000000000005</v>
      </c>
      <c r="Q112" s="148">
        <f t="shared" si="21"/>
        <v>-7.4399999999999994E-2</v>
      </c>
      <c r="R112" s="20" t="str">
        <f>IF(OR(N112="",P112=""),"",IF(Q112&gt;Settings!$B$3/100,"UP",IF(Q112&lt;-Settings!$B$3/100,"DOWN","FLAT")))</f>
        <v>DOWN</v>
      </c>
      <c r="S112" s="20" t="str">
        <f t="shared" si="12"/>
        <v>NO</v>
      </c>
      <c r="T112" s="21">
        <f t="shared" si="13"/>
        <v>1</v>
      </c>
      <c r="U112" s="148">
        <f>IFERROR(IF(OR(J112="",N112="",P112=""),"",IF(T112=0,0,T112*Q112-Settings!$B$4/10000-IF(T112&lt;0,Settings!$B$5/10000,0))),"")</f>
        <v>-7.5399999999999995E-2</v>
      </c>
      <c r="V112" s="23"/>
      <c r="W112" s="21">
        <f t="shared" si="14"/>
        <v>2760</v>
      </c>
      <c r="X112" s="91" t="str">
        <f t="shared" si="15"/>
        <v>Meta|2026|Q1</v>
      </c>
      <c r="Y112" s="91" t="str">
        <f>IFERROR(IF($X112="","",INDEX(LLM_Data_Entry!$H$3:$H$548,MATCH($X112,INDEX(LLM_Data_Entry!$A$3:$A$548&amp;"|"&amp;LLM_Data_Entry!$C$3:$C$548&amp;"|"&amp;LLM_Data_Entry!$D$3:$D$548,0),0))),"")</f>
        <v>SELL</v>
      </c>
      <c r="Z112" s="91" t="str">
        <f>IFERROR(IF($X112="","",INDEX(LLM_Data_Entry!$R$3:$R$548,MATCH($X112,INDEX(LLM_Data_Entry!$A$3:$A$548&amp;"|"&amp;LLM_Data_Entry!$C$3:$C$548&amp;"|"&amp;LLM_Data_Entry!$D$3:$D$548,0),0))),"")</f>
        <v>YES</v>
      </c>
      <c r="AB112" t="s">
        <v>564</v>
      </c>
      <c r="AC112" t="s">
        <v>960</v>
      </c>
      <c r="AD112" t="s">
        <v>656</v>
      </c>
      <c r="AE112">
        <v>668.50040000000001</v>
      </c>
      <c r="AF112" t="s">
        <v>657</v>
      </c>
      <c r="AG112">
        <v>618.74659999999994</v>
      </c>
      <c r="AH112">
        <v>-7.442608591111155E-2</v>
      </c>
      <c r="AI112" t="s">
        <v>545</v>
      </c>
      <c r="AJ112" t="s">
        <v>546</v>
      </c>
      <c r="AK112">
        <v>-7.5426000000000007E-2</v>
      </c>
      <c r="AL112" t="str">
        <f>IF($A112="","",IFERROR(INDEX(Company_List!$G$3:$G$207,MATCH($A112,Company_List!$A$3:$A$207,0)),"unassigned"))</f>
        <v>P2</v>
      </c>
      <c r="AM112" t="s">
        <v>961</v>
      </c>
      <c r="AN112" t="s">
        <v>962</v>
      </c>
      <c r="AO112" t="s">
        <v>560</v>
      </c>
      <c r="AP112" t="str">
        <f>IF($A112="","",IF(COUNTIFS(LLM_Data_Entry!$A$3:$A$548,$A112)&gt;0,"YES","NO"))</f>
        <v>YES</v>
      </c>
      <c r="AQ112" t="str">
        <f>IF($A112="","",IF(COUNTIFS($A$3:$A112,$A112,$C$3:$C112,$C112,$D$3:$D112,$D112)=1,"YES","NO"))</f>
        <v>YES</v>
      </c>
      <c r="AR112" t="str">
        <f>IF($A112="","",IF(AND($C112&amp;"-"&amp;$D112&gt;=Settings!$B$19,$C112&amp;"-"&amp;$D112&lt;=Settings!$B$20),"IN","OUT"))</f>
        <v>IN</v>
      </c>
      <c r="AS112" t="str">
        <f t="shared" si="16"/>
        <v>full</v>
      </c>
      <c r="AT112">
        <f t="shared" si="17"/>
        <v>-7.5399999999999995E-2</v>
      </c>
      <c r="AU112">
        <f t="shared" si="18"/>
        <v>-7.5426000000000007E-2</v>
      </c>
      <c r="AV112">
        <f>IF(ISNUMBER($AT112),ABS(IF(ISNUMBER($I112),$I112,0)-Settings!$B$24),"")</f>
        <v>0.7</v>
      </c>
      <c r="AW112">
        <f t="shared" si="19"/>
        <v>-5.2779999999999994E-2</v>
      </c>
      <c r="AX112">
        <f>IF(ISNUMBER($AU112),ABS(IF(ISNUMBER($I112),$I112,0)-Settings!$B$24),"")</f>
        <v>0.7</v>
      </c>
      <c r="AY112" t="s">
        <v>549</v>
      </c>
      <c r="AZ112" t="str">
        <f>IF($A112="","",IFERROR(INDEX(Company_List!$H$3:$H$207,MATCH($A112,Company_List!$A$3:$A$207,0)),"unassigned"))</f>
        <v>Communication Services</v>
      </c>
      <c r="BC112">
        <f>IF($A112="","",IF(COUNTIFS($A$3:$A112,$A112,$C$3:$C112,$C112,$D$3:$D112,$D112,$G$3:$G112,$G112)=1,1,0))</f>
        <v>1</v>
      </c>
      <c r="BG112" t="s">
        <v>550</v>
      </c>
      <c r="BK112">
        <f t="shared" si="20"/>
        <v>0</v>
      </c>
      <c r="BL112" t="s">
        <v>551</v>
      </c>
      <c r="BM112">
        <v>1</v>
      </c>
      <c r="BN112" t="s">
        <v>561</v>
      </c>
      <c r="BO112" t="s">
        <v>561</v>
      </c>
      <c r="BP112" t="s">
        <v>550</v>
      </c>
      <c r="BQ112" t="s">
        <v>562</v>
      </c>
      <c r="BR112" t="s">
        <v>649</v>
      </c>
      <c r="BS112" t="s">
        <v>554</v>
      </c>
    </row>
    <row r="113" spans="1:71" ht="16.25" customHeight="1" x14ac:dyDescent="0.2">
      <c r="A113" s="95" t="s">
        <v>959</v>
      </c>
      <c r="B113" s="96" t="str">
        <f>IF(A113="","",_xlfn.XLOOKUP(A113, Company_List!$A:$A, Company_List!$B:$B, ""))</f>
        <v>META</v>
      </c>
      <c r="C113" s="21">
        <v>2025</v>
      </c>
      <c r="D113" s="20" t="s">
        <v>563</v>
      </c>
      <c r="E113" s="19" t="s">
        <v>538</v>
      </c>
      <c r="F113" s="19" t="s">
        <v>538</v>
      </c>
      <c r="G113" s="20" t="s">
        <v>648</v>
      </c>
      <c r="H113" s="20" t="s">
        <v>540</v>
      </c>
      <c r="I113" s="127">
        <v>0.45</v>
      </c>
      <c r="J113" s="145" t="str">
        <f>IF(OR(I113="",Settings!$B$6=""),"",IF(I113&gt;Settings!$B$6,"BUY",IF(I113&lt;-Settings!$B$6,"SELL","HOLD")))</f>
        <v>BUY</v>
      </c>
      <c r="K113" s="139">
        <v>53</v>
      </c>
      <c r="L113" s="123">
        <v>45959</v>
      </c>
      <c r="M113" s="123">
        <v>45959</v>
      </c>
      <c r="N113" s="127">
        <v>751.67</v>
      </c>
      <c r="O113" s="123">
        <v>45960</v>
      </c>
      <c r="P113" s="22">
        <v>669.15</v>
      </c>
      <c r="Q113" s="148">
        <f t="shared" si="21"/>
        <v>-0.10979999999999999</v>
      </c>
      <c r="R113" s="20" t="str">
        <f>IF(OR(N113="",P113=""),"",IF(Q113&gt;Settings!$B$3/100,"UP",IF(Q113&lt;-Settings!$B$3/100,"DOWN","FLAT")))</f>
        <v>DOWN</v>
      </c>
      <c r="S113" s="20" t="str">
        <f t="shared" si="12"/>
        <v>NO</v>
      </c>
      <c r="T113" s="21">
        <f t="shared" si="13"/>
        <v>1</v>
      </c>
      <c r="U113" s="148">
        <f>IFERROR(IF(OR(J113="",N113="",P113=""),"",IF(T113=0,0,T113*Q113-Settings!$B$4/10000-IF(T113&lt;0,Settings!$B$5/10000,0))),"")</f>
        <v>-0.1108</v>
      </c>
      <c r="V113" s="23"/>
      <c r="W113" s="21">
        <f t="shared" si="14"/>
        <v>3180</v>
      </c>
      <c r="X113" s="91" t="str">
        <f t="shared" si="15"/>
        <v>Meta|2025|Q3</v>
      </c>
      <c r="Y113" s="91" t="str">
        <f>IFERROR(IF($X113="","",INDEX(LLM_Data_Entry!$H$3:$H$548,MATCH($X113,INDEX(LLM_Data_Entry!$A$3:$A$548&amp;"|"&amp;LLM_Data_Entry!$C$3:$C$548&amp;"|"&amp;LLM_Data_Entry!$D$3:$D$548,0),0))),"")</f>
        <v>SELL</v>
      </c>
      <c r="Z113" s="91" t="str">
        <f>IFERROR(IF($X113="","",INDEX(LLM_Data_Entry!$R$3:$R$548,MATCH($X113,INDEX(LLM_Data_Entry!$A$3:$A$548&amp;"|"&amp;LLM_Data_Entry!$C$3:$C$548&amp;"|"&amp;LLM_Data_Entry!$D$3:$D$548,0),0))),"")</f>
        <v>YES</v>
      </c>
      <c r="AB113" t="s">
        <v>564</v>
      </c>
      <c r="AC113" t="s">
        <v>960</v>
      </c>
      <c r="AD113" t="s">
        <v>626</v>
      </c>
      <c r="AE113">
        <v>749.7201</v>
      </c>
      <c r="AF113" t="s">
        <v>660</v>
      </c>
      <c r="AG113">
        <v>667.41420000000005</v>
      </c>
      <c r="AH113">
        <v>-0.1097821761251839</v>
      </c>
      <c r="AI113" t="s">
        <v>545</v>
      </c>
      <c r="AJ113" t="s">
        <v>546</v>
      </c>
      <c r="AK113">
        <v>-0.11078200000000001</v>
      </c>
      <c r="AL113" t="str">
        <f>IF($A113="","",IFERROR(INDEX(Company_List!$G$3:$G$207,MATCH($A113,Company_List!$A$3:$A$207,0)),"unassigned"))</f>
        <v>P2</v>
      </c>
      <c r="AM113" t="s">
        <v>963</v>
      </c>
      <c r="AN113" t="s">
        <v>964</v>
      </c>
      <c r="AO113" t="s">
        <v>560</v>
      </c>
      <c r="AP113" t="str">
        <f>IF($A113="","",IF(COUNTIFS(LLM_Data_Entry!$A$3:$A$548,$A113)&gt;0,"YES","NO"))</f>
        <v>YES</v>
      </c>
      <c r="AQ113" t="str">
        <f>IF($A113="","",IF(COUNTIFS($A$3:$A113,$A113,$C$3:$C113,$C113,$D$3:$D113,$D113)=1,"YES","NO"))</f>
        <v>YES</v>
      </c>
      <c r="AR113" t="str">
        <f>IF($A113="","",IF(AND($C113&amp;"-"&amp;$D113&gt;=Settings!$B$19,$C113&amp;"-"&amp;$D113&lt;=Settings!$B$20),"IN","OUT"))</f>
        <v>IN</v>
      </c>
      <c r="AS113" t="str">
        <f t="shared" si="16"/>
        <v>full</v>
      </c>
      <c r="AT113">
        <f t="shared" si="17"/>
        <v>-0.1108</v>
      </c>
      <c r="AU113">
        <f t="shared" si="18"/>
        <v>-0.11078200000000001</v>
      </c>
      <c r="AV113">
        <f>IF(ISNUMBER($AT113),ABS(IF(ISNUMBER($I113),$I113,0)-Settings!$B$24),"")</f>
        <v>0.45</v>
      </c>
      <c r="AW113">
        <f t="shared" si="19"/>
        <v>-4.9860000000000002E-2</v>
      </c>
      <c r="AX113">
        <f>IF(ISNUMBER($AU113),ABS(IF(ISNUMBER($I113),$I113,0)-Settings!$B$24),"")</f>
        <v>0.45</v>
      </c>
      <c r="AY113" t="s">
        <v>549</v>
      </c>
      <c r="AZ113" t="str">
        <f>IF($A113="","",IFERROR(INDEX(Company_List!$H$3:$H$207,MATCH($A113,Company_List!$A$3:$A$207,0)),"unassigned"))</f>
        <v>Communication Services</v>
      </c>
      <c r="BC113">
        <f>IF($A113="","",IF(COUNTIFS($A$3:$A113,$A113,$C$3:$C113,$C113,$D$3:$D113,$D113,$G$3:$G113,$G113)=1,1,0))</f>
        <v>1</v>
      </c>
      <c r="BG113" t="s">
        <v>550</v>
      </c>
      <c r="BK113">
        <f t="shared" si="20"/>
        <v>0</v>
      </c>
      <c r="BL113" t="s">
        <v>551</v>
      </c>
      <c r="BM113">
        <v>1</v>
      </c>
      <c r="BN113" t="s">
        <v>561</v>
      </c>
      <c r="BO113" t="s">
        <v>561</v>
      </c>
      <c r="BP113" t="s">
        <v>550</v>
      </c>
      <c r="BQ113" t="s">
        <v>562</v>
      </c>
      <c r="BR113" t="s">
        <v>649</v>
      </c>
      <c r="BS113" t="s">
        <v>554</v>
      </c>
    </row>
    <row r="114" spans="1:71" ht="16.25" customHeight="1" x14ac:dyDescent="0.2">
      <c r="A114" s="95" t="s">
        <v>959</v>
      </c>
      <c r="B114" s="96" t="str">
        <f>IF(A114="","",_xlfn.XLOOKUP(A114, Company_List!$A:$A, Company_List!$B:$B, ""))</f>
        <v>META</v>
      </c>
      <c r="C114" s="21">
        <v>2025</v>
      </c>
      <c r="D114" s="20" t="s">
        <v>569</v>
      </c>
      <c r="E114" s="19" t="s">
        <v>538</v>
      </c>
      <c r="F114" s="19" t="s">
        <v>538</v>
      </c>
      <c r="G114" s="20" t="s">
        <v>648</v>
      </c>
      <c r="H114" s="20" t="s">
        <v>540</v>
      </c>
      <c r="I114" s="127">
        <v>0.5</v>
      </c>
      <c r="J114" s="145" t="str">
        <f>IF(OR(I114="",Settings!$B$6=""),"",IF(I114&gt;Settings!$B$6,"BUY",IF(I114&lt;-Settings!$B$6,"SELL","HOLD")))</f>
        <v>BUY</v>
      </c>
      <c r="K114" s="139">
        <v>65</v>
      </c>
      <c r="L114" s="123">
        <v>46050</v>
      </c>
      <c r="M114" s="123">
        <v>46050</v>
      </c>
      <c r="N114" s="127">
        <v>668.73</v>
      </c>
      <c r="O114" s="123">
        <v>46051</v>
      </c>
      <c r="P114" s="22">
        <v>737.43</v>
      </c>
      <c r="Q114" s="148">
        <f t="shared" si="21"/>
        <v>0.1027</v>
      </c>
      <c r="R114" s="20" t="str">
        <f>IF(OR(N114="",P114=""),"",IF(Q114&gt;Settings!$B$3/100,"UP",IF(Q114&lt;-Settings!$B$3/100,"DOWN","FLAT")))</f>
        <v>UP</v>
      </c>
      <c r="S114" s="20" t="str">
        <f t="shared" si="12"/>
        <v>YES</v>
      </c>
      <c r="T114" s="21">
        <f t="shared" si="13"/>
        <v>1</v>
      </c>
      <c r="U114" s="148">
        <f>IFERROR(IF(OR(J114="",N114="",P114=""),"",IF(T114=0,0,T114*Q114-Settings!$B$4/10000-IF(T114&lt;0,Settings!$B$5/10000,0))),"")</f>
        <v>0.1017</v>
      </c>
      <c r="V114" s="23"/>
      <c r="W114" s="21">
        <f t="shared" si="14"/>
        <v>3900</v>
      </c>
      <c r="X114" s="91" t="str">
        <f t="shared" si="15"/>
        <v>Meta|2025|Q4</v>
      </c>
      <c r="Y114" s="91" t="str">
        <f>IFERROR(IF($X114="","",INDEX(LLM_Data_Entry!$H$3:$H$548,MATCH($X114,INDEX(LLM_Data_Entry!$A$3:$A$548&amp;"|"&amp;LLM_Data_Entry!$C$3:$C$548&amp;"|"&amp;LLM_Data_Entry!$D$3:$D$548,0),0))),"")</f>
        <v>BUY</v>
      </c>
      <c r="Z114" s="91" t="str">
        <f>IFERROR(IF($X114="","",INDEX(LLM_Data_Entry!$R$3:$R$548,MATCH($X114,INDEX(LLM_Data_Entry!$A$3:$A$548&amp;"|"&amp;LLM_Data_Entry!$C$3:$C$548&amp;"|"&amp;LLM_Data_Entry!$D$3:$D$548,0),0))),"")</f>
        <v>YES</v>
      </c>
      <c r="AB114" t="s">
        <v>564</v>
      </c>
      <c r="AC114" t="s">
        <v>960</v>
      </c>
      <c r="AD114" t="s">
        <v>776</v>
      </c>
      <c r="AE114">
        <v>667.53920000000005</v>
      </c>
      <c r="AF114" t="s">
        <v>694</v>
      </c>
      <c r="AG114">
        <v>736.11689999999999</v>
      </c>
      <c r="AH114">
        <v>0.102732153378451</v>
      </c>
      <c r="AI114" t="s">
        <v>591</v>
      </c>
      <c r="AJ114" t="s">
        <v>554</v>
      </c>
      <c r="AK114">
        <v>0.101732</v>
      </c>
      <c r="AL114" t="str">
        <f>IF($A114="","",IFERROR(INDEX(Company_List!$G$3:$G$207,MATCH($A114,Company_List!$A$3:$A$207,0)),"unassigned"))</f>
        <v>P2</v>
      </c>
      <c r="AM114" t="s">
        <v>965</v>
      </c>
      <c r="AN114" t="s">
        <v>966</v>
      </c>
      <c r="AO114" t="s">
        <v>560</v>
      </c>
      <c r="AP114" t="str">
        <f>IF($A114="","",IF(COUNTIFS(LLM_Data_Entry!$A$3:$A$548,$A114)&gt;0,"YES","NO"))</f>
        <v>YES</v>
      </c>
      <c r="AQ114" t="str">
        <f>IF($A114="","",IF(COUNTIFS($A$3:$A114,$A114,$C$3:$C114,$C114,$D$3:$D114,$D114)=1,"YES","NO"))</f>
        <v>YES</v>
      </c>
      <c r="AR114" t="str">
        <f>IF($A114="","",IF(AND($C114&amp;"-"&amp;$D114&gt;=Settings!$B$19,$C114&amp;"-"&amp;$D114&lt;=Settings!$B$20),"IN","OUT"))</f>
        <v>IN</v>
      </c>
      <c r="AS114" t="str">
        <f t="shared" si="16"/>
        <v>full</v>
      </c>
      <c r="AT114">
        <f t="shared" si="17"/>
        <v>0.1017</v>
      </c>
      <c r="AU114">
        <f t="shared" si="18"/>
        <v>0.101732</v>
      </c>
      <c r="AV114">
        <f>IF(ISNUMBER($AT114),ABS(IF(ISNUMBER($I114),$I114,0)-Settings!$B$24),"")</f>
        <v>0.5</v>
      </c>
      <c r="AW114">
        <f t="shared" si="19"/>
        <v>5.0849999999999999E-2</v>
      </c>
      <c r="AX114">
        <f>IF(ISNUMBER($AU114),ABS(IF(ISNUMBER($I114),$I114,0)-Settings!$B$24),"")</f>
        <v>0.5</v>
      </c>
      <c r="AY114" t="s">
        <v>549</v>
      </c>
      <c r="AZ114" t="str">
        <f>IF($A114="","",IFERROR(INDEX(Company_List!$H$3:$H$207,MATCH($A114,Company_List!$A$3:$A$207,0)),"unassigned"))</f>
        <v>Communication Services</v>
      </c>
      <c r="BC114">
        <f>IF($A114="","",IF(COUNTIFS($A$3:$A114,$A114,$C$3:$C114,$C114,$D$3:$D114,$D114,$G$3:$G114,$G114)=1,1,0))</f>
        <v>1</v>
      </c>
      <c r="BG114" t="s">
        <v>550</v>
      </c>
      <c r="BK114">
        <f t="shared" si="20"/>
        <v>1</v>
      </c>
      <c r="BL114" t="s">
        <v>551</v>
      </c>
      <c r="BM114">
        <v>1</v>
      </c>
      <c r="BN114" t="s">
        <v>561</v>
      </c>
      <c r="BO114" t="s">
        <v>561</v>
      </c>
      <c r="BP114" t="s">
        <v>550</v>
      </c>
      <c r="BQ114" t="s">
        <v>562</v>
      </c>
      <c r="BR114" t="s">
        <v>649</v>
      </c>
      <c r="BS114" t="s">
        <v>554</v>
      </c>
    </row>
    <row r="115" spans="1:71" ht="16.25" customHeight="1" x14ac:dyDescent="0.2">
      <c r="A115" s="95" t="s">
        <v>967</v>
      </c>
      <c r="B115" s="96" t="str">
        <f>IF(A115="","",_xlfn.XLOOKUP(A115, Company_List!$A:$A, Company_List!$B:$B, ""))</f>
        <v>TSLA</v>
      </c>
      <c r="C115" s="21">
        <v>2026</v>
      </c>
      <c r="D115" s="20" t="s">
        <v>537</v>
      </c>
      <c r="E115" s="19" t="s">
        <v>538</v>
      </c>
      <c r="F115" s="19" t="s">
        <v>538</v>
      </c>
      <c r="G115" s="20" t="s">
        <v>648</v>
      </c>
      <c r="H115" s="20" t="s">
        <v>540</v>
      </c>
      <c r="I115" s="127">
        <v>0.35</v>
      </c>
      <c r="J115" s="145" t="str">
        <f>IF(OR(I115="",Settings!$B$6=""),"",IF(I115&gt;Settings!$B$6,"BUY",IF(I115&lt;-Settings!$B$6,"SELL","HOLD")))</f>
        <v>BUY</v>
      </c>
      <c r="K115" s="139">
        <v>41</v>
      </c>
      <c r="L115" s="123">
        <v>46134</v>
      </c>
      <c r="M115" s="123">
        <v>46134</v>
      </c>
      <c r="N115" s="127">
        <v>387.51</v>
      </c>
      <c r="O115" s="123">
        <v>46135</v>
      </c>
      <c r="P115" s="22">
        <v>375.28</v>
      </c>
      <c r="Q115" s="148">
        <f t="shared" si="21"/>
        <v>-3.1600000000000003E-2</v>
      </c>
      <c r="R115" s="20" t="str">
        <f>IF(OR(N115="",P115=""),"",IF(Q115&gt;Settings!$B$3/100,"UP",IF(Q115&lt;-Settings!$B$3/100,"DOWN","FLAT")))</f>
        <v>DOWN</v>
      </c>
      <c r="S115" s="20" t="str">
        <f t="shared" si="12"/>
        <v>NO</v>
      </c>
      <c r="T115" s="21">
        <f t="shared" si="13"/>
        <v>1</v>
      </c>
      <c r="U115" s="148">
        <f>IFERROR(IF(OR(J115="",N115="",P115=""),"",IF(T115=0,0,T115*Q115-Settings!$B$4/10000-IF(T115&lt;0,Settings!$B$5/10000,0))),"")</f>
        <v>-3.2600000000000004E-2</v>
      </c>
      <c r="V115" s="23"/>
      <c r="W115" s="21">
        <f t="shared" si="14"/>
        <v>2460</v>
      </c>
      <c r="X115" s="91" t="str">
        <f t="shared" si="15"/>
        <v>Tesla|2026|Q1</v>
      </c>
      <c r="Y115" s="91" t="str">
        <f>IFERROR(IF($X115="","",INDEX(LLM_Data_Entry!$H$3:$H$548,MATCH($X115,INDEX(LLM_Data_Entry!$A$3:$A$548&amp;"|"&amp;LLM_Data_Entry!$C$3:$C$548&amp;"|"&amp;LLM_Data_Entry!$D$3:$D$548,0),0))),"")</f>
        <v>SELL</v>
      </c>
      <c r="Z115" s="91" t="str">
        <f>IFERROR(IF($X115="","",INDEX(LLM_Data_Entry!$R$3:$R$548,MATCH($X115,INDEX(LLM_Data_Entry!$A$3:$A$548&amp;"|"&amp;LLM_Data_Entry!$C$3:$C$548&amp;"|"&amp;LLM_Data_Entry!$D$3:$D$548,0),0))),"")</f>
        <v>YES</v>
      </c>
      <c r="AB115" t="s">
        <v>564</v>
      </c>
      <c r="AC115" t="s">
        <v>968</v>
      </c>
      <c r="AD115" t="s">
        <v>779</v>
      </c>
      <c r="AE115">
        <v>387.51</v>
      </c>
      <c r="AF115" t="s">
        <v>780</v>
      </c>
      <c r="AG115">
        <v>375.28</v>
      </c>
      <c r="AH115">
        <v>-3.1560503430608268E-2</v>
      </c>
      <c r="AI115" t="s">
        <v>545</v>
      </c>
      <c r="AJ115" t="s">
        <v>546</v>
      </c>
      <c r="AK115">
        <v>-3.2561E-2</v>
      </c>
      <c r="AL115" t="str">
        <f>IF($A115="","",IFERROR(INDEX(Company_List!$G$3:$G$207,MATCH($A115,Company_List!$A$3:$A$207,0)),"unassigned"))</f>
        <v>P2</v>
      </c>
      <c r="AM115" t="s">
        <v>969</v>
      </c>
      <c r="AN115" t="s">
        <v>970</v>
      </c>
      <c r="AO115" t="s">
        <v>560</v>
      </c>
      <c r="AP115" t="str">
        <f>IF($A115="","",IF(COUNTIFS(LLM_Data_Entry!$A$3:$A$548,$A115)&gt;0,"YES","NO"))</f>
        <v>YES</v>
      </c>
      <c r="AQ115" t="str">
        <f>IF($A115="","",IF(COUNTIFS($A$3:$A115,$A115,$C$3:$C115,$C115,$D$3:$D115,$D115)=1,"YES","NO"))</f>
        <v>YES</v>
      </c>
      <c r="AR115" t="str">
        <f>IF($A115="","",IF(AND($C115&amp;"-"&amp;$D115&gt;=Settings!$B$19,$C115&amp;"-"&amp;$D115&lt;=Settings!$B$20),"IN","OUT"))</f>
        <v>IN</v>
      </c>
      <c r="AS115" t="str">
        <f t="shared" si="16"/>
        <v>full</v>
      </c>
      <c r="AT115">
        <f t="shared" si="17"/>
        <v>-3.2600000000000004E-2</v>
      </c>
      <c r="AU115">
        <f t="shared" si="18"/>
        <v>-3.2561E-2</v>
      </c>
      <c r="AV115">
        <f>IF(ISNUMBER($AT115),ABS(IF(ISNUMBER($I115),$I115,0)-Settings!$B$24),"")</f>
        <v>0.35</v>
      </c>
      <c r="AW115">
        <f t="shared" si="19"/>
        <v>-1.141E-2</v>
      </c>
      <c r="AX115">
        <f>IF(ISNUMBER($AU115),ABS(IF(ISNUMBER($I115),$I115,0)-Settings!$B$24),"")</f>
        <v>0.35</v>
      </c>
      <c r="AY115" t="s">
        <v>549</v>
      </c>
      <c r="AZ115" t="str">
        <f>IF($A115="","",IFERROR(INDEX(Company_List!$H$3:$H$207,MATCH($A115,Company_List!$A$3:$A$207,0)),"unassigned"))</f>
        <v>Consumer Discretionary</v>
      </c>
      <c r="BC115">
        <f>IF($A115="","",IF(COUNTIFS($A$3:$A115,$A115,$C$3:$C115,$C115,$D$3:$D115,$D115,$G$3:$G115,$G115)=1,1,0))</f>
        <v>1</v>
      </c>
      <c r="BG115" t="s">
        <v>550</v>
      </c>
      <c r="BK115">
        <f t="shared" si="20"/>
        <v>0</v>
      </c>
      <c r="BL115" t="s">
        <v>551</v>
      </c>
      <c r="BM115">
        <v>1</v>
      </c>
      <c r="BN115" t="s">
        <v>561</v>
      </c>
      <c r="BO115" t="s">
        <v>561</v>
      </c>
      <c r="BP115" t="s">
        <v>550</v>
      </c>
      <c r="BQ115" t="s">
        <v>562</v>
      </c>
      <c r="BR115" t="s">
        <v>649</v>
      </c>
      <c r="BS115" t="s">
        <v>554</v>
      </c>
    </row>
    <row r="116" spans="1:71" ht="16.25" customHeight="1" x14ac:dyDescent="0.2">
      <c r="A116" s="95" t="s">
        <v>967</v>
      </c>
      <c r="B116" s="96" t="str">
        <f>IF(A116="","",_xlfn.XLOOKUP(A116, Company_List!$A:$A, Company_List!$B:$B, ""))</f>
        <v>TSLA</v>
      </c>
      <c r="C116" s="21">
        <v>2025</v>
      </c>
      <c r="D116" s="20" t="s">
        <v>563</v>
      </c>
      <c r="E116" s="19" t="s">
        <v>538</v>
      </c>
      <c r="F116" s="19" t="s">
        <v>538</v>
      </c>
      <c r="G116" s="20" t="s">
        <v>648</v>
      </c>
      <c r="H116" s="20" t="s">
        <v>540</v>
      </c>
      <c r="I116" s="127">
        <v>0.6</v>
      </c>
      <c r="J116" s="145" t="str">
        <f>IF(OR(I116="",Settings!$B$6=""),"",IF(I116&gt;Settings!$B$6,"BUY",IF(I116&lt;-Settings!$B$6,"SELL","HOLD")))</f>
        <v>BUY</v>
      </c>
      <c r="K116" s="139">
        <v>60</v>
      </c>
      <c r="L116" s="123">
        <v>45952</v>
      </c>
      <c r="M116" s="123">
        <v>45952</v>
      </c>
      <c r="N116" s="127">
        <v>438.97</v>
      </c>
      <c r="O116" s="123">
        <v>45953</v>
      </c>
      <c r="P116" s="22">
        <v>420</v>
      </c>
      <c r="Q116" s="148">
        <f t="shared" si="21"/>
        <v>-4.3200000000000002E-2</v>
      </c>
      <c r="R116" s="20" t="str">
        <f>IF(OR(N116="",P116=""),"",IF(Q116&gt;Settings!$B$3/100,"UP",IF(Q116&lt;-Settings!$B$3/100,"DOWN","FLAT")))</f>
        <v>DOWN</v>
      </c>
      <c r="S116" s="20" t="str">
        <f t="shared" si="12"/>
        <v>NO</v>
      </c>
      <c r="T116" s="21">
        <f t="shared" si="13"/>
        <v>1</v>
      </c>
      <c r="U116" s="148">
        <f>IFERROR(IF(OR(J116="",N116="",P116=""),"",IF(T116=0,0,T116*Q116-Settings!$B$4/10000-IF(T116&lt;0,Settings!$B$5/10000,0))),"")</f>
        <v>-4.4200000000000003E-2</v>
      </c>
      <c r="V116" s="23"/>
      <c r="W116" s="21">
        <f t="shared" si="14"/>
        <v>3600</v>
      </c>
      <c r="X116" s="91" t="str">
        <f t="shared" si="15"/>
        <v>Tesla|2025|Q3</v>
      </c>
      <c r="Y116" s="91" t="str">
        <f>IFERROR(IF($X116="","",INDEX(LLM_Data_Entry!$H$3:$H$548,MATCH($X116,INDEX(LLM_Data_Entry!$A$3:$A$548&amp;"|"&amp;LLM_Data_Entry!$C$3:$C$548&amp;"|"&amp;LLM_Data_Entry!$D$3:$D$548,0),0))),"")</f>
        <v>HOLD</v>
      </c>
      <c r="Z116" s="91" t="str">
        <f>IFERROR(IF($X116="","",INDEX(LLM_Data_Entry!$R$3:$R$548,MATCH($X116,INDEX(LLM_Data_Entry!$A$3:$A$548&amp;"|"&amp;LLM_Data_Entry!$C$3:$C$548&amp;"|"&amp;LLM_Data_Entry!$D$3:$D$548,0),0))),"")</f>
        <v>NO</v>
      </c>
      <c r="AB116" t="s">
        <v>564</v>
      </c>
      <c r="AC116" t="s">
        <v>968</v>
      </c>
      <c r="AD116" t="s">
        <v>566</v>
      </c>
      <c r="AE116">
        <v>438.97</v>
      </c>
      <c r="AF116" t="s">
        <v>971</v>
      </c>
      <c r="AG116">
        <v>420</v>
      </c>
      <c r="AH116">
        <v>-4.3214800457400789E-2</v>
      </c>
      <c r="AI116" t="s">
        <v>545</v>
      </c>
      <c r="AJ116" t="s">
        <v>546</v>
      </c>
      <c r="AK116">
        <v>-4.4214999999999997E-2</v>
      </c>
      <c r="AL116" t="str">
        <f>IF($A116="","",IFERROR(INDEX(Company_List!$G$3:$G$207,MATCH($A116,Company_List!$A$3:$A$207,0)),"unassigned"))</f>
        <v>P2</v>
      </c>
      <c r="AM116" t="s">
        <v>972</v>
      </c>
      <c r="AN116" t="s">
        <v>973</v>
      </c>
      <c r="AO116" t="s">
        <v>560</v>
      </c>
      <c r="AP116" t="str">
        <f>IF($A116="","",IF(COUNTIFS(LLM_Data_Entry!$A$3:$A$548,$A116)&gt;0,"YES","NO"))</f>
        <v>YES</v>
      </c>
      <c r="AQ116" t="str">
        <f>IF($A116="","",IF(COUNTIFS($A$3:$A116,$A116,$C$3:$C116,$C116,$D$3:$D116,$D116)=1,"YES","NO"))</f>
        <v>YES</v>
      </c>
      <c r="AR116" t="str">
        <f>IF($A116="","",IF(AND($C116&amp;"-"&amp;$D116&gt;=Settings!$B$19,$C116&amp;"-"&amp;$D116&lt;=Settings!$B$20),"IN","OUT"))</f>
        <v>IN</v>
      </c>
      <c r="AS116" t="str">
        <f t="shared" si="16"/>
        <v>full</v>
      </c>
      <c r="AT116">
        <f t="shared" si="17"/>
        <v>-4.4200000000000003E-2</v>
      </c>
      <c r="AU116">
        <f t="shared" si="18"/>
        <v>-4.4214999999999997E-2</v>
      </c>
      <c r="AV116">
        <f>IF(ISNUMBER($AT116),ABS(IF(ISNUMBER($I116),$I116,0)-Settings!$B$24),"")</f>
        <v>0.6</v>
      </c>
      <c r="AW116">
        <f t="shared" si="19"/>
        <v>-2.6520000000000002E-2</v>
      </c>
      <c r="AX116">
        <f>IF(ISNUMBER($AU116),ABS(IF(ISNUMBER($I116),$I116,0)-Settings!$B$24),"")</f>
        <v>0.6</v>
      </c>
      <c r="AY116" t="s">
        <v>549</v>
      </c>
      <c r="AZ116" t="str">
        <f>IF($A116="","",IFERROR(INDEX(Company_List!$H$3:$H$207,MATCH($A116,Company_List!$A$3:$A$207,0)),"unassigned"))</f>
        <v>Consumer Discretionary</v>
      </c>
      <c r="BC116">
        <f>IF($A116="","",IF(COUNTIFS($A$3:$A116,$A116,$C$3:$C116,$C116,$D$3:$D116,$D116,$G$3:$G116,$G116)=1,1,0))</f>
        <v>1</v>
      </c>
      <c r="BG116" t="s">
        <v>550</v>
      </c>
      <c r="BK116">
        <f t="shared" si="20"/>
        <v>0</v>
      </c>
      <c r="BL116" t="s">
        <v>551</v>
      </c>
      <c r="BM116">
        <v>1</v>
      </c>
      <c r="BN116" t="s">
        <v>561</v>
      </c>
      <c r="BO116" t="s">
        <v>561</v>
      </c>
      <c r="BP116" t="s">
        <v>550</v>
      </c>
      <c r="BQ116" t="s">
        <v>562</v>
      </c>
      <c r="BR116" t="s">
        <v>649</v>
      </c>
      <c r="BS116" t="s">
        <v>554</v>
      </c>
    </row>
    <row r="117" spans="1:71" ht="16.25" customHeight="1" x14ac:dyDescent="0.2">
      <c r="A117" s="95" t="s">
        <v>967</v>
      </c>
      <c r="B117" s="96" t="str">
        <f>IF(A117="","",_xlfn.XLOOKUP(A117, Company_List!$A:$A, Company_List!$B:$B, ""))</f>
        <v>TSLA</v>
      </c>
      <c r="C117" s="21">
        <v>2025</v>
      </c>
      <c r="D117" s="20" t="s">
        <v>569</v>
      </c>
      <c r="E117" s="19" t="s">
        <v>538</v>
      </c>
      <c r="F117" s="19" t="s">
        <v>538</v>
      </c>
      <c r="G117" s="20" t="s">
        <v>648</v>
      </c>
      <c r="H117" s="20" t="s">
        <v>540</v>
      </c>
      <c r="I117" s="127">
        <v>0.6</v>
      </c>
      <c r="J117" s="145" t="str">
        <f>IF(OR(I117="",Settings!$B$6=""),"",IF(I117&gt;Settings!$B$6,"BUY",IF(I117&lt;-Settings!$B$6,"SELL","HOLD")))</f>
        <v>BUY</v>
      </c>
      <c r="K117" s="139">
        <v>50</v>
      </c>
      <c r="L117" s="123">
        <v>46050</v>
      </c>
      <c r="M117" s="123">
        <v>46050</v>
      </c>
      <c r="N117" s="127">
        <v>431.46</v>
      </c>
      <c r="O117" s="123">
        <v>46051</v>
      </c>
      <c r="P117" s="22">
        <v>437.8</v>
      </c>
      <c r="Q117" s="148">
        <f t="shared" si="21"/>
        <v>1.47E-2</v>
      </c>
      <c r="R117" s="20" t="str">
        <f>IF(OR(N117="",P117=""),"",IF(Q117&gt;Settings!$B$3/100,"UP",IF(Q117&lt;-Settings!$B$3/100,"DOWN","FLAT")))</f>
        <v>FLAT</v>
      </c>
      <c r="S117" s="20" t="str">
        <f t="shared" si="12"/>
        <v>NO</v>
      </c>
      <c r="T117" s="21">
        <f t="shared" si="13"/>
        <v>1</v>
      </c>
      <c r="U117" s="148">
        <f>IFERROR(IF(OR(J117="",N117="",P117=""),"",IF(T117=0,0,T117*Q117-Settings!$B$4/10000-IF(T117&lt;0,Settings!$B$5/10000,0))),"")</f>
        <v>1.37E-2</v>
      </c>
      <c r="V117" s="23"/>
      <c r="W117" s="21">
        <f t="shared" si="14"/>
        <v>3000</v>
      </c>
      <c r="X117" s="91" t="str">
        <f t="shared" si="15"/>
        <v>Tesla|2025|Q4</v>
      </c>
      <c r="Y117" s="91" t="str">
        <f>IFERROR(IF($X117="","",INDEX(LLM_Data_Entry!$H$3:$H$548,MATCH($X117,INDEX(LLM_Data_Entry!$A$3:$A$548&amp;"|"&amp;LLM_Data_Entry!$C$3:$C$548&amp;"|"&amp;LLM_Data_Entry!$D$3:$D$548,0),0))),"")</f>
        <v>BUY</v>
      </c>
      <c r="Z117" s="91" t="str">
        <f>IFERROR(IF($X117="","",INDEX(LLM_Data_Entry!$R$3:$R$548,MATCH($X117,INDEX(LLM_Data_Entry!$A$3:$A$548&amp;"|"&amp;LLM_Data_Entry!$C$3:$C$548&amp;"|"&amp;LLM_Data_Entry!$D$3:$D$548,0),0))),"")</f>
        <v>NO</v>
      </c>
      <c r="AB117" t="s">
        <v>564</v>
      </c>
      <c r="AC117" t="s">
        <v>968</v>
      </c>
      <c r="AD117" t="s">
        <v>776</v>
      </c>
      <c r="AE117">
        <v>431.46</v>
      </c>
      <c r="AF117" t="s">
        <v>694</v>
      </c>
      <c r="AG117">
        <v>437.8</v>
      </c>
      <c r="AH117">
        <v>1.4694287146545609E-2</v>
      </c>
      <c r="AI117" t="s">
        <v>579</v>
      </c>
      <c r="AJ117" t="s">
        <v>546</v>
      </c>
      <c r="AK117">
        <v>1.3694E-2</v>
      </c>
      <c r="AL117" t="str">
        <f>IF($A117="","",IFERROR(INDEX(Company_List!$G$3:$G$207,MATCH($A117,Company_List!$A$3:$A$207,0)),"unassigned"))</f>
        <v>P2</v>
      </c>
      <c r="AM117" t="s">
        <v>974</v>
      </c>
      <c r="AN117" t="s">
        <v>975</v>
      </c>
      <c r="AO117" t="s">
        <v>560</v>
      </c>
      <c r="AP117" t="str">
        <f>IF($A117="","",IF(COUNTIFS(LLM_Data_Entry!$A$3:$A$548,$A117)&gt;0,"YES","NO"))</f>
        <v>YES</v>
      </c>
      <c r="AQ117" t="str">
        <f>IF($A117="","",IF(COUNTIFS($A$3:$A117,$A117,$C$3:$C117,$C117,$D$3:$D117,$D117)=1,"YES","NO"))</f>
        <v>YES</v>
      </c>
      <c r="AR117" t="str">
        <f>IF($A117="","",IF(AND($C117&amp;"-"&amp;$D117&gt;=Settings!$B$19,$C117&amp;"-"&amp;$D117&lt;=Settings!$B$20),"IN","OUT"))</f>
        <v>IN</v>
      </c>
      <c r="AS117" t="str">
        <f t="shared" si="16"/>
        <v>full</v>
      </c>
      <c r="AT117">
        <f t="shared" si="17"/>
        <v>1.37E-2</v>
      </c>
      <c r="AU117">
        <f t="shared" si="18"/>
        <v>1.3694E-2</v>
      </c>
      <c r="AV117">
        <f>IF(ISNUMBER($AT117),ABS(IF(ISNUMBER($I117),$I117,0)-Settings!$B$24),"")</f>
        <v>0.6</v>
      </c>
      <c r="AW117">
        <f t="shared" si="19"/>
        <v>8.2199999999999999E-3</v>
      </c>
      <c r="AX117">
        <f>IF(ISNUMBER($AU117),ABS(IF(ISNUMBER($I117),$I117,0)-Settings!$B$24),"")</f>
        <v>0.6</v>
      </c>
      <c r="AY117" t="s">
        <v>549</v>
      </c>
      <c r="AZ117" t="str">
        <f>IF($A117="","",IFERROR(INDEX(Company_List!$H$3:$H$207,MATCH($A117,Company_List!$A$3:$A$207,0)),"unassigned"))</f>
        <v>Consumer Discretionary</v>
      </c>
      <c r="BC117">
        <f>IF($A117="","",IF(COUNTIFS($A$3:$A117,$A117,$C$3:$C117,$C117,$D$3:$D117,$D117,$G$3:$G117,$G117)=1,1,0))</f>
        <v>1</v>
      </c>
      <c r="BG117" t="s">
        <v>550</v>
      </c>
      <c r="BK117">
        <f t="shared" si="20"/>
        <v>1</v>
      </c>
      <c r="BL117" t="s">
        <v>551</v>
      </c>
      <c r="BM117">
        <v>1</v>
      </c>
      <c r="BN117" t="s">
        <v>561</v>
      </c>
      <c r="BO117" t="s">
        <v>561</v>
      </c>
      <c r="BP117" t="s">
        <v>550</v>
      </c>
      <c r="BQ117" t="s">
        <v>562</v>
      </c>
      <c r="BR117" t="s">
        <v>649</v>
      </c>
      <c r="BS117" t="s">
        <v>554</v>
      </c>
    </row>
    <row r="118" spans="1:71" ht="16.25" customHeight="1" x14ac:dyDescent="0.2">
      <c r="A118" s="95" t="s">
        <v>976</v>
      </c>
      <c r="B118" s="96" t="str">
        <f>IF(A118="","",_xlfn.XLOOKUP(A118, Company_List!$A:$A, Company_List!$B:$B, ""))</f>
        <v>PFE</v>
      </c>
      <c r="C118" s="21">
        <v>2025</v>
      </c>
      <c r="D118" s="20" t="s">
        <v>537</v>
      </c>
      <c r="E118" s="19" t="s">
        <v>647</v>
      </c>
      <c r="F118" s="19" t="s">
        <v>538</v>
      </c>
      <c r="G118" s="20" t="s">
        <v>712</v>
      </c>
      <c r="H118" s="20" t="s">
        <v>540</v>
      </c>
      <c r="I118" s="127">
        <v>-0.3</v>
      </c>
      <c r="J118" s="145" t="str">
        <f>IF(OR(I118="",Settings!$B$6=""),"",IF(I118&gt;Settings!$B$6,"BUY",IF(I118&lt;-Settings!$B$6,"SELL","HOLD")))</f>
        <v>SELL</v>
      </c>
      <c r="K118" s="139">
        <v>55</v>
      </c>
      <c r="L118" s="123">
        <v>45776</v>
      </c>
      <c r="M118" s="123">
        <v>45775</v>
      </c>
      <c r="N118" s="127">
        <v>23.05</v>
      </c>
      <c r="O118" s="123">
        <v>45776</v>
      </c>
      <c r="P118" s="22">
        <v>22.83</v>
      </c>
      <c r="Q118" s="148">
        <f t="shared" si="21"/>
        <v>-9.4999999999999998E-3</v>
      </c>
      <c r="R118" s="20" t="str">
        <f>IF(OR(N118="",P118=""),"",IF(Q118&gt;Settings!$B$3/100,"UP",IF(Q118&lt;-Settings!$B$3/100,"DOWN","FLAT")))</f>
        <v>FLAT</v>
      </c>
      <c r="S118" s="20" t="str">
        <f t="shared" si="12"/>
        <v>NO</v>
      </c>
      <c r="T118" s="21">
        <f t="shared" si="13"/>
        <v>-1</v>
      </c>
      <c r="U118" s="148">
        <f>IFERROR(IF(OR(J118="",N118="",P118=""),"",IF(T118=0,0,T118*Q118-Settings!$B$4/10000-IF(T118&lt;0,Settings!$B$5/10000,0))),"")</f>
        <v>8.5000000000000006E-3</v>
      </c>
      <c r="V118" s="23"/>
      <c r="W118" s="21">
        <f t="shared" si="14"/>
        <v>3300</v>
      </c>
      <c r="X118" s="91" t="str">
        <f t="shared" si="15"/>
        <v>Pfizer|2025|Q1</v>
      </c>
      <c r="Y118" s="91" t="str">
        <f>IFERROR(IF($X118="","",INDEX(LLM_Data_Entry!$H$3:$H$548,MATCH($X118,INDEX(LLM_Data_Entry!$A$3:$A$548&amp;"|"&amp;LLM_Data_Entry!$C$3:$C$548&amp;"|"&amp;LLM_Data_Entry!$D$3:$D$548,0),0))),"")</f>
        <v>SELL</v>
      </c>
      <c r="Z118" s="91" t="str">
        <f>IFERROR(IF($X118="","",INDEX(LLM_Data_Entry!$R$3:$R$548,MATCH($X118,INDEX(LLM_Data_Entry!$A$3:$A$548&amp;"|"&amp;LLM_Data_Entry!$C$3:$C$548&amp;"|"&amp;LLM_Data_Entry!$D$3:$D$548,0),0))),"")</f>
        <v>NO</v>
      </c>
      <c r="AB118" t="s">
        <v>807</v>
      </c>
      <c r="AC118" t="s">
        <v>977</v>
      </c>
      <c r="AD118" t="s">
        <v>978</v>
      </c>
      <c r="AE118">
        <v>20.777699999999999</v>
      </c>
      <c r="AF118" t="s">
        <v>979</v>
      </c>
      <c r="AG118">
        <v>20.5793</v>
      </c>
      <c r="AH118">
        <v>-9.5445700319887559E-3</v>
      </c>
      <c r="AI118" t="s">
        <v>579</v>
      </c>
      <c r="AJ118" t="s">
        <v>546</v>
      </c>
      <c r="AK118">
        <v>8.5450000000000005E-3</v>
      </c>
      <c r="AL118" t="str">
        <f>IF($A118="","",IFERROR(INDEX(Company_List!$G$3:$G$207,MATCH($A118,Company_List!$A$3:$A$207,0)),"unassigned"))</f>
        <v>P2</v>
      </c>
      <c r="AM118" t="s">
        <v>980</v>
      </c>
      <c r="AO118" t="s">
        <v>548</v>
      </c>
      <c r="AP118" t="str">
        <f>IF($A118="","",IF(COUNTIFS(LLM_Data_Entry!$A$3:$A$548,$A118)&gt;0,"YES","NO"))</f>
        <v>YES</v>
      </c>
      <c r="AQ118" t="str">
        <f>IF($A118="","",IF(COUNTIFS($A$3:$A118,$A118,$C$3:$C118,$C118,$D$3:$D118,$D118)=1,"YES","NO"))</f>
        <v>YES</v>
      </c>
      <c r="AR118" t="str">
        <f>IF($A118="","",IF(AND($C118&amp;"-"&amp;$D118&gt;=Settings!$B$19,$C118&amp;"-"&amp;$D118&lt;=Settings!$B$20),"IN","OUT"))</f>
        <v>IN</v>
      </c>
      <c r="AS118" t="str">
        <f t="shared" si="16"/>
        <v>transcript only</v>
      </c>
      <c r="AT118">
        <f t="shared" si="17"/>
        <v>8.5000000000000006E-3</v>
      </c>
      <c r="AU118">
        <f t="shared" si="18"/>
        <v>8.5450000000000005E-3</v>
      </c>
      <c r="AV118">
        <f>IF(ISNUMBER($AT118),ABS(IF(ISNUMBER($I118),$I118,0)-Settings!$B$24),"")</f>
        <v>0.3</v>
      </c>
      <c r="AW118">
        <f t="shared" si="19"/>
        <v>2.5500000000000002E-3</v>
      </c>
      <c r="AX118">
        <f>IF(ISNUMBER($AU118),ABS(IF(ISNUMBER($I118),$I118,0)-Settings!$B$24),"")</f>
        <v>0.3</v>
      </c>
      <c r="AY118" t="s">
        <v>549</v>
      </c>
      <c r="AZ118" t="str">
        <f>IF($A118="","",IFERROR(INDEX(Company_List!$H$3:$H$207,MATCH($A118,Company_List!$A$3:$A$207,0)),"unassigned"))</f>
        <v>Health Care</v>
      </c>
      <c r="BC118">
        <f>IF($A118="","",IF(COUNTIFS($A$3:$A118,$A118,$C$3:$C118,$C118,$D$3:$D118,$D118,$G$3:$G118,$G118)=1,1,0))</f>
        <v>1</v>
      </c>
      <c r="BG118" t="s">
        <v>550</v>
      </c>
      <c r="BK118">
        <f t="shared" si="20"/>
        <v>1</v>
      </c>
      <c r="BL118" t="s">
        <v>551</v>
      </c>
      <c r="BM118">
        <v>1</v>
      </c>
      <c r="BN118" t="s">
        <v>788</v>
      </c>
      <c r="BO118" t="s">
        <v>553</v>
      </c>
      <c r="BP118" t="s">
        <v>550</v>
      </c>
      <c r="BQ118" t="s">
        <v>550</v>
      </c>
      <c r="BS118" t="s">
        <v>554</v>
      </c>
    </row>
    <row r="119" spans="1:71" ht="16.25" customHeight="1" x14ac:dyDescent="0.2">
      <c r="A119" s="95" t="s">
        <v>976</v>
      </c>
      <c r="B119" s="96" t="str">
        <f>IF(A119="","",_xlfn.XLOOKUP(A119, Company_List!$A:$A, Company_List!$B:$B, ""))</f>
        <v>PFE</v>
      </c>
      <c r="C119" s="21">
        <v>2025</v>
      </c>
      <c r="D119" s="20" t="s">
        <v>555</v>
      </c>
      <c r="E119" s="19" t="s">
        <v>647</v>
      </c>
      <c r="F119" s="19" t="s">
        <v>538</v>
      </c>
      <c r="G119" s="20" t="s">
        <v>712</v>
      </c>
      <c r="H119" s="20" t="s">
        <v>540</v>
      </c>
      <c r="I119" s="127">
        <v>0.4</v>
      </c>
      <c r="J119" s="145" t="str">
        <f>IF(OR(I119="",Settings!$B$6=""),"",IF(I119&gt;Settings!$B$6,"BUY",IF(I119&lt;-Settings!$B$6,"SELL","HOLD")))</f>
        <v>BUY</v>
      </c>
      <c r="K119" s="139">
        <v>45</v>
      </c>
      <c r="L119" s="123">
        <v>45874</v>
      </c>
      <c r="M119" s="123">
        <v>45873</v>
      </c>
      <c r="N119" s="127">
        <v>23.53</v>
      </c>
      <c r="O119" s="123">
        <v>45874</v>
      </c>
      <c r="P119" s="22">
        <v>24.27</v>
      </c>
      <c r="Q119" s="148">
        <f t="shared" si="21"/>
        <v>3.1399999999999997E-2</v>
      </c>
      <c r="R119" s="20" t="str">
        <f>IF(OR(N119="",P119=""),"",IF(Q119&gt;Settings!$B$3/100,"UP",IF(Q119&lt;-Settings!$B$3/100,"DOWN","FLAT")))</f>
        <v>UP</v>
      </c>
      <c r="S119" s="20" t="str">
        <f t="shared" si="12"/>
        <v>YES</v>
      </c>
      <c r="T119" s="21">
        <f t="shared" si="13"/>
        <v>1</v>
      </c>
      <c r="U119" s="148">
        <f>IFERROR(IF(OR(J119="",N119="",P119=""),"",IF(T119=0,0,T119*Q119-Settings!$B$4/10000-IF(T119&lt;0,Settings!$B$5/10000,0))),"")</f>
        <v>3.0399999999999996E-2</v>
      </c>
      <c r="V119" s="23"/>
      <c r="W119" s="21">
        <f t="shared" si="14"/>
        <v>2700</v>
      </c>
      <c r="X119" s="91" t="str">
        <f t="shared" si="15"/>
        <v>Pfizer|2025|Q2</v>
      </c>
      <c r="Y119" s="91" t="str">
        <f>IFERROR(IF($X119="","",INDEX(LLM_Data_Entry!$H$3:$H$548,MATCH($X119,INDEX(LLM_Data_Entry!$A$3:$A$548&amp;"|"&amp;LLM_Data_Entry!$C$3:$C$548&amp;"|"&amp;LLM_Data_Entry!$D$3:$D$548,0),0))),"")</f>
        <v>HOLD</v>
      </c>
      <c r="Z119" s="91" t="str">
        <f>IFERROR(IF($X119="","",INDEX(LLM_Data_Entry!$R$3:$R$548,MATCH($X119,INDEX(LLM_Data_Entry!$A$3:$A$548&amp;"|"&amp;LLM_Data_Entry!$C$3:$C$548&amp;"|"&amp;LLM_Data_Entry!$D$3:$D$548,0),0))),"")</f>
        <v>NO</v>
      </c>
      <c r="AB119" t="s">
        <v>685</v>
      </c>
      <c r="AC119" t="s">
        <v>977</v>
      </c>
      <c r="AD119" t="s">
        <v>981</v>
      </c>
      <c r="AE119">
        <v>21.9879</v>
      </c>
      <c r="AF119" t="s">
        <v>641</v>
      </c>
      <c r="AG119">
        <v>22.679400000000001</v>
      </c>
      <c r="AH119">
        <v>3.1449165419419438E-2</v>
      </c>
      <c r="AI119" t="s">
        <v>591</v>
      </c>
      <c r="AJ119" t="s">
        <v>554</v>
      </c>
      <c r="AK119">
        <v>3.0449E-2</v>
      </c>
      <c r="AL119" t="str">
        <f>IF($A119="","",IFERROR(INDEX(Company_List!$G$3:$G$207,MATCH($A119,Company_List!$A$3:$A$207,0)),"unassigned"))</f>
        <v>P2</v>
      </c>
      <c r="AM119" t="s">
        <v>982</v>
      </c>
      <c r="AO119" t="s">
        <v>548</v>
      </c>
      <c r="AP119" t="str">
        <f>IF($A119="","",IF(COUNTIFS(LLM_Data_Entry!$A$3:$A$548,$A119)&gt;0,"YES","NO"))</f>
        <v>YES</v>
      </c>
      <c r="AQ119" t="str">
        <f>IF($A119="","",IF(COUNTIFS($A$3:$A119,$A119,$C$3:$C119,$C119,$D$3:$D119,$D119)=1,"YES","NO"))</f>
        <v>YES</v>
      </c>
      <c r="AR119" t="str">
        <f>IF($A119="","",IF(AND($C119&amp;"-"&amp;$D119&gt;=Settings!$B$19,$C119&amp;"-"&amp;$D119&lt;=Settings!$B$20),"IN","OUT"))</f>
        <v>IN</v>
      </c>
      <c r="AS119" t="str">
        <f t="shared" si="16"/>
        <v>transcript only</v>
      </c>
      <c r="AT119">
        <f t="shared" si="17"/>
        <v>3.0399999999999996E-2</v>
      </c>
      <c r="AU119">
        <f t="shared" si="18"/>
        <v>3.0449E-2</v>
      </c>
      <c r="AV119">
        <f>IF(ISNUMBER($AT119),ABS(IF(ISNUMBER($I119),$I119,0)-Settings!$B$24),"")</f>
        <v>0.4</v>
      </c>
      <c r="AW119">
        <f t="shared" si="19"/>
        <v>1.2159999999999999E-2</v>
      </c>
      <c r="AX119">
        <f>IF(ISNUMBER($AU119),ABS(IF(ISNUMBER($I119),$I119,0)-Settings!$B$24),"")</f>
        <v>0.4</v>
      </c>
      <c r="AY119" t="s">
        <v>549</v>
      </c>
      <c r="AZ119" t="str">
        <f>IF($A119="","",IFERROR(INDEX(Company_List!$H$3:$H$207,MATCH($A119,Company_List!$A$3:$A$207,0)),"unassigned"))</f>
        <v>Health Care</v>
      </c>
      <c r="BC119">
        <f>IF($A119="","",IF(COUNTIFS($A$3:$A119,$A119,$C$3:$C119,$C119,$D$3:$D119,$D119,$G$3:$G119,$G119)=1,1,0))</f>
        <v>1</v>
      </c>
      <c r="BG119" t="s">
        <v>550</v>
      </c>
      <c r="BK119">
        <f t="shared" si="20"/>
        <v>0</v>
      </c>
      <c r="BL119" t="s">
        <v>551</v>
      </c>
      <c r="BM119">
        <v>1</v>
      </c>
      <c r="BN119" t="s">
        <v>788</v>
      </c>
      <c r="BO119" t="s">
        <v>553</v>
      </c>
      <c r="BP119" t="s">
        <v>550</v>
      </c>
      <c r="BQ119" t="s">
        <v>550</v>
      </c>
      <c r="BS119" t="s">
        <v>554</v>
      </c>
    </row>
    <row r="120" spans="1:71" ht="16.25" customHeight="1" x14ac:dyDescent="0.2">
      <c r="A120" s="95" t="s">
        <v>976</v>
      </c>
      <c r="B120" s="96" t="str">
        <f>IF(A120="","",_xlfn.XLOOKUP(A120, Company_List!$A:$A, Company_List!$B:$B, ""))</f>
        <v>PFE</v>
      </c>
      <c r="C120" s="21">
        <v>2025</v>
      </c>
      <c r="D120" s="20" t="s">
        <v>569</v>
      </c>
      <c r="E120" s="19" t="s">
        <v>647</v>
      </c>
      <c r="F120" s="19" t="s">
        <v>538</v>
      </c>
      <c r="G120" s="20" t="s">
        <v>712</v>
      </c>
      <c r="H120" s="20" t="s">
        <v>540</v>
      </c>
      <c r="I120" s="127">
        <v>-0.6</v>
      </c>
      <c r="J120" s="145" t="str">
        <f>IF(OR(I120="",Settings!$B$6=""),"",IF(I120&gt;Settings!$B$6,"BUY",IF(I120&lt;-Settings!$B$6,"SELL","HOLD")))</f>
        <v>SELL</v>
      </c>
      <c r="K120" s="139">
        <v>49</v>
      </c>
      <c r="L120" s="123">
        <v>46056</v>
      </c>
      <c r="M120" s="123">
        <v>46055</v>
      </c>
      <c r="N120" s="127">
        <v>26.66</v>
      </c>
      <c r="O120" s="123">
        <v>46056</v>
      </c>
      <c r="P120" s="22">
        <v>25.36</v>
      </c>
      <c r="Q120" s="148">
        <f t="shared" si="21"/>
        <v>-4.8800000000000003E-2</v>
      </c>
      <c r="R120" s="20" t="str">
        <f>IF(OR(N120="",P120=""),"",IF(Q120&gt;Settings!$B$3/100,"UP",IF(Q120&lt;-Settings!$B$3/100,"DOWN","FLAT")))</f>
        <v>DOWN</v>
      </c>
      <c r="S120" s="20" t="str">
        <f t="shared" si="12"/>
        <v>YES</v>
      </c>
      <c r="T120" s="21">
        <f t="shared" si="13"/>
        <v>-1</v>
      </c>
      <c r="U120" s="148">
        <f>IFERROR(IF(OR(J120="",N120="",P120=""),"",IF(T120=0,0,T120*Q120-Settings!$B$4/10000-IF(T120&lt;0,Settings!$B$5/10000,0))),"")</f>
        <v>4.7800000000000002E-2</v>
      </c>
      <c r="V120" s="23"/>
      <c r="W120" s="21">
        <f t="shared" si="14"/>
        <v>2940</v>
      </c>
      <c r="X120" s="91" t="str">
        <f t="shared" si="15"/>
        <v>Pfizer|2025|Q4</v>
      </c>
      <c r="Y120" s="91" t="str">
        <f>IFERROR(IF($X120="","",INDEX(LLM_Data_Entry!$H$3:$H$548,MATCH($X120,INDEX(LLM_Data_Entry!$A$3:$A$548&amp;"|"&amp;LLM_Data_Entry!$C$3:$C$548&amp;"|"&amp;LLM_Data_Entry!$D$3:$D$548,0),0))),"")</f>
        <v>HOLD</v>
      </c>
      <c r="Z120" s="91" t="str">
        <f>IFERROR(IF($X120="","",INDEX(LLM_Data_Entry!$R$3:$R$548,MATCH($X120,INDEX(LLM_Data_Entry!$A$3:$A$548&amp;"|"&amp;LLM_Data_Entry!$C$3:$C$548&amp;"|"&amp;LLM_Data_Entry!$D$3:$D$548,0),0))),"")</f>
        <v>NO</v>
      </c>
      <c r="AB120" t="s">
        <v>541</v>
      </c>
      <c r="AC120" t="s">
        <v>977</v>
      </c>
      <c r="AD120" t="s">
        <v>983</v>
      </c>
      <c r="AE120">
        <v>25.776199999999999</v>
      </c>
      <c r="AF120" t="s">
        <v>736</v>
      </c>
      <c r="AG120">
        <v>24.519300000000001</v>
      </c>
      <c r="AH120">
        <v>-4.8762109905065527E-2</v>
      </c>
      <c r="AI120" t="s">
        <v>545</v>
      </c>
      <c r="AJ120" t="s">
        <v>554</v>
      </c>
      <c r="AK120">
        <v>4.7761999999999999E-2</v>
      </c>
      <c r="AL120" t="str">
        <f>IF($A120="","",IFERROR(INDEX(Company_List!$G$3:$G$207,MATCH($A120,Company_List!$A$3:$A$207,0)),"unassigned"))</f>
        <v>P2</v>
      </c>
      <c r="AM120" t="s">
        <v>984</v>
      </c>
      <c r="AO120" t="s">
        <v>548</v>
      </c>
      <c r="AP120" t="str">
        <f>IF($A120="","",IF(COUNTIFS(LLM_Data_Entry!$A$3:$A$548,$A120)&gt;0,"YES","NO"))</f>
        <v>YES</v>
      </c>
      <c r="AQ120" t="str">
        <f>IF($A120="","",IF(COUNTIFS($A$3:$A120,$A120,$C$3:$C120,$C120,$D$3:$D120,$D120)=1,"YES","NO"))</f>
        <v>YES</v>
      </c>
      <c r="AR120" t="str">
        <f>IF($A120="","",IF(AND($C120&amp;"-"&amp;$D120&gt;=Settings!$B$19,$C120&amp;"-"&amp;$D120&lt;=Settings!$B$20),"IN","OUT"))</f>
        <v>IN</v>
      </c>
      <c r="AS120" t="str">
        <f t="shared" si="16"/>
        <v>transcript only</v>
      </c>
      <c r="AT120">
        <f t="shared" si="17"/>
        <v>4.7800000000000002E-2</v>
      </c>
      <c r="AU120">
        <f t="shared" si="18"/>
        <v>4.7761999999999999E-2</v>
      </c>
      <c r="AV120">
        <f>IF(ISNUMBER($AT120),ABS(IF(ISNUMBER($I120),$I120,0)-Settings!$B$24),"")</f>
        <v>0.6</v>
      </c>
      <c r="AW120">
        <f t="shared" si="19"/>
        <v>2.8680000000000001E-2</v>
      </c>
      <c r="AX120">
        <f>IF(ISNUMBER($AU120),ABS(IF(ISNUMBER($I120),$I120,0)-Settings!$B$24),"")</f>
        <v>0.6</v>
      </c>
      <c r="AY120" t="s">
        <v>549</v>
      </c>
      <c r="AZ120" t="str">
        <f>IF($A120="","",IFERROR(INDEX(Company_List!$H$3:$H$207,MATCH($A120,Company_List!$A$3:$A$207,0)),"unassigned"))</f>
        <v>Health Care</v>
      </c>
      <c r="BC120">
        <f>IF($A120="","",IF(COUNTIFS($A$3:$A120,$A120,$C$3:$C120,$C120,$D$3:$D120,$D120,$G$3:$G120,$G120)=1,1,0))</f>
        <v>1</v>
      </c>
      <c r="BG120" t="s">
        <v>550</v>
      </c>
      <c r="BK120">
        <f t="shared" si="20"/>
        <v>0</v>
      </c>
      <c r="BL120" t="s">
        <v>551</v>
      </c>
      <c r="BM120">
        <v>1</v>
      </c>
      <c r="BN120" t="s">
        <v>788</v>
      </c>
      <c r="BO120" t="s">
        <v>553</v>
      </c>
      <c r="BP120" t="s">
        <v>550</v>
      </c>
      <c r="BQ120" t="s">
        <v>550</v>
      </c>
      <c r="BS120" t="s">
        <v>554</v>
      </c>
    </row>
    <row r="121" spans="1:71" ht="16.25" customHeight="1" x14ac:dyDescent="0.2">
      <c r="A121" s="95" t="s">
        <v>976</v>
      </c>
      <c r="B121" s="96" t="str">
        <f>IF(A121="","",_xlfn.XLOOKUP(A121, Company_List!$A:$A, Company_List!$B:$B, ""))</f>
        <v>PFE</v>
      </c>
      <c r="C121" s="21">
        <v>2026</v>
      </c>
      <c r="D121" s="20" t="s">
        <v>537</v>
      </c>
      <c r="E121" s="19" t="s">
        <v>647</v>
      </c>
      <c r="F121" s="19" t="s">
        <v>538</v>
      </c>
      <c r="G121" s="20" t="s">
        <v>712</v>
      </c>
      <c r="H121" s="20" t="s">
        <v>540</v>
      </c>
      <c r="I121" s="127">
        <v>0.7</v>
      </c>
      <c r="J121" s="145" t="str">
        <f>IF(OR(I121="",Settings!$B$6=""),"",IF(I121&gt;Settings!$B$6,"BUY",IF(I121&lt;-Settings!$B$6,"SELL","HOLD")))</f>
        <v>BUY</v>
      </c>
      <c r="K121" s="139">
        <v>40</v>
      </c>
      <c r="L121" s="123">
        <v>46147</v>
      </c>
      <c r="M121" s="123">
        <v>46146</v>
      </c>
      <c r="N121" s="127">
        <v>26.3</v>
      </c>
      <c r="O121" s="123">
        <v>46147</v>
      </c>
      <c r="P121" s="22">
        <v>26.59</v>
      </c>
      <c r="Q121" s="148">
        <f t="shared" si="21"/>
        <v>1.0999999999999999E-2</v>
      </c>
      <c r="R121" s="20" t="str">
        <f>IF(OR(N121="",P121=""),"",IF(Q121&gt;Settings!$B$3/100,"UP",IF(Q121&lt;-Settings!$B$3/100,"DOWN","FLAT")))</f>
        <v>FLAT</v>
      </c>
      <c r="S121" s="20" t="str">
        <f t="shared" si="12"/>
        <v>NO</v>
      </c>
      <c r="T121" s="21">
        <f t="shared" si="13"/>
        <v>1</v>
      </c>
      <c r="U121" s="148">
        <f>IFERROR(IF(OR(J121="",N121="",P121=""),"",IF(T121=0,0,T121*Q121-Settings!$B$4/10000-IF(T121&lt;0,Settings!$B$5/10000,0))),"")</f>
        <v>9.9999999999999985E-3</v>
      </c>
      <c r="V121" s="23"/>
      <c r="W121" s="21">
        <f t="shared" si="14"/>
        <v>2400</v>
      </c>
      <c r="X121" s="91" t="str">
        <f t="shared" si="15"/>
        <v>Pfizer|2026|Q1</v>
      </c>
      <c r="Y121" s="91" t="str">
        <f>IFERROR(IF($X121="","",INDEX(LLM_Data_Entry!$H$3:$H$548,MATCH($X121,INDEX(LLM_Data_Entry!$A$3:$A$548&amp;"|"&amp;LLM_Data_Entry!$C$3:$C$548&amp;"|"&amp;LLM_Data_Entry!$D$3:$D$548,0),0))),"")</f>
        <v>HOLD</v>
      </c>
      <c r="Z121" s="91" t="str">
        <f>IFERROR(IF($X121="","",INDEX(LLM_Data_Entry!$R$3:$R$548,MATCH($X121,INDEX(LLM_Data_Entry!$A$3:$A$548&amp;"|"&amp;LLM_Data_Entry!$C$3:$C$548&amp;"|"&amp;LLM_Data_Entry!$D$3:$D$548,0),0))),"")</f>
        <v>YES</v>
      </c>
      <c r="AB121" t="s">
        <v>807</v>
      </c>
      <c r="AC121" t="s">
        <v>977</v>
      </c>
      <c r="AD121" t="s">
        <v>985</v>
      </c>
      <c r="AE121">
        <v>25.428100000000001</v>
      </c>
      <c r="AF121" t="s">
        <v>731</v>
      </c>
      <c r="AG121">
        <v>25.708500000000001</v>
      </c>
      <c r="AH121">
        <v>1.1026653282446451E-2</v>
      </c>
      <c r="AI121" t="s">
        <v>579</v>
      </c>
      <c r="AJ121" t="s">
        <v>546</v>
      </c>
      <c r="AK121">
        <v>1.0026999999999999E-2</v>
      </c>
      <c r="AL121" t="str">
        <f>IF($A121="","",IFERROR(INDEX(Company_List!$G$3:$G$207,MATCH($A121,Company_List!$A$3:$A$207,0)),"unassigned"))</f>
        <v>P2</v>
      </c>
      <c r="AM121" t="s">
        <v>986</v>
      </c>
      <c r="AO121" t="s">
        <v>548</v>
      </c>
      <c r="AP121" t="str">
        <f>IF($A121="","",IF(COUNTIFS(LLM_Data_Entry!$A$3:$A$548,$A121)&gt;0,"YES","NO"))</f>
        <v>YES</v>
      </c>
      <c r="AQ121" t="str">
        <f>IF($A121="","",IF(COUNTIFS($A$3:$A121,$A121,$C$3:$C121,$C121,$D$3:$D121,$D121)=1,"YES","NO"))</f>
        <v>YES</v>
      </c>
      <c r="AR121" t="str">
        <f>IF($A121="","",IF(AND($C121&amp;"-"&amp;$D121&gt;=Settings!$B$19,$C121&amp;"-"&amp;$D121&lt;=Settings!$B$20),"IN","OUT"))</f>
        <v>IN</v>
      </c>
      <c r="AS121" t="str">
        <f t="shared" si="16"/>
        <v>transcript only</v>
      </c>
      <c r="AT121">
        <f t="shared" si="17"/>
        <v>9.9999999999999985E-3</v>
      </c>
      <c r="AU121">
        <f t="shared" si="18"/>
        <v>1.0026999999999999E-2</v>
      </c>
      <c r="AV121">
        <f>IF(ISNUMBER($AT121),ABS(IF(ISNUMBER($I121),$I121,0)-Settings!$B$24),"")</f>
        <v>0.7</v>
      </c>
      <c r="AW121">
        <f t="shared" si="19"/>
        <v>6.9999999999999984E-3</v>
      </c>
      <c r="AX121">
        <f>IF(ISNUMBER($AU121),ABS(IF(ISNUMBER($I121),$I121,0)-Settings!$B$24),"")</f>
        <v>0.7</v>
      </c>
      <c r="AY121" t="s">
        <v>549</v>
      </c>
      <c r="AZ121" t="str">
        <f>IF($A121="","",IFERROR(INDEX(Company_List!$H$3:$H$207,MATCH($A121,Company_List!$A$3:$A$207,0)),"unassigned"))</f>
        <v>Health Care</v>
      </c>
      <c r="BC121">
        <f>IF($A121="","",IF(COUNTIFS($A$3:$A121,$A121,$C$3:$C121,$C121,$D$3:$D121,$D121,$G$3:$G121,$G121)=1,1,0))</f>
        <v>1</v>
      </c>
      <c r="BG121" t="s">
        <v>550</v>
      </c>
      <c r="BK121">
        <f t="shared" si="20"/>
        <v>0</v>
      </c>
      <c r="BL121" t="s">
        <v>551</v>
      </c>
      <c r="BM121">
        <v>1</v>
      </c>
      <c r="BN121" t="s">
        <v>788</v>
      </c>
      <c r="BO121" t="s">
        <v>553</v>
      </c>
      <c r="BP121" t="s">
        <v>550</v>
      </c>
      <c r="BQ121" t="s">
        <v>550</v>
      </c>
      <c r="BS121" t="s">
        <v>554</v>
      </c>
    </row>
    <row r="122" spans="1:71" ht="16.25" customHeight="1" x14ac:dyDescent="0.2">
      <c r="A122" s="95" t="s">
        <v>987</v>
      </c>
      <c r="B122" s="96" t="str">
        <f>IF(A122="","",_xlfn.XLOOKUP(A122, Company_List!$A:$A, Company_List!$B:$B, ""))</f>
        <v>MSFT</v>
      </c>
      <c r="C122" s="21">
        <v>2025</v>
      </c>
      <c r="D122" s="20" t="s">
        <v>537</v>
      </c>
      <c r="E122" s="19" t="s">
        <v>647</v>
      </c>
      <c r="F122" s="19" t="s">
        <v>538</v>
      </c>
      <c r="G122" s="20" t="s">
        <v>712</v>
      </c>
      <c r="H122" s="20" t="s">
        <v>540</v>
      </c>
      <c r="I122" s="127">
        <v>0.1</v>
      </c>
      <c r="J122" s="145" t="str">
        <f>IF(OR(I122="",Settings!$B$6=""),"",IF(I122&gt;Settings!$B$6,"BUY",IF(I122&lt;-Settings!$B$6,"SELL","HOLD")))</f>
        <v>HOLD</v>
      </c>
      <c r="K122" s="139">
        <v>70</v>
      </c>
      <c r="L122" s="123">
        <v>45777</v>
      </c>
      <c r="M122" s="123">
        <v>45595</v>
      </c>
      <c r="N122" s="127">
        <v>432.53</v>
      </c>
      <c r="O122" s="123">
        <v>45596</v>
      </c>
      <c r="P122" s="22">
        <v>415.36</v>
      </c>
      <c r="Q122" s="148">
        <f t="shared" si="21"/>
        <v>-3.9699999999999999E-2</v>
      </c>
      <c r="R122" s="20" t="str">
        <f>IF(OR(N122="",P122=""),"",IF(Q122&gt;Settings!$B$3/100,"UP",IF(Q122&lt;-Settings!$B$3/100,"DOWN","FLAT")))</f>
        <v>DOWN</v>
      </c>
      <c r="S122" s="20" t="str">
        <f t="shared" si="12"/>
        <v>NO</v>
      </c>
      <c r="T122" s="21">
        <f t="shared" si="13"/>
        <v>0</v>
      </c>
      <c r="U122" s="148">
        <f>IFERROR(IF(OR(J122="",N122="",P122=""),"",IF(T122=0,0,T122*Q122-Settings!$B$4/10000-IF(T122&lt;0,Settings!$B$5/10000,0))),"")</f>
        <v>0</v>
      </c>
      <c r="V122" s="23"/>
      <c r="W122" s="21">
        <f t="shared" si="14"/>
        <v>4200</v>
      </c>
      <c r="X122" s="91" t="str">
        <f t="shared" si="15"/>
        <v>Microsoft|2025|Q1</v>
      </c>
      <c r="Y122" s="91" t="str">
        <f>IFERROR(IF($X122="","",INDEX(LLM_Data_Entry!$H$3:$H$548,MATCH($X122,INDEX(LLM_Data_Entry!$A$3:$A$548&amp;"|"&amp;LLM_Data_Entry!$C$3:$C$548&amp;"|"&amp;LLM_Data_Entry!$D$3:$D$548,0),0))),"")</f>
        <v>HOLD</v>
      </c>
      <c r="Z122" s="91" t="str">
        <f>IFERROR(IF($X122="","",INDEX(LLM_Data_Entry!$R$3:$R$548,MATCH($X122,INDEX(LLM_Data_Entry!$A$3:$A$548&amp;"|"&amp;LLM_Data_Entry!$C$3:$C$548&amp;"|"&amp;LLM_Data_Entry!$D$3:$D$548,0),0))),"")</f>
        <v>NO</v>
      </c>
      <c r="AB122" t="s">
        <v>685</v>
      </c>
      <c r="AC122" t="s">
        <v>988</v>
      </c>
      <c r="AD122" t="s">
        <v>989</v>
      </c>
      <c r="AE122">
        <v>426.60520000000002</v>
      </c>
      <c r="AF122" t="s">
        <v>990</v>
      </c>
      <c r="AG122">
        <v>409.6703</v>
      </c>
      <c r="AH122">
        <v>-3.9696777796284291E-2</v>
      </c>
      <c r="AI122" t="s">
        <v>545</v>
      </c>
      <c r="AJ122" t="s">
        <v>546</v>
      </c>
      <c r="AK122">
        <v>0</v>
      </c>
      <c r="AL122" t="str">
        <f>IF($A122="","",IFERROR(INDEX(Company_List!$G$3:$G$207,MATCH($A122,Company_List!$A$3:$A$207,0)),"unassigned"))</f>
        <v>P2</v>
      </c>
      <c r="AM122" t="s">
        <v>991</v>
      </c>
      <c r="AN122" t="s">
        <v>992</v>
      </c>
      <c r="AO122" t="s">
        <v>560</v>
      </c>
      <c r="AP122" t="str">
        <f>IF($A122="","",IF(COUNTIFS(LLM_Data_Entry!$A$3:$A$548,$A122)&gt;0,"YES","NO"))</f>
        <v>YES</v>
      </c>
      <c r="AQ122" t="str">
        <f>IF($A122="","",IF(COUNTIFS($A$3:$A122,$A122,$C$3:$C122,$C122,$D$3:$D122,$D122)=1,"YES","NO"))</f>
        <v>YES</v>
      </c>
      <c r="AR122" t="str">
        <f>IF($A122="","",IF(AND($C122&amp;"-"&amp;$D122&gt;=Settings!$B$19,$C122&amp;"-"&amp;$D122&lt;=Settings!$B$20),"IN","OUT"))</f>
        <v>IN</v>
      </c>
      <c r="AS122" t="str">
        <f t="shared" si="16"/>
        <v>transcript only</v>
      </c>
      <c r="AT122" t="str">
        <f t="shared" si="17"/>
        <v/>
      </c>
      <c r="AU122" t="str">
        <f t="shared" si="18"/>
        <v/>
      </c>
      <c r="AV122" t="str">
        <f>IF(ISNUMBER($AT122),ABS(IF(ISNUMBER($I122),$I122,0)-Settings!$B$24),"")</f>
        <v/>
      </c>
      <c r="AW122" t="str">
        <f t="shared" si="19"/>
        <v/>
      </c>
      <c r="AX122" t="str">
        <f>IF(ISNUMBER($AU122),ABS(IF(ISNUMBER($I122),$I122,0)-Settings!$B$24),"")</f>
        <v/>
      </c>
      <c r="AY122" t="s">
        <v>549</v>
      </c>
      <c r="AZ122" t="str">
        <f>IF($A122="","",IFERROR(INDEX(Company_List!$H$3:$H$207,MATCH($A122,Company_List!$A$3:$A$207,0)),"unassigned"))</f>
        <v>Information Technology</v>
      </c>
      <c r="BC122">
        <f>IF($A122="","",IF(COUNTIFS($A$3:$A122,$A122,$C$3:$C122,$C122,$D$3:$D122,$D122,$G$3:$G122,$G122)=1,1,0))</f>
        <v>1</v>
      </c>
      <c r="BG122" t="s">
        <v>550</v>
      </c>
      <c r="BK122">
        <f t="shared" si="20"/>
        <v>1</v>
      </c>
      <c r="BL122" t="s">
        <v>551</v>
      </c>
      <c r="BM122">
        <v>1</v>
      </c>
      <c r="BN122" t="s">
        <v>561</v>
      </c>
      <c r="BO122" t="s">
        <v>561</v>
      </c>
      <c r="BP122" t="s">
        <v>550</v>
      </c>
      <c r="BQ122" t="s">
        <v>562</v>
      </c>
      <c r="BS122" t="s">
        <v>554</v>
      </c>
    </row>
    <row r="123" spans="1:71" ht="16.25" customHeight="1" x14ac:dyDescent="0.2">
      <c r="A123" s="95" t="s">
        <v>987</v>
      </c>
      <c r="B123" s="96" t="str">
        <f>IF(A123="","",_xlfn.XLOOKUP(A123, Company_List!$A:$A, Company_List!$B:$B, ""))</f>
        <v>MSFT</v>
      </c>
      <c r="C123" s="21">
        <v>2025</v>
      </c>
      <c r="D123" s="20" t="s">
        <v>555</v>
      </c>
      <c r="E123" s="19" t="s">
        <v>647</v>
      </c>
      <c r="F123" s="19" t="s">
        <v>538</v>
      </c>
      <c r="G123" s="20" t="s">
        <v>712</v>
      </c>
      <c r="H123" s="20" t="s">
        <v>540</v>
      </c>
      <c r="I123" s="127">
        <v>-0.6</v>
      </c>
      <c r="J123" s="145" t="str">
        <f>IF(OR(I123="",Settings!$B$6=""),"",IF(I123&gt;Settings!$B$6,"BUY",IF(I123&lt;-Settings!$B$6,"SELL","HOLD")))</f>
        <v>SELL</v>
      </c>
      <c r="K123" s="139">
        <v>55</v>
      </c>
      <c r="L123" s="123">
        <v>45868</v>
      </c>
      <c r="M123" s="123">
        <v>45686</v>
      </c>
      <c r="N123" s="127">
        <v>442.33</v>
      </c>
      <c r="O123" s="123">
        <v>45687</v>
      </c>
      <c r="P123" s="22">
        <v>418.77</v>
      </c>
      <c r="Q123" s="148">
        <f t="shared" si="21"/>
        <v>-5.33E-2</v>
      </c>
      <c r="R123" s="20" t="str">
        <f>IF(OR(N123="",P123=""),"",IF(Q123&gt;Settings!$B$3/100,"UP",IF(Q123&lt;-Settings!$B$3/100,"DOWN","FLAT")))</f>
        <v>DOWN</v>
      </c>
      <c r="S123" s="20" t="str">
        <f t="shared" si="12"/>
        <v>YES</v>
      </c>
      <c r="T123" s="21">
        <f t="shared" si="13"/>
        <v>-1</v>
      </c>
      <c r="U123" s="148">
        <f>IFERROR(IF(OR(J123="",N123="",P123=""),"",IF(T123=0,0,T123*Q123-Settings!$B$4/10000-IF(T123&lt;0,Settings!$B$5/10000,0))),"")</f>
        <v>5.2299999999999999E-2</v>
      </c>
      <c r="V123" s="23"/>
      <c r="W123" s="21">
        <f t="shared" si="14"/>
        <v>3300</v>
      </c>
      <c r="X123" s="91" t="str">
        <f t="shared" si="15"/>
        <v>Microsoft|2025|Q2</v>
      </c>
      <c r="Y123" s="91" t="str">
        <f>IFERROR(IF($X123="","",INDEX(LLM_Data_Entry!$H$3:$H$548,MATCH($X123,INDEX(LLM_Data_Entry!$A$3:$A$548&amp;"|"&amp;LLM_Data_Entry!$C$3:$C$548&amp;"|"&amp;LLM_Data_Entry!$D$3:$D$548,0),0))),"")</f>
        <v>BUY</v>
      </c>
      <c r="Z123" s="91" t="str">
        <f>IFERROR(IF($X123="","",INDEX(LLM_Data_Entry!$R$3:$R$548,MATCH($X123,INDEX(LLM_Data_Entry!$A$3:$A$548&amp;"|"&amp;LLM_Data_Entry!$C$3:$C$548&amp;"|"&amp;LLM_Data_Entry!$D$3:$D$548,0),0))),"")</f>
        <v>NO</v>
      </c>
      <c r="AB123" t="s">
        <v>541</v>
      </c>
      <c r="AC123" t="s">
        <v>988</v>
      </c>
      <c r="AD123" t="s">
        <v>993</v>
      </c>
      <c r="AE123">
        <v>437.14420000000001</v>
      </c>
      <c r="AF123" t="s">
        <v>994</v>
      </c>
      <c r="AG123">
        <v>413.86040000000003</v>
      </c>
      <c r="AH123">
        <v>-5.3263473442787597E-2</v>
      </c>
      <c r="AI123" t="s">
        <v>545</v>
      </c>
      <c r="AJ123" t="s">
        <v>554</v>
      </c>
      <c r="AK123">
        <v>5.2262999999999997E-2</v>
      </c>
      <c r="AL123" t="str">
        <f>IF($A123="","",IFERROR(INDEX(Company_List!$G$3:$G$207,MATCH($A123,Company_List!$A$3:$A$207,0)),"unassigned"))</f>
        <v>P2</v>
      </c>
      <c r="AM123" t="s">
        <v>995</v>
      </c>
      <c r="AN123" t="s">
        <v>996</v>
      </c>
      <c r="AO123" t="s">
        <v>560</v>
      </c>
      <c r="AP123" t="str">
        <f>IF($A123="","",IF(COUNTIFS(LLM_Data_Entry!$A$3:$A$548,$A123)&gt;0,"YES","NO"))</f>
        <v>YES</v>
      </c>
      <c r="AQ123" t="str">
        <f>IF($A123="","",IF(COUNTIFS($A$3:$A123,$A123,$C$3:$C123,$C123,$D$3:$D123,$D123)=1,"YES","NO"))</f>
        <v>YES</v>
      </c>
      <c r="AR123" t="str">
        <f>IF($A123="","",IF(AND($C123&amp;"-"&amp;$D123&gt;=Settings!$B$19,$C123&amp;"-"&amp;$D123&lt;=Settings!$B$20),"IN","OUT"))</f>
        <v>IN</v>
      </c>
      <c r="AS123" t="str">
        <f t="shared" si="16"/>
        <v>transcript only</v>
      </c>
      <c r="AT123">
        <f t="shared" si="17"/>
        <v>5.2299999999999999E-2</v>
      </c>
      <c r="AU123">
        <f t="shared" si="18"/>
        <v>5.2262999999999997E-2</v>
      </c>
      <c r="AV123">
        <f>IF(ISNUMBER($AT123),ABS(IF(ISNUMBER($I123),$I123,0)-Settings!$B$24),"")</f>
        <v>0.6</v>
      </c>
      <c r="AW123">
        <f t="shared" si="19"/>
        <v>3.1379999999999998E-2</v>
      </c>
      <c r="AX123">
        <f>IF(ISNUMBER($AU123),ABS(IF(ISNUMBER($I123),$I123,0)-Settings!$B$24),"")</f>
        <v>0.6</v>
      </c>
      <c r="AY123" t="s">
        <v>549</v>
      </c>
      <c r="AZ123" t="str">
        <f>IF($A123="","",IFERROR(INDEX(Company_List!$H$3:$H$207,MATCH($A123,Company_List!$A$3:$A$207,0)),"unassigned"))</f>
        <v>Information Technology</v>
      </c>
      <c r="BC123">
        <f>IF($A123="","",IF(COUNTIFS($A$3:$A123,$A123,$C$3:$C123,$C123,$D$3:$D123,$D123,$G$3:$G123,$G123)=1,1,0))</f>
        <v>1</v>
      </c>
      <c r="BG123" t="s">
        <v>550</v>
      </c>
      <c r="BK123">
        <f t="shared" si="20"/>
        <v>0</v>
      </c>
      <c r="BL123" t="s">
        <v>551</v>
      </c>
      <c r="BM123">
        <v>1</v>
      </c>
      <c r="BN123" t="s">
        <v>595</v>
      </c>
      <c r="BO123" t="s">
        <v>596</v>
      </c>
      <c r="BP123" t="s">
        <v>550</v>
      </c>
      <c r="BQ123" t="s">
        <v>562</v>
      </c>
      <c r="BS123" t="s">
        <v>554</v>
      </c>
    </row>
    <row r="124" spans="1:71" ht="16.25" customHeight="1" x14ac:dyDescent="0.2">
      <c r="A124" s="95" t="s">
        <v>987</v>
      </c>
      <c r="B124" s="96" t="str">
        <f>IF(A124="","",_xlfn.XLOOKUP(A124, Company_List!$A:$A, Company_List!$B:$B, ""))</f>
        <v>MSFT</v>
      </c>
      <c r="C124" s="21">
        <v>2026</v>
      </c>
      <c r="D124" s="20" t="s">
        <v>537</v>
      </c>
      <c r="E124" s="19" t="s">
        <v>647</v>
      </c>
      <c r="F124" s="19" t="s">
        <v>538</v>
      </c>
      <c r="G124" s="20" t="s">
        <v>712</v>
      </c>
      <c r="H124" s="20" t="s">
        <v>540</v>
      </c>
      <c r="I124" s="127">
        <v>-0.4</v>
      </c>
      <c r="J124" s="145" t="str">
        <f>IF(OR(I124="",Settings!$B$6=""),"",IF(I124&gt;Settings!$B$6,"BUY",IF(I124&lt;-Settings!$B$6,"SELL","HOLD")))</f>
        <v>SELL</v>
      </c>
      <c r="K124" s="139">
        <v>46</v>
      </c>
      <c r="L124" s="123">
        <v>46141</v>
      </c>
      <c r="M124" s="123">
        <v>45959</v>
      </c>
      <c r="N124" s="127">
        <v>541.54999999999995</v>
      </c>
      <c r="O124" s="123">
        <v>45960</v>
      </c>
      <c r="P124" s="22">
        <v>530.48</v>
      </c>
      <c r="Q124" s="148">
        <f t="shared" si="21"/>
        <v>-2.0400000000000001E-2</v>
      </c>
      <c r="R124" s="20" t="str">
        <f>IF(OR(N124="",P124=""),"",IF(Q124&gt;Settings!$B$3/100,"UP",IF(Q124&lt;-Settings!$B$3/100,"DOWN","FLAT")))</f>
        <v>DOWN</v>
      </c>
      <c r="S124" s="20" t="str">
        <f t="shared" si="12"/>
        <v>YES</v>
      </c>
      <c r="T124" s="21">
        <f t="shared" si="13"/>
        <v>-1</v>
      </c>
      <c r="U124" s="148">
        <f>IFERROR(IF(OR(J124="",N124="",P124=""),"",IF(T124=0,0,T124*Q124-Settings!$B$4/10000-IF(T124&lt;0,Settings!$B$5/10000,0))),"")</f>
        <v>1.9400000000000001E-2</v>
      </c>
      <c r="V124" s="23"/>
      <c r="W124" s="21">
        <f t="shared" si="14"/>
        <v>2760</v>
      </c>
      <c r="X124" s="91" t="str">
        <f t="shared" si="15"/>
        <v>Microsoft|2026|Q1</v>
      </c>
      <c r="Y124" s="91" t="str">
        <f>IFERROR(IF($X124="","",INDEX(LLM_Data_Entry!$H$3:$H$548,MATCH($X124,INDEX(LLM_Data_Entry!$A$3:$A$548&amp;"|"&amp;LLM_Data_Entry!$C$3:$C$548&amp;"|"&amp;LLM_Data_Entry!$D$3:$D$548,0),0))),"")</f>
        <v>BUY</v>
      </c>
      <c r="Z124" s="91" t="str">
        <f>IFERROR(IF($X124="","",INDEX(LLM_Data_Entry!$R$3:$R$548,MATCH($X124,INDEX(LLM_Data_Entry!$A$3:$A$548&amp;"|"&amp;LLM_Data_Entry!$C$3:$C$548&amp;"|"&amp;LLM_Data_Entry!$D$3:$D$548,0),0))),"")</f>
        <v>NO</v>
      </c>
      <c r="AB124" t="s">
        <v>541</v>
      </c>
      <c r="AC124" t="s">
        <v>988</v>
      </c>
      <c r="AD124" t="s">
        <v>626</v>
      </c>
      <c r="AE124">
        <v>538.14179999999999</v>
      </c>
      <c r="AF124" t="s">
        <v>660</v>
      </c>
      <c r="AG124">
        <v>527.14149999999995</v>
      </c>
      <c r="AH124">
        <v>-2.0441241690054662E-2</v>
      </c>
      <c r="AI124" t="s">
        <v>545</v>
      </c>
      <c r="AJ124" t="s">
        <v>554</v>
      </c>
      <c r="AK124">
        <v>1.9441E-2</v>
      </c>
      <c r="AL124" t="str">
        <f>IF($A124="","",IFERROR(INDEX(Company_List!$G$3:$G$207,MATCH($A124,Company_List!$A$3:$A$207,0)),"unassigned"))</f>
        <v>P2</v>
      </c>
      <c r="AM124" t="s">
        <v>997</v>
      </c>
      <c r="AN124" t="s">
        <v>998</v>
      </c>
      <c r="AO124" t="s">
        <v>560</v>
      </c>
      <c r="AP124" t="str">
        <f>IF($A124="","",IF(COUNTIFS(LLM_Data_Entry!$A$3:$A$548,$A124)&gt;0,"YES","NO"))</f>
        <v>YES</v>
      </c>
      <c r="AQ124" t="str">
        <f>IF($A124="","",IF(COUNTIFS($A$3:$A124,$A124,$C$3:$C124,$C124,$D$3:$D124,$D124)=1,"YES","NO"))</f>
        <v>YES</v>
      </c>
      <c r="AR124" t="str">
        <f>IF($A124="","",IF(AND($C124&amp;"-"&amp;$D124&gt;=Settings!$B$19,$C124&amp;"-"&amp;$D124&lt;=Settings!$B$20),"IN","OUT"))</f>
        <v>IN</v>
      </c>
      <c r="AS124" t="str">
        <f t="shared" si="16"/>
        <v>transcript only</v>
      </c>
      <c r="AT124">
        <f t="shared" si="17"/>
        <v>1.9400000000000001E-2</v>
      </c>
      <c r="AU124">
        <f t="shared" si="18"/>
        <v>1.9441E-2</v>
      </c>
      <c r="AV124">
        <f>IF(ISNUMBER($AT124),ABS(IF(ISNUMBER($I124),$I124,0)-Settings!$B$24),"")</f>
        <v>0.4</v>
      </c>
      <c r="AW124">
        <f t="shared" si="19"/>
        <v>7.7600000000000004E-3</v>
      </c>
      <c r="AX124">
        <f>IF(ISNUMBER($AU124),ABS(IF(ISNUMBER($I124),$I124,0)-Settings!$B$24),"")</f>
        <v>0.4</v>
      </c>
      <c r="AY124" t="s">
        <v>549</v>
      </c>
      <c r="AZ124" t="str">
        <f>IF($A124="","",IFERROR(INDEX(Company_List!$H$3:$H$207,MATCH($A124,Company_List!$A$3:$A$207,0)),"unassigned"))</f>
        <v>Information Technology</v>
      </c>
      <c r="BC124">
        <f>IF($A124="","",IF(COUNTIFS($A$3:$A124,$A124,$C$3:$C124,$C124,$D$3:$D124,$D124,$G$3:$G124,$G124)=1,1,0))</f>
        <v>1</v>
      </c>
      <c r="BG124" t="s">
        <v>550</v>
      </c>
      <c r="BK124">
        <f t="shared" si="20"/>
        <v>0</v>
      </c>
      <c r="BL124" t="s">
        <v>551</v>
      </c>
      <c r="BM124">
        <v>1</v>
      </c>
      <c r="BN124" t="s">
        <v>561</v>
      </c>
      <c r="BO124" t="s">
        <v>561</v>
      </c>
      <c r="BP124" t="s">
        <v>550</v>
      </c>
      <c r="BQ124" t="s">
        <v>562</v>
      </c>
      <c r="BS124" t="s">
        <v>554</v>
      </c>
    </row>
    <row r="125" spans="1:71" ht="16.25" customHeight="1" x14ac:dyDescent="0.2">
      <c r="A125" s="95" t="s">
        <v>999</v>
      </c>
      <c r="B125" s="96" t="str">
        <f>IF(A125="","",_xlfn.XLOOKUP(A125, Company_List!$A:$A, Company_List!$B:$B, ""))</f>
        <v>F</v>
      </c>
      <c r="C125" s="21">
        <v>2025</v>
      </c>
      <c r="D125" s="20" t="s">
        <v>555</v>
      </c>
      <c r="E125" s="19" t="s">
        <v>647</v>
      </c>
      <c r="F125" s="19" t="s">
        <v>538</v>
      </c>
      <c r="G125" s="20" t="s">
        <v>712</v>
      </c>
      <c r="H125" s="20" t="s">
        <v>540</v>
      </c>
      <c r="I125" s="127">
        <v>-0.1</v>
      </c>
      <c r="J125" s="145" t="str">
        <f>IF(OR(I125="",Settings!$B$6=""),"",IF(I125&gt;Settings!$B$6,"BUY",IF(I125&lt;-Settings!$B$6,"SELL","HOLD")))</f>
        <v>HOLD</v>
      </c>
      <c r="K125" s="139">
        <v>58</v>
      </c>
      <c r="L125" s="123">
        <v>45868</v>
      </c>
      <c r="M125" s="123">
        <v>45868</v>
      </c>
      <c r="N125" s="127">
        <v>10.87</v>
      </c>
      <c r="O125" s="123">
        <v>45869</v>
      </c>
      <c r="P125" s="22">
        <v>10.77</v>
      </c>
      <c r="Q125" s="148">
        <f t="shared" si="21"/>
        <v>-9.1999999999999998E-3</v>
      </c>
      <c r="R125" s="20" t="str">
        <f>IF(OR(N125="",P125=""),"",IF(Q125&gt;Settings!$B$3/100,"UP",IF(Q125&lt;-Settings!$B$3/100,"DOWN","FLAT")))</f>
        <v>FLAT</v>
      </c>
      <c r="S125" s="20" t="str">
        <f t="shared" si="12"/>
        <v>YES</v>
      </c>
      <c r="T125" s="21">
        <f t="shared" si="13"/>
        <v>0</v>
      </c>
      <c r="U125" s="148">
        <f>IFERROR(IF(OR(J125="",N125="",P125=""),"",IF(T125=0,0,T125*Q125-Settings!$B$4/10000-IF(T125&lt;0,Settings!$B$5/10000,0))),"")</f>
        <v>0</v>
      </c>
      <c r="V125" s="23"/>
      <c r="W125" s="21">
        <f t="shared" si="14"/>
        <v>3480</v>
      </c>
      <c r="X125" s="91" t="str">
        <f t="shared" si="15"/>
        <v>Ford|2025|Q2</v>
      </c>
      <c r="Y125" s="91" t="str">
        <f>IFERROR(IF($X125="","",INDEX(LLM_Data_Entry!$H$3:$H$548,MATCH($X125,INDEX(LLM_Data_Entry!$A$3:$A$548&amp;"|"&amp;LLM_Data_Entry!$C$3:$C$548&amp;"|"&amp;LLM_Data_Entry!$D$3:$D$548,0),0))),"")</f>
        <v>SELL</v>
      </c>
      <c r="Z125" s="91" t="str">
        <f>IFERROR(IF($X125="","",INDEX(LLM_Data_Entry!$R$3:$R$548,MATCH($X125,INDEX(LLM_Data_Entry!$A$3:$A$548&amp;"|"&amp;LLM_Data_Entry!$C$3:$C$548&amp;"|"&amp;LLM_Data_Entry!$D$3:$D$548,0),0))),"")</f>
        <v>NO</v>
      </c>
      <c r="AB125" t="s">
        <v>541</v>
      </c>
      <c r="AC125" t="s">
        <v>1000</v>
      </c>
      <c r="AD125" t="s">
        <v>1001</v>
      </c>
      <c r="AE125">
        <v>10.3591</v>
      </c>
      <c r="AF125" t="s">
        <v>687</v>
      </c>
      <c r="AG125">
        <v>10.2638</v>
      </c>
      <c r="AH125">
        <v>-9.1996037618700538E-3</v>
      </c>
      <c r="AI125" t="s">
        <v>579</v>
      </c>
      <c r="AJ125" t="s">
        <v>554</v>
      </c>
      <c r="AK125">
        <v>0</v>
      </c>
      <c r="AL125" t="str">
        <f>IF($A125="","",IFERROR(INDEX(Company_List!$G$3:$G$207,MATCH($A125,Company_List!$A$3:$A$207,0)),"unassigned"))</f>
        <v>P2</v>
      </c>
      <c r="AM125" t="s">
        <v>1002</v>
      </c>
      <c r="AO125" t="s">
        <v>548</v>
      </c>
      <c r="AP125" t="str">
        <f>IF($A125="","",IF(COUNTIFS(LLM_Data_Entry!$A$3:$A$548,$A125)&gt;0,"YES","NO"))</f>
        <v>YES</v>
      </c>
      <c r="AQ125" t="str">
        <f>IF($A125="","",IF(COUNTIFS($A$3:$A125,$A125,$C$3:$C125,$C125,$D$3:$D125,$D125)=1,"YES","NO"))</f>
        <v>YES</v>
      </c>
      <c r="AR125" t="str">
        <f>IF($A125="","",IF(AND($C125&amp;"-"&amp;$D125&gt;=Settings!$B$19,$C125&amp;"-"&amp;$D125&lt;=Settings!$B$20),"IN","OUT"))</f>
        <v>IN</v>
      </c>
      <c r="AS125" t="str">
        <f t="shared" si="16"/>
        <v>transcript only</v>
      </c>
      <c r="AT125" t="str">
        <f t="shared" si="17"/>
        <v/>
      </c>
      <c r="AU125" t="str">
        <f t="shared" si="18"/>
        <v/>
      </c>
      <c r="AV125" t="str">
        <f>IF(ISNUMBER($AT125),ABS(IF(ISNUMBER($I125),$I125,0)-Settings!$B$24),"")</f>
        <v/>
      </c>
      <c r="AW125" t="str">
        <f t="shared" si="19"/>
        <v/>
      </c>
      <c r="AX125" t="str">
        <f>IF(ISNUMBER($AU125),ABS(IF(ISNUMBER($I125),$I125,0)-Settings!$B$24),"")</f>
        <v/>
      </c>
      <c r="AY125" t="s">
        <v>549</v>
      </c>
      <c r="AZ125" t="str">
        <f>IF($A125="","",IFERROR(INDEX(Company_List!$H$3:$H$207,MATCH($A125,Company_List!$A$3:$A$207,0)),"unassigned"))</f>
        <v>Consumer Discretionary</v>
      </c>
      <c r="BC125">
        <f>IF($A125="","",IF(COUNTIFS($A$3:$A125,$A125,$C$3:$C125,$C125,$D$3:$D125,$D125,$G$3:$G125,$G125)=1,1,0))</f>
        <v>1</v>
      </c>
      <c r="BG125" t="s">
        <v>550</v>
      </c>
      <c r="BK125">
        <f t="shared" si="20"/>
        <v>0</v>
      </c>
      <c r="BL125" t="s">
        <v>551</v>
      </c>
      <c r="BM125">
        <v>1</v>
      </c>
      <c r="BN125" t="s">
        <v>561</v>
      </c>
      <c r="BO125" t="s">
        <v>561</v>
      </c>
      <c r="BP125" t="s">
        <v>550</v>
      </c>
      <c r="BQ125" t="s">
        <v>550</v>
      </c>
      <c r="BS125" t="s">
        <v>554</v>
      </c>
    </row>
    <row r="126" spans="1:71" ht="16.25" customHeight="1" x14ac:dyDescent="0.2">
      <c r="A126" s="95" t="s">
        <v>999</v>
      </c>
      <c r="B126" s="96" t="str">
        <f>IF(A126="","",_xlfn.XLOOKUP(A126, Company_List!$A:$A, Company_List!$B:$B, ""))</f>
        <v>F</v>
      </c>
      <c r="C126" s="21">
        <v>2025</v>
      </c>
      <c r="D126" s="20" t="s">
        <v>569</v>
      </c>
      <c r="E126" s="19" t="s">
        <v>647</v>
      </c>
      <c r="F126" s="19" t="s">
        <v>538</v>
      </c>
      <c r="G126" s="20" t="s">
        <v>712</v>
      </c>
      <c r="H126" s="20" t="s">
        <v>540</v>
      </c>
      <c r="I126" s="127">
        <v>0.2</v>
      </c>
      <c r="J126" s="145" t="str">
        <f>IF(OR(I126="",Settings!$B$6=""),"",IF(I126&gt;Settings!$B$6,"BUY",IF(I126&lt;-Settings!$B$6,"SELL","HOLD")))</f>
        <v>HOLD</v>
      </c>
      <c r="K126" s="139">
        <v>48</v>
      </c>
      <c r="L126" s="123">
        <v>46063</v>
      </c>
      <c r="M126" s="123">
        <v>46063</v>
      </c>
      <c r="N126" s="127">
        <v>13.57</v>
      </c>
      <c r="O126" s="123">
        <v>46064</v>
      </c>
      <c r="P126" s="22">
        <v>13.62</v>
      </c>
      <c r="Q126" s="148">
        <f t="shared" si="21"/>
        <v>3.7000000000000002E-3</v>
      </c>
      <c r="R126" s="20" t="str">
        <f>IF(OR(N126="",P126=""),"",IF(Q126&gt;Settings!$B$3/100,"UP",IF(Q126&lt;-Settings!$B$3/100,"DOWN","FLAT")))</f>
        <v>FLAT</v>
      </c>
      <c r="S126" s="20" t="str">
        <f t="shared" si="12"/>
        <v>YES</v>
      </c>
      <c r="T126" s="21">
        <f t="shared" si="13"/>
        <v>0</v>
      </c>
      <c r="U126" s="148">
        <f>IFERROR(IF(OR(J126="",N126="",P126=""),"",IF(T126=0,0,T126*Q126-Settings!$B$4/10000-IF(T126&lt;0,Settings!$B$5/10000,0))),"")</f>
        <v>0</v>
      </c>
      <c r="V126" s="23"/>
      <c r="W126" s="21">
        <f t="shared" si="14"/>
        <v>2880</v>
      </c>
      <c r="X126" s="91" t="str">
        <f t="shared" si="15"/>
        <v>Ford|2025|Q4</v>
      </c>
      <c r="Y126" s="91" t="str">
        <f>IFERROR(IF($X126="","",INDEX(LLM_Data_Entry!$H$3:$H$548,MATCH($X126,INDEX(LLM_Data_Entry!$A$3:$A$548&amp;"|"&amp;LLM_Data_Entry!$C$3:$C$548&amp;"|"&amp;LLM_Data_Entry!$D$3:$D$548,0),0))),"")</f>
        <v>BUY</v>
      </c>
      <c r="Z126" s="91" t="str">
        <f>IFERROR(IF($X126="","",INDEX(LLM_Data_Entry!$R$3:$R$548,MATCH($X126,INDEX(LLM_Data_Entry!$A$3:$A$548&amp;"|"&amp;LLM_Data_Entry!$C$3:$C$548&amp;"|"&amp;LLM_Data_Entry!$D$3:$D$548,0),0))),"")</f>
        <v>NO</v>
      </c>
      <c r="AB126" t="s">
        <v>807</v>
      </c>
      <c r="AC126" t="s">
        <v>1000</v>
      </c>
      <c r="AD126" t="s">
        <v>705</v>
      </c>
      <c r="AE126">
        <v>13.2575</v>
      </c>
      <c r="AF126" t="s">
        <v>676</v>
      </c>
      <c r="AG126">
        <v>13.3063</v>
      </c>
      <c r="AH126">
        <v>3.6846837062562941E-3</v>
      </c>
      <c r="AI126" t="s">
        <v>579</v>
      </c>
      <c r="AJ126" t="s">
        <v>554</v>
      </c>
      <c r="AK126">
        <v>0</v>
      </c>
      <c r="AL126" t="str">
        <f>IF($A126="","",IFERROR(INDEX(Company_List!$G$3:$G$207,MATCH($A126,Company_List!$A$3:$A$207,0)),"unassigned"))</f>
        <v>P2</v>
      </c>
      <c r="AM126" t="s">
        <v>1003</v>
      </c>
      <c r="AO126" t="s">
        <v>548</v>
      </c>
      <c r="AP126" t="str">
        <f>IF($A126="","",IF(COUNTIFS(LLM_Data_Entry!$A$3:$A$548,$A126)&gt;0,"YES","NO"))</f>
        <v>YES</v>
      </c>
      <c r="AQ126" t="str">
        <f>IF($A126="","",IF(COUNTIFS($A$3:$A126,$A126,$C$3:$C126,$C126,$D$3:$D126,$D126)=1,"YES","NO"))</f>
        <v>YES</v>
      </c>
      <c r="AR126" t="str">
        <f>IF($A126="","",IF(AND($C126&amp;"-"&amp;$D126&gt;=Settings!$B$19,$C126&amp;"-"&amp;$D126&lt;=Settings!$B$20),"IN","OUT"))</f>
        <v>IN</v>
      </c>
      <c r="AS126" t="str">
        <f t="shared" si="16"/>
        <v>transcript only</v>
      </c>
      <c r="AT126" t="str">
        <f t="shared" si="17"/>
        <v/>
      </c>
      <c r="AU126" t="str">
        <f t="shared" si="18"/>
        <v/>
      </c>
      <c r="AV126" t="str">
        <f>IF(ISNUMBER($AT126),ABS(IF(ISNUMBER($I126),$I126,0)-Settings!$B$24),"")</f>
        <v/>
      </c>
      <c r="AW126" t="str">
        <f t="shared" si="19"/>
        <v/>
      </c>
      <c r="AX126" t="str">
        <f>IF(ISNUMBER($AU126),ABS(IF(ISNUMBER($I126),$I126,0)-Settings!$B$24),"")</f>
        <v/>
      </c>
      <c r="AY126" t="s">
        <v>549</v>
      </c>
      <c r="AZ126" t="str">
        <f>IF($A126="","",IFERROR(INDEX(Company_List!$H$3:$H$207,MATCH($A126,Company_List!$A$3:$A$207,0)),"unassigned"))</f>
        <v>Consumer Discretionary</v>
      </c>
      <c r="BC126">
        <f>IF($A126="","",IF(COUNTIFS($A$3:$A126,$A126,$C$3:$C126,$C126,$D$3:$D126,$D126,$G$3:$G126,$G126)=1,1,0))</f>
        <v>1</v>
      </c>
      <c r="BG126" t="s">
        <v>550</v>
      </c>
      <c r="BK126">
        <f t="shared" si="20"/>
        <v>0</v>
      </c>
      <c r="BL126" t="s">
        <v>551</v>
      </c>
      <c r="BM126">
        <v>1</v>
      </c>
      <c r="BN126" t="s">
        <v>561</v>
      </c>
      <c r="BO126" t="s">
        <v>561</v>
      </c>
      <c r="BP126" t="s">
        <v>550</v>
      </c>
      <c r="BQ126" t="s">
        <v>550</v>
      </c>
      <c r="BS126" t="s">
        <v>554</v>
      </c>
    </row>
    <row r="127" spans="1:71" ht="16.25" customHeight="1" x14ac:dyDescent="0.2">
      <c r="A127" s="95" t="s">
        <v>999</v>
      </c>
      <c r="B127" s="96" t="str">
        <f>IF(A127="","",_xlfn.XLOOKUP(A127, Company_List!$A:$A, Company_List!$B:$B, ""))</f>
        <v>F</v>
      </c>
      <c r="C127" s="21">
        <v>2026</v>
      </c>
      <c r="D127" s="20" t="s">
        <v>537</v>
      </c>
      <c r="E127" s="19" t="s">
        <v>647</v>
      </c>
      <c r="F127" s="19" t="s">
        <v>538</v>
      </c>
      <c r="G127" s="20" t="s">
        <v>712</v>
      </c>
      <c r="H127" s="20" t="s">
        <v>540</v>
      </c>
      <c r="I127" s="127">
        <v>-0.3</v>
      </c>
      <c r="J127" s="145" t="str">
        <f>IF(OR(I127="",Settings!$B$6=""),"",IF(I127&gt;Settings!$B$6,"BUY",IF(I127&lt;-Settings!$B$6,"SELL","HOLD")))</f>
        <v>SELL</v>
      </c>
      <c r="K127" s="139">
        <v>50</v>
      </c>
      <c r="L127" s="123">
        <v>46141</v>
      </c>
      <c r="M127" s="123">
        <v>46141</v>
      </c>
      <c r="N127" s="127">
        <v>12.24</v>
      </c>
      <c r="O127" s="123">
        <v>46142</v>
      </c>
      <c r="P127" s="22">
        <v>11.55</v>
      </c>
      <c r="Q127" s="148">
        <f t="shared" si="21"/>
        <v>-5.6399999999999999E-2</v>
      </c>
      <c r="R127" s="20" t="str">
        <f>IF(OR(N127="",P127=""),"",IF(Q127&gt;Settings!$B$3/100,"UP",IF(Q127&lt;-Settings!$B$3/100,"DOWN","FLAT")))</f>
        <v>DOWN</v>
      </c>
      <c r="S127" s="20" t="str">
        <f t="shared" si="12"/>
        <v>YES</v>
      </c>
      <c r="T127" s="21">
        <f t="shared" si="13"/>
        <v>-1</v>
      </c>
      <c r="U127" s="148">
        <f>IFERROR(IF(OR(J127="",N127="",P127=""),"",IF(T127=0,0,T127*Q127-Settings!$B$4/10000-IF(T127&lt;0,Settings!$B$5/10000,0))),"")</f>
        <v>5.5399999999999998E-2</v>
      </c>
      <c r="V127" s="23"/>
      <c r="W127" s="21">
        <f t="shared" si="14"/>
        <v>3000</v>
      </c>
      <c r="X127" s="91" t="str">
        <f t="shared" si="15"/>
        <v>Ford|2026|Q1</v>
      </c>
      <c r="Y127" s="91" t="str">
        <f>IFERROR(IF($X127="","",INDEX(LLM_Data_Entry!$H$3:$H$548,MATCH($X127,INDEX(LLM_Data_Entry!$A$3:$A$548&amp;"|"&amp;LLM_Data_Entry!$C$3:$C$548&amp;"|"&amp;LLM_Data_Entry!$D$3:$D$548,0),0))),"")</f>
        <v>HOLD</v>
      </c>
      <c r="Z127" s="91" t="str">
        <f>IFERROR(IF($X127="","",INDEX(LLM_Data_Entry!$R$3:$R$548,MATCH($X127,INDEX(LLM_Data_Entry!$A$3:$A$548&amp;"|"&amp;LLM_Data_Entry!$C$3:$C$548&amp;"|"&amp;LLM_Data_Entry!$D$3:$D$548,0),0))),"")</f>
        <v>NO</v>
      </c>
      <c r="AB127" t="s">
        <v>541</v>
      </c>
      <c r="AC127" t="s">
        <v>1000</v>
      </c>
      <c r="AD127" t="s">
        <v>656</v>
      </c>
      <c r="AE127">
        <v>12.0876</v>
      </c>
      <c r="AF127" t="s">
        <v>657</v>
      </c>
      <c r="AG127">
        <v>11.4062</v>
      </c>
      <c r="AH127">
        <v>-5.6372604337555518E-2</v>
      </c>
      <c r="AI127" t="s">
        <v>545</v>
      </c>
      <c r="AJ127" t="s">
        <v>554</v>
      </c>
      <c r="AK127">
        <v>5.5372999999999999E-2</v>
      </c>
      <c r="AL127" t="str">
        <f>IF($A127="","",IFERROR(INDEX(Company_List!$G$3:$G$207,MATCH($A127,Company_List!$A$3:$A$207,0)),"unassigned"))</f>
        <v>P2</v>
      </c>
      <c r="AM127" t="s">
        <v>1004</v>
      </c>
      <c r="AO127" t="s">
        <v>548</v>
      </c>
      <c r="AP127" t="str">
        <f>IF($A127="","",IF(COUNTIFS(LLM_Data_Entry!$A$3:$A$548,$A127)&gt;0,"YES","NO"))</f>
        <v>YES</v>
      </c>
      <c r="AQ127" t="str">
        <f>IF($A127="","",IF(COUNTIFS($A$3:$A127,$A127,$C$3:$C127,$C127,$D$3:$D127,$D127)=1,"YES","NO"))</f>
        <v>YES</v>
      </c>
      <c r="AR127" t="str">
        <f>IF($A127="","",IF(AND($C127&amp;"-"&amp;$D127&gt;=Settings!$B$19,$C127&amp;"-"&amp;$D127&lt;=Settings!$B$20),"IN","OUT"))</f>
        <v>IN</v>
      </c>
      <c r="AS127" t="str">
        <f t="shared" si="16"/>
        <v>transcript only</v>
      </c>
      <c r="AT127">
        <f t="shared" si="17"/>
        <v>5.5399999999999998E-2</v>
      </c>
      <c r="AU127">
        <f t="shared" si="18"/>
        <v>5.5372999999999999E-2</v>
      </c>
      <c r="AV127">
        <f>IF(ISNUMBER($AT127),ABS(IF(ISNUMBER($I127),$I127,0)-Settings!$B$24),"")</f>
        <v>0.3</v>
      </c>
      <c r="AW127">
        <f t="shared" si="19"/>
        <v>1.6619999999999999E-2</v>
      </c>
      <c r="AX127">
        <f>IF(ISNUMBER($AU127),ABS(IF(ISNUMBER($I127),$I127,0)-Settings!$B$24),"")</f>
        <v>0.3</v>
      </c>
      <c r="AY127" t="s">
        <v>549</v>
      </c>
      <c r="AZ127" t="str">
        <f>IF($A127="","",IFERROR(INDEX(Company_List!$H$3:$H$207,MATCH($A127,Company_List!$A$3:$A$207,0)),"unassigned"))</f>
        <v>Consumer Discretionary</v>
      </c>
      <c r="BC127">
        <f>IF($A127="","",IF(COUNTIFS($A$3:$A127,$A127,$C$3:$C127,$C127,$D$3:$D127,$D127,$G$3:$G127,$G127)=1,1,0))</f>
        <v>1</v>
      </c>
      <c r="BG127" t="s">
        <v>550</v>
      </c>
      <c r="BK127">
        <f t="shared" si="20"/>
        <v>0</v>
      </c>
      <c r="BL127" t="s">
        <v>551</v>
      </c>
      <c r="BM127">
        <v>1</v>
      </c>
      <c r="BN127" t="s">
        <v>561</v>
      </c>
      <c r="BO127" t="s">
        <v>561</v>
      </c>
      <c r="BP127" t="s">
        <v>550</v>
      </c>
      <c r="BQ127" t="s">
        <v>550</v>
      </c>
      <c r="BS127" t="s">
        <v>554</v>
      </c>
    </row>
    <row r="128" spans="1:71" ht="16.25" customHeight="1" x14ac:dyDescent="0.2">
      <c r="A128" s="95" t="s">
        <v>1005</v>
      </c>
      <c r="B128" s="96" t="str">
        <f>IF(A128="","",_xlfn.XLOOKUP(A128, Company_List!$A:$A, Company_List!$B:$B, ""))</f>
        <v>BCS</v>
      </c>
      <c r="C128" s="21">
        <v>2025</v>
      </c>
      <c r="D128" s="20" t="s">
        <v>555</v>
      </c>
      <c r="E128" s="19" t="s">
        <v>647</v>
      </c>
      <c r="F128" s="19" t="s">
        <v>538</v>
      </c>
      <c r="G128" s="20" t="s">
        <v>712</v>
      </c>
      <c r="H128" s="20" t="s">
        <v>540</v>
      </c>
      <c r="I128" s="127">
        <v>0.4</v>
      </c>
      <c r="J128" s="145" t="str">
        <f>IF(OR(I128="",Settings!$B$6=""),"",IF(I128&gt;Settings!$B$6,"BUY",IF(I128&lt;-Settings!$B$6,"SELL","HOLD")))</f>
        <v>BUY</v>
      </c>
      <c r="K128" s="139">
        <v>41</v>
      </c>
      <c r="L128" s="123">
        <v>45867</v>
      </c>
      <c r="M128" s="123">
        <v>45866</v>
      </c>
      <c r="N128" s="127">
        <v>19.41</v>
      </c>
      <c r="O128" s="123">
        <v>45867</v>
      </c>
      <c r="P128" s="22">
        <v>19.82</v>
      </c>
      <c r="Q128" s="148">
        <f t="shared" si="21"/>
        <v>2.1100000000000001E-2</v>
      </c>
      <c r="R128" s="20" t="str">
        <f>IF(OR(N128="",P128=""),"",IF(Q128&gt;Settings!$B$3/100,"UP",IF(Q128&lt;-Settings!$B$3/100,"DOWN","FLAT")))</f>
        <v>UP</v>
      </c>
      <c r="S128" s="20" t="str">
        <f t="shared" si="12"/>
        <v>YES</v>
      </c>
      <c r="T128" s="21">
        <f t="shared" si="13"/>
        <v>1</v>
      </c>
      <c r="U128" s="148">
        <f>IFERROR(IF(OR(J128="",N128="",P128=""),"",IF(T128=0,0,T128*Q128-Settings!$B$4/10000-IF(T128&lt;0,Settings!$B$5/10000,0))),"")</f>
        <v>2.01E-2</v>
      </c>
      <c r="V128" s="23"/>
      <c r="W128" s="21">
        <f t="shared" si="14"/>
        <v>2460</v>
      </c>
      <c r="X128" s="91" t="str">
        <f t="shared" si="15"/>
        <v>Barclays|2025|Q2</v>
      </c>
      <c r="Y128" s="91" t="str">
        <f>IFERROR(IF($X128="","",INDEX(LLM_Data_Entry!$H$3:$H$548,MATCH($X128,INDEX(LLM_Data_Entry!$A$3:$A$548&amp;"|"&amp;LLM_Data_Entry!$C$3:$C$548&amp;"|"&amp;LLM_Data_Entry!$D$3:$D$548,0),0))),"")</f>
        <v>HOLD</v>
      </c>
      <c r="Z128" s="91" t="str">
        <f>IFERROR(IF($X128="","",INDEX(LLM_Data_Entry!$R$3:$R$548,MATCH($X128,INDEX(LLM_Data_Entry!$A$3:$A$548&amp;"|"&amp;LLM_Data_Entry!$C$3:$C$548&amp;"|"&amp;LLM_Data_Entry!$D$3:$D$548,0),0))),"")</f>
        <v>NO</v>
      </c>
      <c r="AB128" t="s">
        <v>864</v>
      </c>
      <c r="AC128" t="s">
        <v>1006</v>
      </c>
      <c r="AD128" t="s">
        <v>619</v>
      </c>
      <c r="AE128">
        <v>361.0883</v>
      </c>
      <c r="AF128" t="s">
        <v>620</v>
      </c>
      <c r="AG128">
        <v>359.48880000000003</v>
      </c>
      <c r="AH128">
        <v>-4.4296653674348249E-3</v>
      </c>
      <c r="AI128" t="s">
        <v>579</v>
      </c>
      <c r="AJ128" t="s">
        <v>546</v>
      </c>
      <c r="AK128">
        <v>-5.4299999999999999E-3</v>
      </c>
      <c r="AL128" t="str">
        <f>IF($A128="","",IFERROR(INDEX(Company_List!$G$3:$G$207,MATCH($A128,Company_List!$A$3:$A$207,0)),"unassigned"))</f>
        <v>P2</v>
      </c>
      <c r="AM128" t="s">
        <v>1007</v>
      </c>
      <c r="AN128" t="s">
        <v>1008</v>
      </c>
      <c r="AO128" t="s">
        <v>560</v>
      </c>
      <c r="AP128" t="str">
        <f>IF($A128="","",IF(COUNTIFS(LLM_Data_Entry!$A$3:$A$548,$A128)&gt;0,"YES","NO"))</f>
        <v>YES</v>
      </c>
      <c r="AQ128" t="str">
        <f>IF($A128="","",IF(COUNTIFS($A$3:$A128,$A128,$C$3:$C128,$C128,$D$3:$D128,$D128)=1,"YES","NO"))</f>
        <v>YES</v>
      </c>
      <c r="AR128" t="str">
        <f>IF($A128="","",IF(AND($C128&amp;"-"&amp;$D128&gt;=Settings!$B$19,$C128&amp;"-"&amp;$D128&lt;=Settings!$B$20),"IN","OUT"))</f>
        <v>IN</v>
      </c>
      <c r="AS128" t="str">
        <f t="shared" si="16"/>
        <v>transcript only</v>
      </c>
      <c r="AT128">
        <f t="shared" si="17"/>
        <v>2.01E-2</v>
      </c>
      <c r="AU128">
        <f t="shared" si="18"/>
        <v>-5.4299999999999999E-3</v>
      </c>
      <c r="AV128">
        <f>IF(ISNUMBER($AT128),ABS(IF(ISNUMBER($I128),$I128,0)-Settings!$B$24),"")</f>
        <v>0.4</v>
      </c>
      <c r="AW128">
        <f t="shared" si="19"/>
        <v>8.0400000000000003E-3</v>
      </c>
      <c r="AX128">
        <f>IF(ISNUMBER($AU128),ABS(IF(ISNUMBER($I128),$I128,0)-Settings!$B$24),"")</f>
        <v>0.4</v>
      </c>
      <c r="AY128" t="s">
        <v>549</v>
      </c>
      <c r="AZ128" t="str">
        <f>IF($A128="","",IFERROR(INDEX(Company_List!$H$3:$H$207,MATCH($A128,Company_List!$A$3:$A$207,0)),"unassigned"))</f>
        <v>Financials</v>
      </c>
      <c r="BC128">
        <f>IF($A128="","",IF(COUNTIFS($A$3:$A128,$A128,$C$3:$C128,$C128,$D$3:$D128,$D128,$G$3:$G128,$G128)=1,1,0))</f>
        <v>1</v>
      </c>
      <c r="BG128" t="s">
        <v>550</v>
      </c>
      <c r="BK128">
        <f t="shared" si="20"/>
        <v>0</v>
      </c>
      <c r="BL128" t="s">
        <v>551</v>
      </c>
      <c r="BM128">
        <v>1</v>
      </c>
      <c r="BN128" t="s">
        <v>561</v>
      </c>
      <c r="BO128" t="s">
        <v>561</v>
      </c>
      <c r="BP128" t="s">
        <v>550</v>
      </c>
      <c r="BQ128" t="s">
        <v>562</v>
      </c>
      <c r="BS128" t="s">
        <v>554</v>
      </c>
    </row>
    <row r="129" spans="1:71" ht="16.25" customHeight="1" x14ac:dyDescent="0.2">
      <c r="A129" s="95" t="s">
        <v>1005</v>
      </c>
      <c r="B129" s="96" t="str">
        <f>IF(A129="","",_xlfn.XLOOKUP(A129, Company_List!$A:$A, Company_List!$B:$B, ""))</f>
        <v>BCS</v>
      </c>
      <c r="C129" s="21">
        <v>2025</v>
      </c>
      <c r="D129" s="20" t="s">
        <v>563</v>
      </c>
      <c r="E129" s="19" t="s">
        <v>647</v>
      </c>
      <c r="F129" s="19" t="s">
        <v>538</v>
      </c>
      <c r="G129" s="20" t="s">
        <v>712</v>
      </c>
      <c r="H129" s="20" t="s">
        <v>540</v>
      </c>
      <c r="I129" s="127">
        <v>0.3</v>
      </c>
      <c r="J129" s="145" t="str">
        <f>IF(OR(I129="",Settings!$B$6=""),"",IF(I129&gt;Settings!$B$6,"BUY",IF(I129&lt;-Settings!$B$6,"SELL","HOLD")))</f>
        <v>BUY</v>
      </c>
      <c r="K129" s="139">
        <v>45</v>
      </c>
      <c r="L129" s="123">
        <v>45952</v>
      </c>
      <c r="M129" s="123">
        <v>45951</v>
      </c>
      <c r="N129" s="127">
        <v>19.489999999999998</v>
      </c>
      <c r="O129" s="123">
        <v>45952</v>
      </c>
      <c r="P129" s="22">
        <v>20.47</v>
      </c>
      <c r="Q129" s="148">
        <f t="shared" si="21"/>
        <v>5.0299999999999997E-2</v>
      </c>
      <c r="R129" s="20" t="str">
        <f>IF(OR(N129="",P129=""),"",IF(Q129&gt;Settings!$B$3/100,"UP",IF(Q129&lt;-Settings!$B$3/100,"DOWN","FLAT")))</f>
        <v>UP</v>
      </c>
      <c r="S129" s="20" t="str">
        <f t="shared" si="12"/>
        <v>YES</v>
      </c>
      <c r="T129" s="21">
        <f t="shared" si="13"/>
        <v>1</v>
      </c>
      <c r="U129" s="148">
        <f>IFERROR(IF(OR(J129="",N129="",P129=""),"",IF(T129=0,0,T129*Q129-Settings!$B$4/10000-IF(T129&lt;0,Settings!$B$5/10000,0))),"")</f>
        <v>4.9299999999999997E-2</v>
      </c>
      <c r="V129" s="23"/>
      <c r="W129" s="21">
        <f t="shared" si="14"/>
        <v>2700</v>
      </c>
      <c r="X129" s="91" t="str">
        <f t="shared" si="15"/>
        <v>Barclays|2025|Q3</v>
      </c>
      <c r="Y129" s="91" t="str">
        <f>IFERROR(IF($X129="","",INDEX(LLM_Data_Entry!$H$3:$H$548,MATCH($X129,INDEX(LLM_Data_Entry!$A$3:$A$548&amp;"|"&amp;LLM_Data_Entry!$C$3:$C$548&amp;"|"&amp;LLM_Data_Entry!$D$3:$D$548,0),0))),"")</f>
        <v>BUY</v>
      </c>
      <c r="Z129" s="91" t="str">
        <f>IFERROR(IF($X129="","",INDEX(LLM_Data_Entry!$R$3:$R$548,MATCH($X129,INDEX(LLM_Data_Entry!$A$3:$A$548&amp;"|"&amp;LLM_Data_Entry!$C$3:$C$548&amp;"|"&amp;LLM_Data_Entry!$D$3:$D$548,0),0))),"")</f>
        <v>YES</v>
      </c>
      <c r="AB129" t="s">
        <v>864</v>
      </c>
      <c r="AC129" t="s">
        <v>1006</v>
      </c>
      <c r="AD129" t="s">
        <v>565</v>
      </c>
      <c r="AE129">
        <v>364.16730000000001</v>
      </c>
      <c r="AF129" t="s">
        <v>566</v>
      </c>
      <c r="AG129">
        <v>372.41539999999998</v>
      </c>
      <c r="AH129">
        <v>2.2649285069589509E-2</v>
      </c>
      <c r="AI129" t="s">
        <v>591</v>
      </c>
      <c r="AJ129" t="s">
        <v>554</v>
      </c>
      <c r="AK129">
        <v>2.1649000000000002E-2</v>
      </c>
      <c r="AL129" t="str">
        <f>IF($A129="","",IFERROR(INDEX(Company_List!$G$3:$G$207,MATCH($A129,Company_List!$A$3:$A$207,0)),"unassigned"))</f>
        <v>P2</v>
      </c>
      <c r="AM129" t="s">
        <v>1009</v>
      </c>
      <c r="AN129" t="s">
        <v>1010</v>
      </c>
      <c r="AO129" t="s">
        <v>560</v>
      </c>
      <c r="AP129" t="str">
        <f>IF($A129="","",IF(COUNTIFS(LLM_Data_Entry!$A$3:$A$548,$A129)&gt;0,"YES","NO"))</f>
        <v>YES</v>
      </c>
      <c r="AQ129" t="str">
        <f>IF($A129="","",IF(COUNTIFS($A$3:$A129,$A129,$C$3:$C129,$C129,$D$3:$D129,$D129)=1,"YES","NO"))</f>
        <v>YES</v>
      </c>
      <c r="AR129" t="str">
        <f>IF($A129="","",IF(AND($C129&amp;"-"&amp;$D129&gt;=Settings!$B$19,$C129&amp;"-"&amp;$D129&lt;=Settings!$B$20),"IN","OUT"))</f>
        <v>IN</v>
      </c>
      <c r="AS129" t="str">
        <f t="shared" si="16"/>
        <v>transcript only</v>
      </c>
      <c r="AT129">
        <f t="shared" si="17"/>
        <v>4.9299999999999997E-2</v>
      </c>
      <c r="AU129">
        <f t="shared" si="18"/>
        <v>2.1649000000000002E-2</v>
      </c>
      <c r="AV129">
        <f>IF(ISNUMBER($AT129),ABS(IF(ISNUMBER($I129),$I129,0)-Settings!$B$24),"")</f>
        <v>0.3</v>
      </c>
      <c r="AW129">
        <f t="shared" si="19"/>
        <v>1.4789999999999998E-2</v>
      </c>
      <c r="AX129">
        <f>IF(ISNUMBER($AU129),ABS(IF(ISNUMBER($I129),$I129,0)-Settings!$B$24),"")</f>
        <v>0.3</v>
      </c>
      <c r="AY129" t="s">
        <v>549</v>
      </c>
      <c r="AZ129" t="str">
        <f>IF($A129="","",IFERROR(INDEX(Company_List!$H$3:$H$207,MATCH($A129,Company_List!$A$3:$A$207,0)),"unassigned"))</f>
        <v>Financials</v>
      </c>
      <c r="BC129">
        <f>IF($A129="","",IF(COUNTIFS($A$3:$A129,$A129,$C$3:$C129,$C129,$D$3:$D129,$D129,$G$3:$G129,$G129)=1,1,0))</f>
        <v>1</v>
      </c>
      <c r="BG129" t="s">
        <v>550</v>
      </c>
      <c r="BK129">
        <f t="shared" si="20"/>
        <v>1</v>
      </c>
      <c r="BL129" t="s">
        <v>551</v>
      </c>
      <c r="BM129">
        <v>1</v>
      </c>
      <c r="BN129" t="s">
        <v>595</v>
      </c>
      <c r="BO129" t="s">
        <v>596</v>
      </c>
      <c r="BP129" t="s">
        <v>550</v>
      </c>
      <c r="BQ129" t="s">
        <v>562</v>
      </c>
      <c r="BS129" t="s">
        <v>554</v>
      </c>
    </row>
    <row r="130" spans="1:71" ht="16.25" customHeight="1" x14ac:dyDescent="0.2">
      <c r="A130" s="95" t="s">
        <v>1005</v>
      </c>
      <c r="B130" s="96" t="str">
        <f>IF(A130="","",_xlfn.XLOOKUP(A130, Company_List!$A:$A, Company_List!$B:$B, ""))</f>
        <v>BCS</v>
      </c>
      <c r="C130" s="21">
        <v>2026</v>
      </c>
      <c r="D130" s="20" t="s">
        <v>537</v>
      </c>
      <c r="E130" s="19" t="s">
        <v>647</v>
      </c>
      <c r="F130" s="19" t="s">
        <v>538</v>
      </c>
      <c r="G130" s="20" t="s">
        <v>712</v>
      </c>
      <c r="H130" s="20" t="s">
        <v>540</v>
      </c>
      <c r="I130" s="127">
        <v>0.1</v>
      </c>
      <c r="J130" s="145" t="str">
        <f>IF(OR(I130="",Settings!$B$6=""),"",IF(I130&gt;Settings!$B$6,"BUY",IF(I130&lt;-Settings!$B$6,"SELL","HOLD")))</f>
        <v>HOLD</v>
      </c>
      <c r="K130" s="139">
        <v>35</v>
      </c>
      <c r="L130" s="123">
        <v>46140</v>
      </c>
      <c r="M130" s="123">
        <v>46139</v>
      </c>
      <c r="N130" s="127">
        <v>23.09</v>
      </c>
      <c r="O130" s="123">
        <v>46140</v>
      </c>
      <c r="P130" s="22">
        <v>22.92</v>
      </c>
      <c r="Q130" s="148">
        <f t="shared" si="21"/>
        <v>-7.4000000000000003E-3</v>
      </c>
      <c r="R130" s="20" t="str">
        <f>IF(OR(N130="",P130=""),"",IF(Q130&gt;Settings!$B$3/100,"UP",IF(Q130&lt;-Settings!$B$3/100,"DOWN","FLAT")))</f>
        <v>FLAT</v>
      </c>
      <c r="S130" s="20" t="str">
        <f t="shared" si="12"/>
        <v>YES</v>
      </c>
      <c r="T130" s="21">
        <f t="shared" si="13"/>
        <v>0</v>
      </c>
      <c r="U130" s="148">
        <f>IFERROR(IF(OR(J130="",N130="",P130=""),"",IF(T130=0,0,T130*Q130-Settings!$B$4/10000-IF(T130&lt;0,Settings!$B$5/10000,0))),"")</f>
        <v>0</v>
      </c>
      <c r="V130" s="23"/>
      <c r="W130" s="21">
        <f t="shared" si="14"/>
        <v>2100</v>
      </c>
      <c r="X130" s="91" t="str">
        <f t="shared" si="15"/>
        <v>Barclays|2026|Q1</v>
      </c>
      <c r="Y130" s="91" t="str">
        <f>IFERROR(IF($X130="","",INDEX(LLM_Data_Entry!$H$3:$H$548,MATCH($X130,INDEX(LLM_Data_Entry!$A$3:$A$548&amp;"|"&amp;LLM_Data_Entry!$C$3:$C$548&amp;"|"&amp;LLM_Data_Entry!$D$3:$D$548,0),0))),"")</f>
        <v>SELL</v>
      </c>
      <c r="Z130" s="91" t="str">
        <f>IFERROR(IF($X130="","",INDEX(LLM_Data_Entry!$R$3:$R$548,MATCH($X130,INDEX(LLM_Data_Entry!$A$3:$A$548&amp;"|"&amp;LLM_Data_Entry!$C$3:$C$548&amp;"|"&amp;LLM_Data_Entry!$D$3:$D$548,0),0))),"")</f>
        <v>NO</v>
      </c>
      <c r="AB130" t="s">
        <v>864</v>
      </c>
      <c r="AC130" t="s">
        <v>1006</v>
      </c>
      <c r="AD130" t="s">
        <v>708</v>
      </c>
      <c r="AE130">
        <v>427.35219999999998</v>
      </c>
      <c r="AF130" t="s">
        <v>709</v>
      </c>
      <c r="AG130">
        <v>417.95319999999998</v>
      </c>
      <c r="AH130">
        <v>-2.1993444444841911E-2</v>
      </c>
      <c r="AI130" t="s">
        <v>545</v>
      </c>
      <c r="AJ130" t="s">
        <v>546</v>
      </c>
      <c r="AK130">
        <v>0</v>
      </c>
      <c r="AL130" t="str">
        <f>IF($A130="","",IFERROR(INDEX(Company_List!$G$3:$G$207,MATCH($A130,Company_List!$A$3:$A$207,0)),"unassigned"))</f>
        <v>P2</v>
      </c>
      <c r="AM130" t="s">
        <v>1011</v>
      </c>
      <c r="AN130" t="s">
        <v>1012</v>
      </c>
      <c r="AO130" t="s">
        <v>560</v>
      </c>
      <c r="AP130" t="str">
        <f>IF($A130="","",IF(COUNTIFS(LLM_Data_Entry!$A$3:$A$548,$A130)&gt;0,"YES","NO"))</f>
        <v>YES</v>
      </c>
      <c r="AQ130" t="str">
        <f>IF($A130="","",IF(COUNTIFS($A$3:$A130,$A130,$C$3:$C130,$C130,$D$3:$D130,$D130)=1,"YES","NO"))</f>
        <v>YES</v>
      </c>
      <c r="AR130" t="str">
        <f>IF($A130="","",IF(AND($C130&amp;"-"&amp;$D130&gt;=Settings!$B$19,$C130&amp;"-"&amp;$D130&lt;=Settings!$B$20),"IN","OUT"))</f>
        <v>IN</v>
      </c>
      <c r="AS130" t="str">
        <f t="shared" si="16"/>
        <v>transcript only</v>
      </c>
      <c r="AT130" t="str">
        <f t="shared" si="17"/>
        <v/>
      </c>
      <c r="AU130" t="str">
        <f t="shared" si="18"/>
        <v/>
      </c>
      <c r="AV130" t="str">
        <f>IF(ISNUMBER($AT130),ABS(IF(ISNUMBER($I130),$I130,0)-Settings!$B$24),"")</f>
        <v/>
      </c>
      <c r="AW130" t="str">
        <f t="shared" si="19"/>
        <v/>
      </c>
      <c r="AX130" t="str">
        <f>IF(ISNUMBER($AU130),ABS(IF(ISNUMBER($I130),$I130,0)-Settings!$B$24),"")</f>
        <v/>
      </c>
      <c r="AY130" t="s">
        <v>549</v>
      </c>
      <c r="AZ130" t="str">
        <f>IF($A130="","",IFERROR(INDEX(Company_List!$H$3:$H$207,MATCH($A130,Company_List!$A$3:$A$207,0)),"unassigned"))</f>
        <v>Financials</v>
      </c>
      <c r="BC130">
        <f>IF($A130="","",IF(COUNTIFS($A$3:$A130,$A130,$C$3:$C130,$C130,$D$3:$D130,$D130,$G$3:$G130,$G130)=1,1,0))</f>
        <v>1</v>
      </c>
      <c r="BG130" t="s">
        <v>550</v>
      </c>
      <c r="BK130">
        <f t="shared" si="20"/>
        <v>0</v>
      </c>
      <c r="BL130" t="s">
        <v>551</v>
      </c>
      <c r="BM130">
        <v>1</v>
      </c>
      <c r="BN130" t="s">
        <v>561</v>
      </c>
      <c r="BO130" t="s">
        <v>561</v>
      </c>
      <c r="BP130" t="s">
        <v>550</v>
      </c>
      <c r="BQ130" t="s">
        <v>562</v>
      </c>
      <c r="BS130" t="s">
        <v>554</v>
      </c>
    </row>
    <row r="131" spans="1:71" ht="16.25" customHeight="1" x14ac:dyDescent="0.2">
      <c r="A131" s="95" t="s">
        <v>1013</v>
      </c>
      <c r="B131" s="96" t="str">
        <f>IF(A131="","",_xlfn.XLOOKUP(A131, Company_List!$A:$A, Company_List!$B:$B, ""))</f>
        <v>UAL</v>
      </c>
      <c r="C131" s="21">
        <v>2025</v>
      </c>
      <c r="D131" s="20" t="s">
        <v>537</v>
      </c>
      <c r="E131" s="19" t="s">
        <v>538</v>
      </c>
      <c r="F131" s="19" t="s">
        <v>538</v>
      </c>
      <c r="G131" s="20" t="s">
        <v>610</v>
      </c>
      <c r="H131" s="20" t="s">
        <v>540</v>
      </c>
      <c r="I131" s="127">
        <v>0.7</v>
      </c>
      <c r="J131" s="145" t="str">
        <f>IF(OR(I131="",Settings!$B$6=""),"",IF(I131&gt;Settings!$B$6,"BUY",IF(I131&lt;-Settings!$B$6,"SELL","HOLD")))</f>
        <v>BUY</v>
      </c>
      <c r="K131" s="139">
        <v>18</v>
      </c>
      <c r="L131" s="123">
        <v>45763</v>
      </c>
      <c r="M131" s="123">
        <v>45762</v>
      </c>
      <c r="N131" s="127">
        <v>67</v>
      </c>
      <c r="O131" s="123">
        <v>45763</v>
      </c>
      <c r="P131" s="22">
        <v>69.64</v>
      </c>
      <c r="Q131" s="148">
        <f t="shared" ref="Q131:Q162" si="22">IF(OR(N131="",P131=""),"",ROUND((P131-N131)/N131,4))</f>
        <v>3.9399999999999998E-2</v>
      </c>
      <c r="R131" s="20" t="str">
        <f>IF(OR(N131="",P131=""),"",IF(Q131&gt;Settings!$B$3/100,"UP",IF(Q131&lt;-Settings!$B$3/100,"DOWN","FLAT")))</f>
        <v>UP</v>
      </c>
      <c r="S131" s="20" t="str">
        <f t="shared" ref="S131:S194" si="23">IF(OR(N131="",P131="",J131=""),"",IF(OR(AND(J131="BUY",R131="UP"),AND(J131="SELL",R131="DOWN"),AND(J131="HOLD",R131="FLAT")),"YES","NO"))</f>
        <v>YES</v>
      </c>
      <c r="T131" s="21">
        <f t="shared" ref="T131:T194" si="24">IF(J131="","",IF(J131="BUY",1,IF(J131="SELL",-1,0)))</f>
        <v>1</v>
      </c>
      <c r="U131" s="148">
        <f>IFERROR(IF(OR(J131="",N131="",P131=""),"",IF(T131=0,0,T131*Q131-Settings!$B$4/10000-IF(T131&lt;0,Settings!$B$5/10000,0))),"")</f>
        <v>3.8399999999999997E-2</v>
      </c>
      <c r="V131" s="15" t="s">
        <v>1014</v>
      </c>
      <c r="W131" s="21">
        <f t="shared" ref="W131:W194" si="25">IF($K131="","",$K131*60)</f>
        <v>1080</v>
      </c>
      <c r="X131" s="91" t="str">
        <f t="shared" ref="X131:X194" si="26">IF($A131="","",$A131&amp;"|"&amp;$C131&amp;"|"&amp;$D131)</f>
        <v>United Airlines|2025|Q1</v>
      </c>
      <c r="Y131" s="91" t="str">
        <f>IFERROR(IF($X131="","",INDEX(LLM_Data_Entry!$H$3:$H$548,MATCH($X131,INDEX(LLM_Data_Entry!$A$3:$A$548&amp;"|"&amp;LLM_Data_Entry!$C$3:$C$548&amp;"|"&amp;LLM_Data_Entry!$D$3:$D$548,0),0))),"")</f>
        <v>SELL</v>
      </c>
      <c r="Z131" s="91" t="str">
        <f>IFERROR(IF($X131="","",INDEX(LLM_Data_Entry!$R$3:$R$548,MATCH($X131,INDEX(LLM_Data_Entry!$A$3:$A$548&amp;"|"&amp;LLM_Data_Entry!$C$3:$C$548&amp;"|"&amp;LLM_Data_Entry!$D$3:$D$548,0),0))),"")</f>
        <v>NO</v>
      </c>
      <c r="AB131" t="s">
        <v>541</v>
      </c>
      <c r="AC131" t="s">
        <v>1015</v>
      </c>
      <c r="AD131" t="s">
        <v>715</v>
      </c>
      <c r="AE131">
        <v>67</v>
      </c>
      <c r="AF131" t="s">
        <v>906</v>
      </c>
      <c r="AG131">
        <v>69.64</v>
      </c>
      <c r="AH131">
        <v>3.9402970149253778E-2</v>
      </c>
      <c r="AI131" t="s">
        <v>591</v>
      </c>
      <c r="AJ131" t="s">
        <v>554</v>
      </c>
      <c r="AK131">
        <v>3.8403E-2</v>
      </c>
      <c r="AL131" t="str">
        <f>IF($A131="","",IFERROR(INDEX(Company_List!$G$3:$G$207,MATCH($A131,Company_List!$A$3:$A$207,0)),"unassigned"))</f>
        <v>P2</v>
      </c>
      <c r="AM131" t="s">
        <v>1016</v>
      </c>
      <c r="AO131" t="s">
        <v>593</v>
      </c>
      <c r="AP131" t="str">
        <f>IF($A131="","",IF(COUNTIFS(LLM_Data_Entry!$A$3:$A$548,$A131)&gt;0,"YES","NO"))</f>
        <v>YES</v>
      </c>
      <c r="AQ131" t="str">
        <f>IF($A131="","",IF(COUNTIFS($A$3:$A131,$A131,$C$3:$C131,$C131,$D$3:$D131,$D131)=1,"YES","NO"))</f>
        <v>YES</v>
      </c>
      <c r="AR131" t="str">
        <f>IF($A131="","",IF(AND($C131&amp;"-"&amp;$D131&gt;=Settings!$B$19,$C131&amp;"-"&amp;$D131&lt;=Settings!$B$20),"IN","OUT"))</f>
        <v>IN</v>
      </c>
      <c r="AS131" t="str">
        <f t="shared" ref="AS131:AS194" si="27">IF($A131="","",IF($F131="Financial Results","financials",IF($F131="Outlook/Guidance","guidance",IF($F131="Transcript Q&amp;A","qanda",IF($F131="","unrecorded",IF($E131="All","full",IF($E131="","unrecorded",LOWER($E131)&amp;" only")))))))</f>
        <v>full</v>
      </c>
      <c r="AT131">
        <f t="shared" ref="AT131:AT194" si="28">IF(AND(OR($J131="BUY",$J131="SELL"),ISNUMBER($U131)),$U131,"")</f>
        <v>3.8399999999999997E-2</v>
      </c>
      <c r="AU131">
        <f t="shared" ref="AU131:AU194" si="29">IF(AND(OR($J131="BUY",$J131="SELL"),ISNUMBER($AK131)),$AK131,"")</f>
        <v>3.8403E-2</v>
      </c>
      <c r="AV131">
        <f>IF(ISNUMBER($AT131),ABS(IF(ISNUMBER($I131),$I131,0)-Settings!$B$24),"")</f>
        <v>0.7</v>
      </c>
      <c r="AW131">
        <f t="shared" ref="AW131:AW194" si="30">IF(ISNUMBER($AV131),$AV131*$AT131,"")</f>
        <v>2.6879999999999998E-2</v>
      </c>
      <c r="AX131">
        <f>IF(ISNUMBER($AU131),ABS(IF(ISNUMBER($I131),$I131,0)-Settings!$B$24),"")</f>
        <v>0.7</v>
      </c>
      <c r="AY131" t="s">
        <v>549</v>
      </c>
      <c r="AZ131" t="str">
        <f>IF($A131="","",IFERROR(INDEX(Company_List!$H$3:$H$207,MATCH($A131,Company_List!$A$3:$A$207,0)),"unassigned"))</f>
        <v>Industrials</v>
      </c>
      <c r="BC131">
        <f>IF($A131="","",IF(COUNTIFS($A$3:$A131,$A131,$C$3:$C131,$C131,$D$3:$D131,$D131,$G$3:$G131,$G131)=1,1,0))</f>
        <v>1</v>
      </c>
      <c r="BG131" t="s">
        <v>550</v>
      </c>
      <c r="BK131">
        <f t="shared" ref="BK131:BK194" si="31">IF(OR($H131&lt;&gt;"Human",$S131="",$J131="",$Y131="",$Z131=""),"",IF(EXACT(UPPER($J131),UPPER($Y131)),1,0))</f>
        <v>0</v>
      </c>
      <c r="BL131" t="s">
        <v>551</v>
      </c>
      <c r="BM131">
        <v>2</v>
      </c>
      <c r="BN131" t="s">
        <v>561</v>
      </c>
      <c r="BO131" t="s">
        <v>561</v>
      </c>
      <c r="BP131" t="s">
        <v>550</v>
      </c>
      <c r="BQ131" t="s">
        <v>550</v>
      </c>
      <c r="BS131" t="s">
        <v>554</v>
      </c>
    </row>
    <row r="132" spans="1:71" ht="16.25" customHeight="1" x14ac:dyDescent="0.2">
      <c r="A132" s="95" t="s">
        <v>1013</v>
      </c>
      <c r="B132" s="96" t="str">
        <f>IF(A132="","",_xlfn.XLOOKUP(A132, Company_List!$A:$A, Company_List!$B:$B, ""))</f>
        <v>UAL</v>
      </c>
      <c r="C132" s="21">
        <v>2025</v>
      </c>
      <c r="D132" s="20" t="s">
        <v>555</v>
      </c>
      <c r="E132" s="19" t="s">
        <v>538</v>
      </c>
      <c r="F132" s="19" t="s">
        <v>538</v>
      </c>
      <c r="G132" s="20" t="s">
        <v>610</v>
      </c>
      <c r="H132" s="20" t="s">
        <v>540</v>
      </c>
      <c r="I132" s="127">
        <v>0.4</v>
      </c>
      <c r="J132" s="145" t="str">
        <f>IF(OR(I132="",Settings!$B$6=""),"",IF(I132&gt;Settings!$B$6,"BUY",IF(I132&lt;-Settings!$B$6,"SELL","HOLD")))</f>
        <v>BUY</v>
      </c>
      <c r="K132" s="139">
        <v>15</v>
      </c>
      <c r="L132" s="123">
        <v>45855</v>
      </c>
      <c r="M132" s="123">
        <v>45854</v>
      </c>
      <c r="N132" s="127">
        <v>88.47</v>
      </c>
      <c r="O132" s="123">
        <v>45855</v>
      </c>
      <c r="P132" s="22">
        <v>91.89</v>
      </c>
      <c r="Q132" s="148">
        <f t="shared" si="22"/>
        <v>3.8699999999999998E-2</v>
      </c>
      <c r="R132" s="20" t="str">
        <f>IF(OR(N132="",P132=""),"",IF(Q132&gt;Settings!$B$3/100,"UP",IF(Q132&lt;-Settings!$B$3/100,"DOWN","FLAT")))</f>
        <v>UP</v>
      </c>
      <c r="S132" s="20" t="str">
        <f t="shared" si="23"/>
        <v>YES</v>
      </c>
      <c r="T132" s="21">
        <f t="shared" si="24"/>
        <v>1</v>
      </c>
      <c r="U132" s="148">
        <f>IFERROR(IF(OR(J132="",N132="",P132=""),"",IF(T132=0,0,T132*Q132-Settings!$B$4/10000-IF(T132&lt;0,Settings!$B$5/10000,0))),"")</f>
        <v>3.7699999999999997E-2</v>
      </c>
      <c r="V132" s="15" t="s">
        <v>1017</v>
      </c>
      <c r="W132" s="21">
        <f t="shared" si="25"/>
        <v>900</v>
      </c>
      <c r="X132" s="91" t="str">
        <f t="shared" si="26"/>
        <v>United Airlines|2025|Q2</v>
      </c>
      <c r="Y132" s="91" t="str">
        <f>IFERROR(IF($X132="","",INDEX(LLM_Data_Entry!$H$3:$H$548,MATCH($X132,INDEX(LLM_Data_Entry!$A$3:$A$548&amp;"|"&amp;LLM_Data_Entry!$C$3:$C$548&amp;"|"&amp;LLM_Data_Entry!$D$3:$D$548,0),0))),"")</f>
        <v>HOLD</v>
      </c>
      <c r="Z132" s="91" t="str">
        <f>IFERROR(IF($X132="","",INDEX(LLM_Data_Entry!$R$3:$R$548,MATCH($X132,INDEX(LLM_Data_Entry!$A$3:$A$548&amp;"|"&amp;LLM_Data_Entry!$C$3:$C$548&amp;"|"&amp;LLM_Data_Entry!$D$3:$D$548,0),0))),"")</f>
        <v>NO</v>
      </c>
      <c r="AB132" t="s">
        <v>630</v>
      </c>
      <c r="AC132" t="s">
        <v>1015</v>
      </c>
      <c r="AD132" t="s">
        <v>884</v>
      </c>
      <c r="AE132">
        <v>88.47</v>
      </c>
      <c r="AF132" t="s">
        <v>556</v>
      </c>
      <c r="AG132">
        <v>91.89</v>
      </c>
      <c r="AH132">
        <v>3.8657148879200381E-2</v>
      </c>
      <c r="AI132" t="s">
        <v>591</v>
      </c>
      <c r="AJ132" t="s">
        <v>554</v>
      </c>
      <c r="AK132">
        <v>3.7657000000000003E-2</v>
      </c>
      <c r="AL132" t="str">
        <f>IF($A132="","",IFERROR(INDEX(Company_List!$G$3:$G$207,MATCH($A132,Company_List!$A$3:$A$207,0)),"unassigned"))</f>
        <v>P2</v>
      </c>
      <c r="AM132" t="s">
        <v>1018</v>
      </c>
      <c r="AO132" t="s">
        <v>593</v>
      </c>
      <c r="AP132" t="str">
        <f>IF($A132="","",IF(COUNTIFS(LLM_Data_Entry!$A$3:$A$548,$A132)&gt;0,"YES","NO"))</f>
        <v>YES</v>
      </c>
      <c r="AQ132" t="str">
        <f>IF($A132="","",IF(COUNTIFS($A$3:$A132,$A132,$C$3:$C132,$C132,$D$3:$D132,$D132)=1,"YES","NO"))</f>
        <v>YES</v>
      </c>
      <c r="AR132" t="str">
        <f>IF($A132="","",IF(AND($C132&amp;"-"&amp;$D132&gt;=Settings!$B$19,$C132&amp;"-"&amp;$D132&lt;=Settings!$B$20),"IN","OUT"))</f>
        <v>IN</v>
      </c>
      <c r="AS132" t="str">
        <f t="shared" si="27"/>
        <v>full</v>
      </c>
      <c r="AT132">
        <f t="shared" si="28"/>
        <v>3.7699999999999997E-2</v>
      </c>
      <c r="AU132">
        <f t="shared" si="29"/>
        <v>3.7657000000000003E-2</v>
      </c>
      <c r="AV132">
        <f>IF(ISNUMBER($AT132),ABS(IF(ISNUMBER($I132),$I132,0)-Settings!$B$24),"")</f>
        <v>0.4</v>
      </c>
      <c r="AW132">
        <f t="shared" si="30"/>
        <v>1.508E-2</v>
      </c>
      <c r="AX132">
        <f>IF(ISNUMBER($AU132),ABS(IF(ISNUMBER($I132),$I132,0)-Settings!$B$24),"")</f>
        <v>0.4</v>
      </c>
      <c r="AY132" t="s">
        <v>549</v>
      </c>
      <c r="AZ132" t="str">
        <f>IF($A132="","",IFERROR(INDEX(Company_List!$H$3:$H$207,MATCH($A132,Company_List!$A$3:$A$207,0)),"unassigned"))</f>
        <v>Industrials</v>
      </c>
      <c r="BC132">
        <f>IF($A132="","",IF(COUNTIFS($A$3:$A132,$A132,$C$3:$C132,$C132,$D$3:$D132,$D132,$G$3:$G132,$G132)=1,1,0))</f>
        <v>1</v>
      </c>
      <c r="BG132" t="s">
        <v>550</v>
      </c>
      <c r="BK132">
        <f t="shared" si="31"/>
        <v>0</v>
      </c>
      <c r="BL132" t="s">
        <v>551</v>
      </c>
      <c r="BM132">
        <v>3</v>
      </c>
      <c r="BN132" t="s">
        <v>561</v>
      </c>
      <c r="BO132" t="s">
        <v>561</v>
      </c>
      <c r="BP132" t="s">
        <v>550</v>
      </c>
      <c r="BQ132" t="s">
        <v>550</v>
      </c>
      <c r="BS132" t="s">
        <v>554</v>
      </c>
    </row>
    <row r="133" spans="1:71" ht="16.25" customHeight="1" x14ac:dyDescent="0.2">
      <c r="A133" s="95" t="s">
        <v>1013</v>
      </c>
      <c r="B133" s="96" t="str">
        <f>IF(A133="","",_xlfn.XLOOKUP(A133, Company_List!$A:$A, Company_List!$B:$B, ""))</f>
        <v>UAL</v>
      </c>
      <c r="C133" s="21">
        <v>2025</v>
      </c>
      <c r="D133" s="20" t="s">
        <v>563</v>
      </c>
      <c r="E133" s="19" t="s">
        <v>538</v>
      </c>
      <c r="F133" s="19" t="s">
        <v>538</v>
      </c>
      <c r="G133" s="20" t="s">
        <v>610</v>
      </c>
      <c r="H133" s="20" t="s">
        <v>540</v>
      </c>
      <c r="I133" s="127">
        <v>0.6</v>
      </c>
      <c r="J133" s="145" t="str">
        <f>IF(OR(I133="",Settings!$B$6=""),"",IF(I133&gt;Settings!$B$6,"BUY",IF(I133&lt;-Settings!$B$6,"SELL","HOLD")))</f>
        <v>BUY</v>
      </c>
      <c r="K133" s="139">
        <v>14</v>
      </c>
      <c r="L133" s="123">
        <v>45946</v>
      </c>
      <c r="M133" s="123">
        <v>45945</v>
      </c>
      <c r="N133" s="127">
        <v>104.05</v>
      </c>
      <c r="O133" s="123">
        <v>45946</v>
      </c>
      <c r="P133" s="22">
        <v>102.94</v>
      </c>
      <c r="Q133" s="148">
        <f t="shared" si="22"/>
        <v>-1.0699999999999999E-2</v>
      </c>
      <c r="R133" s="20" t="str">
        <f>IF(OR(N133="",P133=""),"",IF(Q133&gt;Settings!$B$3/100,"UP",IF(Q133&lt;-Settings!$B$3/100,"DOWN","FLAT")))</f>
        <v>FLAT</v>
      </c>
      <c r="S133" s="20" t="str">
        <f t="shared" si="23"/>
        <v>NO</v>
      </c>
      <c r="T133" s="21">
        <f t="shared" si="24"/>
        <v>1</v>
      </c>
      <c r="U133" s="148">
        <f>IFERROR(IF(OR(J133="",N133="",P133=""),"",IF(T133=0,0,T133*Q133-Settings!$B$4/10000-IF(T133&lt;0,Settings!$B$5/10000,0))),"")</f>
        <v>-1.1699999999999999E-2</v>
      </c>
      <c r="V133" s="15" t="s">
        <v>1019</v>
      </c>
      <c r="W133" s="21">
        <f t="shared" si="25"/>
        <v>840</v>
      </c>
      <c r="X133" s="91" t="str">
        <f t="shared" si="26"/>
        <v>United Airlines|2025|Q3</v>
      </c>
      <c r="Y133" s="91" t="str">
        <f>IFERROR(IF($X133="","",INDEX(LLM_Data_Entry!$H$3:$H$548,MATCH($X133,INDEX(LLM_Data_Entry!$A$3:$A$548&amp;"|"&amp;LLM_Data_Entry!$C$3:$C$548&amp;"|"&amp;LLM_Data_Entry!$D$3:$D$548,0),0))),"")</f>
        <v>BUY</v>
      </c>
      <c r="Z133" s="91" t="str">
        <f>IFERROR(IF($X133="","",INDEX(LLM_Data_Entry!$R$3:$R$548,MATCH($X133,INDEX(LLM_Data_Entry!$A$3:$A$548&amp;"|"&amp;LLM_Data_Entry!$C$3:$C$548&amp;"|"&amp;LLM_Data_Entry!$D$3:$D$548,0),0))),"")</f>
        <v>NO</v>
      </c>
      <c r="AB133" t="s">
        <v>630</v>
      </c>
      <c r="AC133" t="s">
        <v>1015</v>
      </c>
      <c r="AD133" t="s">
        <v>723</v>
      </c>
      <c r="AE133">
        <v>104.05</v>
      </c>
      <c r="AF133" t="s">
        <v>913</v>
      </c>
      <c r="AG133">
        <v>102.94</v>
      </c>
      <c r="AH133">
        <v>-1.0667957405056459E-2</v>
      </c>
      <c r="AI133" t="s">
        <v>579</v>
      </c>
      <c r="AJ133" t="s">
        <v>546</v>
      </c>
      <c r="AK133">
        <v>-1.1668E-2</v>
      </c>
      <c r="AL133" t="str">
        <f>IF($A133="","",IFERROR(INDEX(Company_List!$G$3:$G$207,MATCH($A133,Company_List!$A$3:$A$207,0)),"unassigned"))</f>
        <v>P2</v>
      </c>
      <c r="AM133" t="s">
        <v>1020</v>
      </c>
      <c r="AO133" t="s">
        <v>548</v>
      </c>
      <c r="AP133" t="str">
        <f>IF($A133="","",IF(COUNTIFS(LLM_Data_Entry!$A$3:$A$548,$A133)&gt;0,"YES","NO"))</f>
        <v>YES</v>
      </c>
      <c r="AQ133" t="str">
        <f>IF($A133="","",IF(COUNTIFS($A$3:$A133,$A133,$C$3:$C133,$C133,$D$3:$D133,$D133)=1,"YES","NO"))</f>
        <v>YES</v>
      </c>
      <c r="AR133" t="str">
        <f>IF($A133="","",IF(AND($C133&amp;"-"&amp;$D133&gt;=Settings!$B$19,$C133&amp;"-"&amp;$D133&lt;=Settings!$B$20),"IN","OUT"))</f>
        <v>IN</v>
      </c>
      <c r="AS133" t="str">
        <f t="shared" si="27"/>
        <v>full</v>
      </c>
      <c r="AT133">
        <f t="shared" si="28"/>
        <v>-1.1699999999999999E-2</v>
      </c>
      <c r="AU133">
        <f t="shared" si="29"/>
        <v>-1.1668E-2</v>
      </c>
      <c r="AV133">
        <f>IF(ISNUMBER($AT133),ABS(IF(ISNUMBER($I133),$I133,0)-Settings!$B$24),"")</f>
        <v>0.6</v>
      </c>
      <c r="AW133">
        <f t="shared" si="30"/>
        <v>-7.0199999999999993E-3</v>
      </c>
      <c r="AX133">
        <f>IF(ISNUMBER($AU133),ABS(IF(ISNUMBER($I133),$I133,0)-Settings!$B$24),"")</f>
        <v>0.6</v>
      </c>
      <c r="AY133" t="s">
        <v>549</v>
      </c>
      <c r="AZ133" t="str">
        <f>IF($A133="","",IFERROR(INDEX(Company_List!$H$3:$H$207,MATCH($A133,Company_List!$A$3:$A$207,0)),"unassigned"))</f>
        <v>Industrials</v>
      </c>
      <c r="BC133">
        <f>IF($A133="","",IF(COUNTIFS($A$3:$A133,$A133,$C$3:$C133,$C133,$D$3:$D133,$D133,$G$3:$G133,$G133)=1,1,0))</f>
        <v>1</v>
      </c>
      <c r="BG133" t="s">
        <v>550</v>
      </c>
      <c r="BK133">
        <f t="shared" si="31"/>
        <v>1</v>
      </c>
      <c r="BL133" t="s">
        <v>551</v>
      </c>
      <c r="BM133">
        <v>1</v>
      </c>
      <c r="BN133" t="s">
        <v>561</v>
      </c>
      <c r="BO133" t="s">
        <v>561</v>
      </c>
      <c r="BP133" t="s">
        <v>550</v>
      </c>
      <c r="BQ133" t="s">
        <v>550</v>
      </c>
      <c r="BS133" t="s">
        <v>554</v>
      </c>
    </row>
    <row r="134" spans="1:71" ht="16.25" customHeight="1" x14ac:dyDescent="0.2">
      <c r="A134" s="95" t="s">
        <v>1013</v>
      </c>
      <c r="B134" s="96" t="str">
        <f>IF(A134="","",_xlfn.XLOOKUP(A134, Company_List!$A:$A, Company_List!$B:$B, ""))</f>
        <v>UAL</v>
      </c>
      <c r="C134" s="21">
        <v>2025</v>
      </c>
      <c r="D134" s="20" t="s">
        <v>569</v>
      </c>
      <c r="E134" s="19" t="s">
        <v>538</v>
      </c>
      <c r="F134" s="19" t="s">
        <v>538</v>
      </c>
      <c r="G134" s="20" t="s">
        <v>610</v>
      </c>
      <c r="H134" s="20" t="s">
        <v>540</v>
      </c>
      <c r="I134" s="127">
        <v>0.7</v>
      </c>
      <c r="J134" s="145" t="str">
        <f>IF(OR(I134="",Settings!$B$6=""),"",IF(I134&gt;Settings!$B$6,"BUY",IF(I134&lt;-Settings!$B$6,"SELL","HOLD")))</f>
        <v>BUY</v>
      </c>
      <c r="K134" s="139">
        <v>15</v>
      </c>
      <c r="L134" s="123">
        <v>46043</v>
      </c>
      <c r="M134" s="123">
        <v>46042</v>
      </c>
      <c r="N134" s="127">
        <v>108.57</v>
      </c>
      <c r="O134" s="123">
        <v>46043</v>
      </c>
      <c r="P134" s="22">
        <v>111.95</v>
      </c>
      <c r="Q134" s="148">
        <f t="shared" si="22"/>
        <v>3.1099999999999999E-2</v>
      </c>
      <c r="R134" s="20" t="str">
        <f>IF(OR(N134="",P134=""),"",IF(Q134&gt;Settings!$B$3/100,"UP",IF(Q134&lt;-Settings!$B$3/100,"DOWN","FLAT")))</f>
        <v>UP</v>
      </c>
      <c r="S134" s="20" t="str">
        <f t="shared" si="23"/>
        <v>YES</v>
      </c>
      <c r="T134" s="21">
        <f t="shared" si="24"/>
        <v>1</v>
      </c>
      <c r="U134" s="148">
        <f>IFERROR(IF(OR(J134="",N134="",P134=""),"",IF(T134=0,0,T134*Q134-Settings!$B$4/10000-IF(T134&lt;0,Settings!$B$5/10000,0))),"")</f>
        <v>3.0099999999999998E-2</v>
      </c>
      <c r="V134" s="24" t="s">
        <v>1021</v>
      </c>
      <c r="W134" s="21">
        <f t="shared" si="25"/>
        <v>900</v>
      </c>
      <c r="X134" s="91" t="str">
        <f t="shared" si="26"/>
        <v>United Airlines|2025|Q4</v>
      </c>
      <c r="Y134" s="91" t="str">
        <f>IFERROR(IF($X134="","",INDEX(LLM_Data_Entry!$H$3:$H$548,MATCH($X134,INDEX(LLM_Data_Entry!$A$3:$A$548&amp;"|"&amp;LLM_Data_Entry!$C$3:$C$548&amp;"|"&amp;LLM_Data_Entry!$D$3:$D$548,0),0))),"")</f>
        <v>BUY</v>
      </c>
      <c r="Z134" s="91" t="str">
        <f>IFERROR(IF($X134="","",INDEX(LLM_Data_Entry!$R$3:$R$548,MATCH($X134,INDEX(LLM_Data_Entry!$A$3:$A$548&amp;"|"&amp;LLM_Data_Entry!$C$3:$C$548&amp;"|"&amp;LLM_Data_Entry!$D$3:$D$548,0),0))),"")</f>
        <v>YES</v>
      </c>
      <c r="AB134" t="s">
        <v>630</v>
      </c>
      <c r="AC134" t="s">
        <v>1015</v>
      </c>
      <c r="AD134" t="s">
        <v>570</v>
      </c>
      <c r="AE134">
        <v>108.57</v>
      </c>
      <c r="AF134" t="s">
        <v>571</v>
      </c>
      <c r="AG134">
        <v>111.95</v>
      </c>
      <c r="AH134">
        <v>3.1131960946854591E-2</v>
      </c>
      <c r="AI134" t="s">
        <v>591</v>
      </c>
      <c r="AJ134" t="s">
        <v>554</v>
      </c>
      <c r="AK134">
        <v>3.0131999999999999E-2</v>
      </c>
      <c r="AL134" t="str">
        <f>IF($A134="","",IFERROR(INDEX(Company_List!$G$3:$G$207,MATCH($A134,Company_List!$A$3:$A$207,0)),"unassigned"))</f>
        <v>P2</v>
      </c>
      <c r="AM134" t="s">
        <v>1022</v>
      </c>
      <c r="AO134" t="s">
        <v>593</v>
      </c>
      <c r="AP134" t="str">
        <f>IF($A134="","",IF(COUNTIFS(LLM_Data_Entry!$A$3:$A$548,$A134)&gt;0,"YES","NO"))</f>
        <v>YES</v>
      </c>
      <c r="AQ134" t="str">
        <f>IF($A134="","",IF(COUNTIFS($A$3:$A134,$A134,$C$3:$C134,$C134,$D$3:$D134,$D134)=1,"YES","NO"))</f>
        <v>YES</v>
      </c>
      <c r="AR134" t="str">
        <f>IF($A134="","",IF(AND($C134&amp;"-"&amp;$D134&gt;=Settings!$B$19,$C134&amp;"-"&amp;$D134&lt;=Settings!$B$20),"IN","OUT"))</f>
        <v>IN</v>
      </c>
      <c r="AS134" t="str">
        <f t="shared" si="27"/>
        <v>full</v>
      </c>
      <c r="AT134">
        <f t="shared" si="28"/>
        <v>3.0099999999999998E-2</v>
      </c>
      <c r="AU134">
        <f t="shared" si="29"/>
        <v>3.0131999999999999E-2</v>
      </c>
      <c r="AV134">
        <f>IF(ISNUMBER($AT134),ABS(IF(ISNUMBER($I134),$I134,0)-Settings!$B$24),"")</f>
        <v>0.7</v>
      </c>
      <c r="AW134">
        <f t="shared" si="30"/>
        <v>2.1069999999999998E-2</v>
      </c>
      <c r="AX134">
        <f>IF(ISNUMBER($AU134),ABS(IF(ISNUMBER($I134),$I134,0)-Settings!$B$24),"")</f>
        <v>0.7</v>
      </c>
      <c r="AY134" t="s">
        <v>549</v>
      </c>
      <c r="AZ134" t="str">
        <f>IF($A134="","",IFERROR(INDEX(Company_List!$H$3:$H$207,MATCH($A134,Company_List!$A$3:$A$207,0)),"unassigned"))</f>
        <v>Industrials</v>
      </c>
      <c r="BC134">
        <f>IF($A134="","",IF(COUNTIFS($A$3:$A134,$A134,$C$3:$C134,$C134,$D$3:$D134,$D134,$G$3:$G134,$G134)=1,1,0))</f>
        <v>1</v>
      </c>
      <c r="BG134" t="s">
        <v>550</v>
      </c>
      <c r="BK134">
        <f t="shared" si="31"/>
        <v>1</v>
      </c>
      <c r="BL134" t="s">
        <v>551</v>
      </c>
      <c r="BM134">
        <v>3</v>
      </c>
      <c r="BN134" t="s">
        <v>561</v>
      </c>
      <c r="BO134" t="s">
        <v>561</v>
      </c>
      <c r="BP134" t="s">
        <v>1023</v>
      </c>
      <c r="BQ134" t="s">
        <v>550</v>
      </c>
      <c r="BS134" t="s">
        <v>554</v>
      </c>
    </row>
    <row r="135" spans="1:71" ht="16.25" customHeight="1" x14ac:dyDescent="0.2">
      <c r="A135" s="95" t="s">
        <v>1024</v>
      </c>
      <c r="B135" s="96" t="str">
        <f>IF(A135="","",_xlfn.XLOOKUP(A135, Company_List!$A:$A, Company_List!$B:$B, ""))</f>
        <v>NVO</v>
      </c>
      <c r="C135" s="21">
        <v>2025</v>
      </c>
      <c r="D135" s="20" t="s">
        <v>537</v>
      </c>
      <c r="E135" s="19" t="s">
        <v>538</v>
      </c>
      <c r="F135" s="19" t="s">
        <v>538</v>
      </c>
      <c r="G135" s="20" t="s">
        <v>610</v>
      </c>
      <c r="H135" s="20" t="s">
        <v>540</v>
      </c>
      <c r="I135" s="127">
        <v>0.4</v>
      </c>
      <c r="J135" s="145" t="str">
        <f>IF(OR(I135="",Settings!$B$6=""),"",IF(I135&gt;Settings!$B$6,"BUY",IF(I135&lt;-Settings!$B$6,"SELL","HOLD")))</f>
        <v>BUY</v>
      </c>
      <c r="K135" s="139">
        <v>21</v>
      </c>
      <c r="L135" s="123">
        <v>45784</v>
      </c>
      <c r="M135" s="123">
        <v>45783</v>
      </c>
      <c r="N135" s="127">
        <v>66.290000000000006</v>
      </c>
      <c r="O135" s="123">
        <v>45784</v>
      </c>
      <c r="P135" s="22">
        <v>69.349999999999994</v>
      </c>
      <c r="Q135" s="148">
        <f t="shared" si="22"/>
        <v>4.6199999999999998E-2</v>
      </c>
      <c r="R135" s="20" t="str">
        <f>IF(OR(N135="",P135=""),"",IF(Q135&gt;Settings!$B$3/100,"UP",IF(Q135&lt;-Settings!$B$3/100,"DOWN","FLAT")))</f>
        <v>UP</v>
      </c>
      <c r="S135" s="20" t="str">
        <f t="shared" si="23"/>
        <v>YES</v>
      </c>
      <c r="T135" s="21">
        <f t="shared" si="24"/>
        <v>1</v>
      </c>
      <c r="U135" s="148">
        <f>IFERROR(IF(OR(J135="",N135="",P135=""),"",IF(T135=0,0,T135*Q135-Settings!$B$4/10000-IF(T135&lt;0,Settings!$B$5/10000,0))),"")</f>
        <v>4.5199999999999997E-2</v>
      </c>
      <c r="V135" s="15" t="s">
        <v>1025</v>
      </c>
      <c r="W135" s="21">
        <f t="shared" si="25"/>
        <v>1260</v>
      </c>
      <c r="X135" s="91" t="str">
        <f t="shared" si="26"/>
        <v>Novo Nordisk|2025|Q1</v>
      </c>
      <c r="Y135" s="91" t="str">
        <f>IFERROR(IF($X135="","",INDEX(LLM_Data_Entry!$H$3:$H$548,MATCH($X135,INDEX(LLM_Data_Entry!$A$3:$A$548&amp;"|"&amp;LLM_Data_Entry!$C$3:$C$548&amp;"|"&amp;LLM_Data_Entry!$D$3:$D$548,0),0))),"")</f>
        <v>SELL</v>
      </c>
      <c r="Z135" s="91" t="str">
        <f>IFERROR(IF($X135="","",INDEX(LLM_Data_Entry!$R$3:$R$548,MATCH($X135,INDEX(LLM_Data_Entry!$A$3:$A$548&amp;"|"&amp;LLM_Data_Entry!$C$3:$C$548&amp;"|"&amp;LLM_Data_Entry!$D$3:$D$548,0),0))),"")</f>
        <v>NO</v>
      </c>
      <c r="AB135" t="s">
        <v>864</v>
      </c>
      <c r="AC135" t="s">
        <v>1026</v>
      </c>
      <c r="AD135" t="s">
        <v>937</v>
      </c>
      <c r="AE135">
        <v>421.41829999999999</v>
      </c>
      <c r="AF135" t="s">
        <v>938</v>
      </c>
      <c r="AG135">
        <v>421.37049999999999</v>
      </c>
      <c r="AH135">
        <v>-1.132916695550904E-4</v>
      </c>
      <c r="AI135" t="s">
        <v>579</v>
      </c>
      <c r="AJ135" t="s">
        <v>546</v>
      </c>
      <c r="AK135">
        <v>-1.1130000000000001E-3</v>
      </c>
      <c r="AL135" t="str">
        <f>IF($A135="","",IFERROR(INDEX(Company_List!$G$3:$G$207,MATCH($A135,Company_List!$A$3:$A$207,0)),"unassigned"))</f>
        <v>P2</v>
      </c>
      <c r="AM135" t="s">
        <v>1027</v>
      </c>
      <c r="AO135" t="s">
        <v>593</v>
      </c>
      <c r="AP135" t="str">
        <f>IF($A135="","",IF(COUNTIFS(LLM_Data_Entry!$A$3:$A$548,$A135)&gt;0,"YES","NO"))</f>
        <v>YES</v>
      </c>
      <c r="AQ135" t="str">
        <f>IF($A135="","",IF(COUNTIFS($A$3:$A135,$A135,$C$3:$C135,$C135,$D$3:$D135,$D135)=1,"YES","NO"))</f>
        <v>YES</v>
      </c>
      <c r="AR135" t="str">
        <f>IF($A135="","",IF(AND($C135&amp;"-"&amp;$D135&gt;=Settings!$B$19,$C135&amp;"-"&amp;$D135&lt;=Settings!$B$20),"IN","OUT"))</f>
        <v>IN</v>
      </c>
      <c r="AS135" t="str">
        <f t="shared" si="27"/>
        <v>full</v>
      </c>
      <c r="AT135">
        <f t="shared" si="28"/>
        <v>4.5199999999999997E-2</v>
      </c>
      <c r="AU135">
        <f t="shared" si="29"/>
        <v>-1.1130000000000001E-3</v>
      </c>
      <c r="AV135">
        <f>IF(ISNUMBER($AT135),ABS(IF(ISNUMBER($I135),$I135,0)-Settings!$B$24),"")</f>
        <v>0.4</v>
      </c>
      <c r="AW135">
        <f t="shared" si="30"/>
        <v>1.8079999999999999E-2</v>
      </c>
      <c r="AX135">
        <f>IF(ISNUMBER($AU135),ABS(IF(ISNUMBER($I135),$I135,0)-Settings!$B$24),"")</f>
        <v>0.4</v>
      </c>
      <c r="AY135" t="s">
        <v>549</v>
      </c>
      <c r="AZ135" t="str">
        <f>IF($A135="","",IFERROR(INDEX(Company_List!$H$3:$H$207,MATCH($A135,Company_List!$A$3:$A$207,0)),"unassigned"))</f>
        <v>Health Care</v>
      </c>
      <c r="BC135">
        <f>IF($A135="","",IF(COUNTIFS($A$3:$A135,$A135,$C$3:$C135,$C135,$D$3:$D135,$D135,$G$3:$G135,$G135)=1,1,0))</f>
        <v>1</v>
      </c>
      <c r="BG135" t="s">
        <v>550</v>
      </c>
      <c r="BK135">
        <f t="shared" si="31"/>
        <v>0</v>
      </c>
      <c r="BL135" t="s">
        <v>551</v>
      </c>
      <c r="BM135">
        <v>4</v>
      </c>
      <c r="BN135" t="s">
        <v>561</v>
      </c>
      <c r="BO135" t="s">
        <v>561</v>
      </c>
      <c r="BP135" t="s">
        <v>550</v>
      </c>
      <c r="BQ135" t="s">
        <v>550</v>
      </c>
      <c r="BS135" t="s">
        <v>554</v>
      </c>
    </row>
    <row r="136" spans="1:71" ht="16.25" customHeight="1" x14ac:dyDescent="0.2">
      <c r="A136" s="95" t="s">
        <v>1024</v>
      </c>
      <c r="B136" s="96" t="str">
        <f>IF(A136="","",_xlfn.XLOOKUP(A136, Company_List!$A:$A, Company_List!$B:$B, ""))</f>
        <v>NVO</v>
      </c>
      <c r="C136" s="21">
        <v>2025</v>
      </c>
      <c r="D136" s="20" t="s">
        <v>555</v>
      </c>
      <c r="E136" s="19" t="s">
        <v>538</v>
      </c>
      <c r="F136" s="19" t="s">
        <v>538</v>
      </c>
      <c r="G136" s="20" t="s">
        <v>610</v>
      </c>
      <c r="H136" s="20" t="s">
        <v>540</v>
      </c>
      <c r="I136" s="127">
        <v>0.3</v>
      </c>
      <c r="J136" s="145" t="str">
        <f>IF(OR(I136="",Settings!$B$6=""),"",IF(I136&gt;Settings!$B$6,"BUY",IF(I136&lt;-Settings!$B$6,"SELL","HOLD")))</f>
        <v>BUY</v>
      </c>
      <c r="K136" s="139">
        <v>25</v>
      </c>
      <c r="L136" s="123">
        <v>45875</v>
      </c>
      <c r="M136" s="123">
        <v>45874</v>
      </c>
      <c r="N136" s="127">
        <v>47.22</v>
      </c>
      <c r="O136" s="123">
        <v>45875</v>
      </c>
      <c r="P136" s="22">
        <v>45.97</v>
      </c>
      <c r="Q136" s="148">
        <f t="shared" si="22"/>
        <v>-2.6499999999999999E-2</v>
      </c>
      <c r="R136" s="20" t="str">
        <f>IF(OR(N136="",P136=""),"",IF(Q136&gt;Settings!$B$3/100,"UP",IF(Q136&lt;-Settings!$B$3/100,"DOWN","FLAT")))</f>
        <v>DOWN</v>
      </c>
      <c r="S136" s="20" t="str">
        <f t="shared" si="23"/>
        <v>NO</v>
      </c>
      <c r="T136" s="21">
        <f t="shared" si="24"/>
        <v>1</v>
      </c>
      <c r="U136" s="148">
        <f>IFERROR(IF(OR(J136="",N136="",P136=""),"",IF(T136=0,0,T136*Q136-Settings!$B$4/10000-IF(T136&lt;0,Settings!$B$5/10000,0))),"")</f>
        <v>-2.75E-2</v>
      </c>
      <c r="V136" s="15" t="s">
        <v>1028</v>
      </c>
      <c r="W136" s="21">
        <f t="shared" si="25"/>
        <v>1500</v>
      </c>
      <c r="X136" s="91" t="str">
        <f t="shared" si="26"/>
        <v>Novo Nordisk|2025|Q2</v>
      </c>
      <c r="Y136" s="91" t="str">
        <f>IFERROR(IF($X136="","",INDEX(LLM_Data_Entry!$H$3:$H$548,MATCH($X136,INDEX(LLM_Data_Entry!$A$3:$A$548&amp;"|"&amp;LLM_Data_Entry!$C$3:$C$548&amp;"|"&amp;LLM_Data_Entry!$D$3:$D$548,0),0))),"")</f>
        <v>SELL</v>
      </c>
      <c r="Z136" s="91" t="str">
        <f>IFERROR(IF($X136="","",INDEX(LLM_Data_Entry!$R$3:$R$548,MATCH($X136,INDEX(LLM_Data_Entry!$A$3:$A$548&amp;"|"&amp;LLM_Data_Entry!$C$3:$C$548&amp;"|"&amp;LLM_Data_Entry!$D$3:$D$548,0),0))),"")</f>
        <v>YES</v>
      </c>
      <c r="AB136" t="s">
        <v>864</v>
      </c>
      <c r="AC136" t="s">
        <v>1026</v>
      </c>
      <c r="AD136" t="s">
        <v>641</v>
      </c>
      <c r="AE136">
        <v>292.28399999999999</v>
      </c>
      <c r="AF136" t="s">
        <v>642</v>
      </c>
      <c r="AG136">
        <v>296.20150000000001</v>
      </c>
      <c r="AH136">
        <v>1.3403073686494019E-2</v>
      </c>
      <c r="AI136" t="s">
        <v>579</v>
      </c>
      <c r="AJ136" t="s">
        <v>546</v>
      </c>
      <c r="AK136">
        <v>1.2403000000000001E-2</v>
      </c>
      <c r="AL136" t="str">
        <f>IF($A136="","",IFERROR(INDEX(Company_List!$G$3:$G$207,MATCH($A136,Company_List!$A$3:$A$207,0)),"unassigned"))</f>
        <v>P2</v>
      </c>
      <c r="AM136" t="s">
        <v>1029</v>
      </c>
      <c r="AO136" t="s">
        <v>593</v>
      </c>
      <c r="AP136" t="str">
        <f>IF($A136="","",IF(COUNTIFS(LLM_Data_Entry!$A$3:$A$548,$A136)&gt;0,"YES","NO"))</f>
        <v>YES</v>
      </c>
      <c r="AQ136" t="str">
        <f>IF($A136="","",IF(COUNTIFS($A$3:$A136,$A136,$C$3:$C136,$C136,$D$3:$D136,$D136)=1,"YES","NO"))</f>
        <v>YES</v>
      </c>
      <c r="AR136" t="str">
        <f>IF($A136="","",IF(AND($C136&amp;"-"&amp;$D136&gt;=Settings!$B$19,$C136&amp;"-"&amp;$D136&lt;=Settings!$B$20),"IN","OUT"))</f>
        <v>IN</v>
      </c>
      <c r="AS136" t="str">
        <f t="shared" si="27"/>
        <v>full</v>
      </c>
      <c r="AT136">
        <f t="shared" si="28"/>
        <v>-2.75E-2</v>
      </c>
      <c r="AU136">
        <f t="shared" si="29"/>
        <v>1.2403000000000001E-2</v>
      </c>
      <c r="AV136">
        <f>IF(ISNUMBER($AT136),ABS(IF(ISNUMBER($I136),$I136,0)-Settings!$B$24),"")</f>
        <v>0.3</v>
      </c>
      <c r="AW136">
        <f t="shared" si="30"/>
        <v>-8.2500000000000004E-3</v>
      </c>
      <c r="AX136">
        <f>IF(ISNUMBER($AU136),ABS(IF(ISNUMBER($I136),$I136,0)-Settings!$B$24),"")</f>
        <v>0.3</v>
      </c>
      <c r="AY136" t="s">
        <v>549</v>
      </c>
      <c r="AZ136" t="str">
        <f>IF($A136="","",IFERROR(INDEX(Company_List!$H$3:$H$207,MATCH($A136,Company_List!$A$3:$A$207,0)),"unassigned"))</f>
        <v>Health Care</v>
      </c>
      <c r="BC136">
        <f>IF($A136="","",IF(COUNTIFS($A$3:$A136,$A136,$C$3:$C136,$C136,$D$3:$D136,$D136,$G$3:$G136,$G136)=1,1,0))</f>
        <v>1</v>
      </c>
      <c r="BG136" t="s">
        <v>550</v>
      </c>
      <c r="BK136">
        <f t="shared" si="31"/>
        <v>0</v>
      </c>
      <c r="BL136" t="s">
        <v>551</v>
      </c>
      <c r="BM136">
        <v>3</v>
      </c>
      <c r="BN136" t="s">
        <v>561</v>
      </c>
      <c r="BO136" t="s">
        <v>561</v>
      </c>
      <c r="BP136" t="s">
        <v>550</v>
      </c>
      <c r="BQ136" t="s">
        <v>550</v>
      </c>
      <c r="BS136" t="s">
        <v>554</v>
      </c>
    </row>
    <row r="137" spans="1:71" ht="16.25" customHeight="1" x14ac:dyDescent="0.2">
      <c r="A137" s="95" t="s">
        <v>1024</v>
      </c>
      <c r="B137" s="96" t="str">
        <f>IF(A137="","",_xlfn.XLOOKUP(A137, Company_List!$A:$A, Company_List!$B:$B, ""))</f>
        <v>NVO</v>
      </c>
      <c r="C137" s="21">
        <v>2025</v>
      </c>
      <c r="D137" s="20" t="s">
        <v>563</v>
      </c>
      <c r="E137" s="19" t="s">
        <v>538</v>
      </c>
      <c r="F137" s="19" t="s">
        <v>538</v>
      </c>
      <c r="G137" s="20" t="s">
        <v>610</v>
      </c>
      <c r="H137" s="20" t="s">
        <v>540</v>
      </c>
      <c r="I137" s="127">
        <v>0.1</v>
      </c>
      <c r="J137" s="145" t="str">
        <f>IF(OR(I137="",Settings!$B$6=""),"",IF(I137&gt;Settings!$B$6,"BUY",IF(I137&lt;-Settings!$B$6,"SELL","HOLD")))</f>
        <v>HOLD</v>
      </c>
      <c r="K137" s="139">
        <v>22</v>
      </c>
      <c r="L137" s="123">
        <v>45966</v>
      </c>
      <c r="M137" s="123">
        <v>45965</v>
      </c>
      <c r="N137" s="127">
        <v>48.25</v>
      </c>
      <c r="O137" s="123">
        <v>45966</v>
      </c>
      <c r="P137" s="22">
        <v>46.98</v>
      </c>
      <c r="Q137" s="148">
        <f t="shared" si="22"/>
        <v>-2.63E-2</v>
      </c>
      <c r="R137" s="20" t="str">
        <f>IF(OR(N137="",P137=""),"",IF(Q137&gt;Settings!$B$3/100,"UP",IF(Q137&lt;-Settings!$B$3/100,"DOWN","FLAT")))</f>
        <v>DOWN</v>
      </c>
      <c r="S137" s="20" t="str">
        <f t="shared" si="23"/>
        <v>NO</v>
      </c>
      <c r="T137" s="21">
        <f t="shared" si="24"/>
        <v>0</v>
      </c>
      <c r="U137" s="148">
        <f>IFERROR(IF(OR(J137="",N137="",P137=""),"",IF(T137=0,0,T137*Q137-Settings!$B$4/10000-IF(T137&lt;0,Settings!$B$5/10000,0))),"")</f>
        <v>0</v>
      </c>
      <c r="V137" s="15" t="s">
        <v>1030</v>
      </c>
      <c r="W137" s="21">
        <f t="shared" si="25"/>
        <v>1320</v>
      </c>
      <c r="X137" s="91" t="str">
        <f t="shared" si="26"/>
        <v>Novo Nordisk|2025|Q3</v>
      </c>
      <c r="Y137" s="91" t="str">
        <f>IFERROR(IF($X137="","",INDEX(LLM_Data_Entry!$H$3:$H$548,MATCH($X137,INDEX(LLM_Data_Entry!$A$3:$A$548&amp;"|"&amp;LLM_Data_Entry!$C$3:$C$548&amp;"|"&amp;LLM_Data_Entry!$D$3:$D$548,0),0))),"")</f>
        <v>SELL</v>
      </c>
      <c r="Z137" s="91" t="str">
        <f>IFERROR(IF($X137="","",INDEX(LLM_Data_Entry!$R$3:$R$548,MATCH($X137,INDEX(LLM_Data_Entry!$A$3:$A$548&amp;"|"&amp;LLM_Data_Entry!$C$3:$C$548&amp;"|"&amp;LLM_Data_Entry!$D$3:$D$548,0),0))),"")</f>
        <v>YES</v>
      </c>
      <c r="AB137" t="s">
        <v>864</v>
      </c>
      <c r="AC137" t="s">
        <v>1026</v>
      </c>
      <c r="AD137" t="s">
        <v>1031</v>
      </c>
      <c r="AE137">
        <v>304.69110000000001</v>
      </c>
      <c r="AF137" t="s">
        <v>872</v>
      </c>
      <c r="AG137">
        <v>293.18790000000001</v>
      </c>
      <c r="AH137">
        <v>-3.7753871263952042E-2</v>
      </c>
      <c r="AI137" t="s">
        <v>545</v>
      </c>
      <c r="AJ137" t="s">
        <v>546</v>
      </c>
      <c r="AK137">
        <v>0</v>
      </c>
      <c r="AL137" t="str">
        <f>IF($A137="","",IFERROR(INDEX(Company_List!$G$3:$G$207,MATCH($A137,Company_List!$A$3:$A$207,0)),"unassigned"))</f>
        <v>P2</v>
      </c>
      <c r="AM137" t="s">
        <v>1032</v>
      </c>
      <c r="AO137" t="s">
        <v>593</v>
      </c>
      <c r="AP137" t="str">
        <f>IF($A137="","",IF(COUNTIFS(LLM_Data_Entry!$A$3:$A$548,$A137)&gt;0,"YES","NO"))</f>
        <v>YES</v>
      </c>
      <c r="AQ137" t="str">
        <f>IF($A137="","",IF(COUNTIFS($A$3:$A137,$A137,$C$3:$C137,$C137,$D$3:$D137,$D137)=1,"YES","NO"))</f>
        <v>YES</v>
      </c>
      <c r="AR137" t="str">
        <f>IF($A137="","",IF(AND($C137&amp;"-"&amp;$D137&gt;=Settings!$B$19,$C137&amp;"-"&amp;$D137&lt;=Settings!$B$20),"IN","OUT"))</f>
        <v>IN</v>
      </c>
      <c r="AS137" t="str">
        <f t="shared" si="27"/>
        <v>full</v>
      </c>
      <c r="AT137" t="str">
        <f t="shared" si="28"/>
        <v/>
      </c>
      <c r="AU137" t="str">
        <f t="shared" si="29"/>
        <v/>
      </c>
      <c r="AV137" t="str">
        <f>IF(ISNUMBER($AT137),ABS(IF(ISNUMBER($I137),$I137,0)-Settings!$B$24),"")</f>
        <v/>
      </c>
      <c r="AW137" t="str">
        <f t="shared" si="30"/>
        <v/>
      </c>
      <c r="AX137" t="str">
        <f>IF(ISNUMBER($AU137),ABS(IF(ISNUMBER($I137),$I137,0)-Settings!$B$24),"")</f>
        <v/>
      </c>
      <c r="AY137" t="s">
        <v>549</v>
      </c>
      <c r="AZ137" t="str">
        <f>IF($A137="","",IFERROR(INDEX(Company_List!$H$3:$H$207,MATCH($A137,Company_List!$A$3:$A$207,0)),"unassigned"))</f>
        <v>Health Care</v>
      </c>
      <c r="BC137">
        <f>IF($A137="","",IF(COUNTIFS($A$3:$A137,$A137,$C$3:$C137,$C137,$D$3:$D137,$D137,$G$3:$G137,$G137)=1,1,0))</f>
        <v>1</v>
      </c>
      <c r="BG137" t="s">
        <v>550</v>
      </c>
      <c r="BK137">
        <f t="shared" si="31"/>
        <v>0</v>
      </c>
      <c r="BL137" t="s">
        <v>551</v>
      </c>
      <c r="BM137">
        <v>4</v>
      </c>
      <c r="BN137" t="s">
        <v>595</v>
      </c>
      <c r="BO137" t="s">
        <v>596</v>
      </c>
      <c r="BP137" t="s">
        <v>550</v>
      </c>
      <c r="BQ137" t="s">
        <v>550</v>
      </c>
      <c r="BS137" t="s">
        <v>554</v>
      </c>
    </row>
    <row r="138" spans="1:71" ht="16.25" customHeight="1" x14ac:dyDescent="0.2">
      <c r="A138" s="95" t="s">
        <v>1024</v>
      </c>
      <c r="B138" s="96" t="str">
        <f>IF(A138="","",_xlfn.XLOOKUP(A138, Company_List!$A:$A, Company_List!$B:$B, ""))</f>
        <v>NVO</v>
      </c>
      <c r="C138" s="21">
        <v>2025</v>
      </c>
      <c r="D138" s="20" t="s">
        <v>569</v>
      </c>
      <c r="E138" s="19" t="s">
        <v>538</v>
      </c>
      <c r="F138" s="19" t="s">
        <v>538</v>
      </c>
      <c r="G138" s="20" t="s">
        <v>610</v>
      </c>
      <c r="H138" s="20" t="s">
        <v>540</v>
      </c>
      <c r="I138" s="127">
        <v>-0.4</v>
      </c>
      <c r="J138" s="145" t="str">
        <f>IF(OR(I138="",Settings!$B$6=""),"",IF(I138&gt;Settings!$B$6,"BUY",IF(I138&lt;-Settings!$B$6,"SELL","HOLD")))</f>
        <v>SELL</v>
      </c>
      <c r="K138" s="139">
        <v>26</v>
      </c>
      <c r="L138" s="123">
        <v>46057</v>
      </c>
      <c r="M138" s="123">
        <v>46055</v>
      </c>
      <c r="N138" s="127">
        <v>58.93</v>
      </c>
      <c r="O138" s="123">
        <v>46056</v>
      </c>
      <c r="P138" s="22">
        <v>58.35</v>
      </c>
      <c r="Q138" s="148">
        <f t="shared" si="22"/>
        <v>-9.7999999999999997E-3</v>
      </c>
      <c r="R138" s="20" t="str">
        <f>IF(OR(N138="",P138=""),"",IF(Q138&gt;Settings!$B$3/100,"UP",IF(Q138&lt;-Settings!$B$3/100,"DOWN","FLAT")))</f>
        <v>FLAT</v>
      </c>
      <c r="S138" s="20" t="str">
        <f t="shared" si="23"/>
        <v>NO</v>
      </c>
      <c r="T138" s="21">
        <f t="shared" si="24"/>
        <v>-1</v>
      </c>
      <c r="U138" s="148">
        <f>IFERROR(IF(OR(J138="",N138="",P138=""),"",IF(T138=0,0,T138*Q138-Settings!$B$4/10000-IF(T138&lt;0,Settings!$B$5/10000,0))),"")</f>
        <v>8.7999999999999988E-3</v>
      </c>
      <c r="V138" s="15" t="s">
        <v>1033</v>
      </c>
      <c r="W138" s="21">
        <f t="shared" si="25"/>
        <v>1560</v>
      </c>
      <c r="X138" s="91" t="str">
        <f t="shared" si="26"/>
        <v>Novo Nordisk|2025|Q4</v>
      </c>
      <c r="Y138" s="91" t="str">
        <f>IFERROR(IF($X138="","",INDEX(LLM_Data_Entry!$H$3:$H$548,MATCH($X138,INDEX(LLM_Data_Entry!$A$3:$A$548&amp;"|"&amp;LLM_Data_Entry!$C$3:$C$548&amp;"|"&amp;LLM_Data_Entry!$D$3:$D$548,0),0))),"")</f>
        <v>SELL</v>
      </c>
      <c r="Z138" s="91" t="str">
        <f>IFERROR(IF($X138="","",INDEX(LLM_Data_Entry!$R$3:$R$548,MATCH($X138,INDEX(LLM_Data_Entry!$A$3:$A$548&amp;"|"&amp;LLM_Data_Entry!$C$3:$C$548&amp;"|"&amp;LLM_Data_Entry!$D$3:$D$548,0),0))),"")</f>
        <v>NO</v>
      </c>
      <c r="AB138" t="s">
        <v>864</v>
      </c>
      <c r="AC138" t="s">
        <v>1026</v>
      </c>
      <c r="AD138" t="s">
        <v>736</v>
      </c>
      <c r="AE138">
        <v>355.53739999999999</v>
      </c>
      <c r="AF138" t="s">
        <v>737</v>
      </c>
      <c r="AG138">
        <v>291.93119999999999</v>
      </c>
      <c r="AH138">
        <v>-0.1789015603144252</v>
      </c>
      <c r="AI138" t="s">
        <v>545</v>
      </c>
      <c r="AJ138" t="s">
        <v>554</v>
      </c>
      <c r="AK138">
        <v>0.177902</v>
      </c>
      <c r="AL138" t="str">
        <f>IF($A138="","",IFERROR(INDEX(Company_List!$G$3:$G$207,MATCH($A138,Company_List!$A$3:$A$207,0)),"unassigned"))</f>
        <v>P2</v>
      </c>
      <c r="AM138" t="s">
        <v>1034</v>
      </c>
      <c r="AO138" t="s">
        <v>593</v>
      </c>
      <c r="AP138" t="str">
        <f>IF($A138="","",IF(COUNTIFS(LLM_Data_Entry!$A$3:$A$548,$A138)&gt;0,"YES","NO"))</f>
        <v>YES</v>
      </c>
      <c r="AQ138" t="str">
        <f>IF($A138="","",IF(COUNTIFS($A$3:$A138,$A138,$C$3:$C138,$C138,$D$3:$D138,$D138)=1,"YES","NO"))</f>
        <v>YES</v>
      </c>
      <c r="AR138" t="str">
        <f>IF($A138="","",IF(AND($C138&amp;"-"&amp;$D138&gt;=Settings!$B$19,$C138&amp;"-"&amp;$D138&lt;=Settings!$B$20),"IN","OUT"))</f>
        <v>IN</v>
      </c>
      <c r="AS138" t="str">
        <f t="shared" si="27"/>
        <v>full</v>
      </c>
      <c r="AT138">
        <f t="shared" si="28"/>
        <v>8.7999999999999988E-3</v>
      </c>
      <c r="AU138">
        <f t="shared" si="29"/>
        <v>0.177902</v>
      </c>
      <c r="AV138">
        <f>IF(ISNUMBER($AT138),ABS(IF(ISNUMBER($I138),$I138,0)-Settings!$B$24),"")</f>
        <v>0.4</v>
      </c>
      <c r="AW138">
        <f t="shared" si="30"/>
        <v>3.5199999999999997E-3</v>
      </c>
      <c r="AX138">
        <f>IF(ISNUMBER($AU138),ABS(IF(ISNUMBER($I138),$I138,0)-Settings!$B$24),"")</f>
        <v>0.4</v>
      </c>
      <c r="AY138" t="s">
        <v>549</v>
      </c>
      <c r="AZ138" t="str">
        <f>IF($A138="","",IFERROR(INDEX(Company_List!$H$3:$H$207,MATCH($A138,Company_List!$A$3:$A$207,0)),"unassigned"))</f>
        <v>Health Care</v>
      </c>
      <c r="BC138">
        <f>IF($A138="","",IF(COUNTIFS($A$3:$A138,$A138,$C$3:$C138,$C138,$D$3:$D138,$D138,$G$3:$G138,$G138)=1,1,0))</f>
        <v>1</v>
      </c>
      <c r="BG138" t="s">
        <v>550</v>
      </c>
      <c r="BK138">
        <f t="shared" si="31"/>
        <v>1</v>
      </c>
      <c r="BL138" t="s">
        <v>551</v>
      </c>
      <c r="BM138">
        <v>5</v>
      </c>
      <c r="BN138" t="s">
        <v>561</v>
      </c>
      <c r="BO138" t="s">
        <v>561</v>
      </c>
      <c r="BP138" t="s">
        <v>550</v>
      </c>
      <c r="BQ138" t="s">
        <v>550</v>
      </c>
      <c r="BS138" t="s">
        <v>554</v>
      </c>
    </row>
    <row r="139" spans="1:71" ht="16.25" customHeight="1" x14ac:dyDescent="0.2">
      <c r="A139" s="95" t="s">
        <v>1035</v>
      </c>
      <c r="B139" s="96" t="str">
        <f>IF(A139="","",_xlfn.XLOOKUP(A139, Company_List!$A:$A, Company_List!$B:$B, ""))</f>
        <v>LMT</v>
      </c>
      <c r="C139" s="21">
        <v>2025</v>
      </c>
      <c r="D139" s="20" t="s">
        <v>537</v>
      </c>
      <c r="E139" s="19" t="s">
        <v>538</v>
      </c>
      <c r="F139" s="19" t="s">
        <v>538</v>
      </c>
      <c r="G139" s="20" t="s">
        <v>610</v>
      </c>
      <c r="H139" s="20" t="s">
        <v>540</v>
      </c>
      <c r="I139" s="127">
        <v>0.3</v>
      </c>
      <c r="J139" s="145" t="str">
        <f>IF(OR(I139="",Settings!$B$6=""),"",IF(I139&gt;Settings!$B$6,"BUY",IF(I139&lt;-Settings!$B$6,"SELL","HOLD")))</f>
        <v>BUY</v>
      </c>
      <c r="K139" s="139">
        <v>18</v>
      </c>
      <c r="L139" s="123">
        <v>45769</v>
      </c>
      <c r="M139" s="123">
        <v>45768</v>
      </c>
      <c r="N139" s="127">
        <v>458.33</v>
      </c>
      <c r="O139" s="123">
        <v>45769</v>
      </c>
      <c r="P139" s="22">
        <v>458.05</v>
      </c>
      <c r="Q139" s="148">
        <f t="shared" si="22"/>
        <v>-5.9999999999999995E-4</v>
      </c>
      <c r="R139" s="20" t="str">
        <f>IF(OR(N139="",P139=""),"",IF(Q139&gt;Settings!$B$3/100,"UP",IF(Q139&lt;-Settings!$B$3/100,"DOWN","FLAT")))</f>
        <v>FLAT</v>
      </c>
      <c r="S139" s="20" t="str">
        <f t="shared" si="23"/>
        <v>NO</v>
      </c>
      <c r="T139" s="21">
        <f t="shared" si="24"/>
        <v>1</v>
      </c>
      <c r="U139" s="148">
        <f>IFERROR(IF(OR(J139="",N139="",P139=""),"",IF(T139=0,0,T139*Q139-Settings!$B$4/10000-IF(T139&lt;0,Settings!$B$5/10000,0))),"")</f>
        <v>-1.5999999999999999E-3</v>
      </c>
      <c r="V139" s="15" t="s">
        <v>1036</v>
      </c>
      <c r="W139" s="21">
        <f t="shared" si="25"/>
        <v>1080</v>
      </c>
      <c r="X139" s="91" t="str">
        <f t="shared" si="26"/>
        <v>Lockheed Martin|2025|Q1</v>
      </c>
      <c r="Y139" s="91" t="str">
        <f>IFERROR(IF($X139="","",INDEX(LLM_Data_Entry!$H$3:$H$548,MATCH($X139,INDEX(LLM_Data_Entry!$A$3:$A$548&amp;"|"&amp;LLM_Data_Entry!$C$3:$C$548&amp;"|"&amp;LLM_Data_Entry!$D$3:$D$548,0),0))),"")</f>
        <v>SELL</v>
      </c>
      <c r="Z139" s="91" t="str">
        <f>IFERROR(IF($X139="","",INDEX(LLM_Data_Entry!$R$3:$R$548,MATCH($X139,INDEX(LLM_Data_Entry!$A$3:$A$548&amp;"|"&amp;LLM_Data_Entry!$C$3:$C$548&amp;"|"&amp;LLM_Data_Entry!$D$3:$D$548,0),0))),"")</f>
        <v>NO</v>
      </c>
      <c r="AB139" t="s">
        <v>853</v>
      </c>
      <c r="AC139" t="s">
        <v>1037</v>
      </c>
      <c r="AD139" t="s">
        <v>578</v>
      </c>
      <c r="AE139">
        <v>443.23970000000003</v>
      </c>
      <c r="AF139" t="s">
        <v>614</v>
      </c>
      <c r="AG139">
        <v>442.96899999999999</v>
      </c>
      <c r="AH139">
        <v>-6.1086047906669784E-4</v>
      </c>
      <c r="AI139" t="s">
        <v>579</v>
      </c>
      <c r="AJ139" t="s">
        <v>546</v>
      </c>
      <c r="AK139">
        <v>-1.611E-3</v>
      </c>
      <c r="AL139" t="str">
        <f>IF($A139="","",IFERROR(INDEX(Company_List!$G$3:$G$207,MATCH($A139,Company_List!$A$3:$A$207,0)),"unassigned"))</f>
        <v>P2</v>
      </c>
      <c r="AM139" t="s">
        <v>1038</v>
      </c>
      <c r="AO139" t="s">
        <v>593</v>
      </c>
      <c r="AP139" t="str">
        <f>IF($A139="","",IF(COUNTIFS(LLM_Data_Entry!$A$3:$A$548,$A139)&gt;0,"YES","NO"))</f>
        <v>YES</v>
      </c>
      <c r="AQ139" t="str">
        <f>IF($A139="","",IF(COUNTIFS($A$3:$A139,$A139,$C$3:$C139,$C139,$D$3:$D139,$D139)=1,"YES","NO"))</f>
        <v>YES</v>
      </c>
      <c r="AR139" t="str">
        <f>IF($A139="","",IF(AND($C139&amp;"-"&amp;$D139&gt;=Settings!$B$19,$C139&amp;"-"&amp;$D139&lt;=Settings!$B$20),"IN","OUT"))</f>
        <v>IN</v>
      </c>
      <c r="AS139" t="str">
        <f t="shared" si="27"/>
        <v>full</v>
      </c>
      <c r="AT139">
        <f t="shared" si="28"/>
        <v>-1.5999999999999999E-3</v>
      </c>
      <c r="AU139">
        <f t="shared" si="29"/>
        <v>-1.611E-3</v>
      </c>
      <c r="AV139">
        <f>IF(ISNUMBER($AT139),ABS(IF(ISNUMBER($I139),$I139,0)-Settings!$B$24),"")</f>
        <v>0.3</v>
      </c>
      <c r="AW139">
        <f t="shared" si="30"/>
        <v>-4.7999999999999996E-4</v>
      </c>
      <c r="AX139">
        <f>IF(ISNUMBER($AU139),ABS(IF(ISNUMBER($I139),$I139,0)-Settings!$B$24),"")</f>
        <v>0.3</v>
      </c>
      <c r="AY139" t="s">
        <v>549</v>
      </c>
      <c r="AZ139" t="str">
        <f>IF($A139="","",IFERROR(INDEX(Company_List!$H$3:$H$207,MATCH($A139,Company_List!$A$3:$A$207,0)),"unassigned"))</f>
        <v>Industrials</v>
      </c>
      <c r="BC139">
        <f>IF($A139="","",IF(COUNTIFS($A$3:$A139,$A139,$C$3:$C139,$C139,$D$3:$D139,$D139,$G$3:$G139,$G139)=1,1,0))</f>
        <v>1</v>
      </c>
      <c r="BG139" t="s">
        <v>550</v>
      </c>
      <c r="BK139">
        <f t="shared" si="31"/>
        <v>0</v>
      </c>
      <c r="BL139" t="s">
        <v>551</v>
      </c>
      <c r="BM139">
        <v>4</v>
      </c>
      <c r="BN139" t="s">
        <v>561</v>
      </c>
      <c r="BO139" t="s">
        <v>561</v>
      </c>
      <c r="BP139" t="s">
        <v>550</v>
      </c>
      <c r="BQ139" t="s">
        <v>550</v>
      </c>
      <c r="BS139" t="s">
        <v>554</v>
      </c>
    </row>
    <row r="140" spans="1:71" ht="16.25" customHeight="1" x14ac:dyDescent="0.2">
      <c r="A140" s="95" t="s">
        <v>1035</v>
      </c>
      <c r="B140" s="96" t="str">
        <f>IF(A140="","",_xlfn.XLOOKUP(A140, Company_List!$A:$A, Company_List!$B:$B, ""))</f>
        <v>LMT</v>
      </c>
      <c r="C140" s="21">
        <v>2025</v>
      </c>
      <c r="D140" s="20" t="s">
        <v>555</v>
      </c>
      <c r="E140" s="19" t="s">
        <v>538</v>
      </c>
      <c r="F140" s="19" t="s">
        <v>538</v>
      </c>
      <c r="G140" s="20" t="s">
        <v>610</v>
      </c>
      <c r="H140" s="20" t="s">
        <v>540</v>
      </c>
      <c r="I140" s="127">
        <v>-0.2</v>
      </c>
      <c r="J140" s="145" t="str">
        <f>IF(OR(I140="",Settings!$B$6=""),"",IF(I140&gt;Settings!$B$6,"BUY",IF(I140&lt;-Settings!$B$6,"SELL","HOLD")))</f>
        <v>HOLD</v>
      </c>
      <c r="K140" s="139">
        <v>15</v>
      </c>
      <c r="L140" s="123">
        <v>45860</v>
      </c>
      <c r="M140" s="123">
        <v>45859</v>
      </c>
      <c r="N140" s="127">
        <v>460.53</v>
      </c>
      <c r="O140" s="123">
        <v>45860</v>
      </c>
      <c r="P140" s="22">
        <v>422.75</v>
      </c>
      <c r="Q140" s="148">
        <f t="shared" si="22"/>
        <v>-8.2000000000000003E-2</v>
      </c>
      <c r="R140" s="20" t="str">
        <f>IF(OR(N140="",P140=""),"",IF(Q140&gt;Settings!$B$3/100,"UP",IF(Q140&lt;-Settings!$B$3/100,"DOWN","FLAT")))</f>
        <v>DOWN</v>
      </c>
      <c r="S140" s="20" t="str">
        <f t="shared" si="23"/>
        <v>NO</v>
      </c>
      <c r="T140" s="21">
        <f t="shared" si="24"/>
        <v>0</v>
      </c>
      <c r="U140" s="148">
        <f>IFERROR(IF(OR(J140="",N140="",P140=""),"",IF(T140=0,0,T140*Q140-Settings!$B$4/10000-IF(T140&lt;0,Settings!$B$5/10000,0))),"")</f>
        <v>0</v>
      </c>
      <c r="V140" s="15" t="s">
        <v>1039</v>
      </c>
      <c r="W140" s="21">
        <f t="shared" si="25"/>
        <v>900</v>
      </c>
      <c r="X140" s="91" t="str">
        <f t="shared" si="26"/>
        <v>Lockheed Martin|2025|Q2</v>
      </c>
      <c r="Y140" s="91" t="str">
        <f>IFERROR(IF($X140="","",INDEX(LLM_Data_Entry!$H$3:$H$548,MATCH($X140,INDEX(LLM_Data_Entry!$A$3:$A$548&amp;"|"&amp;LLM_Data_Entry!$C$3:$C$548&amp;"|"&amp;LLM_Data_Entry!$D$3:$D$548,0),0))),"")</f>
        <v>SELL</v>
      </c>
      <c r="Z140" s="91" t="str">
        <f>IFERROR(IF($X140="","",INDEX(LLM_Data_Entry!$R$3:$R$548,MATCH($X140,INDEX(LLM_Data_Entry!$A$3:$A$548&amp;"|"&amp;LLM_Data_Entry!$C$3:$C$548&amp;"|"&amp;LLM_Data_Entry!$D$3:$D$548,0),0))),"")</f>
        <v>YES</v>
      </c>
      <c r="AB140" t="s">
        <v>612</v>
      </c>
      <c r="AC140" t="s">
        <v>1037</v>
      </c>
      <c r="AD140" t="s">
        <v>700</v>
      </c>
      <c r="AE140">
        <v>448.435</v>
      </c>
      <c r="AF140" t="s">
        <v>701</v>
      </c>
      <c r="AG140">
        <v>411.64729999999997</v>
      </c>
      <c r="AH140">
        <v>-8.2035901101232878E-2</v>
      </c>
      <c r="AI140" t="s">
        <v>545</v>
      </c>
      <c r="AJ140" t="s">
        <v>546</v>
      </c>
      <c r="AK140">
        <v>0</v>
      </c>
      <c r="AL140" t="str">
        <f>IF($A140="","",IFERROR(INDEX(Company_List!$G$3:$G$207,MATCH($A140,Company_List!$A$3:$A$207,0)),"unassigned"))</f>
        <v>P2</v>
      </c>
      <c r="AM140" t="s">
        <v>1040</v>
      </c>
      <c r="AO140" t="s">
        <v>593</v>
      </c>
      <c r="AP140" t="str">
        <f>IF($A140="","",IF(COUNTIFS(LLM_Data_Entry!$A$3:$A$548,$A140)&gt;0,"YES","NO"))</f>
        <v>YES</v>
      </c>
      <c r="AQ140" t="str">
        <f>IF($A140="","",IF(COUNTIFS($A$3:$A140,$A140,$C$3:$C140,$C140,$D$3:$D140,$D140)=1,"YES","NO"))</f>
        <v>YES</v>
      </c>
      <c r="AR140" t="str">
        <f>IF($A140="","",IF(AND($C140&amp;"-"&amp;$D140&gt;=Settings!$B$19,$C140&amp;"-"&amp;$D140&lt;=Settings!$B$20),"IN","OUT"))</f>
        <v>IN</v>
      </c>
      <c r="AS140" t="str">
        <f t="shared" si="27"/>
        <v>full</v>
      </c>
      <c r="AT140" t="str">
        <f t="shared" si="28"/>
        <v/>
      </c>
      <c r="AU140" t="str">
        <f t="shared" si="29"/>
        <v/>
      </c>
      <c r="AV140" t="str">
        <f>IF(ISNUMBER($AT140),ABS(IF(ISNUMBER($I140),$I140,0)-Settings!$B$24),"")</f>
        <v/>
      </c>
      <c r="AW140" t="str">
        <f t="shared" si="30"/>
        <v/>
      </c>
      <c r="AX140" t="str">
        <f>IF(ISNUMBER($AU140),ABS(IF(ISNUMBER($I140),$I140,0)-Settings!$B$24),"")</f>
        <v/>
      </c>
      <c r="AY140" t="s">
        <v>549</v>
      </c>
      <c r="AZ140" t="str">
        <f>IF($A140="","",IFERROR(INDEX(Company_List!$H$3:$H$207,MATCH($A140,Company_List!$A$3:$A$207,0)),"unassigned"))</f>
        <v>Industrials</v>
      </c>
      <c r="BC140">
        <f>IF($A140="","",IF(COUNTIFS($A$3:$A140,$A140,$C$3:$C140,$C140,$D$3:$D140,$D140,$G$3:$G140,$G140)=1,1,0))</f>
        <v>1</v>
      </c>
      <c r="BG140" t="s">
        <v>550</v>
      </c>
      <c r="BK140">
        <f t="shared" si="31"/>
        <v>0</v>
      </c>
      <c r="BL140" t="s">
        <v>551</v>
      </c>
      <c r="BM140">
        <v>4</v>
      </c>
      <c r="BN140" t="s">
        <v>561</v>
      </c>
      <c r="BO140" t="s">
        <v>561</v>
      </c>
      <c r="BP140" t="s">
        <v>550</v>
      </c>
      <c r="BQ140" t="s">
        <v>550</v>
      </c>
      <c r="BS140" t="s">
        <v>554</v>
      </c>
    </row>
    <row r="141" spans="1:71" ht="16.25" customHeight="1" x14ac:dyDescent="0.2">
      <c r="A141" s="95" t="s">
        <v>1035</v>
      </c>
      <c r="B141" s="96" t="str">
        <f>IF(A141="","",_xlfn.XLOOKUP(A141, Company_List!$A:$A, Company_List!$B:$B, ""))</f>
        <v>LMT</v>
      </c>
      <c r="C141" s="21">
        <v>2025</v>
      </c>
      <c r="D141" s="20" t="s">
        <v>563</v>
      </c>
      <c r="E141" s="19" t="s">
        <v>538</v>
      </c>
      <c r="F141" s="19" t="s">
        <v>538</v>
      </c>
      <c r="G141" s="20" t="s">
        <v>610</v>
      </c>
      <c r="H141" s="20" t="s">
        <v>540</v>
      </c>
      <c r="I141" s="127">
        <v>0.7</v>
      </c>
      <c r="J141" s="145" t="str">
        <f>IF(OR(I141="",Settings!$B$6=""),"",IF(I141&gt;Settings!$B$6,"BUY",IF(I141&lt;-Settings!$B$6,"SELL","HOLD")))</f>
        <v>BUY</v>
      </c>
      <c r="K141" s="139">
        <v>15</v>
      </c>
      <c r="L141" s="123">
        <v>45951</v>
      </c>
      <c r="M141" s="123">
        <v>45950</v>
      </c>
      <c r="N141" s="127">
        <v>505.9</v>
      </c>
      <c r="O141" s="123">
        <v>45951</v>
      </c>
      <c r="P141" s="22">
        <v>482.71</v>
      </c>
      <c r="Q141" s="148">
        <f t="shared" si="22"/>
        <v>-4.58E-2</v>
      </c>
      <c r="R141" s="20" t="str">
        <f>IF(OR(N141="",P141=""),"",IF(Q141&gt;Settings!$B$3/100,"UP",IF(Q141&lt;-Settings!$B$3/100,"DOWN","FLAT")))</f>
        <v>DOWN</v>
      </c>
      <c r="S141" s="20" t="str">
        <f t="shared" si="23"/>
        <v>NO</v>
      </c>
      <c r="T141" s="21">
        <f t="shared" si="24"/>
        <v>1</v>
      </c>
      <c r="U141" s="148">
        <f>IFERROR(IF(OR(J141="",N141="",P141=""),"",IF(T141=0,0,T141*Q141-Settings!$B$4/10000-IF(T141&lt;0,Settings!$B$5/10000,0))),"")</f>
        <v>-4.6800000000000001E-2</v>
      </c>
      <c r="V141" s="15" t="s">
        <v>1041</v>
      </c>
      <c r="W141" s="21">
        <f t="shared" si="25"/>
        <v>900</v>
      </c>
      <c r="X141" s="91" t="str">
        <f t="shared" si="26"/>
        <v>Lockheed Martin|2025|Q3</v>
      </c>
      <c r="Y141" s="91" t="str">
        <f>IFERROR(IF($X141="","",INDEX(LLM_Data_Entry!$H$3:$H$548,MATCH($X141,INDEX(LLM_Data_Entry!$A$3:$A$548&amp;"|"&amp;LLM_Data_Entry!$C$3:$C$548&amp;"|"&amp;LLM_Data_Entry!$D$3:$D$548,0),0))),"")</f>
        <v>BUY</v>
      </c>
      <c r="Z141" s="91" t="str">
        <f>IFERROR(IF($X141="","",INDEX(LLM_Data_Entry!$R$3:$R$548,MATCH($X141,INDEX(LLM_Data_Entry!$A$3:$A$548&amp;"|"&amp;LLM_Data_Entry!$C$3:$C$548&amp;"|"&amp;LLM_Data_Entry!$D$3:$D$548,0),0))),"")</f>
        <v>NO</v>
      </c>
      <c r="AB141" t="s">
        <v>612</v>
      </c>
      <c r="AC141" t="s">
        <v>1037</v>
      </c>
      <c r="AD141" t="s">
        <v>1042</v>
      </c>
      <c r="AE141">
        <v>496.20740000000001</v>
      </c>
      <c r="AF141" t="s">
        <v>565</v>
      </c>
      <c r="AG141">
        <v>473.46170000000001</v>
      </c>
      <c r="AH141">
        <v>-4.5839107833779598E-2</v>
      </c>
      <c r="AI141" t="s">
        <v>545</v>
      </c>
      <c r="AJ141" t="s">
        <v>546</v>
      </c>
      <c r="AK141">
        <v>-4.6838999999999999E-2</v>
      </c>
      <c r="AL141" t="str">
        <f>IF($A141="","",IFERROR(INDEX(Company_List!$G$3:$G$207,MATCH($A141,Company_List!$A$3:$A$207,0)),"unassigned"))</f>
        <v>P2</v>
      </c>
      <c r="AM141" t="s">
        <v>1043</v>
      </c>
      <c r="AO141" t="s">
        <v>593</v>
      </c>
      <c r="AP141" t="str">
        <f>IF($A141="","",IF(COUNTIFS(LLM_Data_Entry!$A$3:$A$548,$A141)&gt;0,"YES","NO"))</f>
        <v>YES</v>
      </c>
      <c r="AQ141" t="str">
        <f>IF($A141="","",IF(COUNTIFS($A$3:$A141,$A141,$C$3:$C141,$C141,$D$3:$D141,$D141)=1,"YES","NO"))</f>
        <v>YES</v>
      </c>
      <c r="AR141" t="str">
        <f>IF($A141="","",IF(AND($C141&amp;"-"&amp;$D141&gt;=Settings!$B$19,$C141&amp;"-"&amp;$D141&lt;=Settings!$B$20),"IN","OUT"))</f>
        <v>IN</v>
      </c>
      <c r="AS141" t="str">
        <f t="shared" si="27"/>
        <v>full</v>
      </c>
      <c r="AT141">
        <f t="shared" si="28"/>
        <v>-4.6800000000000001E-2</v>
      </c>
      <c r="AU141">
        <f t="shared" si="29"/>
        <v>-4.6838999999999999E-2</v>
      </c>
      <c r="AV141">
        <f>IF(ISNUMBER($AT141),ABS(IF(ISNUMBER($I141),$I141,0)-Settings!$B$24),"")</f>
        <v>0.7</v>
      </c>
      <c r="AW141">
        <f t="shared" si="30"/>
        <v>-3.2759999999999997E-2</v>
      </c>
      <c r="AX141">
        <f>IF(ISNUMBER($AU141),ABS(IF(ISNUMBER($I141),$I141,0)-Settings!$B$24),"")</f>
        <v>0.7</v>
      </c>
      <c r="AY141" t="s">
        <v>549</v>
      </c>
      <c r="AZ141" t="str">
        <f>IF($A141="","",IFERROR(INDEX(Company_List!$H$3:$H$207,MATCH($A141,Company_List!$A$3:$A$207,0)),"unassigned"))</f>
        <v>Industrials</v>
      </c>
      <c r="BC141">
        <f>IF($A141="","",IF(COUNTIFS($A$3:$A141,$A141,$C$3:$C141,$C141,$D$3:$D141,$D141,$G$3:$G141,$G141)=1,1,0))</f>
        <v>1</v>
      </c>
      <c r="BG141" t="s">
        <v>550</v>
      </c>
      <c r="BK141">
        <f t="shared" si="31"/>
        <v>1</v>
      </c>
      <c r="BL141" t="s">
        <v>551</v>
      </c>
      <c r="BM141">
        <v>5</v>
      </c>
      <c r="BN141" t="s">
        <v>561</v>
      </c>
      <c r="BO141" t="s">
        <v>561</v>
      </c>
      <c r="BP141" t="s">
        <v>550</v>
      </c>
      <c r="BQ141" t="s">
        <v>550</v>
      </c>
      <c r="BS141" t="s">
        <v>554</v>
      </c>
    </row>
    <row r="142" spans="1:71" ht="16.25" customHeight="1" x14ac:dyDescent="0.2">
      <c r="A142" s="95" t="s">
        <v>1035</v>
      </c>
      <c r="B142" s="96" t="str">
        <f>IF(A142="","",_xlfn.XLOOKUP(A142, Company_List!$A:$A, Company_List!$B:$B, ""))</f>
        <v>LMT</v>
      </c>
      <c r="C142" s="21">
        <v>2025</v>
      </c>
      <c r="D142" s="20" t="s">
        <v>569</v>
      </c>
      <c r="E142" s="19" t="s">
        <v>538</v>
      </c>
      <c r="F142" s="19" t="s">
        <v>538</v>
      </c>
      <c r="G142" s="20" t="s">
        <v>610</v>
      </c>
      <c r="H142" s="20" t="s">
        <v>540</v>
      </c>
      <c r="I142" s="127">
        <v>0.6</v>
      </c>
      <c r="J142" s="145" t="str">
        <f>IF(OR(I142="",Settings!$B$6=""),"",IF(I142&gt;Settings!$B$6,"BUY",IF(I142&lt;-Settings!$B$6,"SELL","HOLD")))</f>
        <v>BUY</v>
      </c>
      <c r="K142" s="139">
        <v>18</v>
      </c>
      <c r="L142" s="123">
        <v>46051</v>
      </c>
      <c r="M142" s="123">
        <v>46050</v>
      </c>
      <c r="N142" s="127">
        <v>597.27</v>
      </c>
      <c r="O142" s="123">
        <v>46051</v>
      </c>
      <c r="P142" s="22">
        <v>609.24</v>
      </c>
      <c r="Q142" s="148">
        <f t="shared" si="22"/>
        <v>0.02</v>
      </c>
      <c r="R142" s="20" t="str">
        <f>IF(OR(N142="",P142=""),"",IF(Q142&gt;Settings!$B$3/100,"UP",IF(Q142&lt;-Settings!$B$3/100,"DOWN","FLAT")))</f>
        <v>FLAT</v>
      </c>
      <c r="S142" s="20" t="str">
        <f t="shared" si="23"/>
        <v>NO</v>
      </c>
      <c r="T142" s="21">
        <f t="shared" si="24"/>
        <v>1</v>
      </c>
      <c r="U142" s="148">
        <f>IFERROR(IF(OR(J142="",N142="",P142=""),"",IF(T142=0,0,T142*Q142-Settings!$B$4/10000-IF(T142&lt;0,Settings!$B$5/10000,0))),"")</f>
        <v>1.9E-2</v>
      </c>
      <c r="V142" s="15" t="s">
        <v>1044</v>
      </c>
      <c r="W142" s="21">
        <f t="shared" si="25"/>
        <v>1080</v>
      </c>
      <c r="X142" s="91" t="str">
        <f t="shared" si="26"/>
        <v>Lockheed Martin|2025|Q4</v>
      </c>
      <c r="Y142" s="91" t="str">
        <f>IFERROR(IF($X142="","",INDEX(LLM_Data_Entry!$H$3:$H$548,MATCH($X142,INDEX(LLM_Data_Entry!$A$3:$A$548&amp;"|"&amp;LLM_Data_Entry!$C$3:$C$548&amp;"|"&amp;LLM_Data_Entry!$D$3:$D$548,0),0))),"")</f>
        <v>BUY</v>
      </c>
      <c r="Z142" s="91" t="str">
        <f>IFERROR(IF($X142="","",INDEX(LLM_Data_Entry!$R$3:$R$548,MATCH($X142,INDEX(LLM_Data_Entry!$A$3:$A$548&amp;"|"&amp;LLM_Data_Entry!$C$3:$C$548&amp;"|"&amp;LLM_Data_Entry!$D$3:$D$548,0),0))),"")</f>
        <v>YES</v>
      </c>
      <c r="AB142" t="s">
        <v>636</v>
      </c>
      <c r="AC142" t="s">
        <v>1037</v>
      </c>
      <c r="AD142" t="s">
        <v>776</v>
      </c>
      <c r="AE142">
        <v>590.27449999999999</v>
      </c>
      <c r="AF142" t="s">
        <v>694</v>
      </c>
      <c r="AG142">
        <v>602.10429999999997</v>
      </c>
      <c r="AH142">
        <v>2.0041183997907351E-2</v>
      </c>
      <c r="AI142" t="s">
        <v>591</v>
      </c>
      <c r="AJ142" t="s">
        <v>554</v>
      </c>
      <c r="AK142">
        <v>1.9040999999999999E-2</v>
      </c>
      <c r="AL142" t="str">
        <f>IF($A142="","",IFERROR(INDEX(Company_List!$G$3:$G$207,MATCH($A142,Company_List!$A$3:$A$207,0)),"unassigned"))</f>
        <v>P2</v>
      </c>
      <c r="AM142" t="s">
        <v>1045</v>
      </c>
      <c r="AO142" t="s">
        <v>593</v>
      </c>
      <c r="AP142" t="str">
        <f>IF($A142="","",IF(COUNTIFS(LLM_Data_Entry!$A$3:$A$548,$A142)&gt;0,"YES","NO"))</f>
        <v>YES</v>
      </c>
      <c r="AQ142" t="str">
        <f>IF($A142="","",IF(COUNTIFS($A$3:$A142,$A142,$C$3:$C142,$C142,$D$3:$D142,$D142)=1,"YES","NO"))</f>
        <v>YES</v>
      </c>
      <c r="AR142" t="str">
        <f>IF($A142="","",IF(AND($C142&amp;"-"&amp;$D142&gt;=Settings!$B$19,$C142&amp;"-"&amp;$D142&lt;=Settings!$B$20),"IN","OUT"))</f>
        <v>IN</v>
      </c>
      <c r="AS142" t="str">
        <f t="shared" si="27"/>
        <v>full</v>
      </c>
      <c r="AT142">
        <f t="shared" si="28"/>
        <v>1.9E-2</v>
      </c>
      <c r="AU142">
        <f t="shared" si="29"/>
        <v>1.9040999999999999E-2</v>
      </c>
      <c r="AV142">
        <f>IF(ISNUMBER($AT142),ABS(IF(ISNUMBER($I142),$I142,0)-Settings!$B$24),"")</f>
        <v>0.6</v>
      </c>
      <c r="AW142">
        <f t="shared" si="30"/>
        <v>1.1399999999999999E-2</v>
      </c>
      <c r="AX142">
        <f>IF(ISNUMBER($AU142),ABS(IF(ISNUMBER($I142),$I142,0)-Settings!$B$24),"")</f>
        <v>0.6</v>
      </c>
      <c r="AY142" t="s">
        <v>549</v>
      </c>
      <c r="AZ142" t="str">
        <f>IF($A142="","",IFERROR(INDEX(Company_List!$H$3:$H$207,MATCH($A142,Company_List!$A$3:$A$207,0)),"unassigned"))</f>
        <v>Industrials</v>
      </c>
      <c r="BC142">
        <f>IF($A142="","",IF(COUNTIFS($A$3:$A142,$A142,$C$3:$C142,$C142,$D$3:$D142,$D142,$G$3:$G142,$G142)=1,1,0))</f>
        <v>1</v>
      </c>
      <c r="BG142" t="s">
        <v>550</v>
      </c>
      <c r="BK142">
        <f t="shared" si="31"/>
        <v>1</v>
      </c>
      <c r="BL142" t="s">
        <v>551</v>
      </c>
      <c r="BM142">
        <v>5</v>
      </c>
      <c r="BN142" t="s">
        <v>561</v>
      </c>
      <c r="BO142" t="s">
        <v>561</v>
      </c>
      <c r="BP142" t="s">
        <v>550</v>
      </c>
      <c r="BQ142" t="s">
        <v>550</v>
      </c>
      <c r="BS142" t="s">
        <v>554</v>
      </c>
    </row>
    <row r="143" spans="1:71" ht="16.25" customHeight="1" x14ac:dyDescent="0.2">
      <c r="A143" s="95" t="s">
        <v>1046</v>
      </c>
      <c r="B143" s="96" t="str">
        <f>IF(A143="","",_xlfn.XLOOKUP(A143, Company_List!$A:$A, Company_List!$B:$B, ""))</f>
        <v>MC.PA</v>
      </c>
      <c r="C143" s="21">
        <v>2025</v>
      </c>
      <c r="D143" s="20" t="s">
        <v>555</v>
      </c>
      <c r="E143" s="19" t="s">
        <v>538</v>
      </c>
      <c r="F143" s="19" t="s">
        <v>538</v>
      </c>
      <c r="G143" s="20" t="s">
        <v>610</v>
      </c>
      <c r="H143" s="20" t="s">
        <v>540</v>
      </c>
      <c r="I143" s="127">
        <v>-0.4</v>
      </c>
      <c r="J143" s="145" t="str">
        <f>IF(OR(I143="",Settings!$B$6=""),"",IF(I143&gt;Settings!$B$6,"BUY",IF(I143&lt;-Settings!$B$6,"SELL","HOLD")))</f>
        <v>SELL</v>
      </c>
      <c r="K143" s="139">
        <v>20</v>
      </c>
      <c r="L143" s="123">
        <v>45862</v>
      </c>
      <c r="M143" s="123">
        <v>45862</v>
      </c>
      <c r="N143" s="127">
        <v>470.25</v>
      </c>
      <c r="O143" s="123">
        <v>45863</v>
      </c>
      <c r="P143" s="22">
        <v>464.95</v>
      </c>
      <c r="Q143" s="148">
        <f t="shared" si="22"/>
        <v>-1.1299999999999999E-2</v>
      </c>
      <c r="R143" s="20" t="str">
        <f>IF(OR(N143="",P143=""),"",IF(Q143&gt;Settings!$B$3/100,"UP",IF(Q143&lt;-Settings!$B$3/100,"DOWN","FLAT")))</f>
        <v>FLAT</v>
      </c>
      <c r="S143" s="20" t="str">
        <f t="shared" si="23"/>
        <v>NO</v>
      </c>
      <c r="T143" s="21">
        <f t="shared" si="24"/>
        <v>-1</v>
      </c>
      <c r="U143" s="148">
        <f>IFERROR(IF(OR(J143="",N143="",P143=""),"",IF(T143=0,0,T143*Q143-Settings!$B$4/10000-IF(T143&lt;0,Settings!$B$5/10000,0))),"")</f>
        <v>1.03E-2</v>
      </c>
      <c r="V143" t="s">
        <v>1047</v>
      </c>
      <c r="W143" s="21">
        <f t="shared" si="25"/>
        <v>1200</v>
      </c>
      <c r="X143" s="91" t="str">
        <f t="shared" si="26"/>
        <v>LVMH|2025|Q2</v>
      </c>
      <c r="Y143" s="91" t="str">
        <f>IFERROR(IF($X143="","",INDEX(LLM_Data_Entry!$H$3:$H$548,MATCH($X143,INDEX(LLM_Data_Entry!$A$3:$A$548&amp;"|"&amp;LLM_Data_Entry!$C$3:$C$548&amp;"|"&amp;LLM_Data_Entry!$D$3:$D$548,0),0))),"")</f>
        <v>HOLD</v>
      </c>
      <c r="Z143" s="91" t="str">
        <f>IFERROR(IF($X143="","",INDEX(LLM_Data_Entry!$R$3:$R$548,MATCH($X143,INDEX(LLM_Data_Entry!$A$3:$A$548&amp;"|"&amp;LLM_Data_Entry!$C$3:$C$548&amp;"|"&amp;LLM_Data_Entry!$D$3:$D$548,0),0))),"")</f>
        <v>YES</v>
      </c>
      <c r="AB143" t="s">
        <v>624</v>
      </c>
      <c r="AC143" t="s">
        <v>1048</v>
      </c>
      <c r="AD143" t="s">
        <v>773</v>
      </c>
      <c r="AE143">
        <v>458.74540000000002</v>
      </c>
      <c r="AF143" t="s">
        <v>1049</v>
      </c>
      <c r="AG143">
        <v>453.57510000000002</v>
      </c>
      <c r="AH143">
        <v>-1.1270591281883419E-2</v>
      </c>
      <c r="AI143" t="s">
        <v>579</v>
      </c>
      <c r="AJ143" t="s">
        <v>546</v>
      </c>
      <c r="AK143">
        <v>1.0271000000000001E-2</v>
      </c>
      <c r="AL143" t="str">
        <f>IF($A143="","",IFERROR(INDEX(Company_List!$G$3:$G$207,MATCH($A143,Company_List!$A$3:$A$207,0)),"unassigned"))</f>
        <v>P2</v>
      </c>
      <c r="AM143" t="s">
        <v>1050</v>
      </c>
      <c r="AO143" t="s">
        <v>560</v>
      </c>
      <c r="AP143" t="str">
        <f>IF($A143="","",IF(COUNTIFS(LLM_Data_Entry!$A$3:$A$548,$A143)&gt;0,"YES","NO"))</f>
        <v>YES</v>
      </c>
      <c r="AQ143" t="str">
        <f>IF($A143="","",IF(COUNTIFS($A$3:$A143,$A143,$C$3:$C143,$C143,$D$3:$D143,$D143)=1,"YES","NO"))</f>
        <v>YES</v>
      </c>
      <c r="AR143" t="str">
        <f>IF($A143="","",IF(AND($C143&amp;"-"&amp;$D143&gt;=Settings!$B$19,$C143&amp;"-"&amp;$D143&lt;=Settings!$B$20),"IN","OUT"))</f>
        <v>IN</v>
      </c>
      <c r="AS143" t="str">
        <f t="shared" si="27"/>
        <v>full</v>
      </c>
      <c r="AT143">
        <f t="shared" si="28"/>
        <v>1.03E-2</v>
      </c>
      <c r="AU143">
        <f t="shared" si="29"/>
        <v>1.0271000000000001E-2</v>
      </c>
      <c r="AV143">
        <f>IF(ISNUMBER($AT143),ABS(IF(ISNUMBER($I143),$I143,0)-Settings!$B$24),"")</f>
        <v>0.4</v>
      </c>
      <c r="AW143">
        <f t="shared" si="30"/>
        <v>4.1200000000000004E-3</v>
      </c>
      <c r="AX143">
        <f>IF(ISNUMBER($AU143),ABS(IF(ISNUMBER($I143),$I143,0)-Settings!$B$24),"")</f>
        <v>0.4</v>
      </c>
      <c r="AY143" t="s">
        <v>549</v>
      </c>
      <c r="AZ143" t="str">
        <f>IF($A143="","",IFERROR(INDEX(Company_List!$H$3:$H$207,MATCH($A143,Company_List!$A$3:$A$207,0)),"unassigned"))</f>
        <v>Consumer Discretionary</v>
      </c>
      <c r="BC143">
        <f>IF($A143="","",IF(COUNTIFS($A$3:$A143,$A143,$C$3:$C143,$C143,$D$3:$D143,$D143,$G$3:$G143,$G143)=1,1,0))</f>
        <v>1</v>
      </c>
      <c r="BG143" t="s">
        <v>550</v>
      </c>
      <c r="BK143">
        <f t="shared" si="31"/>
        <v>0</v>
      </c>
      <c r="BL143" t="s">
        <v>551</v>
      </c>
      <c r="BM143">
        <v>1</v>
      </c>
      <c r="BN143" t="s">
        <v>561</v>
      </c>
      <c r="BO143" t="s">
        <v>561</v>
      </c>
      <c r="BP143" t="s">
        <v>550</v>
      </c>
      <c r="BQ143" t="s">
        <v>562</v>
      </c>
      <c r="BS143" t="s">
        <v>554</v>
      </c>
    </row>
    <row r="144" spans="1:71" ht="16.25" customHeight="1" x14ac:dyDescent="0.2">
      <c r="A144" s="95" t="s">
        <v>1046</v>
      </c>
      <c r="B144" s="96" t="str">
        <f>IF(A144="","",_xlfn.XLOOKUP(A144, Company_List!$A:$A, Company_List!$B:$B, ""))</f>
        <v>MC.PA</v>
      </c>
      <c r="C144" s="21">
        <v>2025</v>
      </c>
      <c r="D144" s="20" t="s">
        <v>569</v>
      </c>
      <c r="E144" s="19" t="s">
        <v>538</v>
      </c>
      <c r="F144" s="19" t="s">
        <v>538</v>
      </c>
      <c r="G144" s="20" t="s">
        <v>610</v>
      </c>
      <c r="H144" s="20" t="s">
        <v>540</v>
      </c>
      <c r="I144" s="127">
        <v>-0.4</v>
      </c>
      <c r="J144" s="145" t="str">
        <f>IF(OR(I144="",Settings!$B$6=""),"",IF(I144&gt;Settings!$B$6,"BUY",IF(I144&lt;-Settings!$B$6,"SELL","HOLD")))</f>
        <v>SELL</v>
      </c>
      <c r="K144" s="139">
        <v>15</v>
      </c>
      <c r="L144" s="123">
        <v>46049</v>
      </c>
      <c r="M144" s="123">
        <v>46049</v>
      </c>
      <c r="N144" s="127">
        <v>589.29999999999995</v>
      </c>
      <c r="O144" s="123">
        <v>46050</v>
      </c>
      <c r="P144" s="22">
        <v>556</v>
      </c>
      <c r="Q144" s="148">
        <f t="shared" si="22"/>
        <v>-5.6500000000000002E-2</v>
      </c>
      <c r="R144" s="20" t="str">
        <f>IF(OR(N144="",P144=""),"",IF(Q144&gt;Settings!$B$3/100,"UP",IF(Q144&lt;-Settings!$B$3/100,"DOWN","FLAT")))</f>
        <v>DOWN</v>
      </c>
      <c r="S144" s="20" t="str">
        <f t="shared" si="23"/>
        <v>YES</v>
      </c>
      <c r="T144" s="21">
        <f t="shared" si="24"/>
        <v>-1</v>
      </c>
      <c r="U144" s="148">
        <f>IFERROR(IF(OR(J144="",N144="",P144=""),"",IF(T144=0,0,T144*Q144-Settings!$B$4/10000-IF(T144&lt;0,Settings!$B$5/10000,0))),"")</f>
        <v>5.5500000000000001E-2</v>
      </c>
      <c r="V144" s="15" t="s">
        <v>1051</v>
      </c>
      <c r="W144" s="21">
        <f t="shared" si="25"/>
        <v>900</v>
      </c>
      <c r="X144" s="91" t="str">
        <f t="shared" si="26"/>
        <v>LVMH|2025|Q4</v>
      </c>
      <c r="Y144" s="91" t="str">
        <f>IFERROR(IF($X144="","",INDEX(LLM_Data_Entry!$H$3:$H$548,MATCH($X144,INDEX(LLM_Data_Entry!$A$3:$A$548&amp;"|"&amp;LLM_Data_Entry!$C$3:$C$548&amp;"|"&amp;LLM_Data_Entry!$D$3:$D$548,0),0))),"")</f>
        <v>HOLD</v>
      </c>
      <c r="Z144" s="91" t="str">
        <f>IFERROR(IF($X144="","",INDEX(LLM_Data_Entry!$R$3:$R$548,MATCH($X144,INDEX(LLM_Data_Entry!$A$3:$A$548&amp;"|"&amp;LLM_Data_Entry!$C$3:$C$548&amp;"|"&amp;LLM_Data_Entry!$D$3:$D$548,0),0))),"")</f>
        <v>NO</v>
      </c>
      <c r="AB144" t="s">
        <v>541</v>
      </c>
      <c r="AC144" t="s">
        <v>1048</v>
      </c>
      <c r="AD144" t="s">
        <v>632</v>
      </c>
      <c r="AE144">
        <v>579.84500000000003</v>
      </c>
      <c r="AF144" t="s">
        <v>776</v>
      </c>
      <c r="AG144">
        <v>547.07929999999999</v>
      </c>
      <c r="AH144">
        <v>-5.650765892918979E-2</v>
      </c>
      <c r="AI144" t="s">
        <v>545</v>
      </c>
      <c r="AJ144" t="s">
        <v>554</v>
      </c>
      <c r="AK144">
        <v>5.5508000000000002E-2</v>
      </c>
      <c r="AL144" t="str">
        <f>IF($A144="","",IFERROR(INDEX(Company_List!$G$3:$G$207,MATCH($A144,Company_List!$A$3:$A$207,0)),"unassigned"))</f>
        <v>P2</v>
      </c>
      <c r="AM144" t="s">
        <v>1052</v>
      </c>
      <c r="AO144" t="s">
        <v>560</v>
      </c>
      <c r="AP144" t="str">
        <f>IF($A144="","",IF(COUNTIFS(LLM_Data_Entry!$A$3:$A$548,$A144)&gt;0,"YES","NO"))</f>
        <v>YES</v>
      </c>
      <c r="AQ144" t="str">
        <f>IF($A144="","",IF(COUNTIFS($A$3:$A144,$A144,$C$3:$C144,$C144,$D$3:$D144,$D144)=1,"YES","NO"))</f>
        <v>YES</v>
      </c>
      <c r="AR144" t="str">
        <f>IF($A144="","",IF(AND($C144&amp;"-"&amp;$D144&gt;=Settings!$B$19,$C144&amp;"-"&amp;$D144&lt;=Settings!$B$20),"IN","OUT"))</f>
        <v>IN</v>
      </c>
      <c r="AS144" t="str">
        <f t="shared" si="27"/>
        <v>full</v>
      </c>
      <c r="AT144">
        <f t="shared" si="28"/>
        <v>5.5500000000000001E-2</v>
      </c>
      <c r="AU144">
        <f t="shared" si="29"/>
        <v>5.5508000000000002E-2</v>
      </c>
      <c r="AV144">
        <f>IF(ISNUMBER($AT144),ABS(IF(ISNUMBER($I144),$I144,0)-Settings!$B$24),"")</f>
        <v>0.4</v>
      </c>
      <c r="AW144">
        <f t="shared" si="30"/>
        <v>2.2200000000000001E-2</v>
      </c>
      <c r="AX144">
        <f>IF(ISNUMBER($AU144),ABS(IF(ISNUMBER($I144),$I144,0)-Settings!$B$24),"")</f>
        <v>0.4</v>
      </c>
      <c r="AY144" t="s">
        <v>549</v>
      </c>
      <c r="AZ144" t="str">
        <f>IF($A144="","",IFERROR(INDEX(Company_List!$H$3:$H$207,MATCH($A144,Company_List!$A$3:$A$207,0)),"unassigned"))</f>
        <v>Consumer Discretionary</v>
      </c>
      <c r="BC144">
        <f>IF($A144="","",IF(COUNTIFS($A$3:$A144,$A144,$C$3:$C144,$C144,$D$3:$D144,$D144,$G$3:$G144,$G144)=1,1,0))</f>
        <v>1</v>
      </c>
      <c r="BG144" t="s">
        <v>550</v>
      </c>
      <c r="BK144">
        <f t="shared" si="31"/>
        <v>0</v>
      </c>
      <c r="BL144" t="s">
        <v>551</v>
      </c>
      <c r="BM144">
        <v>1</v>
      </c>
      <c r="BN144" t="s">
        <v>561</v>
      </c>
      <c r="BO144" t="s">
        <v>561</v>
      </c>
      <c r="BP144" t="s">
        <v>550</v>
      </c>
      <c r="BQ144" t="s">
        <v>562</v>
      </c>
      <c r="BS144" t="s">
        <v>554</v>
      </c>
    </row>
    <row r="145" spans="1:71" ht="16.25" customHeight="1" x14ac:dyDescent="0.2">
      <c r="A145" s="95" t="s">
        <v>932</v>
      </c>
      <c r="B145" s="96" t="str">
        <f>IF(A145="","",_xlfn.XLOOKUP(A145, Company_List!$A:$A, Company_List!$B:$B, ""))</f>
        <v>CVS</v>
      </c>
      <c r="C145" s="21">
        <v>2025</v>
      </c>
      <c r="D145" s="20" t="s">
        <v>555</v>
      </c>
      <c r="E145" s="19" t="s">
        <v>647</v>
      </c>
      <c r="F145" s="19" t="s">
        <v>538</v>
      </c>
      <c r="G145" s="20" t="s">
        <v>539</v>
      </c>
      <c r="H145" s="20" t="s">
        <v>540</v>
      </c>
      <c r="I145" s="127">
        <v>0.3</v>
      </c>
      <c r="J145" s="145" t="str">
        <f>IF(OR(I145="",Settings!$B$6=""),"",IF(I145&gt;Settings!$B$6,"BUY",IF(I145&lt;-Settings!$B$6,"SELL","HOLD")))</f>
        <v>BUY</v>
      </c>
      <c r="K145" s="139">
        <v>20</v>
      </c>
      <c r="L145" s="123">
        <v>45869</v>
      </c>
      <c r="M145" s="123">
        <v>45868</v>
      </c>
      <c r="N145" s="127">
        <v>62.3</v>
      </c>
      <c r="O145" s="123">
        <v>45869</v>
      </c>
      <c r="P145" s="22">
        <v>65.510000000000005</v>
      </c>
      <c r="Q145" s="148">
        <f t="shared" si="22"/>
        <v>5.1499999999999997E-2</v>
      </c>
      <c r="R145" s="20" t="str">
        <f>IF(OR(N145="",P145=""),"",IF(Q145&gt;Settings!$B$3/100,"UP",IF(Q145&lt;-Settings!$B$3/100,"DOWN","FLAT")))</f>
        <v>UP</v>
      </c>
      <c r="S145" s="20" t="str">
        <f t="shared" si="23"/>
        <v>YES</v>
      </c>
      <c r="T145" s="21">
        <f t="shared" si="24"/>
        <v>1</v>
      </c>
      <c r="U145" s="148">
        <f>IFERROR(IF(OR(J145="",N145="",P145=""),"",IF(T145=0,0,T145*Q145-Settings!$B$4/10000-IF(T145&lt;0,Settings!$B$5/10000,0))),"")</f>
        <v>5.0499999999999996E-2</v>
      </c>
      <c r="W145" s="21">
        <f t="shared" si="25"/>
        <v>1200</v>
      </c>
      <c r="X145" s="91" t="str">
        <f t="shared" si="26"/>
        <v>CVS Health|2025|Q2</v>
      </c>
      <c r="Y145" s="91" t="str">
        <f>IFERROR(IF($X145="","",INDEX(LLM_Data_Entry!$H$3:$H$548,MATCH($X145,INDEX(LLM_Data_Entry!$A$3:$A$548&amp;"|"&amp;LLM_Data_Entry!$C$3:$C$548&amp;"|"&amp;LLM_Data_Entry!$D$3:$D$548,0),0))),"")</f>
        <v>HOLD</v>
      </c>
      <c r="Z145" s="91" t="str">
        <f>IFERROR(IF($X145="","",INDEX(LLM_Data_Entry!$R$3:$R$548,MATCH($X145,INDEX(LLM_Data_Entry!$A$3:$A$548&amp;"|"&amp;LLM_Data_Entry!$C$3:$C$548&amp;"|"&amp;LLM_Data_Entry!$D$3:$D$548,0),0))),"")</f>
        <v>NO</v>
      </c>
      <c r="AB145" t="s">
        <v>612</v>
      </c>
      <c r="AC145" t="s">
        <v>933</v>
      </c>
      <c r="AD145" t="s">
        <v>1001</v>
      </c>
      <c r="AE145">
        <v>60.383400000000002</v>
      </c>
      <c r="AF145" t="s">
        <v>687</v>
      </c>
      <c r="AG145">
        <v>63.494700000000002</v>
      </c>
      <c r="AH145">
        <v>5.1525003237543388E-2</v>
      </c>
      <c r="AI145" t="s">
        <v>591</v>
      </c>
      <c r="AJ145" t="s">
        <v>554</v>
      </c>
      <c r="AK145">
        <v>5.0525E-2</v>
      </c>
      <c r="AL145" t="str">
        <f>IF($A145="","",IFERROR(INDEX(Company_List!$G$3:$G$207,MATCH($A145,Company_List!$A$3:$A$207,0)),"unassigned"))</f>
        <v>P2</v>
      </c>
      <c r="AM145" t="s">
        <v>1053</v>
      </c>
      <c r="AO145" t="s">
        <v>548</v>
      </c>
      <c r="AP145" t="str">
        <f>IF($A145="","",IF(COUNTIFS(LLM_Data_Entry!$A$3:$A$548,$A145)&gt;0,"YES","NO"))</f>
        <v>YES</v>
      </c>
      <c r="AQ145" t="str">
        <f>IF($A145="","",IF(COUNTIFS($A$3:$A145,$A145,$C$3:$C145,$C145,$D$3:$D145,$D145)=1,"YES","NO"))</f>
        <v>YES</v>
      </c>
      <c r="AR145" t="str">
        <f>IF($A145="","",IF(AND($C145&amp;"-"&amp;$D145&gt;=Settings!$B$19,$C145&amp;"-"&amp;$D145&lt;=Settings!$B$20),"IN","OUT"))</f>
        <v>IN</v>
      </c>
      <c r="AS145" t="str">
        <f t="shared" si="27"/>
        <v>transcript only</v>
      </c>
      <c r="AT145">
        <f t="shared" si="28"/>
        <v>5.0499999999999996E-2</v>
      </c>
      <c r="AU145">
        <f t="shared" si="29"/>
        <v>5.0525E-2</v>
      </c>
      <c r="AV145">
        <f>IF(ISNUMBER($AT145),ABS(IF(ISNUMBER($I145),$I145,0)-Settings!$B$24),"")</f>
        <v>0.3</v>
      </c>
      <c r="AW145">
        <f t="shared" si="30"/>
        <v>1.5149999999999999E-2</v>
      </c>
      <c r="AX145">
        <f>IF(ISNUMBER($AU145),ABS(IF(ISNUMBER($I145),$I145,0)-Settings!$B$24),"")</f>
        <v>0.3</v>
      </c>
      <c r="AY145" t="s">
        <v>549</v>
      </c>
      <c r="AZ145" t="str">
        <f>IF($A145="","",IFERROR(INDEX(Company_List!$H$3:$H$207,MATCH($A145,Company_List!$A$3:$A$207,0)),"unassigned"))</f>
        <v>Health Care</v>
      </c>
      <c r="BC145">
        <f>IF($A145="","",IF(COUNTIFS($A$3:$A145,$A145,$C$3:$C145,$C145,$D$3:$D145,$D145,$G$3:$G145,$G145)=1,1,0))</f>
        <v>1</v>
      </c>
      <c r="BG145" t="s">
        <v>550</v>
      </c>
      <c r="BK145">
        <f t="shared" si="31"/>
        <v>0</v>
      </c>
      <c r="BL145" t="s">
        <v>551</v>
      </c>
      <c r="BM145">
        <v>1</v>
      </c>
      <c r="BN145" t="s">
        <v>617</v>
      </c>
      <c r="BO145" t="s">
        <v>553</v>
      </c>
      <c r="BP145" t="s">
        <v>550</v>
      </c>
      <c r="BQ145" t="s">
        <v>550</v>
      </c>
      <c r="BS145" t="s">
        <v>554</v>
      </c>
    </row>
    <row r="146" spans="1:71" ht="16.25" customHeight="1" x14ac:dyDescent="0.2">
      <c r="A146" s="95" t="s">
        <v>932</v>
      </c>
      <c r="B146" s="96" t="str">
        <f>IF(A146="","",_xlfn.XLOOKUP(A146, Company_List!$A:$A, Company_List!$B:$B, ""))</f>
        <v>CVS</v>
      </c>
      <c r="C146" s="21">
        <v>2025</v>
      </c>
      <c r="D146" s="20" t="s">
        <v>569</v>
      </c>
      <c r="E146" s="19" t="s">
        <v>647</v>
      </c>
      <c r="F146" s="19" t="s">
        <v>538</v>
      </c>
      <c r="G146" s="20" t="s">
        <v>539</v>
      </c>
      <c r="H146" s="20" t="s">
        <v>540</v>
      </c>
      <c r="I146" s="127">
        <v>0.5</v>
      </c>
      <c r="J146" s="145" t="str">
        <f>IF(OR(I146="",Settings!$B$6=""),"",IF(I146&gt;Settings!$B$6,"BUY",IF(I146&lt;-Settings!$B$6,"SELL","HOLD")))</f>
        <v>BUY</v>
      </c>
      <c r="K146" s="139">
        <v>25</v>
      </c>
      <c r="L146" s="123">
        <v>46063</v>
      </c>
      <c r="M146" s="123">
        <v>46062</v>
      </c>
      <c r="N146" s="127">
        <v>75.77</v>
      </c>
      <c r="O146" s="123">
        <v>46063</v>
      </c>
      <c r="P146" s="22">
        <v>73.77</v>
      </c>
      <c r="Q146" s="148">
        <f t="shared" si="22"/>
        <v>-2.64E-2</v>
      </c>
      <c r="R146" s="20" t="str">
        <f>IF(OR(N146="",P146=""),"",IF(Q146&gt;Settings!$B$3/100,"UP",IF(Q146&lt;-Settings!$B$3/100,"DOWN","FLAT")))</f>
        <v>DOWN</v>
      </c>
      <c r="S146" s="20" t="str">
        <f t="shared" si="23"/>
        <v>NO</v>
      </c>
      <c r="T146" s="21">
        <f t="shared" si="24"/>
        <v>1</v>
      </c>
      <c r="U146" s="148">
        <f>IFERROR(IF(OR(J146="",N146="",P146=""),"",IF(T146=0,0,T146*Q146-Settings!$B$4/10000-IF(T146&lt;0,Settings!$B$5/10000,0))),"")</f>
        <v>-2.7400000000000001E-2</v>
      </c>
      <c r="V146" s="23"/>
      <c r="W146" s="21">
        <f t="shared" si="25"/>
        <v>1500</v>
      </c>
      <c r="X146" s="91" t="str">
        <f t="shared" si="26"/>
        <v>CVS Health|2025|Q4</v>
      </c>
      <c r="Y146" s="91" t="str">
        <f>IFERROR(IF($X146="","",INDEX(LLM_Data_Entry!$H$3:$H$548,MATCH($X146,INDEX(LLM_Data_Entry!$A$3:$A$548&amp;"|"&amp;LLM_Data_Entry!$C$3:$C$548&amp;"|"&amp;LLM_Data_Entry!$D$3:$D$548,0),0))),"")</f>
        <v>HOLD</v>
      </c>
      <c r="Z146" s="91" t="str">
        <f>IFERROR(IF($X146="","",INDEX(LLM_Data_Entry!$R$3:$R$548,MATCH($X146,INDEX(LLM_Data_Entry!$A$3:$A$548&amp;"|"&amp;LLM_Data_Entry!$C$3:$C$548&amp;"|"&amp;LLM_Data_Entry!$D$3:$D$548,0),0))),"")</f>
        <v>NO</v>
      </c>
      <c r="AB146" t="s">
        <v>612</v>
      </c>
      <c r="AC146" t="s">
        <v>933</v>
      </c>
      <c r="AD146" t="s">
        <v>704</v>
      </c>
      <c r="AE146">
        <v>74.648600000000002</v>
      </c>
      <c r="AF146" t="s">
        <v>705</v>
      </c>
      <c r="AG146">
        <v>72.678200000000004</v>
      </c>
      <c r="AH146">
        <v>-2.6395750519113689E-2</v>
      </c>
      <c r="AI146" t="s">
        <v>545</v>
      </c>
      <c r="AJ146" t="s">
        <v>546</v>
      </c>
      <c r="AK146">
        <v>-2.7396E-2</v>
      </c>
      <c r="AL146" t="str">
        <f>IF($A146="","",IFERROR(INDEX(Company_List!$G$3:$G$207,MATCH($A146,Company_List!$A$3:$A$207,0)),"unassigned"))</f>
        <v>P2</v>
      </c>
      <c r="AM146" t="s">
        <v>1054</v>
      </c>
      <c r="AO146" t="s">
        <v>548</v>
      </c>
      <c r="AP146" t="str">
        <f>IF($A146="","",IF(COUNTIFS(LLM_Data_Entry!$A$3:$A$548,$A146)&gt;0,"YES","NO"))</f>
        <v>YES</v>
      </c>
      <c r="AQ146" t="str">
        <f>IF($A146="","",IF(COUNTIFS($A$3:$A146,$A146,$C$3:$C146,$C146,$D$3:$D146,$D146)=1,"YES","NO"))</f>
        <v>YES</v>
      </c>
      <c r="AR146" t="str">
        <f>IF($A146="","",IF(AND($C146&amp;"-"&amp;$D146&gt;=Settings!$B$19,$C146&amp;"-"&amp;$D146&lt;=Settings!$B$20),"IN","OUT"))</f>
        <v>IN</v>
      </c>
      <c r="AS146" t="str">
        <f t="shared" si="27"/>
        <v>transcript only</v>
      </c>
      <c r="AT146">
        <f t="shared" si="28"/>
        <v>-2.7400000000000001E-2</v>
      </c>
      <c r="AU146">
        <f t="shared" si="29"/>
        <v>-2.7396E-2</v>
      </c>
      <c r="AV146">
        <f>IF(ISNUMBER($AT146),ABS(IF(ISNUMBER($I146),$I146,0)-Settings!$B$24),"")</f>
        <v>0.5</v>
      </c>
      <c r="AW146">
        <f t="shared" si="30"/>
        <v>-1.37E-2</v>
      </c>
      <c r="AX146">
        <f>IF(ISNUMBER($AU146),ABS(IF(ISNUMBER($I146),$I146,0)-Settings!$B$24),"")</f>
        <v>0.5</v>
      </c>
      <c r="AY146" t="s">
        <v>549</v>
      </c>
      <c r="AZ146" t="str">
        <f>IF($A146="","",IFERROR(INDEX(Company_List!$H$3:$H$207,MATCH($A146,Company_List!$A$3:$A$207,0)),"unassigned"))</f>
        <v>Health Care</v>
      </c>
      <c r="BC146">
        <f>IF($A146="","",IF(COUNTIFS($A$3:$A146,$A146,$C$3:$C146,$C146,$D$3:$D146,$D146,$G$3:$G146,$G146)=1,1,0))</f>
        <v>1</v>
      </c>
      <c r="BG146" t="s">
        <v>550</v>
      </c>
      <c r="BK146">
        <f t="shared" si="31"/>
        <v>0</v>
      </c>
      <c r="BL146" t="s">
        <v>551</v>
      </c>
      <c r="BM146">
        <v>1</v>
      </c>
      <c r="BN146" t="s">
        <v>617</v>
      </c>
      <c r="BO146" t="s">
        <v>553</v>
      </c>
      <c r="BP146" t="s">
        <v>550</v>
      </c>
      <c r="BQ146" t="s">
        <v>550</v>
      </c>
      <c r="BS146" t="s">
        <v>554</v>
      </c>
    </row>
    <row r="147" spans="1:71" ht="16.25" customHeight="1" x14ac:dyDescent="0.2">
      <c r="A147" s="95" t="s">
        <v>932</v>
      </c>
      <c r="B147" s="96" t="str">
        <f>IF(A147="","",_xlfn.XLOOKUP(A147, Company_List!$A:$A, Company_List!$B:$B, ""))</f>
        <v>CVS</v>
      </c>
      <c r="C147" s="21">
        <v>2025</v>
      </c>
      <c r="D147" s="20" t="s">
        <v>563</v>
      </c>
      <c r="E147" s="19" t="s">
        <v>647</v>
      </c>
      <c r="F147" s="19" t="s">
        <v>538</v>
      </c>
      <c r="G147" s="20" t="s">
        <v>539</v>
      </c>
      <c r="H147" s="20" t="s">
        <v>540</v>
      </c>
      <c r="I147" s="127">
        <v>0.3</v>
      </c>
      <c r="J147" s="145" t="str">
        <f>IF(OR(I147="",Settings!$B$6=""),"",IF(I147&gt;Settings!$B$6,"BUY",IF(I147&lt;-Settings!$B$6,"SELL","HOLD")))</f>
        <v>BUY</v>
      </c>
      <c r="K147" s="139">
        <v>22</v>
      </c>
      <c r="L147" s="123">
        <v>45959</v>
      </c>
      <c r="M147" s="123">
        <v>45958</v>
      </c>
      <c r="N147" s="127">
        <v>82.2</v>
      </c>
      <c r="O147" s="123">
        <v>45959</v>
      </c>
      <c r="P147" s="22">
        <v>82.5</v>
      </c>
      <c r="Q147" s="148">
        <f t="shared" si="22"/>
        <v>3.5999999999999999E-3</v>
      </c>
      <c r="R147" s="20" t="str">
        <f>IF(OR(N147="",P147=""),"",IF(Q147&gt;Settings!$B$3/100,"UP",IF(Q147&lt;-Settings!$B$3/100,"DOWN","FLAT")))</f>
        <v>FLAT</v>
      </c>
      <c r="S147" s="20" t="str">
        <f t="shared" si="23"/>
        <v>NO</v>
      </c>
      <c r="T147" s="21">
        <f t="shared" si="24"/>
        <v>1</v>
      </c>
      <c r="U147" s="148">
        <f>IFERROR(IF(OR(J147="",N147="",P147=""),"",IF(T147=0,0,T147*Q147-Settings!$B$4/10000-IF(T147&lt;0,Settings!$B$5/10000,0))),"")</f>
        <v>2.5999999999999999E-3</v>
      </c>
      <c r="V147" s="23"/>
      <c r="W147" s="21">
        <f t="shared" si="25"/>
        <v>1320</v>
      </c>
      <c r="X147" s="91" t="str">
        <f t="shared" si="26"/>
        <v>CVS Health|2025|Q3</v>
      </c>
      <c r="Y147" s="91" t="str">
        <f>IFERROR(IF($X147="","",INDEX(LLM_Data_Entry!$H$3:$H$548,MATCH($X147,INDEX(LLM_Data_Entry!$A$3:$A$548&amp;"|"&amp;LLM_Data_Entry!$C$3:$C$548&amp;"|"&amp;LLM_Data_Entry!$D$3:$D$548,0),0))),"")</f>
        <v>BUY</v>
      </c>
      <c r="Z147" s="91" t="str">
        <f>IFERROR(IF($X147="","",INDEX(LLM_Data_Entry!$R$3:$R$548,MATCH($X147,INDEX(LLM_Data_Entry!$A$3:$A$548&amp;"|"&amp;LLM_Data_Entry!$C$3:$C$548&amp;"|"&amp;LLM_Data_Entry!$D$3:$D$548,0),0))),"")</f>
        <v>NO</v>
      </c>
      <c r="AB147" t="s">
        <v>541</v>
      </c>
      <c r="AC147" t="s">
        <v>933</v>
      </c>
      <c r="AD147" t="s">
        <v>626</v>
      </c>
      <c r="AE147">
        <v>78.759100000000004</v>
      </c>
      <c r="AF147" t="s">
        <v>660</v>
      </c>
      <c r="AG147">
        <v>74.342299999999994</v>
      </c>
      <c r="AH147">
        <v>-5.6079380449339432E-2</v>
      </c>
      <c r="AI147" t="s">
        <v>545</v>
      </c>
      <c r="AJ147" t="s">
        <v>546</v>
      </c>
      <c r="AK147">
        <v>-5.7078999999999998E-2</v>
      </c>
      <c r="AL147" t="str">
        <f>IF($A147="","",IFERROR(INDEX(Company_List!$G$3:$G$207,MATCH($A147,Company_List!$A$3:$A$207,0)),"unassigned"))</f>
        <v>P2</v>
      </c>
      <c r="AM147" t="s">
        <v>1055</v>
      </c>
      <c r="AO147" t="s">
        <v>548</v>
      </c>
      <c r="AP147" t="str">
        <f>IF($A147="","",IF(COUNTIFS(LLM_Data_Entry!$A$3:$A$548,$A147)&gt;0,"YES","NO"))</f>
        <v>YES</v>
      </c>
      <c r="AQ147" t="str">
        <f>IF($A147="","",IF(COUNTIFS($A$3:$A147,$A147,$C$3:$C147,$C147,$D$3:$D147,$D147)=1,"YES","NO"))</f>
        <v>YES</v>
      </c>
      <c r="AR147" t="str">
        <f>IF($A147="","",IF(AND($C147&amp;"-"&amp;$D147&gt;=Settings!$B$19,$C147&amp;"-"&amp;$D147&lt;=Settings!$B$20),"IN","OUT"))</f>
        <v>IN</v>
      </c>
      <c r="AS147" t="str">
        <f t="shared" si="27"/>
        <v>transcript only</v>
      </c>
      <c r="AT147">
        <f t="shared" si="28"/>
        <v>2.5999999999999999E-3</v>
      </c>
      <c r="AU147">
        <f t="shared" si="29"/>
        <v>-5.7078999999999998E-2</v>
      </c>
      <c r="AV147">
        <f>IF(ISNUMBER($AT147),ABS(IF(ISNUMBER($I147),$I147,0)-Settings!$B$24),"")</f>
        <v>0.3</v>
      </c>
      <c r="AW147">
        <f t="shared" si="30"/>
        <v>7.7999999999999999E-4</v>
      </c>
      <c r="AX147">
        <f>IF(ISNUMBER($AU147),ABS(IF(ISNUMBER($I147),$I147,0)-Settings!$B$24),"")</f>
        <v>0.3</v>
      </c>
      <c r="AY147" t="s">
        <v>549</v>
      </c>
      <c r="AZ147" t="str">
        <f>IF($A147="","",IFERROR(INDEX(Company_List!$H$3:$H$207,MATCH($A147,Company_List!$A$3:$A$207,0)),"unassigned"))</f>
        <v>Health Care</v>
      </c>
      <c r="BC147">
        <f>IF($A147="","",IF(COUNTIFS($A$3:$A147,$A147,$C$3:$C147,$C147,$D$3:$D147,$D147,$G$3:$G147,$G147)=1,1,0))</f>
        <v>1</v>
      </c>
      <c r="BG147" t="s">
        <v>550</v>
      </c>
      <c r="BK147">
        <f t="shared" si="31"/>
        <v>1</v>
      </c>
      <c r="BL147" t="s">
        <v>551</v>
      </c>
      <c r="BM147">
        <v>1</v>
      </c>
      <c r="BN147" t="s">
        <v>617</v>
      </c>
      <c r="BO147" t="s">
        <v>553</v>
      </c>
      <c r="BP147" t="s">
        <v>550</v>
      </c>
      <c r="BQ147" t="s">
        <v>550</v>
      </c>
      <c r="BS147" t="s">
        <v>554</v>
      </c>
    </row>
    <row r="148" spans="1:71" ht="16.25" customHeight="1" x14ac:dyDescent="0.2">
      <c r="A148" s="95" t="s">
        <v>1056</v>
      </c>
      <c r="B148" s="96" t="str">
        <f>IF(A148="","",_xlfn.XLOOKUP(A148, Company_List!$A:$A, Company_List!$B:$B, ""))</f>
        <v>FDX</v>
      </c>
      <c r="C148" s="21">
        <v>2026</v>
      </c>
      <c r="D148" s="20" t="s">
        <v>555</v>
      </c>
      <c r="E148" s="19" t="s">
        <v>647</v>
      </c>
      <c r="F148" s="19" t="s">
        <v>538</v>
      </c>
      <c r="G148" s="20" t="s">
        <v>539</v>
      </c>
      <c r="H148" s="20" t="s">
        <v>540</v>
      </c>
      <c r="I148" s="127">
        <v>0.2</v>
      </c>
      <c r="J148" s="145" t="str">
        <f>IF(OR(I148="",Settings!$B$6=""),"",IF(I148&gt;Settings!$B$6,"BUY",IF(I148&lt;-Settings!$B$6,"SELL","HOLD")))</f>
        <v>HOLD</v>
      </c>
      <c r="K148" s="139">
        <v>20</v>
      </c>
      <c r="L148" s="123">
        <v>46009</v>
      </c>
      <c r="M148" s="123">
        <v>46009</v>
      </c>
      <c r="N148" s="147">
        <v>231.36179999999999</v>
      </c>
      <c r="O148" s="123">
        <v>46010</v>
      </c>
      <c r="P148" s="145">
        <v>219.23</v>
      </c>
      <c r="Q148" s="148">
        <f t="shared" si="22"/>
        <v>-5.2400000000000002E-2</v>
      </c>
      <c r="R148" s="20" t="str">
        <f>IF(OR(N148="",P148=""),"",IF(Q148&gt;Settings!$B$3/100,"UP",IF(Q148&lt;-Settings!$B$3/100,"DOWN","FLAT")))</f>
        <v>DOWN</v>
      </c>
      <c r="S148" s="20" t="str">
        <f t="shared" si="23"/>
        <v>NO</v>
      </c>
      <c r="T148" s="21">
        <f t="shared" si="24"/>
        <v>0</v>
      </c>
      <c r="U148" s="148">
        <f>IFERROR(IF(OR(J148="",N148="",P148=""),"",IF(T148=0,0,T148*Q148-Settings!$B$4/10000-IF(T148&lt;0,Settings!$B$5/10000,0))),"")</f>
        <v>0</v>
      </c>
      <c r="V148" s="23"/>
      <c r="W148" s="21">
        <f t="shared" si="25"/>
        <v>1200</v>
      </c>
      <c r="X148" s="91" t="str">
        <f t="shared" si="26"/>
        <v>FedEx|2026|Q2</v>
      </c>
      <c r="Y148" s="91" t="str">
        <f>IFERROR(IF($X148="","",INDEX(LLM_Data_Entry!$H$3:$H$548,MATCH($X148,INDEX(LLM_Data_Entry!$A$3:$A$548&amp;"|"&amp;LLM_Data_Entry!$C$3:$C$548&amp;"|"&amp;LLM_Data_Entry!$D$3:$D$548,0),0))),"")</f>
        <v>HOLD</v>
      </c>
      <c r="Z148" s="91" t="str">
        <f>IFERROR(IF($X148="","",INDEX(LLM_Data_Entry!$R$3:$R$548,MATCH($X148,INDEX(LLM_Data_Entry!$A$3:$A$548&amp;"|"&amp;LLM_Data_Entry!$C$3:$C$548&amp;"|"&amp;LLM_Data_Entry!$D$3:$D$548,0),0))),"")</f>
        <v>NO</v>
      </c>
      <c r="AB148" t="s">
        <v>748</v>
      </c>
      <c r="AC148" t="s">
        <v>1057</v>
      </c>
      <c r="AD148" t="s">
        <v>1058</v>
      </c>
      <c r="AE148">
        <v>229.5658</v>
      </c>
      <c r="AF148" t="s">
        <v>1059</v>
      </c>
      <c r="AG148">
        <v>217.52459999999999</v>
      </c>
      <c r="AH148">
        <v>-5.2451972957172292E-2</v>
      </c>
      <c r="AI148" t="s">
        <v>545</v>
      </c>
      <c r="AJ148" t="s">
        <v>546</v>
      </c>
      <c r="AK148">
        <v>0</v>
      </c>
      <c r="AL148" t="str">
        <f>IF($A148="","",IFERROR(INDEX(Company_List!$G$3:$G$207,MATCH($A148,Company_List!$A$3:$A$207,0)),"unassigned"))</f>
        <v>P2</v>
      </c>
      <c r="AM148" t="s">
        <v>1060</v>
      </c>
      <c r="AO148" t="s">
        <v>548</v>
      </c>
      <c r="AP148" t="str">
        <f>IF($A148="","",IF(COUNTIFS(LLM_Data_Entry!$A$3:$A$548,$A148)&gt;0,"YES","NO"))</f>
        <v>YES</v>
      </c>
      <c r="AQ148" t="str">
        <f>IF($A148="","",IF(COUNTIFS($A$3:$A148,$A148,$C$3:$C148,$C148,$D$3:$D148,$D148)=1,"YES","NO"))</f>
        <v>YES</v>
      </c>
      <c r="AR148" t="str">
        <f>IF($A148="","",IF(AND($C148&amp;"-"&amp;$D148&gt;=Settings!$B$19,$C148&amp;"-"&amp;$D148&lt;=Settings!$B$20),"IN","OUT"))</f>
        <v>IN</v>
      </c>
      <c r="AS148" t="str">
        <f t="shared" si="27"/>
        <v>transcript only</v>
      </c>
      <c r="AT148" t="str">
        <f t="shared" si="28"/>
        <v/>
      </c>
      <c r="AU148" t="str">
        <f t="shared" si="29"/>
        <v/>
      </c>
      <c r="AV148" t="str">
        <f>IF(ISNUMBER($AT148),ABS(IF(ISNUMBER($I148),$I148,0)-Settings!$B$24),"")</f>
        <v/>
      </c>
      <c r="AW148" t="str">
        <f t="shared" si="30"/>
        <v/>
      </c>
      <c r="AX148" t="str">
        <f>IF(ISNUMBER($AU148),ABS(IF(ISNUMBER($I148),$I148,0)-Settings!$B$24),"")</f>
        <v/>
      </c>
      <c r="AY148" t="s">
        <v>549</v>
      </c>
      <c r="AZ148" t="str">
        <f>IF($A148="","",IFERROR(INDEX(Company_List!$H$3:$H$207,MATCH($A148,Company_List!$A$3:$A$207,0)),"unassigned"))</f>
        <v>Industrials</v>
      </c>
      <c r="BC148">
        <f>IF($A148="","",IF(COUNTIFS($A$3:$A148,$A148,$C$3:$C148,$C148,$D$3:$D148,$D148,$G$3:$G148,$G148)=1,1,0))</f>
        <v>1</v>
      </c>
      <c r="BG148" t="s">
        <v>550</v>
      </c>
      <c r="BK148">
        <f t="shared" si="31"/>
        <v>1</v>
      </c>
      <c r="BL148" t="s">
        <v>551</v>
      </c>
      <c r="BM148">
        <v>1</v>
      </c>
      <c r="BN148" t="s">
        <v>561</v>
      </c>
      <c r="BO148" t="s">
        <v>561</v>
      </c>
      <c r="BP148" t="s">
        <v>550</v>
      </c>
      <c r="BQ148" t="s">
        <v>550</v>
      </c>
      <c r="BS148" t="s">
        <v>554</v>
      </c>
    </row>
    <row r="149" spans="1:71" ht="16.25" customHeight="1" x14ac:dyDescent="0.2">
      <c r="A149" s="95" t="s">
        <v>1056</v>
      </c>
      <c r="B149" s="96" t="str">
        <f>IF(A149="","",_xlfn.XLOOKUP(A149, Company_List!$A:$A, Company_List!$B:$B, ""))</f>
        <v>FDX</v>
      </c>
      <c r="C149" s="21">
        <v>2026</v>
      </c>
      <c r="D149" s="20" t="s">
        <v>563</v>
      </c>
      <c r="E149" s="19" t="s">
        <v>647</v>
      </c>
      <c r="F149" s="19" t="s">
        <v>538</v>
      </c>
      <c r="G149" s="20" t="s">
        <v>539</v>
      </c>
      <c r="H149" s="20" t="s">
        <v>540</v>
      </c>
      <c r="I149" s="127">
        <v>0.3</v>
      </c>
      <c r="J149" s="145" t="str">
        <f>IF(OR(I149="",Settings!$B$6=""),"",IF(I149&gt;Settings!$B$6,"BUY",IF(I149&lt;-Settings!$B$6,"SELL","HOLD")))</f>
        <v>BUY</v>
      </c>
      <c r="K149" s="139">
        <v>22</v>
      </c>
      <c r="L149" s="123">
        <v>46100</v>
      </c>
      <c r="M149" s="123">
        <v>46100</v>
      </c>
      <c r="N149" s="147">
        <v>286.95409999999998</v>
      </c>
      <c r="O149" s="123">
        <v>46101</v>
      </c>
      <c r="P149" s="145">
        <v>306.87</v>
      </c>
      <c r="Q149" s="148">
        <f t="shared" si="22"/>
        <v>6.9400000000000003E-2</v>
      </c>
      <c r="R149" s="20" t="str">
        <f>IF(OR(N149="",P149=""),"",IF(Q149&gt;Settings!$B$3/100,"UP",IF(Q149&lt;-Settings!$B$3/100,"DOWN","FLAT")))</f>
        <v>UP</v>
      </c>
      <c r="S149" s="20" t="str">
        <f t="shared" si="23"/>
        <v>YES</v>
      </c>
      <c r="T149" s="21">
        <f t="shared" si="24"/>
        <v>1</v>
      </c>
      <c r="U149" s="148">
        <f>IFERROR(IF(OR(J149="",N149="",P149=""),"",IF(T149=0,0,T149*Q149-Settings!$B$4/10000-IF(T149&lt;0,Settings!$B$5/10000,0))),"")</f>
        <v>6.8400000000000002E-2</v>
      </c>
      <c r="V149" s="23"/>
      <c r="W149" s="21">
        <f t="shared" si="25"/>
        <v>1320</v>
      </c>
      <c r="X149" s="91" t="str">
        <f t="shared" si="26"/>
        <v>FedEx|2026|Q3</v>
      </c>
      <c r="Y149" s="91" t="str">
        <f>IFERROR(IF($X149="","",INDEX(LLM_Data_Entry!$H$3:$H$548,MATCH($X149,INDEX(LLM_Data_Entry!$A$3:$A$548&amp;"|"&amp;LLM_Data_Entry!$C$3:$C$548&amp;"|"&amp;LLM_Data_Entry!$D$3:$D$548,0),0))),"")</f>
        <v>BUY</v>
      </c>
      <c r="Z149" s="91" t="str">
        <f>IFERROR(IF($X149="","",INDEX(LLM_Data_Entry!$R$3:$R$548,MATCH($X149,INDEX(LLM_Data_Entry!$A$3:$A$548&amp;"|"&amp;LLM_Data_Entry!$C$3:$C$548&amp;"|"&amp;LLM_Data_Entry!$D$3:$D$548,0),0))),"")</f>
        <v>YES</v>
      </c>
      <c r="AB149" t="s">
        <v>541</v>
      </c>
      <c r="AC149" t="s">
        <v>1057</v>
      </c>
      <c r="AD149" t="s">
        <v>1061</v>
      </c>
      <c r="AE149">
        <v>285.8809</v>
      </c>
      <c r="AF149" t="s">
        <v>1062</v>
      </c>
      <c r="AG149">
        <v>305.71769999999998</v>
      </c>
      <c r="AH149">
        <v>6.9388570232447266E-2</v>
      </c>
      <c r="AI149" t="s">
        <v>591</v>
      </c>
      <c r="AJ149" t="s">
        <v>554</v>
      </c>
      <c r="AK149">
        <v>6.8389000000000005E-2</v>
      </c>
      <c r="AL149" t="str">
        <f>IF($A149="","",IFERROR(INDEX(Company_List!$G$3:$G$207,MATCH($A149,Company_List!$A$3:$A$207,0)),"unassigned"))</f>
        <v>P2</v>
      </c>
      <c r="AM149" t="s">
        <v>1063</v>
      </c>
      <c r="AO149" t="s">
        <v>548</v>
      </c>
      <c r="AP149" t="str">
        <f>IF($A149="","",IF(COUNTIFS(LLM_Data_Entry!$A$3:$A$548,$A149)&gt;0,"YES","NO"))</f>
        <v>YES</v>
      </c>
      <c r="AQ149" t="str">
        <f>IF($A149="","",IF(COUNTIFS($A$3:$A149,$A149,$C$3:$C149,$C149,$D$3:$D149,$D149)=1,"YES","NO"))</f>
        <v>YES</v>
      </c>
      <c r="AR149" t="str">
        <f>IF($A149="","",IF(AND($C149&amp;"-"&amp;$D149&gt;=Settings!$B$19,$C149&amp;"-"&amp;$D149&lt;=Settings!$B$20),"IN","OUT"))</f>
        <v>IN</v>
      </c>
      <c r="AS149" t="str">
        <f t="shared" si="27"/>
        <v>transcript only</v>
      </c>
      <c r="AT149">
        <f t="shared" si="28"/>
        <v>6.8400000000000002E-2</v>
      </c>
      <c r="AU149">
        <f t="shared" si="29"/>
        <v>6.8389000000000005E-2</v>
      </c>
      <c r="AV149">
        <f>IF(ISNUMBER($AT149),ABS(IF(ISNUMBER($I149),$I149,0)-Settings!$B$24),"")</f>
        <v>0.3</v>
      </c>
      <c r="AW149">
        <f t="shared" si="30"/>
        <v>2.052E-2</v>
      </c>
      <c r="AX149">
        <f>IF(ISNUMBER($AU149),ABS(IF(ISNUMBER($I149),$I149,0)-Settings!$B$24),"")</f>
        <v>0.3</v>
      </c>
      <c r="AY149" t="s">
        <v>549</v>
      </c>
      <c r="AZ149" t="str">
        <f>IF($A149="","",IFERROR(INDEX(Company_List!$H$3:$H$207,MATCH($A149,Company_List!$A$3:$A$207,0)),"unassigned"))</f>
        <v>Industrials</v>
      </c>
      <c r="BC149">
        <f>IF($A149="","",IF(COUNTIFS($A$3:$A149,$A149,$C$3:$C149,$C149,$D$3:$D149,$D149,$G$3:$G149,$G149)=1,1,0))</f>
        <v>1</v>
      </c>
      <c r="BG149" t="s">
        <v>550</v>
      </c>
      <c r="BK149">
        <f t="shared" si="31"/>
        <v>1</v>
      </c>
      <c r="BL149" t="s">
        <v>551</v>
      </c>
      <c r="BM149">
        <v>1</v>
      </c>
      <c r="BN149" t="s">
        <v>561</v>
      </c>
      <c r="BO149" t="s">
        <v>561</v>
      </c>
      <c r="BP149" t="s">
        <v>550</v>
      </c>
      <c r="BQ149" t="s">
        <v>550</v>
      </c>
      <c r="BS149" t="s">
        <v>554</v>
      </c>
    </row>
    <row r="150" spans="1:71" ht="16.25" customHeight="1" x14ac:dyDescent="0.2">
      <c r="A150" s="95" t="s">
        <v>1056</v>
      </c>
      <c r="B150" s="96" t="str">
        <f>IF(A150="","",_xlfn.XLOOKUP(A150, Company_List!$A:$A, Company_List!$B:$B, ""))</f>
        <v>FDX</v>
      </c>
      <c r="C150" s="21">
        <v>2026</v>
      </c>
      <c r="D150" s="20" t="s">
        <v>569</v>
      </c>
      <c r="E150" s="19" t="s">
        <v>647</v>
      </c>
      <c r="F150" s="19" t="s">
        <v>538</v>
      </c>
      <c r="G150" s="20" t="s">
        <v>539</v>
      </c>
      <c r="H150" s="20" t="s">
        <v>540</v>
      </c>
      <c r="I150" s="127">
        <v>0.4</v>
      </c>
      <c r="J150" s="145" t="str">
        <f>IF(OR(I150="",Settings!$B$6=""),"",IF(I150&gt;Settings!$B$6,"BUY",IF(I150&lt;-Settings!$B$6,"SELL","HOLD")))</f>
        <v>BUY</v>
      </c>
      <c r="K150" s="139">
        <v>25</v>
      </c>
      <c r="L150" s="123">
        <v>46196</v>
      </c>
      <c r="M150" s="123">
        <v>46196</v>
      </c>
      <c r="N150" s="147">
        <v>317.24</v>
      </c>
      <c r="O150" s="123">
        <v>46197</v>
      </c>
      <c r="P150" s="145">
        <v>314.77</v>
      </c>
      <c r="Q150" s="148">
        <f t="shared" si="22"/>
        <v>-7.7999999999999996E-3</v>
      </c>
      <c r="R150" s="20" t="str">
        <f>IF(OR(N150="",P150=""),"",IF(Q150&gt;Settings!$B$3/100,"UP",IF(Q150&lt;-Settings!$B$3/100,"DOWN","FLAT")))</f>
        <v>FLAT</v>
      </c>
      <c r="S150" s="20" t="str">
        <f t="shared" si="23"/>
        <v>NO</v>
      </c>
      <c r="T150" s="21">
        <f t="shared" si="24"/>
        <v>1</v>
      </c>
      <c r="U150" s="148">
        <f>IFERROR(IF(OR(J150="",N150="",P150=""),"",IF(T150=0,0,T150*Q150-Settings!$B$4/10000-IF(T150&lt;0,Settings!$B$5/10000,0))),"")</f>
        <v>-8.7999999999999988E-3</v>
      </c>
      <c r="V150" s="23"/>
      <c r="W150" s="21">
        <f t="shared" si="25"/>
        <v>1500</v>
      </c>
      <c r="X150" s="91" t="str">
        <f t="shared" si="26"/>
        <v>FedEx|2026|Q4</v>
      </c>
      <c r="Y150" s="91" t="str">
        <f>IFERROR(IF($X150="","",INDEX(LLM_Data_Entry!$H$3:$H$548,MATCH($X150,INDEX(LLM_Data_Entry!$A$3:$A$548&amp;"|"&amp;LLM_Data_Entry!$C$3:$C$548&amp;"|"&amp;LLM_Data_Entry!$D$3:$D$548,0),0))),"")</f>
        <v>HOLD</v>
      </c>
      <c r="Z150" s="91" t="str">
        <f>IFERROR(IF($X150="","",INDEX(LLM_Data_Entry!$R$3:$R$548,MATCH($X150,INDEX(LLM_Data_Entry!$A$3:$A$548&amp;"|"&amp;LLM_Data_Entry!$C$3:$C$548&amp;"|"&amp;LLM_Data_Entry!$D$3:$D$548,0),0))),"")</f>
        <v>YES</v>
      </c>
      <c r="AB150" t="s">
        <v>541</v>
      </c>
      <c r="AC150" t="s">
        <v>1057</v>
      </c>
      <c r="AD150" t="s">
        <v>1064</v>
      </c>
      <c r="AE150">
        <v>317.24</v>
      </c>
      <c r="AF150" t="s">
        <v>1065</v>
      </c>
      <c r="AG150">
        <v>314.77</v>
      </c>
      <c r="AH150">
        <v>-7.7859068145852859E-3</v>
      </c>
      <c r="AI150" t="s">
        <v>579</v>
      </c>
      <c r="AJ150" t="s">
        <v>546</v>
      </c>
      <c r="AK150">
        <v>-8.7860000000000004E-3</v>
      </c>
      <c r="AL150" t="str">
        <f>IF($A150="","",IFERROR(INDEX(Company_List!$G$3:$G$207,MATCH($A150,Company_List!$A$3:$A$207,0)),"unassigned"))</f>
        <v>P2</v>
      </c>
      <c r="AM150" t="s">
        <v>1066</v>
      </c>
      <c r="AO150" t="s">
        <v>548</v>
      </c>
      <c r="AP150" t="str">
        <f>IF($A150="","",IF(COUNTIFS(LLM_Data_Entry!$A$3:$A$548,$A150)&gt;0,"YES","NO"))</f>
        <v>YES</v>
      </c>
      <c r="AQ150" t="str">
        <f>IF($A150="","",IF(COUNTIFS($A$3:$A150,$A150,$C$3:$C150,$C150,$D$3:$D150,$D150)=1,"YES","NO"))</f>
        <v>YES</v>
      </c>
      <c r="AR150" t="str">
        <f>IF($A150="","",IF(AND($C150&amp;"-"&amp;$D150&gt;=Settings!$B$19,$C150&amp;"-"&amp;$D150&lt;=Settings!$B$20),"IN","OUT"))</f>
        <v>IN</v>
      </c>
      <c r="AS150" t="str">
        <f t="shared" si="27"/>
        <v>transcript only</v>
      </c>
      <c r="AT150">
        <f t="shared" si="28"/>
        <v>-8.7999999999999988E-3</v>
      </c>
      <c r="AU150">
        <f t="shared" si="29"/>
        <v>-8.7860000000000004E-3</v>
      </c>
      <c r="AV150">
        <f>IF(ISNUMBER($AT150),ABS(IF(ISNUMBER($I150),$I150,0)-Settings!$B$24),"")</f>
        <v>0.4</v>
      </c>
      <c r="AW150">
        <f t="shared" si="30"/>
        <v>-3.5199999999999997E-3</v>
      </c>
      <c r="AX150">
        <f>IF(ISNUMBER($AU150),ABS(IF(ISNUMBER($I150),$I150,0)-Settings!$B$24),"")</f>
        <v>0.4</v>
      </c>
      <c r="AY150" t="s">
        <v>549</v>
      </c>
      <c r="AZ150" t="str">
        <f>IF($A150="","",IFERROR(INDEX(Company_List!$H$3:$H$207,MATCH($A150,Company_List!$A$3:$A$207,0)),"unassigned"))</f>
        <v>Industrials</v>
      </c>
      <c r="BC150">
        <f>IF($A150="","",IF(COUNTIFS($A$3:$A150,$A150,$C$3:$C150,$C150,$D$3:$D150,$D150,$G$3:$G150,$G150)=1,1,0))</f>
        <v>1</v>
      </c>
      <c r="BG150" t="s">
        <v>550</v>
      </c>
      <c r="BK150">
        <f t="shared" si="31"/>
        <v>0</v>
      </c>
      <c r="BL150" t="s">
        <v>551</v>
      </c>
      <c r="BM150">
        <v>1</v>
      </c>
      <c r="BN150" t="s">
        <v>561</v>
      </c>
      <c r="BO150" t="s">
        <v>561</v>
      </c>
      <c r="BP150" t="s">
        <v>550</v>
      </c>
      <c r="BQ150" t="s">
        <v>550</v>
      </c>
      <c r="BS150" t="s">
        <v>554</v>
      </c>
    </row>
    <row r="151" spans="1:71" ht="16.25" customHeight="1" x14ac:dyDescent="0.2">
      <c r="A151" s="95" t="s">
        <v>1056</v>
      </c>
      <c r="B151" s="96" t="str">
        <f>IF(A151="","",_xlfn.XLOOKUP(A151, Company_List!$A:$A, Company_List!$B:$B, ""))</f>
        <v>FDX</v>
      </c>
      <c r="C151" s="21">
        <v>2026</v>
      </c>
      <c r="D151" s="20" t="s">
        <v>537</v>
      </c>
      <c r="E151" s="19" t="s">
        <v>647</v>
      </c>
      <c r="F151" s="19" t="s">
        <v>538</v>
      </c>
      <c r="G151" s="20" t="s">
        <v>539</v>
      </c>
      <c r="H151" s="20" t="s">
        <v>540</v>
      </c>
      <c r="I151" s="127">
        <v>0.3</v>
      </c>
      <c r="J151" s="145" t="str">
        <f>IF(OR(I151="",Settings!$B$6=""),"",IF(I151&gt;Settings!$B$6,"BUY",IF(I151&lt;-Settings!$B$6,"SELL","HOLD")))</f>
        <v>BUY</v>
      </c>
      <c r="K151" s="139">
        <v>19</v>
      </c>
      <c r="L151" s="123">
        <v>45918</v>
      </c>
      <c r="M151" s="123">
        <v>45918</v>
      </c>
      <c r="N151" s="147">
        <v>182.51410000000001</v>
      </c>
      <c r="O151" s="123">
        <v>45919</v>
      </c>
      <c r="P151" s="145">
        <v>183.96</v>
      </c>
      <c r="Q151" s="148">
        <f t="shared" si="22"/>
        <v>7.9000000000000008E-3</v>
      </c>
      <c r="R151" s="20" t="str">
        <f>IF(OR(N151="",P151=""),"",IF(Q151&gt;Settings!$B$3/100,"UP",IF(Q151&lt;-Settings!$B$3/100,"DOWN","FLAT")))</f>
        <v>FLAT</v>
      </c>
      <c r="S151" s="20" t="str">
        <f t="shared" si="23"/>
        <v>NO</v>
      </c>
      <c r="T151" s="21">
        <f t="shared" si="24"/>
        <v>1</v>
      </c>
      <c r="U151" s="148">
        <f>IFERROR(IF(OR(J151="",N151="",P151=""),"",IF(T151=0,0,T151*Q151-Settings!$B$4/10000-IF(T151&lt;0,Settings!$B$5/10000,0))),"")</f>
        <v>6.9000000000000008E-3</v>
      </c>
      <c r="V151" s="23"/>
      <c r="W151" s="21">
        <f t="shared" si="25"/>
        <v>1140</v>
      </c>
      <c r="X151" s="91" t="str">
        <f t="shared" si="26"/>
        <v>FedEx|2026|Q1</v>
      </c>
      <c r="Y151" s="91" t="str">
        <f>IFERROR(IF($X151="","",INDEX(LLM_Data_Entry!$H$3:$H$548,MATCH($X151,INDEX(LLM_Data_Entry!$A$3:$A$548&amp;"|"&amp;LLM_Data_Entry!$C$3:$C$548&amp;"|"&amp;LLM_Data_Entry!$D$3:$D$548,0),0))),"")</f>
        <v>SELL</v>
      </c>
      <c r="Z151" s="91" t="str">
        <f>IFERROR(IF($X151="","",INDEX(LLM_Data_Entry!$R$3:$R$548,MATCH($X151,INDEX(LLM_Data_Entry!$A$3:$A$548&amp;"|"&amp;LLM_Data_Entry!$C$3:$C$548&amp;"|"&amp;LLM_Data_Entry!$D$3:$D$548,0),0))),"")</f>
        <v>NO</v>
      </c>
      <c r="AB151" t="s">
        <v>541</v>
      </c>
      <c r="AC151" t="s">
        <v>1057</v>
      </c>
      <c r="AD151" t="s">
        <v>1067</v>
      </c>
      <c r="AE151">
        <v>180.1738</v>
      </c>
      <c r="AF151" t="s">
        <v>1068</v>
      </c>
      <c r="AG151">
        <v>181.60560000000001</v>
      </c>
      <c r="AH151">
        <v>7.947007323929561E-3</v>
      </c>
      <c r="AI151" t="s">
        <v>579</v>
      </c>
      <c r="AJ151" t="s">
        <v>546</v>
      </c>
      <c r="AK151">
        <v>6.9470000000000001E-3</v>
      </c>
      <c r="AL151" t="str">
        <f>IF($A151="","",IFERROR(INDEX(Company_List!$G$3:$G$207,MATCH($A151,Company_List!$A$3:$A$207,0)),"unassigned"))</f>
        <v>P2</v>
      </c>
      <c r="AM151" t="s">
        <v>1069</v>
      </c>
      <c r="AO151" t="s">
        <v>548</v>
      </c>
      <c r="AP151" t="str">
        <f>IF($A151="","",IF(COUNTIFS(LLM_Data_Entry!$A$3:$A$548,$A151)&gt;0,"YES","NO"))</f>
        <v>YES</v>
      </c>
      <c r="AQ151" t="str">
        <f>IF($A151="","",IF(COUNTIFS($A$3:$A151,$A151,$C$3:$C151,$C151,$D$3:$D151,$D151)=1,"YES","NO"))</f>
        <v>YES</v>
      </c>
      <c r="AR151" t="str">
        <f>IF($A151="","",IF(AND($C151&amp;"-"&amp;$D151&gt;=Settings!$B$19,$C151&amp;"-"&amp;$D151&lt;=Settings!$B$20),"IN","OUT"))</f>
        <v>IN</v>
      </c>
      <c r="AS151" t="str">
        <f t="shared" si="27"/>
        <v>transcript only</v>
      </c>
      <c r="AT151">
        <f t="shared" si="28"/>
        <v>6.9000000000000008E-3</v>
      </c>
      <c r="AU151">
        <f t="shared" si="29"/>
        <v>6.9470000000000001E-3</v>
      </c>
      <c r="AV151">
        <f>IF(ISNUMBER($AT151),ABS(IF(ISNUMBER($I151),$I151,0)-Settings!$B$24),"")</f>
        <v>0.3</v>
      </c>
      <c r="AW151">
        <f t="shared" si="30"/>
        <v>2.0700000000000002E-3</v>
      </c>
      <c r="AX151">
        <f>IF(ISNUMBER($AU151),ABS(IF(ISNUMBER($I151),$I151,0)-Settings!$B$24),"")</f>
        <v>0.3</v>
      </c>
      <c r="AY151" t="s">
        <v>549</v>
      </c>
      <c r="AZ151" t="str">
        <f>IF($A151="","",IFERROR(INDEX(Company_List!$H$3:$H$207,MATCH($A151,Company_List!$A$3:$A$207,0)),"unassigned"))</f>
        <v>Industrials</v>
      </c>
      <c r="BC151">
        <f>IF($A151="","",IF(COUNTIFS($A$3:$A151,$A151,$C$3:$C151,$C151,$D$3:$D151,$D151,$G$3:$G151,$G151)=1,1,0))</f>
        <v>1</v>
      </c>
      <c r="BG151" t="s">
        <v>550</v>
      </c>
      <c r="BK151">
        <f t="shared" si="31"/>
        <v>0</v>
      </c>
      <c r="BL151" t="s">
        <v>551</v>
      </c>
      <c r="BM151">
        <v>1</v>
      </c>
      <c r="BN151" t="s">
        <v>561</v>
      </c>
      <c r="BO151" t="s">
        <v>561</v>
      </c>
      <c r="BP151" t="s">
        <v>550</v>
      </c>
      <c r="BQ151" t="s">
        <v>550</v>
      </c>
      <c r="BS151" t="s">
        <v>554</v>
      </c>
    </row>
    <row r="152" spans="1:71" ht="16.25" customHeight="1" x14ac:dyDescent="0.2">
      <c r="A152" s="95" t="s">
        <v>1070</v>
      </c>
      <c r="B152" s="96" t="str">
        <f>IF(A152="","",_xlfn.XLOOKUP(A152, Company_List!$A:$A, Company_List!$B:$B, ""))</f>
        <v>HLT</v>
      </c>
      <c r="C152" s="21">
        <v>2025</v>
      </c>
      <c r="D152" s="20" t="s">
        <v>537</v>
      </c>
      <c r="E152" s="19" t="s">
        <v>647</v>
      </c>
      <c r="F152" s="19" t="s">
        <v>538</v>
      </c>
      <c r="G152" s="20" t="s">
        <v>539</v>
      </c>
      <c r="H152" s="20" t="s">
        <v>540</v>
      </c>
      <c r="I152" s="127">
        <v>-0.3</v>
      </c>
      <c r="J152" s="145" t="str">
        <f>IF(OR(I152="",Settings!$B$6=""),"",IF(I152&gt;Settings!$B$6,"BUY",IF(I152&lt;-Settings!$B$6,"SELL","HOLD")))</f>
        <v>SELL</v>
      </c>
      <c r="K152" s="139">
        <v>27</v>
      </c>
      <c r="L152" s="123">
        <v>45776</v>
      </c>
      <c r="M152" s="123">
        <v>45775</v>
      </c>
      <c r="N152" s="147">
        <v>221.6</v>
      </c>
      <c r="O152" s="123">
        <v>45776</v>
      </c>
      <c r="P152" s="145">
        <v>224.6</v>
      </c>
      <c r="Q152" s="148">
        <f t="shared" si="22"/>
        <v>1.35E-2</v>
      </c>
      <c r="R152" s="20" t="str">
        <f>IF(OR(N152="",P152=""),"",IF(Q152&gt;Settings!$B$3/100,"UP",IF(Q152&lt;-Settings!$B$3/100,"DOWN","FLAT")))</f>
        <v>FLAT</v>
      </c>
      <c r="S152" s="20" t="str">
        <f t="shared" si="23"/>
        <v>NO</v>
      </c>
      <c r="T152" s="21">
        <f t="shared" si="24"/>
        <v>-1</v>
      </c>
      <c r="U152" s="148">
        <f>IFERROR(IF(OR(J152="",N152="",P152=""),"",IF(T152=0,0,T152*Q152-Settings!$B$4/10000-IF(T152&lt;0,Settings!$B$5/10000,0))),"")</f>
        <v>-1.4499999999999999E-2</v>
      </c>
      <c r="V152" s="23"/>
      <c r="W152" s="21">
        <f t="shared" si="25"/>
        <v>1620</v>
      </c>
      <c r="X152" s="91" t="str">
        <f t="shared" si="26"/>
        <v>Hilton|2025|Q1</v>
      </c>
      <c r="Y152" s="91" t="str">
        <f>IFERROR(IF($X152="","",INDEX(LLM_Data_Entry!$H$3:$H$548,MATCH($X152,INDEX(LLM_Data_Entry!$A$3:$A$548&amp;"|"&amp;LLM_Data_Entry!$C$3:$C$548&amp;"|"&amp;LLM_Data_Entry!$D$3:$D$548,0),0))),"")</f>
        <v>SELL</v>
      </c>
      <c r="Z152" s="91" t="str">
        <f>IFERROR(IF($X152="","",INDEX(LLM_Data_Entry!$R$3:$R$548,MATCH($X152,INDEX(LLM_Data_Entry!$A$3:$A$548&amp;"|"&amp;LLM_Data_Entry!$C$3:$C$548&amp;"|"&amp;LLM_Data_Entry!$D$3:$D$548,0),0))),"")</f>
        <v>NO</v>
      </c>
      <c r="AB152" t="s">
        <v>612</v>
      </c>
      <c r="AC152" t="s">
        <v>1071</v>
      </c>
      <c r="AD152" t="s">
        <v>978</v>
      </c>
      <c r="AE152">
        <v>221.01220000000001</v>
      </c>
      <c r="AF152" t="s">
        <v>979</v>
      </c>
      <c r="AG152">
        <v>224.0043</v>
      </c>
      <c r="AH152">
        <v>1.3537842730143751E-2</v>
      </c>
      <c r="AI152" t="s">
        <v>579</v>
      </c>
      <c r="AJ152" t="s">
        <v>546</v>
      </c>
      <c r="AK152">
        <v>-1.4538000000000001E-2</v>
      </c>
      <c r="AL152" t="str">
        <f>IF($A152="","",IFERROR(INDEX(Company_List!$G$3:$G$207,MATCH($A152,Company_List!$A$3:$A$207,0)),"unassigned"))</f>
        <v>P2</v>
      </c>
      <c r="AM152" t="s">
        <v>1072</v>
      </c>
      <c r="AO152" t="s">
        <v>548</v>
      </c>
      <c r="AP152" t="str">
        <f>IF($A152="","",IF(COUNTIFS(LLM_Data_Entry!$A$3:$A$548,$A152)&gt;0,"YES","NO"))</f>
        <v>YES</v>
      </c>
      <c r="AQ152" t="str">
        <f>IF($A152="","",IF(COUNTIFS($A$3:$A152,$A152,$C$3:$C152,$C152,$D$3:$D152,$D152)=1,"YES","NO"))</f>
        <v>YES</v>
      </c>
      <c r="AR152" t="str">
        <f>IF($A152="","",IF(AND($C152&amp;"-"&amp;$D152&gt;=Settings!$B$19,$C152&amp;"-"&amp;$D152&lt;=Settings!$B$20),"IN","OUT"))</f>
        <v>IN</v>
      </c>
      <c r="AS152" t="str">
        <f t="shared" si="27"/>
        <v>transcript only</v>
      </c>
      <c r="AT152">
        <f t="shared" si="28"/>
        <v>-1.4499999999999999E-2</v>
      </c>
      <c r="AU152">
        <f t="shared" si="29"/>
        <v>-1.4538000000000001E-2</v>
      </c>
      <c r="AV152">
        <f>IF(ISNUMBER($AT152),ABS(IF(ISNUMBER($I152),$I152,0)-Settings!$B$24),"")</f>
        <v>0.3</v>
      </c>
      <c r="AW152">
        <f t="shared" si="30"/>
        <v>-4.3499999999999997E-3</v>
      </c>
      <c r="AX152">
        <f>IF(ISNUMBER($AU152),ABS(IF(ISNUMBER($I152),$I152,0)-Settings!$B$24),"")</f>
        <v>0.3</v>
      </c>
      <c r="AY152" t="s">
        <v>549</v>
      </c>
      <c r="AZ152" t="str">
        <f>IF($A152="","",IFERROR(INDEX(Company_List!$H$3:$H$207,MATCH($A152,Company_List!$A$3:$A$207,0)),"unassigned"))</f>
        <v>Consumer Discretionary</v>
      </c>
      <c r="BC152">
        <f>IF($A152="","",IF(COUNTIFS($A$3:$A152,$A152,$C$3:$C152,$C152,$D$3:$D152,$D152,$G$3:$G152,$G152)=1,1,0))</f>
        <v>1</v>
      </c>
      <c r="BG152" t="s">
        <v>550</v>
      </c>
      <c r="BK152">
        <f t="shared" si="31"/>
        <v>1</v>
      </c>
      <c r="BL152" t="s">
        <v>551</v>
      </c>
      <c r="BM152">
        <v>1</v>
      </c>
      <c r="BN152" t="s">
        <v>552</v>
      </c>
      <c r="BO152" t="s">
        <v>553</v>
      </c>
      <c r="BP152" t="s">
        <v>550</v>
      </c>
      <c r="BQ152" t="s">
        <v>550</v>
      </c>
      <c r="BS152" t="s">
        <v>554</v>
      </c>
    </row>
    <row r="153" spans="1:71" ht="16.25" customHeight="1" x14ac:dyDescent="0.2">
      <c r="A153" s="95" t="s">
        <v>1070</v>
      </c>
      <c r="B153" s="96" t="str">
        <f>IF(A153="","",_xlfn.XLOOKUP(A153, Company_List!$A:$A, Company_List!$B:$B, ""))</f>
        <v>HLT</v>
      </c>
      <c r="C153" s="21">
        <v>2025</v>
      </c>
      <c r="D153" s="20" t="s">
        <v>555</v>
      </c>
      <c r="E153" s="19" t="s">
        <v>647</v>
      </c>
      <c r="F153" s="19" t="s">
        <v>538</v>
      </c>
      <c r="G153" s="20" t="s">
        <v>539</v>
      </c>
      <c r="H153" s="20" t="s">
        <v>540</v>
      </c>
      <c r="I153" s="127">
        <v>-0.2</v>
      </c>
      <c r="J153" s="145" t="str">
        <f>IF(OR(I153="",Settings!$B$6=""),"",IF(I153&gt;Settings!$B$6,"BUY",IF(I153&lt;-Settings!$B$6,"SELL","HOLD")))</f>
        <v>HOLD</v>
      </c>
      <c r="K153" s="139">
        <v>28</v>
      </c>
      <c r="L153" s="123">
        <v>45861</v>
      </c>
      <c r="M153" s="123">
        <v>45860</v>
      </c>
      <c r="N153" s="147">
        <v>273.83999999999997</v>
      </c>
      <c r="O153" s="123">
        <v>45861</v>
      </c>
      <c r="P153" s="145">
        <v>264.89999999999998</v>
      </c>
      <c r="Q153" s="148">
        <f t="shared" si="22"/>
        <v>-3.2599999999999997E-2</v>
      </c>
      <c r="R153" s="20" t="str">
        <f>IF(OR(N153="",P153=""),"",IF(Q153&gt;Settings!$B$3/100,"UP",IF(Q153&lt;-Settings!$B$3/100,"DOWN","FLAT")))</f>
        <v>DOWN</v>
      </c>
      <c r="S153" s="20" t="str">
        <f t="shared" si="23"/>
        <v>NO</v>
      </c>
      <c r="T153" s="21">
        <f t="shared" si="24"/>
        <v>0</v>
      </c>
      <c r="U153" s="148">
        <f>IFERROR(IF(OR(J153="",N153="",P153=""),"",IF(T153=0,0,T153*Q153-Settings!$B$4/10000-IF(T153&lt;0,Settings!$B$5/10000,0))),"")</f>
        <v>0</v>
      </c>
      <c r="V153" s="23"/>
      <c r="W153" s="21">
        <f t="shared" si="25"/>
        <v>1680</v>
      </c>
      <c r="X153" s="91" t="str">
        <f t="shared" si="26"/>
        <v>Hilton|2025|Q2</v>
      </c>
      <c r="Y153" s="91" t="str">
        <f>IFERROR(IF($X153="","",INDEX(LLM_Data_Entry!$H$3:$H$548,MATCH($X153,INDEX(LLM_Data_Entry!$A$3:$A$548&amp;"|"&amp;LLM_Data_Entry!$C$3:$C$548&amp;"|"&amp;LLM_Data_Entry!$D$3:$D$548,0),0))),"")</f>
        <v>HOLD</v>
      </c>
      <c r="Z153" s="91" t="str">
        <f>IFERROR(IF($X153="","",INDEX(LLM_Data_Entry!$R$3:$R$548,MATCH($X153,INDEX(LLM_Data_Entry!$A$3:$A$548&amp;"|"&amp;LLM_Data_Entry!$C$3:$C$548&amp;"|"&amp;LLM_Data_Entry!$D$3:$D$548,0),0))),"")</f>
        <v>NO</v>
      </c>
      <c r="AB153" t="s">
        <v>612</v>
      </c>
      <c r="AC153" t="s">
        <v>1071</v>
      </c>
      <c r="AD153" t="s">
        <v>701</v>
      </c>
      <c r="AE153">
        <v>273.27980000000002</v>
      </c>
      <c r="AF153" t="s">
        <v>772</v>
      </c>
      <c r="AG153">
        <v>264.35809999999998</v>
      </c>
      <c r="AH153">
        <v>-3.2646867995429263E-2</v>
      </c>
      <c r="AI153" t="s">
        <v>545</v>
      </c>
      <c r="AJ153" t="s">
        <v>546</v>
      </c>
      <c r="AK153">
        <v>0</v>
      </c>
      <c r="AL153" t="str">
        <f>IF($A153="","",IFERROR(INDEX(Company_List!$G$3:$G$207,MATCH($A153,Company_List!$A$3:$A$207,0)),"unassigned"))</f>
        <v>P2</v>
      </c>
      <c r="AM153" t="s">
        <v>1073</v>
      </c>
      <c r="AO153" t="s">
        <v>548</v>
      </c>
      <c r="AP153" t="str">
        <f>IF($A153="","",IF(COUNTIFS(LLM_Data_Entry!$A$3:$A$548,$A153)&gt;0,"YES","NO"))</f>
        <v>YES</v>
      </c>
      <c r="AQ153" t="str">
        <f>IF($A153="","",IF(COUNTIFS($A$3:$A153,$A153,$C$3:$C153,$C153,$D$3:$D153,$D153)=1,"YES","NO"))</f>
        <v>YES</v>
      </c>
      <c r="AR153" t="str">
        <f>IF($A153="","",IF(AND($C153&amp;"-"&amp;$D153&gt;=Settings!$B$19,$C153&amp;"-"&amp;$D153&lt;=Settings!$B$20),"IN","OUT"))</f>
        <v>IN</v>
      </c>
      <c r="AS153" t="str">
        <f t="shared" si="27"/>
        <v>transcript only</v>
      </c>
      <c r="AT153" t="str">
        <f t="shared" si="28"/>
        <v/>
      </c>
      <c r="AU153" t="str">
        <f t="shared" si="29"/>
        <v/>
      </c>
      <c r="AV153" t="str">
        <f>IF(ISNUMBER($AT153),ABS(IF(ISNUMBER($I153),$I153,0)-Settings!$B$24),"")</f>
        <v/>
      </c>
      <c r="AW153" t="str">
        <f t="shared" si="30"/>
        <v/>
      </c>
      <c r="AX153" t="str">
        <f>IF(ISNUMBER($AU153),ABS(IF(ISNUMBER($I153),$I153,0)-Settings!$B$24),"")</f>
        <v/>
      </c>
      <c r="AY153" t="s">
        <v>549</v>
      </c>
      <c r="AZ153" t="str">
        <f>IF($A153="","",IFERROR(INDEX(Company_List!$H$3:$H$207,MATCH($A153,Company_List!$A$3:$A$207,0)),"unassigned"))</f>
        <v>Consumer Discretionary</v>
      </c>
      <c r="BC153">
        <f>IF($A153="","",IF(COUNTIFS($A$3:$A153,$A153,$C$3:$C153,$C153,$D$3:$D153,$D153,$G$3:$G153,$G153)=1,1,0))</f>
        <v>1</v>
      </c>
      <c r="BG153" t="s">
        <v>550</v>
      </c>
      <c r="BK153">
        <f t="shared" si="31"/>
        <v>1</v>
      </c>
      <c r="BL153" t="s">
        <v>551</v>
      </c>
      <c r="BM153">
        <v>1</v>
      </c>
      <c r="BN153" t="s">
        <v>552</v>
      </c>
      <c r="BO153" t="s">
        <v>553</v>
      </c>
      <c r="BP153" t="s">
        <v>550</v>
      </c>
      <c r="BQ153" t="s">
        <v>550</v>
      </c>
      <c r="BS153" t="s">
        <v>554</v>
      </c>
    </row>
    <row r="154" spans="1:71" ht="16.25" customHeight="1" x14ac:dyDescent="0.2">
      <c r="A154" s="95" t="s">
        <v>1070</v>
      </c>
      <c r="B154" s="96" t="str">
        <f>IF(A154="","",_xlfn.XLOOKUP(A154, Company_List!$A:$A, Company_List!$B:$B, ""))</f>
        <v>HLT</v>
      </c>
      <c r="C154" s="21">
        <v>2024</v>
      </c>
      <c r="D154" s="20" t="s">
        <v>563</v>
      </c>
      <c r="E154" s="19" t="s">
        <v>647</v>
      </c>
      <c r="F154" s="19" t="s">
        <v>538</v>
      </c>
      <c r="G154" s="20" t="s">
        <v>539</v>
      </c>
      <c r="H154" s="20" t="s">
        <v>540</v>
      </c>
      <c r="I154" s="127">
        <v>-0.2</v>
      </c>
      <c r="J154" s="145" t="str">
        <f>IF(OR(I154="",Settings!$B$6=""),"",IF(I154&gt;Settings!$B$6,"BUY",IF(I154&lt;-Settings!$B$6,"SELL","HOLD")))</f>
        <v>HOLD</v>
      </c>
      <c r="K154" s="139">
        <v>24</v>
      </c>
      <c r="L154" s="123">
        <v>45952</v>
      </c>
      <c r="M154" s="123">
        <v>45587</v>
      </c>
      <c r="N154" s="127">
        <v>238.13</v>
      </c>
      <c r="O154" s="123">
        <v>45588</v>
      </c>
      <c r="P154" s="22">
        <v>237.5</v>
      </c>
      <c r="Q154" s="148">
        <f t="shared" si="22"/>
        <v>-2.5999999999999999E-3</v>
      </c>
      <c r="R154" s="20" t="str">
        <f>IF(OR(N154="",P154=""),"",IF(Q154&gt;Settings!$B$3/100,"UP",IF(Q154&lt;-Settings!$B$3/100,"DOWN","FLAT")))</f>
        <v>FLAT</v>
      </c>
      <c r="S154" s="20" t="str">
        <f t="shared" si="23"/>
        <v>YES</v>
      </c>
      <c r="T154" s="21">
        <f t="shared" si="24"/>
        <v>0</v>
      </c>
      <c r="U154" s="148">
        <f>IFERROR(IF(OR(J154="",N154="",P154=""),"",IF(T154=0,0,T154*Q154-Settings!$B$4/10000-IF(T154&lt;0,Settings!$B$5/10000,0))),"")</f>
        <v>0</v>
      </c>
      <c r="V154" s="23"/>
      <c r="W154" s="21">
        <f t="shared" si="25"/>
        <v>1440</v>
      </c>
      <c r="X154" s="91" t="str">
        <f t="shared" si="26"/>
        <v>Hilton|2024|Q3</v>
      </c>
      <c r="Y154" s="91" t="str">
        <f>IFERROR(IF($X154="","",INDEX(LLM_Data_Entry!$H$3:$H$548,MATCH($X154,INDEX(LLM_Data_Entry!$A$3:$A$548&amp;"|"&amp;LLM_Data_Entry!$C$3:$C$548&amp;"|"&amp;LLM_Data_Entry!$D$3:$D$548,0),0))),"")</f>
        <v>HOLD</v>
      </c>
      <c r="Z154" s="91" t="str">
        <f>IFERROR(IF($X154="","",INDEX(LLM_Data_Entry!$R$3:$R$548,MATCH($X154,INDEX(LLM_Data_Entry!$A$3:$A$548&amp;"|"&amp;LLM_Data_Entry!$C$3:$C$548&amp;"|"&amp;LLM_Data_Entry!$D$3:$D$548,0),0))),"")</f>
        <v>YES</v>
      </c>
      <c r="AB154" t="s">
        <v>630</v>
      </c>
      <c r="AC154" t="s">
        <v>1071</v>
      </c>
      <c r="AD154" t="s">
        <v>1074</v>
      </c>
      <c r="AE154">
        <v>237.22300000000001</v>
      </c>
      <c r="AF154" t="s">
        <v>1075</v>
      </c>
      <c r="AG154">
        <v>236.59540000000001</v>
      </c>
      <c r="AH154">
        <v>-2.6456197194895991E-3</v>
      </c>
      <c r="AI154" t="s">
        <v>579</v>
      </c>
      <c r="AJ154" t="s">
        <v>554</v>
      </c>
      <c r="AK154">
        <v>0</v>
      </c>
      <c r="AL154" t="str">
        <f>IF($A154="","",IFERROR(INDEX(Company_List!$G$3:$G$207,MATCH($A154,Company_List!$A$3:$A$207,0)),"unassigned"))</f>
        <v>P2</v>
      </c>
      <c r="AM154" t="s">
        <v>1076</v>
      </c>
      <c r="AO154" t="s">
        <v>548</v>
      </c>
      <c r="AP154" t="str">
        <f>IF($A154="","",IF(COUNTIFS(LLM_Data_Entry!$A$3:$A$548,$A154)&gt;0,"YES","NO"))</f>
        <v>YES</v>
      </c>
      <c r="AQ154" t="str">
        <f>IF($A154="","",IF(COUNTIFS($A$3:$A154,$A154,$C$3:$C154,$C154,$D$3:$D154,$D154)=1,"YES","NO"))</f>
        <v>YES</v>
      </c>
      <c r="AR154" t="str">
        <f>IF($A154="","",IF(AND($C154&amp;"-"&amp;$D154&gt;=Settings!$B$19,$C154&amp;"-"&amp;$D154&lt;=Settings!$B$20),"IN","OUT"))</f>
        <v>IN</v>
      </c>
      <c r="AS154" t="str">
        <f t="shared" si="27"/>
        <v>transcript only</v>
      </c>
      <c r="AT154" t="str">
        <f t="shared" si="28"/>
        <v/>
      </c>
      <c r="AU154" t="str">
        <f t="shared" si="29"/>
        <v/>
      </c>
      <c r="AV154" t="str">
        <f>IF(ISNUMBER($AT154),ABS(IF(ISNUMBER($I154),$I154,0)-Settings!$B$24),"")</f>
        <v/>
      </c>
      <c r="AW154" t="str">
        <f t="shared" si="30"/>
        <v/>
      </c>
      <c r="AX154" t="str">
        <f>IF(ISNUMBER($AU154),ABS(IF(ISNUMBER($I154),$I154,0)-Settings!$B$24),"")</f>
        <v/>
      </c>
      <c r="AY154" t="s">
        <v>549</v>
      </c>
      <c r="AZ154" t="str">
        <f>IF($A154="","",IFERROR(INDEX(Company_List!$H$3:$H$207,MATCH($A154,Company_List!$A$3:$A$207,0)),"unassigned"))</f>
        <v>Consumer Discretionary</v>
      </c>
      <c r="BC154">
        <f>IF($A154="","",IF(COUNTIFS($A$3:$A154,$A154,$C$3:$C154,$C154,$D$3:$D154,$D154,$G$3:$G154,$G154)=1,1,0))</f>
        <v>1</v>
      </c>
      <c r="BG154" t="s">
        <v>550</v>
      </c>
      <c r="BK154">
        <f t="shared" si="31"/>
        <v>1</v>
      </c>
      <c r="BL154" t="s">
        <v>551</v>
      </c>
      <c r="BM154">
        <v>1</v>
      </c>
      <c r="BN154" t="s">
        <v>552</v>
      </c>
      <c r="BO154" t="s">
        <v>553</v>
      </c>
      <c r="BP154" t="s">
        <v>550</v>
      </c>
      <c r="BQ154" t="s">
        <v>550</v>
      </c>
      <c r="BS154" t="s">
        <v>554</v>
      </c>
    </row>
    <row r="155" spans="1:71" ht="16.25" customHeight="1" x14ac:dyDescent="0.2">
      <c r="A155" s="95" t="s">
        <v>1070</v>
      </c>
      <c r="B155" s="96" t="str">
        <f>IF(A155="","",_xlfn.XLOOKUP(A155, Company_List!$A:$A, Company_List!$B:$B, ""))</f>
        <v>HLT</v>
      </c>
      <c r="C155" s="21">
        <v>2026</v>
      </c>
      <c r="D155" s="20" t="s">
        <v>537</v>
      </c>
      <c r="E155" s="19" t="s">
        <v>647</v>
      </c>
      <c r="F155" s="19" t="s">
        <v>538</v>
      </c>
      <c r="G155" s="20" t="s">
        <v>539</v>
      </c>
      <c r="H155" s="20" t="s">
        <v>540</v>
      </c>
      <c r="I155" s="127">
        <v>0.3</v>
      </c>
      <c r="J155" s="145" t="str">
        <f>IF(OR(I155="",Settings!$B$6=""),"",IF(I155&gt;Settings!$B$6,"BUY",IF(I155&lt;-Settings!$B$6,"SELL","HOLD")))</f>
        <v>BUY</v>
      </c>
      <c r="K155" s="139">
        <v>25</v>
      </c>
      <c r="L155" s="123">
        <v>46140</v>
      </c>
      <c r="M155" s="124">
        <v>46139</v>
      </c>
      <c r="N155" s="127">
        <v>332.45</v>
      </c>
      <c r="O155" s="123">
        <v>46140</v>
      </c>
      <c r="P155" s="22">
        <v>323.42</v>
      </c>
      <c r="Q155" s="148">
        <f t="shared" si="22"/>
        <v>-2.7199999999999998E-2</v>
      </c>
      <c r="R155" s="20" t="str">
        <f>IF(OR(N155="",P155=""),"",IF(Q155&gt;Settings!$B$3/100,"UP",IF(Q155&lt;-Settings!$B$3/100,"DOWN","FLAT")))</f>
        <v>DOWN</v>
      </c>
      <c r="S155" s="20" t="str">
        <f t="shared" si="23"/>
        <v>NO</v>
      </c>
      <c r="T155" s="21">
        <f t="shared" si="24"/>
        <v>1</v>
      </c>
      <c r="U155" s="148">
        <f>IFERROR(IF(OR(J155="",N155="",P155=""),"",IF(T155=0,0,T155*Q155-Settings!$B$4/10000-IF(T155&lt;0,Settings!$B$5/10000,0))),"")</f>
        <v>-2.8199999999999999E-2</v>
      </c>
      <c r="V155" s="23"/>
      <c r="W155" s="21">
        <f t="shared" si="25"/>
        <v>1500</v>
      </c>
      <c r="X155" s="91" t="str">
        <f t="shared" si="26"/>
        <v>Hilton|2026|Q1</v>
      </c>
      <c r="Y155" s="91" t="str">
        <f>IFERROR(IF($X155="","",INDEX(LLM_Data_Entry!$H$3:$H$548,MATCH($X155,INDEX(LLM_Data_Entry!$A$3:$A$548&amp;"|"&amp;LLM_Data_Entry!$C$3:$C$548&amp;"|"&amp;LLM_Data_Entry!$D$3:$D$548,0),0))),"")</f>
        <v>HOLD</v>
      </c>
      <c r="Z155" s="91" t="str">
        <f>IFERROR(IF($X155="","",INDEX(LLM_Data_Entry!$R$3:$R$548,MATCH($X155,INDEX(LLM_Data_Entry!$A$3:$A$548&amp;"|"&amp;LLM_Data_Entry!$C$3:$C$548&amp;"|"&amp;LLM_Data_Entry!$D$3:$D$548,0),0))),"")</f>
        <v>NO</v>
      </c>
      <c r="AB155" t="s">
        <v>630</v>
      </c>
      <c r="AC155" t="s">
        <v>1071</v>
      </c>
      <c r="AD155" t="s">
        <v>708</v>
      </c>
      <c r="AE155">
        <v>332.2955</v>
      </c>
      <c r="AF155" t="s">
        <v>709</v>
      </c>
      <c r="AG155">
        <v>323.2697</v>
      </c>
      <c r="AH155">
        <v>-2.716192317131351E-2</v>
      </c>
      <c r="AI155" t="s">
        <v>545</v>
      </c>
      <c r="AJ155" t="s">
        <v>546</v>
      </c>
      <c r="AK155">
        <v>-2.8162E-2</v>
      </c>
      <c r="AL155" t="str">
        <f>IF($A155="","",IFERROR(INDEX(Company_List!$G$3:$G$207,MATCH($A155,Company_List!$A$3:$A$207,0)),"unassigned"))</f>
        <v>P2</v>
      </c>
      <c r="AM155" t="s">
        <v>1077</v>
      </c>
      <c r="AO155" t="s">
        <v>548</v>
      </c>
      <c r="AP155" t="str">
        <f>IF($A155="","",IF(COUNTIFS(LLM_Data_Entry!$A$3:$A$548,$A155)&gt;0,"YES","NO"))</f>
        <v>YES</v>
      </c>
      <c r="AQ155" t="str">
        <f>IF($A155="","",IF(COUNTIFS($A$3:$A155,$A155,$C$3:$C155,$C155,$D$3:$D155,$D155)=1,"YES","NO"))</f>
        <v>YES</v>
      </c>
      <c r="AR155" t="str">
        <f>IF($A155="","",IF(AND($C155&amp;"-"&amp;$D155&gt;=Settings!$B$19,$C155&amp;"-"&amp;$D155&lt;=Settings!$B$20),"IN","OUT"))</f>
        <v>IN</v>
      </c>
      <c r="AS155" t="str">
        <f t="shared" si="27"/>
        <v>transcript only</v>
      </c>
      <c r="AT155">
        <f t="shared" si="28"/>
        <v>-2.8199999999999999E-2</v>
      </c>
      <c r="AU155">
        <f t="shared" si="29"/>
        <v>-2.8162E-2</v>
      </c>
      <c r="AV155">
        <f>IF(ISNUMBER($AT155),ABS(IF(ISNUMBER($I155),$I155,0)-Settings!$B$24),"")</f>
        <v>0.3</v>
      </c>
      <c r="AW155">
        <f t="shared" si="30"/>
        <v>-8.4599999999999988E-3</v>
      </c>
      <c r="AX155">
        <f>IF(ISNUMBER($AU155),ABS(IF(ISNUMBER($I155),$I155,0)-Settings!$B$24),"")</f>
        <v>0.3</v>
      </c>
      <c r="AY155" t="s">
        <v>549</v>
      </c>
      <c r="AZ155" t="str">
        <f>IF($A155="","",IFERROR(INDEX(Company_List!$H$3:$H$207,MATCH($A155,Company_List!$A$3:$A$207,0)),"unassigned"))</f>
        <v>Consumer Discretionary</v>
      </c>
      <c r="BC155">
        <f>IF($A155="","",IF(COUNTIFS($A$3:$A155,$A155,$C$3:$C155,$C155,$D$3:$D155,$D155,$G$3:$G155,$G155)=1,1,0))</f>
        <v>1</v>
      </c>
      <c r="BG155" t="s">
        <v>550</v>
      </c>
      <c r="BK155">
        <f t="shared" si="31"/>
        <v>0</v>
      </c>
      <c r="BL155" t="s">
        <v>551</v>
      </c>
      <c r="BM155">
        <v>1</v>
      </c>
      <c r="BN155" t="s">
        <v>552</v>
      </c>
      <c r="BO155" t="s">
        <v>553</v>
      </c>
      <c r="BP155" t="s">
        <v>550</v>
      </c>
      <c r="BQ155" t="s">
        <v>550</v>
      </c>
      <c r="BS155" t="s">
        <v>554</v>
      </c>
    </row>
    <row r="156" spans="1:71" ht="16.25" customHeight="1" x14ac:dyDescent="0.2">
      <c r="A156" s="95" t="s">
        <v>1070</v>
      </c>
      <c r="B156" s="96" t="str">
        <f>IF(A156="","",_xlfn.XLOOKUP(A156, Company_List!$A:$A, Company_List!$B:$B, ""))</f>
        <v>HLT</v>
      </c>
      <c r="C156" s="21">
        <v>2025</v>
      </c>
      <c r="D156" s="20" t="s">
        <v>569</v>
      </c>
      <c r="E156" s="19" t="s">
        <v>647</v>
      </c>
      <c r="F156" s="19" t="s">
        <v>538</v>
      </c>
      <c r="G156" s="20" t="s">
        <v>539</v>
      </c>
      <c r="H156" s="20" t="s">
        <v>540</v>
      </c>
      <c r="I156" s="127">
        <v>0.5</v>
      </c>
      <c r="J156" s="145" t="str">
        <f>IF(OR(I156="",Settings!$B$6=""),"",IF(I156&gt;Settings!$B$6,"BUY",IF(I156&lt;-Settings!$B$6,"SELL","HOLD")))</f>
        <v>BUY</v>
      </c>
      <c r="K156" s="139">
        <v>23</v>
      </c>
      <c r="L156" s="123">
        <v>46064</v>
      </c>
      <c r="M156" s="123">
        <v>46063</v>
      </c>
      <c r="N156" s="127">
        <v>323.7</v>
      </c>
      <c r="O156" s="123">
        <v>46064</v>
      </c>
      <c r="P156" s="22">
        <v>321.76</v>
      </c>
      <c r="Q156" s="148">
        <f t="shared" si="22"/>
        <v>-6.0000000000000001E-3</v>
      </c>
      <c r="R156" s="20" t="str">
        <f>IF(OR(N156="",P156=""),"",IF(Q156&gt;Settings!$B$3/100,"UP",IF(Q156&lt;-Settings!$B$3/100,"DOWN","FLAT")))</f>
        <v>FLAT</v>
      </c>
      <c r="S156" s="20" t="str">
        <f t="shared" si="23"/>
        <v>NO</v>
      </c>
      <c r="T156" s="21">
        <f t="shared" si="24"/>
        <v>1</v>
      </c>
      <c r="U156" s="148">
        <f>IFERROR(IF(OR(J156="",N156="",P156=""),"",IF(T156=0,0,T156*Q156-Settings!$B$4/10000-IF(T156&lt;0,Settings!$B$5/10000,0))),"")</f>
        <v>-7.0000000000000001E-3</v>
      </c>
      <c r="V156" s="23"/>
      <c r="W156" s="21">
        <f t="shared" si="25"/>
        <v>1380</v>
      </c>
      <c r="X156" s="91" t="str">
        <f t="shared" si="26"/>
        <v>Hilton|2025|Q4</v>
      </c>
      <c r="Y156" s="91" t="str">
        <f>IFERROR(IF($X156="","",INDEX(LLM_Data_Entry!$H$3:$H$548,MATCH($X156,INDEX(LLM_Data_Entry!$A$3:$A$548&amp;"|"&amp;LLM_Data_Entry!$C$3:$C$548&amp;"|"&amp;LLM_Data_Entry!$D$3:$D$548,0),0))),"")</f>
        <v>BUY</v>
      </c>
      <c r="Z156" s="91" t="str">
        <f>IFERROR(IF($X156="","",INDEX(LLM_Data_Entry!$R$3:$R$548,MATCH($X156,INDEX(LLM_Data_Entry!$A$3:$A$548&amp;"|"&amp;LLM_Data_Entry!$C$3:$C$548&amp;"|"&amp;LLM_Data_Entry!$D$3:$D$548,0),0))),"")</f>
        <v>NO</v>
      </c>
      <c r="AB156" t="s">
        <v>612</v>
      </c>
      <c r="AC156" t="s">
        <v>1071</v>
      </c>
      <c r="AD156" t="s">
        <v>705</v>
      </c>
      <c r="AE156">
        <v>323.39690000000002</v>
      </c>
      <c r="AF156" t="s">
        <v>676</v>
      </c>
      <c r="AG156">
        <v>321.45870000000002</v>
      </c>
      <c r="AH156">
        <v>-5.9932213938734304E-3</v>
      </c>
      <c r="AI156" t="s">
        <v>579</v>
      </c>
      <c r="AJ156" t="s">
        <v>546</v>
      </c>
      <c r="AK156">
        <v>-6.9930000000000001E-3</v>
      </c>
      <c r="AL156" t="str">
        <f>IF($A156="","",IFERROR(INDEX(Company_List!$G$3:$G$207,MATCH($A156,Company_List!$A$3:$A$207,0)),"unassigned"))</f>
        <v>P2</v>
      </c>
      <c r="AM156" t="s">
        <v>1078</v>
      </c>
      <c r="AO156" t="s">
        <v>548</v>
      </c>
      <c r="AP156" t="str">
        <f>IF($A156="","",IF(COUNTIFS(LLM_Data_Entry!$A$3:$A$548,$A156)&gt;0,"YES","NO"))</f>
        <v>YES</v>
      </c>
      <c r="AQ156" t="str">
        <f>IF($A156="","",IF(COUNTIFS($A$3:$A156,$A156,$C$3:$C156,$C156,$D$3:$D156,$D156)=1,"YES","NO"))</f>
        <v>YES</v>
      </c>
      <c r="AR156" t="str">
        <f>IF($A156="","",IF(AND($C156&amp;"-"&amp;$D156&gt;=Settings!$B$19,$C156&amp;"-"&amp;$D156&lt;=Settings!$B$20),"IN","OUT"))</f>
        <v>IN</v>
      </c>
      <c r="AS156" t="str">
        <f t="shared" si="27"/>
        <v>transcript only</v>
      </c>
      <c r="AT156">
        <f t="shared" si="28"/>
        <v>-7.0000000000000001E-3</v>
      </c>
      <c r="AU156">
        <f t="shared" si="29"/>
        <v>-6.9930000000000001E-3</v>
      </c>
      <c r="AV156">
        <f>IF(ISNUMBER($AT156),ABS(IF(ISNUMBER($I156),$I156,0)-Settings!$B$24),"")</f>
        <v>0.5</v>
      </c>
      <c r="AW156">
        <f t="shared" si="30"/>
        <v>-3.5000000000000001E-3</v>
      </c>
      <c r="AX156">
        <f>IF(ISNUMBER($AU156),ABS(IF(ISNUMBER($I156),$I156,0)-Settings!$B$24),"")</f>
        <v>0.5</v>
      </c>
      <c r="AY156" t="s">
        <v>549</v>
      </c>
      <c r="AZ156" t="str">
        <f>IF($A156="","",IFERROR(INDEX(Company_List!$H$3:$H$207,MATCH($A156,Company_List!$A$3:$A$207,0)),"unassigned"))</f>
        <v>Consumer Discretionary</v>
      </c>
      <c r="BC156">
        <f>IF($A156="","",IF(COUNTIFS($A$3:$A156,$A156,$C$3:$C156,$C156,$D$3:$D156,$D156,$G$3:$G156,$G156)=1,1,0))</f>
        <v>1</v>
      </c>
      <c r="BG156" t="s">
        <v>550</v>
      </c>
      <c r="BK156">
        <f t="shared" si="31"/>
        <v>1</v>
      </c>
      <c r="BL156" t="s">
        <v>551</v>
      </c>
      <c r="BM156">
        <v>1</v>
      </c>
      <c r="BN156" t="s">
        <v>552</v>
      </c>
      <c r="BO156" t="s">
        <v>553</v>
      </c>
      <c r="BP156" t="s">
        <v>550</v>
      </c>
      <c r="BQ156" t="s">
        <v>550</v>
      </c>
      <c r="BS156" t="s">
        <v>554</v>
      </c>
    </row>
    <row r="157" spans="1:71" ht="16.25" customHeight="1" x14ac:dyDescent="0.2">
      <c r="A157" s="95" t="s">
        <v>1079</v>
      </c>
      <c r="B157" s="96" t="str">
        <f>IF(A157="","",_xlfn.XLOOKUP(A157, Company_List!$A:$A, Company_List!$B:$B, ""))</f>
        <v>MAR</v>
      </c>
      <c r="C157" s="21">
        <v>2025</v>
      </c>
      <c r="D157" s="20" t="s">
        <v>555</v>
      </c>
      <c r="E157" s="19" t="s">
        <v>647</v>
      </c>
      <c r="F157" s="19" t="s">
        <v>538</v>
      </c>
      <c r="G157" s="20" t="s">
        <v>539</v>
      </c>
      <c r="H157" s="20" t="s">
        <v>540</v>
      </c>
      <c r="I157" s="127">
        <v>0.2</v>
      </c>
      <c r="J157" s="145" t="str">
        <f>IF(OR(I157="",Settings!$B$6=""),"",IF(I157&gt;Settings!$B$6,"BUY",IF(I157&lt;-Settings!$B$6,"SELL","HOLD")))</f>
        <v>HOLD</v>
      </c>
      <c r="K157" s="139">
        <v>22</v>
      </c>
      <c r="L157" s="123">
        <v>45874</v>
      </c>
      <c r="M157" s="123">
        <v>45873</v>
      </c>
      <c r="N157" s="127">
        <v>259.13</v>
      </c>
      <c r="O157" s="123">
        <v>45874</v>
      </c>
      <c r="P157" s="22">
        <v>259.31</v>
      </c>
      <c r="Q157" s="148">
        <f t="shared" si="22"/>
        <v>6.9999999999999999E-4</v>
      </c>
      <c r="R157" s="20" t="str">
        <f>IF(OR(N157="",P157=""),"",IF(Q157&gt;Settings!$B$3/100,"UP",IF(Q157&lt;-Settings!$B$3/100,"DOWN","FLAT")))</f>
        <v>FLAT</v>
      </c>
      <c r="S157" s="20" t="str">
        <f t="shared" si="23"/>
        <v>YES</v>
      </c>
      <c r="T157" s="21">
        <f t="shared" si="24"/>
        <v>0</v>
      </c>
      <c r="U157" s="148">
        <f>IFERROR(IF(OR(J157="",N157="",P157=""),"",IF(T157=0,0,T157*Q157-Settings!$B$4/10000-IF(T157&lt;0,Settings!$B$5/10000,0))),"")</f>
        <v>0</v>
      </c>
      <c r="V157" s="23"/>
      <c r="W157" s="21">
        <f t="shared" si="25"/>
        <v>1320</v>
      </c>
      <c r="X157" s="91" t="str">
        <f t="shared" si="26"/>
        <v>Marriott|2025|Q2</v>
      </c>
      <c r="Y157" s="91" t="str">
        <f>IFERROR(IF($X157="","",INDEX(LLM_Data_Entry!$H$3:$H$548,MATCH($X157,INDEX(LLM_Data_Entry!$A$3:$A$548&amp;"|"&amp;LLM_Data_Entry!$C$3:$C$548&amp;"|"&amp;LLM_Data_Entry!$D$3:$D$548,0),0))),"")</f>
        <v>SELL</v>
      </c>
      <c r="Z157" s="91" t="str">
        <f>IFERROR(IF($X157="","",INDEX(LLM_Data_Entry!$R$3:$R$548,MATCH($X157,INDEX(LLM_Data_Entry!$A$3:$A$548&amp;"|"&amp;LLM_Data_Entry!$C$3:$C$548&amp;"|"&amp;LLM_Data_Entry!$D$3:$D$548,0),0))),"")</f>
        <v>NO</v>
      </c>
      <c r="AB157" t="s">
        <v>853</v>
      </c>
      <c r="AC157" t="s">
        <v>1080</v>
      </c>
      <c r="AD157" t="s">
        <v>981</v>
      </c>
      <c r="AE157">
        <v>256.85759999999999</v>
      </c>
      <c r="AF157" t="s">
        <v>641</v>
      </c>
      <c r="AG157">
        <v>257.036</v>
      </c>
      <c r="AH157">
        <v>6.9455011619251291E-4</v>
      </c>
      <c r="AI157" t="s">
        <v>579</v>
      </c>
      <c r="AJ157" t="s">
        <v>554</v>
      </c>
      <c r="AK157">
        <v>0</v>
      </c>
      <c r="AL157" t="str">
        <f>IF($A157="","",IFERROR(INDEX(Company_List!$G$3:$G$207,MATCH($A157,Company_List!$A$3:$A$207,0)),"unassigned"))</f>
        <v>P2</v>
      </c>
      <c r="AM157" t="s">
        <v>1081</v>
      </c>
      <c r="AO157" t="s">
        <v>548</v>
      </c>
      <c r="AP157" t="str">
        <f>IF($A157="","",IF(COUNTIFS(LLM_Data_Entry!$A$3:$A$548,$A157)&gt;0,"YES","NO"))</f>
        <v>YES</v>
      </c>
      <c r="AQ157" t="str">
        <f>IF($A157="","",IF(COUNTIFS($A$3:$A157,$A157,$C$3:$C157,$C157,$D$3:$D157,$D157)=1,"YES","NO"))</f>
        <v>YES</v>
      </c>
      <c r="AR157" t="str">
        <f>IF($A157="","",IF(AND($C157&amp;"-"&amp;$D157&gt;=Settings!$B$19,$C157&amp;"-"&amp;$D157&lt;=Settings!$B$20),"IN","OUT"))</f>
        <v>IN</v>
      </c>
      <c r="AS157" t="str">
        <f t="shared" si="27"/>
        <v>transcript only</v>
      </c>
      <c r="AT157" t="str">
        <f t="shared" si="28"/>
        <v/>
      </c>
      <c r="AU157" t="str">
        <f t="shared" si="29"/>
        <v/>
      </c>
      <c r="AV157" t="str">
        <f>IF(ISNUMBER($AT157),ABS(IF(ISNUMBER($I157),$I157,0)-Settings!$B$24),"")</f>
        <v/>
      </c>
      <c r="AW157" t="str">
        <f t="shared" si="30"/>
        <v/>
      </c>
      <c r="AX157" t="str">
        <f>IF(ISNUMBER($AU157),ABS(IF(ISNUMBER($I157),$I157,0)-Settings!$B$24),"")</f>
        <v/>
      </c>
      <c r="AY157" t="s">
        <v>549</v>
      </c>
      <c r="AZ157" t="str">
        <f>IF($A157="","",IFERROR(INDEX(Company_List!$H$3:$H$207,MATCH($A157,Company_List!$A$3:$A$207,0)),"unassigned"))</f>
        <v>Consumer Discretionary</v>
      </c>
      <c r="BC157">
        <f>IF($A157="","",IF(COUNTIFS($A$3:$A157,$A157,$C$3:$C157,$C157,$D$3:$D157,$D157,$G$3:$G157,$G157)=1,1,0))</f>
        <v>1</v>
      </c>
      <c r="BG157" t="s">
        <v>550</v>
      </c>
      <c r="BK157">
        <f t="shared" si="31"/>
        <v>0</v>
      </c>
      <c r="BL157" t="s">
        <v>551</v>
      </c>
      <c r="BM157">
        <v>1</v>
      </c>
      <c r="BN157" t="s">
        <v>561</v>
      </c>
      <c r="BO157" t="s">
        <v>561</v>
      </c>
      <c r="BP157" t="s">
        <v>550</v>
      </c>
      <c r="BQ157" t="s">
        <v>550</v>
      </c>
      <c r="BS157" t="s">
        <v>554</v>
      </c>
    </row>
    <row r="158" spans="1:71" ht="16.25" customHeight="1" x14ac:dyDescent="0.2">
      <c r="A158" s="95" t="s">
        <v>1079</v>
      </c>
      <c r="B158" s="96" t="str">
        <f>IF(A158="","",_xlfn.XLOOKUP(A158, Company_List!$A:$A, Company_List!$B:$B, ""))</f>
        <v>MAR</v>
      </c>
      <c r="C158" s="21">
        <v>2025</v>
      </c>
      <c r="D158" s="20" t="s">
        <v>563</v>
      </c>
      <c r="E158" s="19" t="s">
        <v>647</v>
      </c>
      <c r="F158" s="19" t="s">
        <v>538</v>
      </c>
      <c r="G158" s="20" t="s">
        <v>539</v>
      </c>
      <c r="H158" s="20" t="s">
        <v>540</v>
      </c>
      <c r="I158" s="127">
        <v>0.3</v>
      </c>
      <c r="J158" s="145" t="str">
        <f>IF(OR(I158="",Settings!$B$6=""),"",IF(I158&gt;Settings!$B$6,"BUY",IF(I158&lt;-Settings!$B$6,"SELL","HOLD")))</f>
        <v>BUY</v>
      </c>
      <c r="K158" s="139">
        <v>26</v>
      </c>
      <c r="L158" s="123">
        <v>45965</v>
      </c>
      <c r="M158" s="123">
        <v>45964</v>
      </c>
      <c r="N158" s="127">
        <v>263.89</v>
      </c>
      <c r="O158" s="123">
        <v>45965</v>
      </c>
      <c r="P158" s="22">
        <v>264.39999999999998</v>
      </c>
      <c r="Q158" s="148">
        <f t="shared" si="22"/>
        <v>1.9E-3</v>
      </c>
      <c r="R158" s="20" t="str">
        <f>IF(OR(N158="",P158=""),"",IF(Q158&gt;Settings!$B$3/100,"UP",IF(Q158&lt;-Settings!$B$3/100,"DOWN","FLAT")))</f>
        <v>FLAT</v>
      </c>
      <c r="S158" s="20" t="str">
        <f t="shared" si="23"/>
        <v>NO</v>
      </c>
      <c r="T158" s="21">
        <f t="shared" si="24"/>
        <v>1</v>
      </c>
      <c r="U158" s="148">
        <f>IFERROR(IF(OR(J158="",N158="",P158=""),"",IF(T158=0,0,T158*Q158-Settings!$B$4/10000-IF(T158&lt;0,Settings!$B$5/10000,0))),"")</f>
        <v>8.9999999999999998E-4</v>
      </c>
      <c r="V158" s="23"/>
      <c r="W158" s="21">
        <f t="shared" si="25"/>
        <v>1560</v>
      </c>
      <c r="X158" s="91" t="str">
        <f t="shared" si="26"/>
        <v>Marriott|2025|Q3</v>
      </c>
      <c r="Y158" s="91" t="str">
        <f>IFERROR(IF($X158="","",INDEX(LLM_Data_Entry!$H$3:$H$548,MATCH($X158,INDEX(LLM_Data_Entry!$A$3:$A$548&amp;"|"&amp;LLM_Data_Entry!$C$3:$C$548&amp;"|"&amp;LLM_Data_Entry!$D$3:$D$548,0),0))),"")</f>
        <v>HOLD</v>
      </c>
      <c r="Z158" s="91" t="str">
        <f>IFERROR(IF($X158="","",INDEX(LLM_Data_Entry!$R$3:$R$548,MATCH($X158,INDEX(LLM_Data_Entry!$A$3:$A$548&amp;"|"&amp;LLM_Data_Entry!$C$3:$C$548&amp;"|"&amp;LLM_Data_Entry!$D$3:$D$548,0),0))),"")</f>
        <v>YES</v>
      </c>
      <c r="AB158" t="s">
        <v>748</v>
      </c>
      <c r="AC158" t="s">
        <v>1080</v>
      </c>
      <c r="AD158" t="s">
        <v>1031</v>
      </c>
      <c r="AE158">
        <v>270.54039999999998</v>
      </c>
      <c r="AF158" t="s">
        <v>872</v>
      </c>
      <c r="AG158">
        <v>272.041</v>
      </c>
      <c r="AH158">
        <v>5.5466686346326427E-3</v>
      </c>
      <c r="AI158" t="s">
        <v>579</v>
      </c>
      <c r="AJ158" t="s">
        <v>546</v>
      </c>
      <c r="AK158">
        <v>4.5469999999999998E-3</v>
      </c>
      <c r="AL158" t="str">
        <f>IF($A158="","",IFERROR(INDEX(Company_List!$G$3:$G$207,MATCH($A158,Company_List!$A$3:$A$207,0)),"unassigned"))</f>
        <v>P2</v>
      </c>
      <c r="AM158" t="s">
        <v>1082</v>
      </c>
      <c r="AO158" t="s">
        <v>548</v>
      </c>
      <c r="AP158" t="str">
        <f>IF($A158="","",IF(COUNTIFS(LLM_Data_Entry!$A$3:$A$548,$A158)&gt;0,"YES","NO"))</f>
        <v>YES</v>
      </c>
      <c r="AQ158" t="str">
        <f>IF($A158="","",IF(COUNTIFS($A$3:$A158,$A158,$C$3:$C158,$C158,$D$3:$D158,$D158)=1,"YES","NO"))</f>
        <v>YES</v>
      </c>
      <c r="AR158" t="str">
        <f>IF($A158="","",IF(AND($C158&amp;"-"&amp;$D158&gt;=Settings!$B$19,$C158&amp;"-"&amp;$D158&lt;=Settings!$B$20),"IN","OUT"))</f>
        <v>IN</v>
      </c>
      <c r="AS158" t="str">
        <f t="shared" si="27"/>
        <v>transcript only</v>
      </c>
      <c r="AT158">
        <f t="shared" si="28"/>
        <v>8.9999999999999998E-4</v>
      </c>
      <c r="AU158">
        <f t="shared" si="29"/>
        <v>4.5469999999999998E-3</v>
      </c>
      <c r="AV158">
        <f>IF(ISNUMBER($AT158),ABS(IF(ISNUMBER($I158),$I158,0)-Settings!$B$24),"")</f>
        <v>0.3</v>
      </c>
      <c r="AW158">
        <f t="shared" si="30"/>
        <v>2.7E-4</v>
      </c>
      <c r="AX158">
        <f>IF(ISNUMBER($AU158),ABS(IF(ISNUMBER($I158),$I158,0)-Settings!$B$24),"")</f>
        <v>0.3</v>
      </c>
      <c r="AY158" t="s">
        <v>549</v>
      </c>
      <c r="AZ158" t="str">
        <f>IF($A158="","",IFERROR(INDEX(Company_List!$H$3:$H$207,MATCH($A158,Company_List!$A$3:$A$207,0)),"unassigned"))</f>
        <v>Consumer Discretionary</v>
      </c>
      <c r="BC158">
        <f>IF($A158="","",IF(COUNTIFS($A$3:$A158,$A158,$C$3:$C158,$C158,$D$3:$D158,$D158,$G$3:$G158,$G158)=1,1,0))</f>
        <v>1</v>
      </c>
      <c r="BG158" t="s">
        <v>550</v>
      </c>
      <c r="BK158">
        <f t="shared" si="31"/>
        <v>0</v>
      </c>
      <c r="BL158" t="s">
        <v>551</v>
      </c>
      <c r="BM158">
        <v>1</v>
      </c>
      <c r="BN158" t="s">
        <v>561</v>
      </c>
      <c r="BO158" t="s">
        <v>561</v>
      </c>
      <c r="BP158" t="s">
        <v>550</v>
      </c>
      <c r="BQ158" t="s">
        <v>550</v>
      </c>
      <c r="BS158" t="s">
        <v>554</v>
      </c>
    </row>
    <row r="159" spans="1:71" ht="16.25" customHeight="1" x14ac:dyDescent="0.2">
      <c r="A159" s="95" t="s">
        <v>1079</v>
      </c>
      <c r="B159" s="96" t="str">
        <f>IF(A159="","",_xlfn.XLOOKUP(A159, Company_List!$A:$A, Company_List!$B:$B, ""))</f>
        <v>MAR</v>
      </c>
      <c r="C159" s="21">
        <v>2025</v>
      </c>
      <c r="D159" s="20" t="s">
        <v>569</v>
      </c>
      <c r="E159" s="19" t="s">
        <v>647</v>
      </c>
      <c r="F159" s="19" t="s">
        <v>538</v>
      </c>
      <c r="G159" s="20" t="s">
        <v>539</v>
      </c>
      <c r="H159" s="20" t="s">
        <v>540</v>
      </c>
      <c r="I159" s="127">
        <v>-0.4</v>
      </c>
      <c r="J159" s="145" t="str">
        <f>IF(OR(I159="",Settings!$B$6=""),"",IF(I159&gt;Settings!$B$6,"BUY",IF(I159&lt;-Settings!$B$6,"SELL","HOLD")))</f>
        <v>SELL</v>
      </c>
      <c r="K159" s="139">
        <v>27</v>
      </c>
      <c r="L159" s="123">
        <v>46063</v>
      </c>
      <c r="M159" s="123">
        <v>46062</v>
      </c>
      <c r="N159" s="127">
        <v>331.21</v>
      </c>
      <c r="O159" s="123">
        <v>46063</v>
      </c>
      <c r="P159" s="22">
        <v>349.91</v>
      </c>
      <c r="Q159" s="148">
        <f t="shared" si="22"/>
        <v>5.6500000000000002E-2</v>
      </c>
      <c r="R159" s="20" t="str">
        <f>IF(OR(N159="",P159=""),"",IF(Q159&gt;Settings!$B$3/100,"UP",IF(Q159&lt;-Settings!$B$3/100,"DOWN","FLAT")))</f>
        <v>UP</v>
      </c>
      <c r="S159" s="20" t="str">
        <f t="shared" si="23"/>
        <v>NO</v>
      </c>
      <c r="T159" s="21">
        <f t="shared" si="24"/>
        <v>-1</v>
      </c>
      <c r="U159" s="148">
        <f>IFERROR(IF(OR(J159="",N159="",P159=""),"",IF(T159=0,0,T159*Q159-Settings!$B$4/10000-IF(T159&lt;0,Settings!$B$5/10000,0))),"")</f>
        <v>-5.7500000000000002E-2</v>
      </c>
      <c r="V159" s="23"/>
      <c r="W159" s="21">
        <f t="shared" si="25"/>
        <v>1620</v>
      </c>
      <c r="X159" s="91" t="str">
        <f t="shared" si="26"/>
        <v>Marriott|2025|Q4</v>
      </c>
      <c r="Y159" s="91" t="str">
        <f>IFERROR(IF($X159="","",INDEX(LLM_Data_Entry!$H$3:$H$548,MATCH($X159,INDEX(LLM_Data_Entry!$A$3:$A$548&amp;"|"&amp;LLM_Data_Entry!$C$3:$C$548&amp;"|"&amp;LLM_Data_Entry!$D$3:$D$548,0),0))),"")</f>
        <v>BUY</v>
      </c>
      <c r="Z159" s="91" t="str">
        <f>IFERROR(IF($X159="","",INDEX(LLM_Data_Entry!$R$3:$R$548,MATCH($X159,INDEX(LLM_Data_Entry!$A$3:$A$548&amp;"|"&amp;LLM_Data_Entry!$C$3:$C$548&amp;"|"&amp;LLM_Data_Entry!$D$3:$D$548,0),0))),"")</f>
        <v>YES</v>
      </c>
      <c r="AB159" t="s">
        <v>630</v>
      </c>
      <c r="AC159" t="s">
        <v>1080</v>
      </c>
      <c r="AD159" t="s">
        <v>704</v>
      </c>
      <c r="AE159">
        <v>329.92009999999999</v>
      </c>
      <c r="AF159" t="s">
        <v>705</v>
      </c>
      <c r="AG159">
        <v>348.54730000000001</v>
      </c>
      <c r="AH159">
        <v>5.6459700433153903E-2</v>
      </c>
      <c r="AI159" t="s">
        <v>591</v>
      </c>
      <c r="AJ159" t="s">
        <v>546</v>
      </c>
      <c r="AK159">
        <v>-5.7459999999999997E-2</v>
      </c>
      <c r="AL159" t="str">
        <f>IF($A159="","",IFERROR(INDEX(Company_List!$G$3:$G$207,MATCH($A159,Company_List!$A$3:$A$207,0)),"unassigned"))</f>
        <v>P2</v>
      </c>
      <c r="AM159" t="s">
        <v>1083</v>
      </c>
      <c r="AN159" t="s">
        <v>1084</v>
      </c>
      <c r="AO159" t="s">
        <v>560</v>
      </c>
      <c r="AP159" t="str">
        <f>IF($A159="","",IF(COUNTIFS(LLM_Data_Entry!$A$3:$A$548,$A159)&gt;0,"YES","NO"))</f>
        <v>YES</v>
      </c>
      <c r="AQ159" t="str">
        <f>IF($A159="","",IF(COUNTIFS($A$3:$A159,$A159,$C$3:$C159,$C159,$D$3:$D159,$D159)=1,"YES","NO"))</f>
        <v>YES</v>
      </c>
      <c r="AR159" t="str">
        <f>IF($A159="","",IF(AND($C159&amp;"-"&amp;$D159&gt;=Settings!$B$19,$C159&amp;"-"&amp;$D159&lt;=Settings!$B$20),"IN","OUT"))</f>
        <v>IN</v>
      </c>
      <c r="AS159" t="str">
        <f t="shared" si="27"/>
        <v>transcript only</v>
      </c>
      <c r="AT159">
        <f t="shared" si="28"/>
        <v>-5.7500000000000002E-2</v>
      </c>
      <c r="AU159">
        <f t="shared" si="29"/>
        <v>-5.7459999999999997E-2</v>
      </c>
      <c r="AV159">
        <f>IF(ISNUMBER($AT159),ABS(IF(ISNUMBER($I159),$I159,0)-Settings!$B$24),"")</f>
        <v>0.4</v>
      </c>
      <c r="AW159">
        <f t="shared" si="30"/>
        <v>-2.3000000000000003E-2</v>
      </c>
      <c r="AX159">
        <f>IF(ISNUMBER($AU159),ABS(IF(ISNUMBER($I159),$I159,0)-Settings!$B$24),"")</f>
        <v>0.4</v>
      </c>
      <c r="AY159" t="s">
        <v>549</v>
      </c>
      <c r="AZ159" t="str">
        <f>IF($A159="","",IFERROR(INDEX(Company_List!$H$3:$H$207,MATCH($A159,Company_List!$A$3:$A$207,0)),"unassigned"))</f>
        <v>Consumer Discretionary</v>
      </c>
      <c r="BC159">
        <f>IF($A159="","",IF(COUNTIFS($A$3:$A159,$A159,$C$3:$C159,$C159,$D$3:$D159,$D159,$G$3:$G159,$G159)=1,1,0))</f>
        <v>1</v>
      </c>
      <c r="BG159" t="s">
        <v>550</v>
      </c>
      <c r="BK159">
        <f t="shared" si="31"/>
        <v>0</v>
      </c>
      <c r="BL159" t="s">
        <v>551</v>
      </c>
      <c r="BM159">
        <v>1</v>
      </c>
      <c r="BN159" t="s">
        <v>595</v>
      </c>
      <c r="BO159" t="s">
        <v>596</v>
      </c>
      <c r="BP159" t="s">
        <v>550</v>
      </c>
      <c r="BQ159" t="s">
        <v>562</v>
      </c>
      <c r="BS159" t="s">
        <v>554</v>
      </c>
    </row>
    <row r="160" spans="1:71" ht="16.25" customHeight="1" x14ac:dyDescent="0.2">
      <c r="A160" s="95" t="s">
        <v>1079</v>
      </c>
      <c r="B160" s="96" t="str">
        <f>IF(A160="","",_xlfn.XLOOKUP(A160, Company_List!$A:$A, Company_List!$B:$B, ""))</f>
        <v>MAR</v>
      </c>
      <c r="C160" s="21">
        <v>2026</v>
      </c>
      <c r="D160" s="20" t="s">
        <v>537</v>
      </c>
      <c r="E160" s="19" t="s">
        <v>647</v>
      </c>
      <c r="F160" s="19" t="s">
        <v>538</v>
      </c>
      <c r="G160" s="20" t="s">
        <v>539</v>
      </c>
      <c r="H160" s="20" t="s">
        <v>540</v>
      </c>
      <c r="I160" s="127">
        <v>0.2</v>
      </c>
      <c r="J160" s="145" t="str">
        <f>IF(OR(I160="",Settings!$B$6=""),"",IF(I160&gt;Settings!$B$6,"BUY",IF(I160&lt;-Settings!$B$6,"SELL","HOLD")))</f>
        <v>HOLD</v>
      </c>
      <c r="K160" s="139">
        <v>29</v>
      </c>
      <c r="L160" s="123">
        <v>46148</v>
      </c>
      <c r="M160" s="123">
        <v>46147</v>
      </c>
      <c r="N160" s="127">
        <v>354.52</v>
      </c>
      <c r="O160" s="123">
        <v>46148</v>
      </c>
      <c r="P160" s="22">
        <v>363.87</v>
      </c>
      <c r="Q160" s="148">
        <f t="shared" si="22"/>
        <v>2.64E-2</v>
      </c>
      <c r="R160" s="20" t="str">
        <f>IF(OR(N160="",P160=""),"",IF(Q160&gt;Settings!$B$3/100,"UP",IF(Q160&lt;-Settings!$B$3/100,"DOWN","FLAT")))</f>
        <v>UP</v>
      </c>
      <c r="S160" s="20" t="str">
        <f t="shared" si="23"/>
        <v>NO</v>
      </c>
      <c r="T160" s="21">
        <f t="shared" si="24"/>
        <v>0</v>
      </c>
      <c r="U160" s="148">
        <f>IFERROR(IF(OR(J160="",N160="",P160=""),"",IF(T160=0,0,T160*Q160-Settings!$B$4/10000-IF(T160&lt;0,Settings!$B$5/10000,0))),"")</f>
        <v>0</v>
      </c>
      <c r="V160" s="23"/>
      <c r="W160" s="21">
        <f t="shared" si="25"/>
        <v>1740</v>
      </c>
      <c r="X160" s="91" t="str">
        <f t="shared" si="26"/>
        <v>Marriott|2026|Q1</v>
      </c>
      <c r="Y160" s="91" t="str">
        <f>IFERROR(IF($X160="","",INDEX(LLM_Data_Entry!$H$3:$H$548,MATCH($X160,INDEX(LLM_Data_Entry!$A$3:$A$548&amp;"|"&amp;LLM_Data_Entry!$C$3:$C$548&amp;"|"&amp;LLM_Data_Entry!$D$3:$D$548,0),0))),"")</f>
        <v>HOLD</v>
      </c>
      <c r="Z160" s="91" t="str">
        <f>IFERROR(IF($X160="","",INDEX(LLM_Data_Entry!$R$3:$R$548,MATCH($X160,INDEX(LLM_Data_Entry!$A$3:$A$548&amp;"|"&amp;LLM_Data_Entry!$C$3:$C$548&amp;"|"&amp;LLM_Data_Entry!$D$3:$D$548,0),0))),"")</f>
        <v>NO</v>
      </c>
      <c r="AB160" t="s">
        <v>748</v>
      </c>
      <c r="AC160" t="s">
        <v>1080</v>
      </c>
      <c r="AD160" t="s">
        <v>731</v>
      </c>
      <c r="AE160">
        <v>353.82159999999999</v>
      </c>
      <c r="AF160" t="s">
        <v>680</v>
      </c>
      <c r="AG160">
        <v>363.15320000000003</v>
      </c>
      <c r="AH160">
        <v>2.637371097224022E-2</v>
      </c>
      <c r="AI160" t="s">
        <v>591</v>
      </c>
      <c r="AJ160" t="s">
        <v>546</v>
      </c>
      <c r="AK160">
        <v>0</v>
      </c>
      <c r="AL160" t="str">
        <f>IF($A160="","",IFERROR(INDEX(Company_List!$G$3:$G$207,MATCH($A160,Company_List!$A$3:$A$207,0)),"unassigned"))</f>
        <v>P2</v>
      </c>
      <c r="AM160" t="s">
        <v>1085</v>
      </c>
      <c r="AO160" t="s">
        <v>548</v>
      </c>
      <c r="AP160" t="str">
        <f>IF($A160="","",IF(COUNTIFS(LLM_Data_Entry!$A$3:$A$548,$A160)&gt;0,"YES","NO"))</f>
        <v>YES</v>
      </c>
      <c r="AQ160" t="str">
        <f>IF($A160="","",IF(COUNTIFS($A$3:$A160,$A160,$C$3:$C160,$C160,$D$3:$D160,$D160)=1,"YES","NO"))</f>
        <v>YES</v>
      </c>
      <c r="AR160" t="str">
        <f>IF($A160="","",IF(AND($C160&amp;"-"&amp;$D160&gt;=Settings!$B$19,$C160&amp;"-"&amp;$D160&lt;=Settings!$B$20),"IN","OUT"))</f>
        <v>IN</v>
      </c>
      <c r="AS160" t="str">
        <f t="shared" si="27"/>
        <v>transcript only</v>
      </c>
      <c r="AT160" t="str">
        <f t="shared" si="28"/>
        <v/>
      </c>
      <c r="AU160" t="str">
        <f t="shared" si="29"/>
        <v/>
      </c>
      <c r="AV160" t="str">
        <f>IF(ISNUMBER($AT160),ABS(IF(ISNUMBER($I160),$I160,0)-Settings!$B$24),"")</f>
        <v/>
      </c>
      <c r="AW160" t="str">
        <f t="shared" si="30"/>
        <v/>
      </c>
      <c r="AX160" t="str">
        <f>IF(ISNUMBER($AU160),ABS(IF(ISNUMBER($I160),$I160,0)-Settings!$B$24),"")</f>
        <v/>
      </c>
      <c r="AY160" t="s">
        <v>549</v>
      </c>
      <c r="AZ160" t="str">
        <f>IF($A160="","",IFERROR(INDEX(Company_List!$H$3:$H$207,MATCH($A160,Company_List!$A$3:$A$207,0)),"unassigned"))</f>
        <v>Consumer Discretionary</v>
      </c>
      <c r="BC160">
        <f>IF($A160="","",IF(COUNTIFS($A$3:$A160,$A160,$C$3:$C160,$C160,$D$3:$D160,$D160,$G$3:$G160,$G160)=1,1,0))</f>
        <v>1</v>
      </c>
      <c r="BG160" t="s">
        <v>550</v>
      </c>
      <c r="BK160">
        <f t="shared" si="31"/>
        <v>1</v>
      </c>
      <c r="BL160" t="s">
        <v>551</v>
      </c>
      <c r="BM160">
        <v>1</v>
      </c>
      <c r="BN160" t="s">
        <v>561</v>
      </c>
      <c r="BO160" t="s">
        <v>561</v>
      </c>
      <c r="BP160" t="s">
        <v>550</v>
      </c>
      <c r="BQ160" t="s">
        <v>550</v>
      </c>
      <c r="BS160" t="s">
        <v>554</v>
      </c>
    </row>
    <row r="161" spans="1:72" ht="16.25" customHeight="1" x14ac:dyDescent="0.2">
      <c r="A161" s="100" t="s">
        <v>782</v>
      </c>
      <c r="B161" s="96" t="str">
        <f>IF(A161="","",_xlfn.XLOOKUP(A161, Company_List!$A:$A, Company_List!$B:$B, ""))</f>
        <v>TGT</v>
      </c>
      <c r="C161" s="21">
        <v>2025</v>
      </c>
      <c r="D161" s="20" t="s">
        <v>537</v>
      </c>
      <c r="E161" s="19" t="s">
        <v>647</v>
      </c>
      <c r="F161" s="19" t="s">
        <v>1086</v>
      </c>
      <c r="G161" s="20" t="s">
        <v>712</v>
      </c>
      <c r="H161" s="20" t="s">
        <v>540</v>
      </c>
      <c r="I161" s="127">
        <v>-0.7</v>
      </c>
      <c r="J161" s="145" t="str">
        <f>IF(OR(I161="",Settings!$B$6=""),"",IF(I161&gt;Settings!$B$6,"BUY",IF(I161&lt;-Settings!$B$6,"SELL","HOLD")))</f>
        <v>SELL</v>
      </c>
      <c r="K161" s="139">
        <v>15</v>
      </c>
      <c r="L161" s="123">
        <v>45798</v>
      </c>
      <c r="M161" s="123">
        <v>45797</v>
      </c>
      <c r="N161" s="127">
        <v>98.12</v>
      </c>
      <c r="O161" s="123">
        <v>45798</v>
      </c>
      <c r="P161" s="22">
        <v>91.5</v>
      </c>
      <c r="Q161" s="148">
        <f t="shared" si="22"/>
        <v>-6.7500000000000004E-2</v>
      </c>
      <c r="R161" s="20" t="str">
        <f>IF(OR(N161="",P161=""),"",IF(Q161&gt;Settings!$B$3/100,"UP",IF(Q161&lt;-Settings!$B$3/100,"DOWN","FLAT")))</f>
        <v>DOWN</v>
      </c>
      <c r="S161" s="20" t="str">
        <f t="shared" si="23"/>
        <v>YES</v>
      </c>
      <c r="T161" s="21">
        <f t="shared" si="24"/>
        <v>-1</v>
      </c>
      <c r="U161" s="148">
        <f>IFERROR(IF(OR(J161="",N161="",P161=""),"",IF(T161=0,0,T161*Q161-Settings!$B$4/10000-IF(T161&lt;0,Settings!$B$5/10000,0))),"")</f>
        <v>6.6500000000000004E-2</v>
      </c>
      <c r="V161" s="23"/>
      <c r="W161" s="21">
        <f t="shared" si="25"/>
        <v>900</v>
      </c>
      <c r="X161" s="91" t="str">
        <f t="shared" si="26"/>
        <v>Target|2025|Q1</v>
      </c>
      <c r="Y161" s="91" t="str">
        <f>IFERROR(IF($X161="","",INDEX(LLM_Data_Entry!$H$3:$H$548,MATCH($X161,INDEX(LLM_Data_Entry!$A$3:$A$548&amp;"|"&amp;LLM_Data_Entry!$C$3:$C$548&amp;"|"&amp;LLM_Data_Entry!$D$3:$D$548,0),0))),"")</f>
        <v>SELL</v>
      </c>
      <c r="Z161" s="91" t="str">
        <f>IFERROR(IF($X161="","",INDEX(LLM_Data_Entry!$R$3:$R$548,MATCH($X161,INDEX(LLM_Data_Entry!$A$3:$A$548&amp;"|"&amp;LLM_Data_Entry!$C$3:$C$548&amp;"|"&amp;LLM_Data_Entry!$D$3:$D$548,0),0))),"")</f>
        <v>YES</v>
      </c>
      <c r="AB161" t="s">
        <v>636</v>
      </c>
      <c r="AC161" t="s">
        <v>783</v>
      </c>
      <c r="AD161" t="s">
        <v>789</v>
      </c>
      <c r="AE161">
        <v>94.005700000000004</v>
      </c>
      <c r="AF161" t="s">
        <v>790</v>
      </c>
      <c r="AG161">
        <v>87.663300000000007</v>
      </c>
      <c r="AH161">
        <v>-6.7468380494081895E-2</v>
      </c>
      <c r="AI161" t="s">
        <v>545</v>
      </c>
      <c r="AJ161" t="s">
        <v>554</v>
      </c>
      <c r="AK161">
        <v>6.6467999999999999E-2</v>
      </c>
      <c r="AL161" t="str">
        <f>IF($A161="","",IFERROR(INDEX(Company_List!$G$3:$G$207,MATCH($A161,Company_List!$A$3:$A$207,0)),"unassigned"))</f>
        <v>both</v>
      </c>
      <c r="AM161" t="s">
        <v>791</v>
      </c>
      <c r="AN161" t="s">
        <v>792</v>
      </c>
      <c r="AO161" t="s">
        <v>560</v>
      </c>
      <c r="AP161" t="str">
        <f>IF($A161="","",IF(COUNTIFS(LLM_Data_Entry!$A$3:$A$548,$A161)&gt;0,"YES","NO"))</f>
        <v>YES</v>
      </c>
      <c r="AQ161" t="str">
        <f>IF($A161="","",IF(COUNTIFS($A$3:$A161,$A161,$C$3:$C161,$C161,$D$3:$D161,$D161)=1,"YES","NO"))</f>
        <v>NO</v>
      </c>
      <c r="AR161" t="str">
        <f>IF($A161="","",IF(AND($C161&amp;"-"&amp;$D161&gt;=Settings!$B$19,$C161&amp;"-"&amp;$D161&lt;=Settings!$B$20),"IN","OUT"))</f>
        <v>IN</v>
      </c>
      <c r="AS161" t="str">
        <f t="shared" si="27"/>
        <v>financials</v>
      </c>
      <c r="AT161">
        <f t="shared" si="28"/>
        <v>6.6500000000000004E-2</v>
      </c>
      <c r="AU161">
        <f t="shared" si="29"/>
        <v>6.6467999999999999E-2</v>
      </c>
      <c r="AV161">
        <f>IF(ISNUMBER($AT161),ABS(IF(ISNUMBER($I161),$I161,0)-Settings!$B$24),"")</f>
        <v>0.7</v>
      </c>
      <c r="AW161">
        <f t="shared" si="30"/>
        <v>4.6550000000000001E-2</v>
      </c>
      <c r="AX161">
        <f>IF(ISNUMBER($AU161),ABS(IF(ISNUMBER($I161),$I161,0)-Settings!$B$24),"")</f>
        <v>0.7</v>
      </c>
      <c r="AY161" t="s">
        <v>549</v>
      </c>
      <c r="AZ161" t="str">
        <f>IF($A161="","",IFERROR(INDEX(Company_List!$H$3:$H$207,MATCH($A161,Company_List!$A$3:$A$207,0)),"unassigned"))</f>
        <v>Consumer Staples</v>
      </c>
      <c r="BC161">
        <f>IF($A161="","",IF(COUNTIFS($A$3:$A161,$A161,$C$3:$C161,$C161,$D$3:$D161,$D161,$G$3:$G161,$G161)=1,1,0))</f>
        <v>1</v>
      </c>
      <c r="BG161" t="s">
        <v>550</v>
      </c>
      <c r="BK161">
        <f t="shared" si="31"/>
        <v>1</v>
      </c>
      <c r="BL161" t="s">
        <v>551</v>
      </c>
      <c r="BM161">
        <v>1</v>
      </c>
      <c r="BN161" t="s">
        <v>788</v>
      </c>
      <c r="BO161" t="s">
        <v>553</v>
      </c>
      <c r="BP161" t="s">
        <v>550</v>
      </c>
      <c r="BQ161" t="s">
        <v>562</v>
      </c>
      <c r="BS161" t="s">
        <v>554</v>
      </c>
    </row>
    <row r="162" spans="1:72" x14ac:dyDescent="0.2">
      <c r="A162" s="100" t="s">
        <v>782</v>
      </c>
      <c r="B162" s="96" t="str">
        <f>IF(A162="","",_xlfn.XLOOKUP(A162, Company_List!$A:$A, Company_List!$B:$B, ""))</f>
        <v>TGT</v>
      </c>
      <c r="C162" s="21">
        <v>2025</v>
      </c>
      <c r="D162" s="20" t="s">
        <v>555</v>
      </c>
      <c r="E162" s="19" t="s">
        <v>647</v>
      </c>
      <c r="F162" s="19" t="s">
        <v>1086</v>
      </c>
      <c r="G162" s="20" t="s">
        <v>712</v>
      </c>
      <c r="H162" s="20" t="s">
        <v>540</v>
      </c>
      <c r="I162" s="138">
        <v>-0.3</v>
      </c>
      <c r="J162" s="145" t="str">
        <f>IF(OR(I162="",Settings!$B$6=""),"",IF(I162&gt;Settings!$B$6,"BUY",IF(I162&lt;-Settings!$B$6,"SELL","HOLD")))</f>
        <v>SELL</v>
      </c>
      <c r="K162" s="145">
        <v>17</v>
      </c>
      <c r="L162" s="123">
        <v>45889</v>
      </c>
      <c r="M162" s="124">
        <v>45888</v>
      </c>
      <c r="N162" s="147">
        <v>105.36</v>
      </c>
      <c r="O162" s="124">
        <v>45889</v>
      </c>
      <c r="P162" s="145">
        <v>94.41</v>
      </c>
      <c r="Q162" s="148">
        <f t="shared" si="22"/>
        <v>-0.10390000000000001</v>
      </c>
      <c r="R162" s="20" t="str">
        <f>IF(OR(N162="",P162=""),"",IF(Q162&gt;Settings!$B$3/100,"UP",IF(Q162&lt;-Settings!$B$3/100,"DOWN","FLAT")))</f>
        <v>DOWN</v>
      </c>
      <c r="S162" s="20" t="str">
        <f t="shared" si="23"/>
        <v>YES</v>
      </c>
      <c r="T162" s="21">
        <f t="shared" si="24"/>
        <v>-1</v>
      </c>
      <c r="U162" s="148">
        <f>IFERROR(IF(OR(J162="",N162="",P162=""),"",IF(T162=0,0,T162*Q162-Settings!$B$4/10000-IF(T162&lt;0,Settings!$B$5/10000,0))),"")</f>
        <v>0.10290000000000001</v>
      </c>
      <c r="W162" s="21">
        <f t="shared" si="25"/>
        <v>1020</v>
      </c>
      <c r="X162" s="91" t="str">
        <f t="shared" si="26"/>
        <v>Target|2025|Q2</v>
      </c>
      <c r="Y162" s="91" t="str">
        <f>IFERROR(IF($X162="","",INDEX(LLM_Data_Entry!$H$3:$H$548,MATCH($X162,INDEX(LLM_Data_Entry!$A$3:$A$548&amp;"|"&amp;LLM_Data_Entry!$C$3:$C$548&amp;"|"&amp;LLM_Data_Entry!$D$3:$D$548,0),0))),"")</f>
        <v>HOLD</v>
      </c>
      <c r="Z162" s="91" t="str">
        <f>IFERROR(IF($X162="","",INDEX(LLM_Data_Entry!$R$3:$R$548,MATCH($X162,INDEX(LLM_Data_Entry!$A$3:$A$548&amp;"|"&amp;LLM_Data_Entry!$C$3:$C$548&amp;"|"&amp;LLM_Data_Entry!$D$3:$D$548,0),0))),"")</f>
        <v>NO</v>
      </c>
      <c r="AB162" t="s">
        <v>636</v>
      </c>
      <c r="AC162" t="s">
        <v>783</v>
      </c>
      <c r="AD162" t="s">
        <v>784</v>
      </c>
      <c r="AE162">
        <v>102.0369</v>
      </c>
      <c r="AF162" t="s">
        <v>785</v>
      </c>
      <c r="AG162">
        <v>91.432199999999995</v>
      </c>
      <c r="AH162">
        <v>-0.1039292512694035</v>
      </c>
      <c r="AI162" t="s">
        <v>545</v>
      </c>
      <c r="AJ162" t="s">
        <v>554</v>
      </c>
      <c r="AK162">
        <v>0.10292900000000001</v>
      </c>
      <c r="AL162" t="str">
        <f>IF($A162="","",IFERROR(INDEX(Company_List!$G$3:$G$207,MATCH($A162,Company_List!$A$3:$A$207,0)),"unassigned"))</f>
        <v>both</v>
      </c>
      <c r="AM162" t="s">
        <v>786</v>
      </c>
      <c r="AN162" t="s">
        <v>787</v>
      </c>
      <c r="AO162" t="s">
        <v>560</v>
      </c>
      <c r="AP162" t="str">
        <f>IF($A162="","",IF(COUNTIFS(LLM_Data_Entry!$A$3:$A$548,$A162)&gt;0,"YES","NO"))</f>
        <v>YES</v>
      </c>
      <c r="AQ162" t="str">
        <f>IF($A162="","",IF(COUNTIFS($A$3:$A162,$A162,$C$3:$C162,$C162,$D$3:$D162,$D162)=1,"YES","NO"))</f>
        <v>NO</v>
      </c>
      <c r="AR162" t="str">
        <f>IF($A162="","",IF(AND($C162&amp;"-"&amp;$D162&gt;=Settings!$B$19,$C162&amp;"-"&amp;$D162&lt;=Settings!$B$20),"IN","OUT"))</f>
        <v>IN</v>
      </c>
      <c r="AS162" t="str">
        <f t="shared" si="27"/>
        <v>financials</v>
      </c>
      <c r="AT162">
        <f t="shared" si="28"/>
        <v>0.10290000000000001</v>
      </c>
      <c r="AU162">
        <f t="shared" si="29"/>
        <v>0.10292900000000001</v>
      </c>
      <c r="AV162">
        <f>IF(ISNUMBER($AT162),ABS(IF(ISNUMBER($I162),$I162,0)-Settings!$B$24),"")</f>
        <v>0.3</v>
      </c>
      <c r="AW162">
        <f t="shared" si="30"/>
        <v>3.0870000000000002E-2</v>
      </c>
      <c r="AX162">
        <f>IF(ISNUMBER($AU162),ABS(IF(ISNUMBER($I162),$I162,0)-Settings!$B$24),"")</f>
        <v>0.3</v>
      </c>
      <c r="AY162" t="s">
        <v>549</v>
      </c>
      <c r="AZ162" t="str">
        <f>IF($A162="","",IFERROR(INDEX(Company_List!$H$3:$H$207,MATCH($A162,Company_List!$A$3:$A$207,0)),"unassigned"))</f>
        <v>Consumer Staples</v>
      </c>
      <c r="BC162">
        <f>IF($A162="","",IF(COUNTIFS($A$3:$A162,$A162,$C$3:$C162,$C162,$D$3:$D162,$D162,$G$3:$G162,$G162)=1,1,0))</f>
        <v>1</v>
      </c>
      <c r="BG162" t="s">
        <v>550</v>
      </c>
      <c r="BK162">
        <f t="shared" si="31"/>
        <v>0</v>
      </c>
      <c r="BL162" t="s">
        <v>551</v>
      </c>
      <c r="BM162">
        <v>1</v>
      </c>
      <c r="BN162" t="s">
        <v>788</v>
      </c>
      <c r="BO162" t="s">
        <v>553</v>
      </c>
      <c r="BP162" t="s">
        <v>550</v>
      </c>
      <c r="BQ162" t="s">
        <v>562</v>
      </c>
      <c r="BS162" t="s">
        <v>554</v>
      </c>
    </row>
    <row r="163" spans="1:72" x14ac:dyDescent="0.2">
      <c r="A163" s="100" t="s">
        <v>782</v>
      </c>
      <c r="B163" s="96" t="str">
        <f>IF(A163="","",_xlfn.XLOOKUP(A163, Company_List!$A:$A, Company_List!$B:$B, ""))</f>
        <v>TGT</v>
      </c>
      <c r="C163" s="21">
        <v>2025</v>
      </c>
      <c r="D163" s="20" t="s">
        <v>563</v>
      </c>
      <c r="E163" s="19" t="s">
        <v>647</v>
      </c>
      <c r="F163" s="19" t="s">
        <v>1086</v>
      </c>
      <c r="G163" s="20" t="s">
        <v>712</v>
      </c>
      <c r="H163" s="20" t="s">
        <v>540</v>
      </c>
      <c r="I163" s="145">
        <v>-0.6</v>
      </c>
      <c r="J163" s="145" t="str">
        <f>IF(OR(I163="",Settings!$B$6=""),"",IF(I163&gt;Settings!$B$6,"BUY",IF(I163&lt;-Settings!$B$6,"SELL","HOLD")))</f>
        <v>SELL</v>
      </c>
      <c r="K163" s="145">
        <v>13</v>
      </c>
      <c r="L163" s="123">
        <v>45980</v>
      </c>
      <c r="M163" s="124">
        <v>45979</v>
      </c>
      <c r="N163" s="147">
        <v>88.53</v>
      </c>
      <c r="O163" s="124">
        <v>45980</v>
      </c>
      <c r="P163" s="145">
        <v>86.42</v>
      </c>
      <c r="Q163" s="148">
        <f t="shared" ref="Q163:Q194" si="32">IF(OR(N163="",P163=""),"",ROUND((P163-N163)/N163,4))</f>
        <v>-2.3800000000000002E-2</v>
      </c>
      <c r="R163" s="20" t="str">
        <f>IF(OR(N163="",P163=""),"",IF(Q163&gt;Settings!$B$3/100,"UP",IF(Q163&lt;-Settings!$B$3/100,"DOWN","FLAT")))</f>
        <v>DOWN</v>
      </c>
      <c r="S163" s="20" t="str">
        <f t="shared" si="23"/>
        <v>YES</v>
      </c>
      <c r="T163" s="21">
        <f t="shared" si="24"/>
        <v>-1</v>
      </c>
      <c r="U163" s="148">
        <f>IFERROR(IF(OR(J163="",N163="",P163=""),"",IF(T163=0,0,T163*Q163-Settings!$B$4/10000-IF(T163&lt;0,Settings!$B$5/10000,0))),"")</f>
        <v>2.2800000000000001E-2</v>
      </c>
      <c r="W163" s="21">
        <f t="shared" si="25"/>
        <v>780</v>
      </c>
      <c r="X163" s="91" t="str">
        <f t="shared" si="26"/>
        <v>Target|2025|Q3</v>
      </c>
      <c r="Y163" s="91" t="str">
        <f>IFERROR(IF($X163="","",INDEX(LLM_Data_Entry!$H$3:$H$548,MATCH($X163,INDEX(LLM_Data_Entry!$A$3:$A$548&amp;"|"&amp;LLM_Data_Entry!$C$3:$C$548&amp;"|"&amp;LLM_Data_Entry!$D$3:$D$548,0),0))),"")</f>
        <v>SELL</v>
      </c>
      <c r="Z163" s="91" t="str">
        <f>IFERROR(IF($X163="","",INDEX(LLM_Data_Entry!$R$3:$R$548,MATCH($X163,INDEX(LLM_Data_Entry!$A$3:$A$548&amp;"|"&amp;LLM_Data_Entry!$C$3:$C$548&amp;"|"&amp;LLM_Data_Entry!$D$3:$D$548,0),0))),"")</f>
        <v>YES</v>
      </c>
      <c r="AB163" t="s">
        <v>636</v>
      </c>
      <c r="AC163" t="s">
        <v>783</v>
      </c>
      <c r="AD163" t="s">
        <v>793</v>
      </c>
      <c r="AE163">
        <v>86.818399999999997</v>
      </c>
      <c r="AF163" t="s">
        <v>606</v>
      </c>
      <c r="AG163">
        <v>84.749200000000002</v>
      </c>
      <c r="AH163">
        <v>-2.3833770096601831E-2</v>
      </c>
      <c r="AI163" t="s">
        <v>545</v>
      </c>
      <c r="AJ163" t="s">
        <v>554</v>
      </c>
      <c r="AK163">
        <v>2.2834E-2</v>
      </c>
      <c r="AL163" t="str">
        <f>IF($A163="","",IFERROR(INDEX(Company_List!$G$3:$G$207,MATCH($A163,Company_List!$A$3:$A$207,0)),"unassigned"))</f>
        <v>both</v>
      </c>
      <c r="AM163" t="s">
        <v>794</v>
      </c>
      <c r="AN163" t="s">
        <v>795</v>
      </c>
      <c r="AO163" t="s">
        <v>560</v>
      </c>
      <c r="AP163" t="str">
        <f>IF($A163="","",IF(COUNTIFS(LLM_Data_Entry!$A$3:$A$548,$A163)&gt;0,"YES","NO"))</f>
        <v>YES</v>
      </c>
      <c r="AQ163" t="str">
        <f>IF($A163="","",IF(COUNTIFS($A$3:$A163,$A163,$C$3:$C163,$C163,$D$3:$D163,$D163)=1,"YES","NO"))</f>
        <v>NO</v>
      </c>
      <c r="AR163" t="str">
        <f>IF($A163="","",IF(AND($C163&amp;"-"&amp;$D163&gt;=Settings!$B$19,$C163&amp;"-"&amp;$D163&lt;=Settings!$B$20),"IN","OUT"))</f>
        <v>IN</v>
      </c>
      <c r="AS163" t="str">
        <f t="shared" si="27"/>
        <v>financials</v>
      </c>
      <c r="AT163">
        <f t="shared" si="28"/>
        <v>2.2800000000000001E-2</v>
      </c>
      <c r="AU163">
        <f t="shared" si="29"/>
        <v>2.2834E-2</v>
      </c>
      <c r="AV163">
        <f>IF(ISNUMBER($AT163),ABS(IF(ISNUMBER($I163),$I163,0)-Settings!$B$24),"")</f>
        <v>0.6</v>
      </c>
      <c r="AW163">
        <f t="shared" si="30"/>
        <v>1.3679999999999999E-2</v>
      </c>
      <c r="AX163">
        <f>IF(ISNUMBER($AU163),ABS(IF(ISNUMBER($I163),$I163,0)-Settings!$B$24),"")</f>
        <v>0.6</v>
      </c>
      <c r="AY163" t="s">
        <v>549</v>
      </c>
      <c r="AZ163" t="str">
        <f>IF($A163="","",IFERROR(INDEX(Company_List!$H$3:$H$207,MATCH($A163,Company_List!$A$3:$A$207,0)),"unassigned"))</f>
        <v>Consumer Staples</v>
      </c>
      <c r="BC163">
        <f>IF($A163="","",IF(COUNTIFS($A$3:$A163,$A163,$C$3:$C163,$C163,$D$3:$D163,$D163,$G$3:$G163,$G163)=1,1,0))</f>
        <v>1</v>
      </c>
      <c r="BG163" t="s">
        <v>550</v>
      </c>
      <c r="BK163">
        <f t="shared" si="31"/>
        <v>1</v>
      </c>
      <c r="BL163" t="s">
        <v>551</v>
      </c>
      <c r="BM163">
        <v>1</v>
      </c>
      <c r="BN163" t="s">
        <v>788</v>
      </c>
      <c r="BO163" t="s">
        <v>553</v>
      </c>
      <c r="BP163" t="s">
        <v>550</v>
      </c>
      <c r="BQ163" t="s">
        <v>562</v>
      </c>
      <c r="BS163" t="s">
        <v>554</v>
      </c>
    </row>
    <row r="164" spans="1:72" x14ac:dyDescent="0.2">
      <c r="A164" s="100" t="s">
        <v>782</v>
      </c>
      <c r="B164" s="96" t="str">
        <f>IF(A164="","",_xlfn.XLOOKUP(A164, Company_List!$A:$A, Company_List!$B:$B, ""))</f>
        <v>TGT</v>
      </c>
      <c r="C164" s="21">
        <v>2026</v>
      </c>
      <c r="D164" s="20" t="s">
        <v>537</v>
      </c>
      <c r="E164" s="19" t="s">
        <v>647</v>
      </c>
      <c r="F164" s="19" t="s">
        <v>1086</v>
      </c>
      <c r="G164" s="20" t="s">
        <v>712</v>
      </c>
      <c r="H164" s="20" t="s">
        <v>540</v>
      </c>
      <c r="I164" s="145">
        <v>-0.1</v>
      </c>
      <c r="J164" s="145" t="str">
        <f>IF(OR(I164="",Settings!$B$6=""),"",IF(I164&gt;Settings!$B$6,"BUY",IF(I164&lt;-Settings!$B$6,"SELL","HOLD")))</f>
        <v>HOLD</v>
      </c>
      <c r="K164" s="145">
        <v>19</v>
      </c>
      <c r="L164" s="123">
        <v>46162</v>
      </c>
      <c r="M164" s="124">
        <v>46161</v>
      </c>
      <c r="N164" s="147">
        <v>127.24</v>
      </c>
      <c r="O164" s="124">
        <v>46162</v>
      </c>
      <c r="P164" s="145">
        <v>120.21</v>
      </c>
      <c r="Q164" s="148">
        <f t="shared" si="32"/>
        <v>-5.5199999999999999E-2</v>
      </c>
      <c r="R164" s="20" t="str">
        <f>IF(OR(N164="",P164=""),"",IF(Q164&gt;Settings!$B$3/100,"UP",IF(Q164&lt;-Settings!$B$3/100,"DOWN","FLAT")))</f>
        <v>DOWN</v>
      </c>
      <c r="S164" s="20" t="str">
        <f t="shared" si="23"/>
        <v>NO</v>
      </c>
      <c r="T164" s="21">
        <f t="shared" si="24"/>
        <v>0</v>
      </c>
      <c r="U164" s="148">
        <f>IFERROR(IF(OR(J164="",N164="",P164=""),"",IF(T164=0,0,T164*Q164-Settings!$B$4/10000-IF(T164&lt;0,Settings!$B$5/10000,0))),"")</f>
        <v>0</v>
      </c>
      <c r="W164" s="21">
        <f t="shared" si="25"/>
        <v>1140</v>
      </c>
      <c r="X164" s="91" t="str">
        <f t="shared" si="26"/>
        <v>Target|2026|Q1</v>
      </c>
      <c r="Y164" s="91" t="str">
        <f>IFERROR(IF($X164="","",INDEX(LLM_Data_Entry!$H$3:$H$548,MATCH($X164,INDEX(LLM_Data_Entry!$A$3:$A$548&amp;"|"&amp;LLM_Data_Entry!$C$3:$C$548&amp;"|"&amp;LLM_Data_Entry!$D$3:$D$548,0),0))),"")</f>
        <v>HOLD</v>
      </c>
      <c r="Z164" s="91" t="str">
        <f>IFERROR(IF($X164="","",INDEX(LLM_Data_Entry!$R$3:$R$548,MATCH($X164,INDEX(LLM_Data_Entry!$A$3:$A$548&amp;"|"&amp;LLM_Data_Entry!$C$3:$C$548&amp;"|"&amp;LLM_Data_Entry!$D$3:$D$548,0),0))),"")</f>
        <v>NO</v>
      </c>
      <c r="AB164" t="s">
        <v>636</v>
      </c>
      <c r="AC164" t="s">
        <v>783</v>
      </c>
      <c r="AD164" t="s">
        <v>796</v>
      </c>
      <c r="AE164">
        <v>127.24</v>
      </c>
      <c r="AF164" t="s">
        <v>797</v>
      </c>
      <c r="AG164">
        <v>120.21</v>
      </c>
      <c r="AH164">
        <v>-5.5249914417634653E-2</v>
      </c>
      <c r="AI164" t="s">
        <v>545</v>
      </c>
      <c r="AJ164" t="s">
        <v>546</v>
      </c>
      <c r="AK164">
        <v>0</v>
      </c>
      <c r="AL164" t="str">
        <f>IF($A164="","",IFERROR(INDEX(Company_List!$G$3:$G$207,MATCH($A164,Company_List!$A$3:$A$207,0)),"unassigned"))</f>
        <v>both</v>
      </c>
      <c r="AM164" t="s">
        <v>798</v>
      </c>
      <c r="AN164" t="s">
        <v>799</v>
      </c>
      <c r="AO164" t="s">
        <v>560</v>
      </c>
      <c r="AP164" t="str">
        <f>IF($A164="","",IF(COUNTIFS(LLM_Data_Entry!$A$3:$A$548,$A164)&gt;0,"YES","NO"))</f>
        <v>YES</v>
      </c>
      <c r="AQ164" t="str">
        <f>IF($A164="","",IF(COUNTIFS($A$3:$A164,$A164,$C$3:$C164,$C164,$D$3:$D164,$D164)=1,"YES","NO"))</f>
        <v>NO</v>
      </c>
      <c r="AR164" t="str">
        <f>IF($A164="","",IF(AND($C164&amp;"-"&amp;$D164&gt;=Settings!$B$19,$C164&amp;"-"&amp;$D164&lt;=Settings!$B$20),"IN","OUT"))</f>
        <v>IN</v>
      </c>
      <c r="AS164" t="str">
        <f t="shared" si="27"/>
        <v>financials</v>
      </c>
      <c r="AT164" t="str">
        <f t="shared" si="28"/>
        <v/>
      </c>
      <c r="AU164" t="str">
        <f t="shared" si="29"/>
        <v/>
      </c>
      <c r="AV164" t="str">
        <f>IF(ISNUMBER($AT164),ABS(IF(ISNUMBER($I164),$I164,0)-Settings!$B$24),"")</f>
        <v/>
      </c>
      <c r="AW164" t="str">
        <f t="shared" si="30"/>
        <v/>
      </c>
      <c r="AX164" t="str">
        <f>IF(ISNUMBER($AU164),ABS(IF(ISNUMBER($I164),$I164,0)-Settings!$B$24),"")</f>
        <v/>
      </c>
      <c r="AY164" t="s">
        <v>549</v>
      </c>
      <c r="AZ164" t="str">
        <f>IF($A164="","",IFERROR(INDEX(Company_List!$H$3:$H$207,MATCH($A164,Company_List!$A$3:$A$207,0)),"unassigned"))</f>
        <v>Consumer Staples</v>
      </c>
      <c r="BC164">
        <f>IF($A164="","",IF(COUNTIFS($A$3:$A164,$A164,$C$3:$C164,$C164,$D$3:$D164,$D164,$G$3:$G164,$G164)=1,1,0))</f>
        <v>1</v>
      </c>
      <c r="BG164" t="s">
        <v>550</v>
      </c>
      <c r="BK164">
        <f t="shared" si="31"/>
        <v>1</v>
      </c>
      <c r="BL164" t="s">
        <v>551</v>
      </c>
      <c r="BM164">
        <v>1</v>
      </c>
      <c r="BN164" t="s">
        <v>595</v>
      </c>
      <c r="BO164" t="s">
        <v>596</v>
      </c>
      <c r="BP164" t="s">
        <v>550</v>
      </c>
      <c r="BQ164" t="s">
        <v>562</v>
      </c>
      <c r="BS164" t="s">
        <v>554</v>
      </c>
    </row>
    <row r="165" spans="1:72" x14ac:dyDescent="0.2">
      <c r="A165" s="100" t="s">
        <v>1087</v>
      </c>
      <c r="B165" s="116" t="str">
        <f>IF(A165="","",_xlfn.XLOOKUP(A165, Company_List!$A:$A, Company_List!$B:$B, ""))</f>
        <v>PYPL</v>
      </c>
      <c r="C165" s="21">
        <v>2025</v>
      </c>
      <c r="D165" s="20" t="s">
        <v>537</v>
      </c>
      <c r="E165" s="19" t="s">
        <v>647</v>
      </c>
      <c r="F165" s="19" t="s">
        <v>1086</v>
      </c>
      <c r="G165" s="20" t="s">
        <v>712</v>
      </c>
      <c r="H165" s="20" t="s">
        <v>540</v>
      </c>
      <c r="I165" s="145">
        <v>0.3</v>
      </c>
      <c r="J165" s="145" t="str">
        <f>IF(OR(I165="",Settings!$B$6=""),"",IF(I165&gt;Settings!$B$6,"BUY",IF(I165&lt;-Settings!$B$6,"SELL","HOLD")))</f>
        <v>BUY</v>
      </c>
      <c r="K165" s="145">
        <v>17</v>
      </c>
      <c r="L165" s="123">
        <v>45776</v>
      </c>
      <c r="M165" s="124">
        <v>45775</v>
      </c>
      <c r="N165" s="147">
        <v>64.930000000000007</v>
      </c>
      <c r="O165" s="124">
        <v>45776</v>
      </c>
      <c r="P165" s="145">
        <v>66.37</v>
      </c>
      <c r="Q165" s="148">
        <f t="shared" si="32"/>
        <v>2.2200000000000001E-2</v>
      </c>
      <c r="R165" s="20" t="str">
        <f>IF(OR(N165="",P165=""),"",IF(Q165&gt;Settings!$B$3/100,"UP",IF(Q165&lt;-Settings!$B$3/100,"DOWN","FLAT")))</f>
        <v>UP</v>
      </c>
      <c r="S165" s="20" t="str">
        <f t="shared" si="23"/>
        <v>YES</v>
      </c>
      <c r="T165" s="21">
        <f t="shared" si="24"/>
        <v>1</v>
      </c>
      <c r="U165" s="148">
        <f>IFERROR(IF(OR(J165="",N165="",P165=""),"",IF(T165=0,0,T165*Q165-Settings!$B$4/10000-IF(T165&lt;0,Settings!$B$5/10000,0))),"")</f>
        <v>2.12E-2</v>
      </c>
      <c r="W165" s="21">
        <f t="shared" si="25"/>
        <v>1020</v>
      </c>
      <c r="X165" s="91" t="str">
        <f t="shared" si="26"/>
        <v>PayPal|2025|Q1</v>
      </c>
      <c r="Y165" s="91" t="str">
        <f>IFERROR(IF($X165="","",INDEX(LLM_Data_Entry!$H$3:$H$548,MATCH($X165,INDEX(LLM_Data_Entry!$A$3:$A$548&amp;"|"&amp;LLM_Data_Entry!$C$3:$C$548&amp;"|"&amp;LLM_Data_Entry!$D$3:$D$548,0),0))),"")</f>
        <v>SELL</v>
      </c>
      <c r="Z165" s="91" t="str">
        <f>IFERROR(IF($X165="","",INDEX(LLM_Data_Entry!$R$3:$R$548,MATCH($X165,INDEX(LLM_Data_Entry!$A$3:$A$548&amp;"|"&amp;LLM_Data_Entry!$C$3:$C$548&amp;"|"&amp;LLM_Data_Entry!$D$3:$D$548,0),0))),"")</f>
        <v>NO</v>
      </c>
      <c r="AB165" t="s">
        <v>541</v>
      </c>
      <c r="AC165" t="s">
        <v>1088</v>
      </c>
      <c r="AD165" t="s">
        <v>978</v>
      </c>
      <c r="AE165">
        <v>64.372500000000002</v>
      </c>
      <c r="AF165" t="s">
        <v>979</v>
      </c>
      <c r="AG165">
        <v>65.8001</v>
      </c>
      <c r="AH165">
        <v>2.217769318727723E-2</v>
      </c>
      <c r="AI165" t="s">
        <v>591</v>
      </c>
      <c r="AJ165" t="s">
        <v>554</v>
      </c>
      <c r="AK165">
        <v>2.1177999999999999E-2</v>
      </c>
      <c r="AL165" t="str">
        <f>IF($A165="","",IFERROR(INDEX(Company_List!$G$3:$G$207,MATCH($A165,Company_List!$A$3:$A$207,0)),"unassigned"))</f>
        <v>P3</v>
      </c>
      <c r="AM165" t="s">
        <v>1089</v>
      </c>
      <c r="AO165" t="s">
        <v>548</v>
      </c>
      <c r="AP165" t="str">
        <f>IF($A165="","",IF(COUNTIFS(LLM_Data_Entry!$A$3:$A$548,$A165)&gt;0,"YES","NO"))</f>
        <v>YES</v>
      </c>
      <c r="AQ165" t="str">
        <f>IF($A165="","",IF(COUNTIFS($A$3:$A165,$A165,$C$3:$C165,$C165,$D$3:$D165,$D165)=1,"YES","NO"))</f>
        <v>YES</v>
      </c>
      <c r="AR165" t="str">
        <f>IF($A165="","",IF(AND($C165&amp;"-"&amp;$D165&gt;=Settings!$B$19,$C165&amp;"-"&amp;$D165&lt;=Settings!$B$20),"IN","OUT"))</f>
        <v>IN</v>
      </c>
      <c r="AS165" t="str">
        <f t="shared" si="27"/>
        <v>financials</v>
      </c>
      <c r="AT165">
        <f t="shared" si="28"/>
        <v>2.12E-2</v>
      </c>
      <c r="AU165">
        <f t="shared" si="29"/>
        <v>2.1177999999999999E-2</v>
      </c>
      <c r="AV165">
        <f>IF(ISNUMBER($AT165),ABS(IF(ISNUMBER($I165),$I165,0)-Settings!$B$24),"")</f>
        <v>0.3</v>
      </c>
      <c r="AW165">
        <f t="shared" si="30"/>
        <v>6.3600000000000002E-3</v>
      </c>
      <c r="AX165">
        <f>IF(ISNUMBER($AU165),ABS(IF(ISNUMBER($I165),$I165,0)-Settings!$B$24),"")</f>
        <v>0.3</v>
      </c>
      <c r="AY165" t="s">
        <v>549</v>
      </c>
      <c r="AZ165" t="str">
        <f>IF($A165="","",IFERROR(INDEX(Company_List!$H$3:$H$207,MATCH($A165,Company_List!$A$3:$A$207,0)),"unassigned"))</f>
        <v>Financials</v>
      </c>
      <c r="BC165">
        <f>IF($A165="","",IF(COUNTIFS($A$3:$A165,$A165,$C$3:$C165,$C165,$D$3:$D165,$D165,$G$3:$G165,$G165)=1,1,0))</f>
        <v>1</v>
      </c>
      <c r="BG165" t="s">
        <v>550</v>
      </c>
      <c r="BK165">
        <f t="shared" si="31"/>
        <v>0</v>
      </c>
      <c r="BL165" t="s">
        <v>551</v>
      </c>
      <c r="BM165">
        <v>1</v>
      </c>
      <c r="BN165" t="s">
        <v>617</v>
      </c>
      <c r="BO165" t="s">
        <v>553</v>
      </c>
      <c r="BP165" t="s">
        <v>550</v>
      </c>
      <c r="BQ165" t="s">
        <v>550</v>
      </c>
      <c r="BS165" t="s">
        <v>554</v>
      </c>
    </row>
    <row r="166" spans="1:72" x14ac:dyDescent="0.2">
      <c r="A166" s="100" t="s">
        <v>1087</v>
      </c>
      <c r="B166" s="116" t="str">
        <f>IF(A166="","",_xlfn.XLOOKUP(A166, Company_List!$A:$A, Company_List!$B:$B, ""))</f>
        <v>PYPL</v>
      </c>
      <c r="C166" s="21">
        <v>2025</v>
      </c>
      <c r="D166" s="20" t="s">
        <v>555</v>
      </c>
      <c r="E166" s="19" t="s">
        <v>647</v>
      </c>
      <c r="F166" s="19" t="s">
        <v>1090</v>
      </c>
      <c r="G166" s="20" t="s">
        <v>712</v>
      </c>
      <c r="H166" s="20" t="s">
        <v>540</v>
      </c>
      <c r="I166" s="145">
        <v>0.3</v>
      </c>
      <c r="J166" s="145" t="str">
        <f>IF(OR(I166="",Settings!$B$6=""),"",IF(I166&gt;Settings!$B$6,"BUY",IF(I166&lt;-Settings!$B$6,"SELL","HOLD")))</f>
        <v>BUY</v>
      </c>
      <c r="K166" s="145">
        <v>12</v>
      </c>
      <c r="L166" s="123">
        <v>45867</v>
      </c>
      <c r="M166" s="124">
        <v>45866</v>
      </c>
      <c r="N166" s="147">
        <v>78.22</v>
      </c>
      <c r="O166" s="124">
        <v>45867</v>
      </c>
      <c r="P166" s="145">
        <v>71.73</v>
      </c>
      <c r="Q166" s="148">
        <f t="shared" si="32"/>
        <v>-8.3000000000000004E-2</v>
      </c>
      <c r="R166" s="20" t="str">
        <f>IF(OR(N166="",P166=""),"",IF(Q166&gt;Settings!$B$3/100,"UP",IF(Q166&lt;-Settings!$B$3/100,"DOWN","FLAT")))</f>
        <v>DOWN</v>
      </c>
      <c r="S166" s="20" t="str">
        <f t="shared" si="23"/>
        <v>NO</v>
      </c>
      <c r="T166" s="21">
        <f t="shared" si="24"/>
        <v>1</v>
      </c>
      <c r="U166" s="148">
        <f>IFERROR(IF(OR(J166="",N166="",P166=""),"",IF(T166=0,0,T166*Q166-Settings!$B$4/10000-IF(T166&lt;0,Settings!$B$5/10000,0))),"")</f>
        <v>-8.4000000000000005E-2</v>
      </c>
      <c r="W166" s="21">
        <f t="shared" si="25"/>
        <v>720</v>
      </c>
      <c r="X166" s="91" t="str">
        <f t="shared" si="26"/>
        <v>PayPal|2025|Q2</v>
      </c>
      <c r="Y166" s="91" t="str">
        <f>IFERROR(IF($X166="","",INDEX(LLM_Data_Entry!$H$3:$H$548,MATCH($X166,INDEX(LLM_Data_Entry!$A$3:$A$548&amp;"|"&amp;LLM_Data_Entry!$C$3:$C$548&amp;"|"&amp;LLM_Data_Entry!$D$3:$D$548,0),0))),"")</f>
        <v>BUY</v>
      </c>
      <c r="Z166" s="91" t="str">
        <f>IFERROR(IF($X166="","",INDEX(LLM_Data_Entry!$R$3:$R$548,MATCH($X166,INDEX(LLM_Data_Entry!$A$3:$A$548&amp;"|"&amp;LLM_Data_Entry!$C$3:$C$548&amp;"|"&amp;LLM_Data_Entry!$D$3:$D$548,0),0))),"")</f>
        <v>NO</v>
      </c>
      <c r="AB166" t="s">
        <v>541</v>
      </c>
      <c r="AC166" t="s">
        <v>1088</v>
      </c>
      <c r="AD166" t="s">
        <v>619</v>
      </c>
      <c r="AE166">
        <v>77.548400000000001</v>
      </c>
      <c r="AF166" t="s">
        <v>620</v>
      </c>
      <c r="AG166">
        <v>71.114099999999993</v>
      </c>
      <c r="AH166">
        <v>-8.2971177858092868E-2</v>
      </c>
      <c r="AI166" t="s">
        <v>545</v>
      </c>
      <c r="AJ166" t="s">
        <v>546</v>
      </c>
      <c r="AK166">
        <v>-8.3971000000000004E-2</v>
      </c>
      <c r="AL166" t="str">
        <f>IF($A166="","",IFERROR(INDEX(Company_List!$G$3:$G$207,MATCH($A166,Company_List!$A$3:$A$207,0)),"unassigned"))</f>
        <v>P3</v>
      </c>
      <c r="AM166" t="s">
        <v>1091</v>
      </c>
      <c r="AO166" t="s">
        <v>548</v>
      </c>
      <c r="AP166" t="str">
        <f>IF($A166="","",IF(COUNTIFS(LLM_Data_Entry!$A$3:$A$548,$A166)&gt;0,"YES","NO"))</f>
        <v>YES</v>
      </c>
      <c r="AQ166" t="str">
        <f>IF($A166="","",IF(COUNTIFS($A$3:$A166,$A166,$C$3:$C166,$C166,$D$3:$D166,$D166)=1,"YES","NO"))</f>
        <v>YES</v>
      </c>
      <c r="AR166" t="str">
        <f>IF($A166="","",IF(AND($C166&amp;"-"&amp;$D166&gt;=Settings!$B$19,$C166&amp;"-"&amp;$D166&lt;=Settings!$B$20),"IN","OUT"))</f>
        <v>IN</v>
      </c>
      <c r="AS166" t="str">
        <f t="shared" si="27"/>
        <v>guidance</v>
      </c>
      <c r="AT166">
        <f t="shared" si="28"/>
        <v>-8.4000000000000005E-2</v>
      </c>
      <c r="AU166">
        <f t="shared" si="29"/>
        <v>-8.3971000000000004E-2</v>
      </c>
      <c r="AV166">
        <f>IF(ISNUMBER($AT166),ABS(IF(ISNUMBER($I166),$I166,0)-Settings!$B$24),"")</f>
        <v>0.3</v>
      </c>
      <c r="AW166">
        <f t="shared" si="30"/>
        <v>-2.52E-2</v>
      </c>
      <c r="AX166">
        <f>IF(ISNUMBER($AU166),ABS(IF(ISNUMBER($I166),$I166,0)-Settings!$B$24),"")</f>
        <v>0.3</v>
      </c>
      <c r="AY166" t="s">
        <v>549</v>
      </c>
      <c r="AZ166" t="str">
        <f>IF($A166="","",IFERROR(INDEX(Company_List!$H$3:$H$207,MATCH($A166,Company_List!$A$3:$A$207,0)),"unassigned"))</f>
        <v>Financials</v>
      </c>
      <c r="BC166">
        <f>IF($A166="","",IF(COUNTIFS($A$3:$A166,$A166,$C$3:$C166,$C166,$D$3:$D166,$D166,$G$3:$G166,$G166)=1,1,0))</f>
        <v>1</v>
      </c>
      <c r="BG166" t="s">
        <v>550</v>
      </c>
      <c r="BK166">
        <f t="shared" si="31"/>
        <v>1</v>
      </c>
      <c r="BL166" t="s">
        <v>551</v>
      </c>
      <c r="BM166">
        <v>1</v>
      </c>
      <c r="BN166" t="s">
        <v>617</v>
      </c>
      <c r="BO166" t="s">
        <v>553</v>
      </c>
      <c r="BP166" t="s">
        <v>550</v>
      </c>
      <c r="BQ166" t="s">
        <v>550</v>
      </c>
      <c r="BS166" t="s">
        <v>554</v>
      </c>
    </row>
    <row r="167" spans="1:72" x14ac:dyDescent="0.2">
      <c r="A167" s="100" t="s">
        <v>1087</v>
      </c>
      <c r="B167" s="116" t="str">
        <f>IF(A167="","",_xlfn.XLOOKUP(A167, Company_List!$A:$A, Company_List!$B:$B, ""))</f>
        <v>PYPL</v>
      </c>
      <c r="C167" s="21">
        <v>2025</v>
      </c>
      <c r="D167" s="20" t="s">
        <v>563</v>
      </c>
      <c r="E167" s="19" t="s">
        <v>647</v>
      </c>
      <c r="F167" s="19" t="s">
        <v>1092</v>
      </c>
      <c r="G167" s="20" t="s">
        <v>712</v>
      </c>
      <c r="H167" s="20" t="s">
        <v>540</v>
      </c>
      <c r="I167" s="145">
        <v>0.5</v>
      </c>
      <c r="J167" s="145" t="str">
        <f>IF(OR(I167="",Settings!$B$6=""),"",IF(I167&gt;Settings!$B$6,"BUY",IF(I167&lt;-Settings!$B$6,"SELL","HOLD")))</f>
        <v>BUY</v>
      </c>
      <c r="K167" s="145">
        <v>32</v>
      </c>
      <c r="L167" s="123">
        <v>45958</v>
      </c>
      <c r="M167" s="124">
        <v>45957</v>
      </c>
      <c r="N167" s="147">
        <v>70.25</v>
      </c>
      <c r="O167" s="124">
        <v>45958</v>
      </c>
      <c r="P167" s="145">
        <v>76.209999999999994</v>
      </c>
      <c r="Q167" s="148">
        <f t="shared" si="32"/>
        <v>8.48E-2</v>
      </c>
      <c r="R167" s="20" t="str">
        <f>IF(OR(N167="",P167=""),"",IF(Q167&gt;Settings!$B$3/100,"UP",IF(Q167&lt;-Settings!$B$3/100,"DOWN","FLAT")))</f>
        <v>UP</v>
      </c>
      <c r="S167" s="20" t="str">
        <f t="shared" si="23"/>
        <v>YES</v>
      </c>
      <c r="T167" s="21">
        <f t="shared" si="24"/>
        <v>1</v>
      </c>
      <c r="U167" s="148">
        <f>IFERROR(IF(OR(J167="",N167="",P167=""),"",IF(T167=0,0,T167*Q167-Settings!$B$4/10000-IF(T167&lt;0,Settings!$B$5/10000,0))),"")</f>
        <v>8.3799999999999999E-2</v>
      </c>
      <c r="W167" s="21">
        <f t="shared" si="25"/>
        <v>1920</v>
      </c>
      <c r="X167" s="91" t="str">
        <f t="shared" si="26"/>
        <v>PayPal|2025|Q3</v>
      </c>
      <c r="Y167" s="91" t="str">
        <f>IFERROR(IF($X167="","",INDEX(LLM_Data_Entry!$H$3:$H$548,MATCH($X167,INDEX(LLM_Data_Entry!$A$3:$A$548&amp;"|"&amp;LLM_Data_Entry!$C$3:$C$548&amp;"|"&amp;LLM_Data_Entry!$D$3:$D$548,0),0))),"")</f>
        <v>BUY</v>
      </c>
      <c r="Z167" s="91" t="str">
        <f>IFERROR(IF($X167="","",INDEX(LLM_Data_Entry!$R$3:$R$548,MATCH($X167,INDEX(LLM_Data_Entry!$A$3:$A$548&amp;"|"&amp;LLM_Data_Entry!$C$3:$C$548&amp;"|"&amp;LLM_Data_Entry!$D$3:$D$548,0),0))),"")</f>
        <v>YES</v>
      </c>
      <c r="AB167" t="s">
        <v>541</v>
      </c>
      <c r="AC167" t="s">
        <v>1088</v>
      </c>
      <c r="AD167" t="s">
        <v>1093</v>
      </c>
      <c r="AE167">
        <v>69.646799999999999</v>
      </c>
      <c r="AF167" t="s">
        <v>625</v>
      </c>
      <c r="AG167">
        <v>75.555599999999998</v>
      </c>
      <c r="AH167">
        <v>8.4839759664529807E-2</v>
      </c>
      <c r="AI167" t="s">
        <v>591</v>
      </c>
      <c r="AJ167" t="s">
        <v>554</v>
      </c>
      <c r="AK167">
        <v>8.3839999999999998E-2</v>
      </c>
      <c r="AL167" t="str">
        <f>IF($A167="","",IFERROR(INDEX(Company_List!$G$3:$G$207,MATCH($A167,Company_List!$A$3:$A$207,0)),"unassigned"))</f>
        <v>P3</v>
      </c>
      <c r="AM167" t="s">
        <v>1094</v>
      </c>
      <c r="AO167" t="s">
        <v>548</v>
      </c>
      <c r="AP167" t="str">
        <f>IF($A167="","",IF(COUNTIFS(LLM_Data_Entry!$A$3:$A$548,$A167)&gt;0,"YES","NO"))</f>
        <v>YES</v>
      </c>
      <c r="AQ167" t="str">
        <f>IF($A167="","",IF(COUNTIFS($A$3:$A167,$A167,$C$3:$C167,$C167,$D$3:$D167,$D167)=1,"YES","NO"))</f>
        <v>YES</v>
      </c>
      <c r="AR167" t="str">
        <f>IF($A167="","",IF(AND($C167&amp;"-"&amp;$D167&gt;=Settings!$B$19,$C167&amp;"-"&amp;$D167&lt;=Settings!$B$20),"IN","OUT"))</f>
        <v>IN</v>
      </c>
      <c r="AS167" t="str">
        <f t="shared" si="27"/>
        <v>qanda</v>
      </c>
      <c r="AT167">
        <f t="shared" si="28"/>
        <v>8.3799999999999999E-2</v>
      </c>
      <c r="AU167">
        <f t="shared" si="29"/>
        <v>8.3839999999999998E-2</v>
      </c>
      <c r="AV167">
        <f>IF(ISNUMBER($AT167),ABS(IF(ISNUMBER($I167),$I167,0)-Settings!$B$24),"")</f>
        <v>0.5</v>
      </c>
      <c r="AW167">
        <f t="shared" si="30"/>
        <v>4.19E-2</v>
      </c>
      <c r="AX167">
        <f>IF(ISNUMBER($AU167),ABS(IF(ISNUMBER($I167),$I167,0)-Settings!$B$24),"")</f>
        <v>0.5</v>
      </c>
      <c r="AY167" t="s">
        <v>549</v>
      </c>
      <c r="AZ167" t="str">
        <f>IF($A167="","",IFERROR(INDEX(Company_List!$H$3:$H$207,MATCH($A167,Company_List!$A$3:$A$207,0)),"unassigned"))</f>
        <v>Financials</v>
      </c>
      <c r="BC167">
        <f>IF($A167="","",IF(COUNTIFS($A$3:$A167,$A167,$C$3:$C167,$C167,$D$3:$D167,$D167,$G$3:$G167,$G167)=1,1,0))</f>
        <v>1</v>
      </c>
      <c r="BG167" t="s">
        <v>550</v>
      </c>
      <c r="BK167">
        <f t="shared" si="31"/>
        <v>1</v>
      </c>
      <c r="BL167" t="s">
        <v>551</v>
      </c>
      <c r="BM167">
        <v>1</v>
      </c>
      <c r="BN167" t="s">
        <v>617</v>
      </c>
      <c r="BO167" t="s">
        <v>553</v>
      </c>
      <c r="BP167" t="s">
        <v>550</v>
      </c>
      <c r="BQ167" t="s">
        <v>550</v>
      </c>
      <c r="BS167" t="s">
        <v>554</v>
      </c>
    </row>
    <row r="168" spans="1:72" x14ac:dyDescent="0.2">
      <c r="A168" s="100" t="s">
        <v>1087</v>
      </c>
      <c r="B168" s="116" t="str">
        <f>IF(A168="","",_xlfn.XLOOKUP(A168, Company_List!$A:$A, Company_List!$B:$B, ""))</f>
        <v>PYPL</v>
      </c>
      <c r="C168" s="21">
        <v>2026</v>
      </c>
      <c r="D168" s="20" t="s">
        <v>537</v>
      </c>
      <c r="E168" s="19" t="s">
        <v>1095</v>
      </c>
      <c r="F168" s="19" t="s">
        <v>538</v>
      </c>
      <c r="G168" s="20" t="s">
        <v>712</v>
      </c>
      <c r="H168" s="20" t="s">
        <v>540</v>
      </c>
      <c r="I168" s="145">
        <v>-0.5</v>
      </c>
      <c r="J168" s="145" t="str">
        <f>IF(OR(I168="",Settings!$B$6=""),"",IF(I168&gt;Settings!$B$6,"BUY",IF(I168&lt;-Settings!$B$6,"SELL","HOLD")))</f>
        <v>SELL</v>
      </c>
      <c r="K168" s="145">
        <v>28</v>
      </c>
      <c r="L168" s="123">
        <v>46147</v>
      </c>
      <c r="M168" s="124">
        <v>46146</v>
      </c>
      <c r="N168" s="145">
        <v>50.39</v>
      </c>
      <c r="O168" s="124">
        <v>46147</v>
      </c>
      <c r="P168" s="145">
        <v>45.37</v>
      </c>
      <c r="Q168" s="148">
        <f t="shared" si="32"/>
        <v>-9.9599999999999994E-2</v>
      </c>
      <c r="R168" s="20" t="str">
        <f>IF(OR(N168="",P168=""),"",IF(Q168&gt;Settings!$B$3/100,"UP",IF(Q168&lt;-Settings!$B$3/100,"DOWN","FLAT")))</f>
        <v>DOWN</v>
      </c>
      <c r="S168" s="20" t="str">
        <f t="shared" si="23"/>
        <v>YES</v>
      </c>
      <c r="T168" s="21">
        <f t="shared" si="24"/>
        <v>-1</v>
      </c>
      <c r="U168" s="148">
        <f>IFERROR(IF(OR(J168="",N168="",P168=""),"",IF(T168=0,0,T168*Q168-Settings!$B$4/10000-IF(T168&lt;0,Settings!$B$5/10000,0))),"")</f>
        <v>9.8599999999999993E-2</v>
      </c>
      <c r="W168" s="21">
        <f t="shared" si="25"/>
        <v>1680</v>
      </c>
      <c r="X168" s="91" t="str">
        <f t="shared" si="26"/>
        <v>PayPal|2026|Q1</v>
      </c>
      <c r="Y168" s="91" t="str">
        <f>IFERROR(IF($X168="","",INDEX(LLM_Data_Entry!$H$3:$H$548,MATCH($X168,INDEX(LLM_Data_Entry!$A$3:$A$548&amp;"|"&amp;LLM_Data_Entry!$C$3:$C$548&amp;"|"&amp;LLM_Data_Entry!$D$3:$D$548,0),0))),"")</f>
        <v>SELL</v>
      </c>
      <c r="Z168" s="91" t="str">
        <f>IFERROR(IF($X168="","",INDEX(LLM_Data_Entry!$R$3:$R$548,MATCH($X168,INDEX(LLM_Data_Entry!$A$3:$A$548&amp;"|"&amp;LLM_Data_Entry!$C$3:$C$548&amp;"|"&amp;LLM_Data_Entry!$D$3:$D$548,0),0))),"")</f>
        <v>YES</v>
      </c>
      <c r="AB168" t="s">
        <v>541</v>
      </c>
      <c r="AC168" t="s">
        <v>1088</v>
      </c>
      <c r="AD168" t="s">
        <v>985</v>
      </c>
      <c r="AE168">
        <v>50.224400000000003</v>
      </c>
      <c r="AF168" t="s">
        <v>731</v>
      </c>
      <c r="AG168">
        <v>45.2209</v>
      </c>
      <c r="AH168">
        <v>-9.9622958594696276E-2</v>
      </c>
      <c r="AI168" t="s">
        <v>545</v>
      </c>
      <c r="AJ168" t="s">
        <v>554</v>
      </c>
      <c r="AK168">
        <v>9.8623000000000002E-2</v>
      </c>
      <c r="AL168" t="str">
        <f>IF($A168="","",IFERROR(INDEX(Company_List!$G$3:$G$207,MATCH($A168,Company_List!$A$3:$A$207,0)),"unassigned"))</f>
        <v>P3</v>
      </c>
      <c r="AM168" t="s">
        <v>1096</v>
      </c>
      <c r="AO168" t="s">
        <v>548</v>
      </c>
      <c r="AP168" t="str">
        <f>IF($A168="","",IF(COUNTIFS(LLM_Data_Entry!$A$3:$A$548,$A168)&gt;0,"YES","NO"))</f>
        <v>YES</v>
      </c>
      <c r="AQ168" t="str">
        <f>IF($A168="","",IF(COUNTIFS($A$3:$A168,$A168,$C$3:$C168,$C168,$D$3:$D168,$D168)=1,"YES","NO"))</f>
        <v>YES</v>
      </c>
      <c r="AR168" t="str">
        <f>IF($A168="","",IF(AND($C168&amp;"-"&amp;$D168&gt;=Settings!$B$19,$C168&amp;"-"&amp;$D168&lt;=Settings!$B$20),"IN","OUT"))</f>
        <v>IN</v>
      </c>
      <c r="AS168" t="str">
        <f t="shared" si="27"/>
        <v>presentation only</v>
      </c>
      <c r="AT168">
        <f t="shared" si="28"/>
        <v>9.8599999999999993E-2</v>
      </c>
      <c r="AU168">
        <f t="shared" si="29"/>
        <v>9.8623000000000002E-2</v>
      </c>
      <c r="AV168">
        <f>IF(ISNUMBER($AT168),ABS(IF(ISNUMBER($I168),$I168,0)-Settings!$B$24),"")</f>
        <v>0.5</v>
      </c>
      <c r="AW168">
        <f t="shared" si="30"/>
        <v>4.9299999999999997E-2</v>
      </c>
      <c r="AX168">
        <f>IF(ISNUMBER($AU168),ABS(IF(ISNUMBER($I168),$I168,0)-Settings!$B$24),"")</f>
        <v>0.5</v>
      </c>
      <c r="AY168" t="s">
        <v>549</v>
      </c>
      <c r="AZ168" t="str">
        <f>IF($A168="","",IFERROR(INDEX(Company_List!$H$3:$H$207,MATCH($A168,Company_List!$A$3:$A$207,0)),"unassigned"))</f>
        <v>Financials</v>
      </c>
      <c r="BC168">
        <f>IF($A168="","",IF(COUNTIFS($A$3:$A168,$A168,$C$3:$C168,$C168,$D$3:$D168,$D168,$G$3:$G168,$G168)=1,1,0))</f>
        <v>1</v>
      </c>
      <c r="BG168" t="s">
        <v>550</v>
      </c>
      <c r="BK168">
        <f t="shared" si="31"/>
        <v>1</v>
      </c>
      <c r="BL168" t="s">
        <v>551</v>
      </c>
      <c r="BM168">
        <v>1</v>
      </c>
      <c r="BN168" t="s">
        <v>561</v>
      </c>
      <c r="BO168" t="s">
        <v>561</v>
      </c>
      <c r="BP168" t="s">
        <v>550</v>
      </c>
      <c r="BQ168" t="s">
        <v>550</v>
      </c>
      <c r="BS168" t="s">
        <v>554</v>
      </c>
    </row>
    <row r="169" spans="1:72" x14ac:dyDescent="0.2">
      <c r="A169" s="101" t="s">
        <v>1097</v>
      </c>
      <c r="B169" s="116" t="str">
        <f>IF(A169="","",_xlfn.XLOOKUP(A169, Company_List!$A:$A, Company_List!$B:$B, ""))</f>
        <v>V</v>
      </c>
      <c r="C169" s="21">
        <v>2025</v>
      </c>
      <c r="D169" s="20" t="s">
        <v>537</v>
      </c>
      <c r="E169" s="19" t="s">
        <v>647</v>
      </c>
      <c r="F169" s="19" t="s">
        <v>1090</v>
      </c>
      <c r="G169" s="20" t="s">
        <v>712</v>
      </c>
      <c r="H169" s="20" t="s">
        <v>540</v>
      </c>
      <c r="I169" s="145">
        <v>0.5</v>
      </c>
      <c r="J169" s="145" t="str">
        <f>IF(OR(I169="",Settings!$B$6=""),"",IF(I169&gt;Settings!$B$6,"BUY",IF(I169&lt;-Settings!$B$6,"SELL","HOLD")))</f>
        <v>BUY</v>
      </c>
      <c r="K169" s="145">
        <v>12</v>
      </c>
      <c r="L169" s="124">
        <v>45776</v>
      </c>
      <c r="M169" s="124">
        <v>45776</v>
      </c>
      <c r="N169" s="147">
        <v>341.52</v>
      </c>
      <c r="O169" s="124">
        <v>45777</v>
      </c>
      <c r="P169" s="145">
        <v>334.44</v>
      </c>
      <c r="Q169" s="148">
        <f t="shared" si="32"/>
        <v>-2.07E-2</v>
      </c>
      <c r="R169" s="20" t="str">
        <f>IF(OR(N169="",P169=""),"",IF(Q169&gt;Settings!$B$3/100,"UP",IF(Q169&lt;-Settings!$B$3/100,"DOWN","FLAT")))</f>
        <v>DOWN</v>
      </c>
      <c r="S169" s="20" t="str">
        <f t="shared" si="23"/>
        <v>NO</v>
      </c>
      <c r="T169" s="21">
        <f t="shared" si="24"/>
        <v>1</v>
      </c>
      <c r="U169" s="148">
        <f>IFERROR(IF(OR(J169="",N169="",P169=""),"",IF(T169=0,0,T169*Q169-Settings!$B$4/10000-IF(T169&lt;0,Settings!$B$5/10000,0))),"")</f>
        <v>-2.1700000000000001E-2</v>
      </c>
      <c r="W169" s="21">
        <f t="shared" si="25"/>
        <v>720</v>
      </c>
      <c r="X169" s="91" t="str">
        <f t="shared" si="26"/>
        <v>Visa|2025|Q1</v>
      </c>
      <c r="Y169" s="91" t="str">
        <f>IFERROR(IF($X169="","",INDEX(LLM_Data_Entry!$H$3:$H$548,MATCH($X169,INDEX(LLM_Data_Entry!$A$3:$A$548&amp;"|"&amp;LLM_Data_Entry!$C$3:$C$548&amp;"|"&amp;LLM_Data_Entry!$D$3:$D$548,0),0))),"")</f>
        <v>SELL</v>
      </c>
      <c r="Z169" s="91" t="str">
        <f>IFERROR(IF($X169="","",INDEX(LLM_Data_Entry!$R$3:$R$548,MATCH($X169,INDEX(LLM_Data_Entry!$A$3:$A$548&amp;"|"&amp;LLM_Data_Entry!$C$3:$C$548&amp;"|"&amp;LLM_Data_Entry!$D$3:$D$548,0),0))),"")</f>
        <v>YES</v>
      </c>
      <c r="AB169" t="s">
        <v>612</v>
      </c>
      <c r="AC169" t="s">
        <v>1098</v>
      </c>
      <c r="AD169" t="s">
        <v>979</v>
      </c>
      <c r="AE169">
        <v>338.2817</v>
      </c>
      <c r="AF169" t="s">
        <v>1099</v>
      </c>
      <c r="AG169">
        <v>331.26889999999997</v>
      </c>
      <c r="AH169">
        <v>-2.0730847313168259E-2</v>
      </c>
      <c r="AI169" t="s">
        <v>545</v>
      </c>
      <c r="AJ169" t="s">
        <v>546</v>
      </c>
      <c r="AK169">
        <v>-2.1731E-2</v>
      </c>
      <c r="AL169" t="str">
        <f>IF($A169="","",IFERROR(INDEX(Company_List!$G$3:$G$207,MATCH($A169,Company_List!$A$3:$A$207,0)),"unassigned"))</f>
        <v>P3</v>
      </c>
      <c r="AM169" t="s">
        <v>1100</v>
      </c>
      <c r="AO169" t="s">
        <v>548</v>
      </c>
      <c r="AP169" t="str">
        <f>IF($A169="","",IF(COUNTIFS(LLM_Data_Entry!$A$3:$A$548,$A169)&gt;0,"YES","NO"))</f>
        <v>YES</v>
      </c>
      <c r="AQ169" t="str">
        <f>IF($A169="","",IF(COUNTIFS($A$3:$A169,$A169,$C$3:$C169,$C169,$D$3:$D169,$D169)=1,"YES","NO"))</f>
        <v>YES</v>
      </c>
      <c r="AR169" t="str">
        <f>IF($A169="","",IF(AND($C169&amp;"-"&amp;$D169&gt;=Settings!$B$19,$C169&amp;"-"&amp;$D169&lt;=Settings!$B$20),"IN","OUT"))</f>
        <v>IN</v>
      </c>
      <c r="AS169" t="str">
        <f t="shared" si="27"/>
        <v>guidance</v>
      </c>
      <c r="AT169">
        <f t="shared" si="28"/>
        <v>-2.1700000000000001E-2</v>
      </c>
      <c r="AU169">
        <f t="shared" si="29"/>
        <v>-2.1731E-2</v>
      </c>
      <c r="AV169">
        <f>IF(ISNUMBER($AT169),ABS(IF(ISNUMBER($I169),$I169,0)-Settings!$B$24),"")</f>
        <v>0.5</v>
      </c>
      <c r="AW169">
        <f t="shared" si="30"/>
        <v>-1.085E-2</v>
      </c>
      <c r="AX169">
        <f>IF(ISNUMBER($AU169),ABS(IF(ISNUMBER($I169),$I169,0)-Settings!$B$24),"")</f>
        <v>0.5</v>
      </c>
      <c r="AY169" t="s">
        <v>549</v>
      </c>
      <c r="AZ169" t="str">
        <f>IF($A169="","",IFERROR(INDEX(Company_List!$H$3:$H$207,MATCH($A169,Company_List!$A$3:$A$207,0)),"unassigned"))</f>
        <v>Financials</v>
      </c>
      <c r="BC169">
        <f>IF($A169="","",IF(COUNTIFS($A$3:$A169,$A169,$C$3:$C169,$C169,$D$3:$D169,$D169,$G$3:$G169,$G169)=1,1,0))</f>
        <v>1</v>
      </c>
      <c r="BG169" t="s">
        <v>550</v>
      </c>
      <c r="BK169">
        <f t="shared" si="31"/>
        <v>0</v>
      </c>
      <c r="BL169" t="s">
        <v>551</v>
      </c>
      <c r="BM169">
        <v>1</v>
      </c>
      <c r="BN169" t="s">
        <v>617</v>
      </c>
      <c r="BO169" t="s">
        <v>553</v>
      </c>
      <c r="BP169" t="s">
        <v>550</v>
      </c>
      <c r="BQ169" t="s">
        <v>550</v>
      </c>
      <c r="BS169" t="s">
        <v>554</v>
      </c>
    </row>
    <row r="170" spans="1:72" x14ac:dyDescent="0.2">
      <c r="A170" s="101" t="s">
        <v>1097</v>
      </c>
      <c r="B170" s="116" t="str">
        <f>IF(A170="","",_xlfn.XLOOKUP(A170, Company_List!$A:$A, Company_List!$B:$B, ""))</f>
        <v>V</v>
      </c>
      <c r="C170" s="21">
        <v>2025</v>
      </c>
      <c r="D170" s="20" t="s">
        <v>555</v>
      </c>
      <c r="E170" s="19" t="s">
        <v>647</v>
      </c>
      <c r="F170" s="19" t="s">
        <v>1090</v>
      </c>
      <c r="G170" s="20" t="s">
        <v>712</v>
      </c>
      <c r="H170" s="20" t="s">
        <v>540</v>
      </c>
      <c r="I170" s="145">
        <v>0.3</v>
      </c>
      <c r="J170" s="145" t="str">
        <f>IF(OR(I170="",Settings!$B$6=""),"",IF(I170&gt;Settings!$B$6,"BUY",IF(I170&lt;-Settings!$B$6,"SELL","HOLD")))</f>
        <v>BUY</v>
      </c>
      <c r="K170" s="145">
        <v>10</v>
      </c>
      <c r="L170" s="124">
        <v>45867</v>
      </c>
      <c r="M170" s="124">
        <v>45867</v>
      </c>
      <c r="N170" s="147">
        <v>351.29</v>
      </c>
      <c r="O170" s="124">
        <v>45868</v>
      </c>
      <c r="P170" s="145">
        <v>351.7</v>
      </c>
      <c r="Q170" s="148">
        <f t="shared" si="32"/>
        <v>1.1999999999999999E-3</v>
      </c>
      <c r="R170" s="20" t="str">
        <f>IF(OR(N170="",P170=""),"",IF(Q170&gt;Settings!$B$3/100,"UP",IF(Q170&lt;-Settings!$B$3/100,"DOWN","FLAT")))</f>
        <v>FLAT</v>
      </c>
      <c r="S170" s="20" t="str">
        <f t="shared" si="23"/>
        <v>NO</v>
      </c>
      <c r="T170" s="21">
        <f t="shared" si="24"/>
        <v>1</v>
      </c>
      <c r="U170" s="148">
        <f>IFERROR(IF(OR(J170="",N170="",P170=""),"",IF(T170=0,0,T170*Q170-Settings!$B$4/10000-IF(T170&lt;0,Settings!$B$5/10000,0))),"")</f>
        <v>1.9999999999999987E-4</v>
      </c>
      <c r="W170" s="21">
        <f t="shared" si="25"/>
        <v>600</v>
      </c>
      <c r="X170" s="91" t="str">
        <f t="shared" si="26"/>
        <v>Visa|2025|Q2</v>
      </c>
      <c r="Y170" s="91" t="str">
        <f>IFERROR(IF($X170="","",INDEX(LLM_Data_Entry!$H$3:$H$548,MATCH($X170,INDEX(LLM_Data_Entry!$A$3:$A$548&amp;"|"&amp;LLM_Data_Entry!$C$3:$C$548&amp;"|"&amp;LLM_Data_Entry!$D$3:$D$548,0),0))),"")</f>
        <v>HOLD</v>
      </c>
      <c r="Z170" s="91" t="str">
        <f>IFERROR(IF($X170="","",INDEX(LLM_Data_Entry!$R$3:$R$548,MATCH($X170,INDEX(LLM_Data_Entry!$A$3:$A$548&amp;"|"&amp;LLM_Data_Entry!$C$3:$C$548&amp;"|"&amp;LLM_Data_Entry!$D$3:$D$548,0),0))),"")</f>
        <v>YES</v>
      </c>
      <c r="AB170" t="s">
        <v>624</v>
      </c>
      <c r="AC170" t="s">
        <v>1098</v>
      </c>
      <c r="AD170" t="s">
        <v>620</v>
      </c>
      <c r="AE170">
        <v>348.53699999999998</v>
      </c>
      <c r="AF170" t="s">
        <v>1001</v>
      </c>
      <c r="AG170">
        <v>348.94380000000001</v>
      </c>
      <c r="AH170">
        <v>1.1670863325308849E-3</v>
      </c>
      <c r="AI170" t="s">
        <v>579</v>
      </c>
      <c r="AJ170" t="s">
        <v>546</v>
      </c>
      <c r="AK170">
        <v>1.6699999999999999E-4</v>
      </c>
      <c r="AL170" t="str">
        <f>IF($A170="","",IFERROR(INDEX(Company_List!$G$3:$G$207,MATCH($A170,Company_List!$A$3:$A$207,0)),"unassigned"))</f>
        <v>P3</v>
      </c>
      <c r="AM170" t="s">
        <v>1101</v>
      </c>
      <c r="AO170" t="s">
        <v>548</v>
      </c>
      <c r="AP170" t="str">
        <f>IF($A170="","",IF(COUNTIFS(LLM_Data_Entry!$A$3:$A$548,$A170)&gt;0,"YES","NO"))</f>
        <v>YES</v>
      </c>
      <c r="AQ170" t="str">
        <f>IF($A170="","",IF(COUNTIFS($A$3:$A170,$A170,$C$3:$C170,$C170,$D$3:$D170,$D170)=1,"YES","NO"))</f>
        <v>YES</v>
      </c>
      <c r="AR170" t="str">
        <f>IF($A170="","",IF(AND($C170&amp;"-"&amp;$D170&gt;=Settings!$B$19,$C170&amp;"-"&amp;$D170&lt;=Settings!$B$20),"IN","OUT"))</f>
        <v>IN</v>
      </c>
      <c r="AS170" t="str">
        <f t="shared" si="27"/>
        <v>guidance</v>
      </c>
      <c r="AT170">
        <f t="shared" si="28"/>
        <v>1.9999999999999987E-4</v>
      </c>
      <c r="AU170">
        <f t="shared" si="29"/>
        <v>1.6699999999999999E-4</v>
      </c>
      <c r="AV170">
        <f>IF(ISNUMBER($AT170),ABS(IF(ISNUMBER($I170),$I170,0)-Settings!$B$24),"")</f>
        <v>0.3</v>
      </c>
      <c r="AW170">
        <f t="shared" si="30"/>
        <v>5.9999999999999961E-5</v>
      </c>
      <c r="AX170">
        <f>IF(ISNUMBER($AU170),ABS(IF(ISNUMBER($I170),$I170,0)-Settings!$B$24),"")</f>
        <v>0.3</v>
      </c>
      <c r="AY170" t="s">
        <v>549</v>
      </c>
      <c r="AZ170" t="str">
        <f>IF($A170="","",IFERROR(INDEX(Company_List!$H$3:$H$207,MATCH($A170,Company_List!$A$3:$A$207,0)),"unassigned"))</f>
        <v>Financials</v>
      </c>
      <c r="BC170">
        <f>IF($A170="","",IF(COUNTIFS($A$3:$A170,$A170,$C$3:$C170,$C170,$D$3:$D170,$D170,$G$3:$G170,$G170)=1,1,0))</f>
        <v>1</v>
      </c>
      <c r="BG170" t="s">
        <v>550</v>
      </c>
      <c r="BK170">
        <f t="shared" si="31"/>
        <v>0</v>
      </c>
      <c r="BL170" t="s">
        <v>551</v>
      </c>
      <c r="BM170">
        <v>1</v>
      </c>
      <c r="BN170" t="s">
        <v>617</v>
      </c>
      <c r="BO170" t="s">
        <v>553</v>
      </c>
      <c r="BP170" t="s">
        <v>550</v>
      </c>
      <c r="BQ170" t="s">
        <v>550</v>
      </c>
      <c r="BS170" t="s">
        <v>554</v>
      </c>
    </row>
    <row r="171" spans="1:72" x14ac:dyDescent="0.2">
      <c r="A171" s="101" t="s">
        <v>1097</v>
      </c>
      <c r="B171" s="116" t="str">
        <f>IF(A171="","",_xlfn.XLOOKUP(A171, Company_List!$A:$A, Company_List!$B:$B, ""))</f>
        <v>V</v>
      </c>
      <c r="C171" s="21">
        <v>2025</v>
      </c>
      <c r="D171" s="20" t="s">
        <v>563</v>
      </c>
      <c r="E171" s="19" t="s">
        <v>647</v>
      </c>
      <c r="F171" s="19" t="s">
        <v>1090</v>
      </c>
      <c r="G171" s="20" t="s">
        <v>712</v>
      </c>
      <c r="H171" s="20" t="s">
        <v>540</v>
      </c>
      <c r="I171" s="145">
        <v>0.3</v>
      </c>
      <c r="J171" s="145" t="str">
        <f>IF(OR(I171="",Settings!$B$6=""),"",IF(I171&gt;Settings!$B$6,"BUY",IF(I171&lt;-Settings!$B$6,"SELL","HOLD")))</f>
        <v>BUY</v>
      </c>
      <c r="K171" s="145">
        <v>10</v>
      </c>
      <c r="L171" s="124">
        <v>45958</v>
      </c>
      <c r="M171" s="124">
        <v>45958</v>
      </c>
      <c r="N171" s="147">
        <v>346.9</v>
      </c>
      <c r="O171" s="124">
        <v>45959</v>
      </c>
      <c r="P171" s="145">
        <v>346</v>
      </c>
      <c r="Q171" s="148">
        <f t="shared" si="32"/>
        <v>-2.5999999999999999E-3</v>
      </c>
      <c r="R171" s="20" t="str">
        <f>IF(OR(N171="",P171=""),"",IF(Q171&gt;Settings!$B$3/100,"UP",IF(Q171&lt;-Settings!$B$3/100,"DOWN","FLAT")))</f>
        <v>FLAT</v>
      </c>
      <c r="S171" s="20" t="str">
        <f t="shared" si="23"/>
        <v>NO</v>
      </c>
      <c r="T171" s="21">
        <f t="shared" si="24"/>
        <v>1</v>
      </c>
      <c r="U171" s="148">
        <f>IFERROR(IF(OR(J171="",N171="",P171=""),"",IF(T171=0,0,T171*Q171-Settings!$B$4/10000-IF(T171&lt;0,Settings!$B$5/10000,0))),"")</f>
        <v>-3.5999999999999999E-3</v>
      </c>
      <c r="W171" s="21">
        <f t="shared" si="25"/>
        <v>600</v>
      </c>
      <c r="X171" s="91" t="str">
        <f t="shared" si="26"/>
        <v>Visa|2025|Q3</v>
      </c>
      <c r="Y171" s="91" t="str">
        <f>IFERROR(IF($X171="","",INDEX(LLM_Data_Entry!$H$3:$H$548,MATCH($X171,INDEX(LLM_Data_Entry!$A$3:$A$548&amp;"|"&amp;LLM_Data_Entry!$C$3:$C$548&amp;"|"&amp;LLM_Data_Entry!$D$3:$D$548,0),0))),"")</f>
        <v>BUY</v>
      </c>
      <c r="Z171" s="91" t="str">
        <f>IFERROR(IF($X171="","",INDEX(LLM_Data_Entry!$R$3:$R$548,MATCH($X171,INDEX(LLM_Data_Entry!$A$3:$A$548&amp;"|"&amp;LLM_Data_Entry!$C$3:$C$548&amp;"|"&amp;LLM_Data_Entry!$D$3:$D$548,0),0))),"")</f>
        <v>NO</v>
      </c>
      <c r="AB171" t="s">
        <v>624</v>
      </c>
      <c r="AC171" t="s">
        <v>1098</v>
      </c>
      <c r="AD171" t="s">
        <v>625</v>
      </c>
      <c r="AE171">
        <v>344.78699999999998</v>
      </c>
      <c r="AF171" t="s">
        <v>626</v>
      </c>
      <c r="AG171">
        <v>343.89249999999998</v>
      </c>
      <c r="AH171">
        <v>-2.5942771798218929E-3</v>
      </c>
      <c r="AI171" t="s">
        <v>579</v>
      </c>
      <c r="AJ171" t="s">
        <v>546</v>
      </c>
      <c r="AK171">
        <v>-3.594E-3</v>
      </c>
      <c r="AL171" t="str">
        <f>IF($A171="","",IFERROR(INDEX(Company_List!$G$3:$G$207,MATCH($A171,Company_List!$A$3:$A$207,0)),"unassigned"))</f>
        <v>P3</v>
      </c>
      <c r="AM171" t="s">
        <v>1102</v>
      </c>
      <c r="AO171" t="s">
        <v>548</v>
      </c>
      <c r="AP171" t="str">
        <f>IF($A171="","",IF(COUNTIFS(LLM_Data_Entry!$A$3:$A$548,$A171)&gt;0,"YES","NO"))</f>
        <v>YES</v>
      </c>
      <c r="AQ171" t="str">
        <f>IF($A171="","",IF(COUNTIFS($A$3:$A171,$A171,$C$3:$C171,$C171,$D$3:$D171,$D171)=1,"YES","NO"))</f>
        <v>YES</v>
      </c>
      <c r="AR171" t="str">
        <f>IF($A171="","",IF(AND($C171&amp;"-"&amp;$D171&gt;=Settings!$B$19,$C171&amp;"-"&amp;$D171&lt;=Settings!$B$20),"IN","OUT"))</f>
        <v>IN</v>
      </c>
      <c r="AS171" t="str">
        <f t="shared" si="27"/>
        <v>guidance</v>
      </c>
      <c r="AT171">
        <f t="shared" si="28"/>
        <v>-3.5999999999999999E-3</v>
      </c>
      <c r="AU171">
        <f t="shared" si="29"/>
        <v>-3.594E-3</v>
      </c>
      <c r="AV171">
        <f>IF(ISNUMBER($AT171),ABS(IF(ISNUMBER($I171),$I171,0)-Settings!$B$24),"")</f>
        <v>0.3</v>
      </c>
      <c r="AW171">
        <f t="shared" si="30"/>
        <v>-1.08E-3</v>
      </c>
      <c r="AX171">
        <f>IF(ISNUMBER($AU171),ABS(IF(ISNUMBER($I171),$I171,0)-Settings!$B$24),"")</f>
        <v>0.3</v>
      </c>
      <c r="AY171" t="s">
        <v>549</v>
      </c>
      <c r="AZ171" t="str">
        <f>IF($A171="","",IFERROR(INDEX(Company_List!$H$3:$H$207,MATCH($A171,Company_List!$A$3:$A$207,0)),"unassigned"))</f>
        <v>Financials</v>
      </c>
      <c r="BC171">
        <f>IF($A171="","",IF(COUNTIFS($A$3:$A171,$A171,$C$3:$C171,$C171,$D$3:$D171,$D171,$G$3:$G171,$G171)=1,1,0))</f>
        <v>1</v>
      </c>
      <c r="BG171" t="s">
        <v>550</v>
      </c>
      <c r="BK171">
        <f t="shared" si="31"/>
        <v>1</v>
      </c>
      <c r="BL171" t="s">
        <v>551</v>
      </c>
      <c r="BM171">
        <v>1</v>
      </c>
      <c r="BN171" t="s">
        <v>617</v>
      </c>
      <c r="BO171" t="s">
        <v>553</v>
      </c>
      <c r="BP171" t="s">
        <v>550</v>
      </c>
      <c r="BQ171" t="s">
        <v>550</v>
      </c>
      <c r="BS171" t="s">
        <v>554</v>
      </c>
    </row>
    <row r="172" spans="1:72" x14ac:dyDescent="0.2">
      <c r="A172" s="101" t="s">
        <v>1097</v>
      </c>
      <c r="B172" s="116" t="str">
        <f>IF(A172="","",_xlfn.XLOOKUP(A172, Company_List!$A:$A, Company_List!$B:$B, ""))</f>
        <v>V</v>
      </c>
      <c r="C172" s="21">
        <v>2026</v>
      </c>
      <c r="D172" s="20" t="s">
        <v>537</v>
      </c>
      <c r="E172" s="19" t="s">
        <v>647</v>
      </c>
      <c r="F172" s="19" t="s">
        <v>1090</v>
      </c>
      <c r="G172" s="20" t="s">
        <v>712</v>
      </c>
      <c r="H172" s="20" t="s">
        <v>540</v>
      </c>
      <c r="I172" s="145">
        <v>0.8</v>
      </c>
      <c r="J172" s="145" t="str">
        <f>IF(OR(I172="",Settings!$B$6=""),"",IF(I172&gt;Settings!$B$6,"BUY",IF(I172&lt;-Settings!$B$6,"SELL","HOLD")))</f>
        <v>BUY</v>
      </c>
      <c r="K172" s="145">
        <v>13</v>
      </c>
      <c r="L172" s="124">
        <v>46140</v>
      </c>
      <c r="M172" s="124">
        <v>46140</v>
      </c>
      <c r="N172" s="147">
        <v>309.3</v>
      </c>
      <c r="O172" s="124">
        <v>46141</v>
      </c>
      <c r="P172" s="145">
        <v>336.4</v>
      </c>
      <c r="Q172" s="148">
        <f t="shared" si="32"/>
        <v>8.7599999999999997E-2</v>
      </c>
      <c r="R172" s="20" t="str">
        <f>IF(OR(N172="",P172=""),"",IF(Q172&gt;Settings!$B$3/100,"UP",IF(Q172&lt;-Settings!$B$3/100,"DOWN","FLAT")))</f>
        <v>UP</v>
      </c>
      <c r="S172" s="20" t="str">
        <f t="shared" si="23"/>
        <v>YES</v>
      </c>
      <c r="T172" s="21">
        <f t="shared" si="24"/>
        <v>1</v>
      </c>
      <c r="U172" s="148">
        <f>IFERROR(IF(OR(J172="",N172="",P172=""),"",IF(T172=0,0,T172*Q172-Settings!$B$4/10000-IF(T172&lt;0,Settings!$B$5/10000,0))),"")</f>
        <v>8.6599999999999996E-2</v>
      </c>
      <c r="W172" s="21">
        <f t="shared" si="25"/>
        <v>780</v>
      </c>
      <c r="X172" s="91" t="str">
        <f t="shared" si="26"/>
        <v>Visa|2026|Q1</v>
      </c>
      <c r="Y172" s="91" t="str">
        <f>IFERROR(IF($X172="","",INDEX(LLM_Data_Entry!$H$3:$H$548,MATCH($X172,INDEX(LLM_Data_Entry!$A$3:$A$548&amp;"|"&amp;LLM_Data_Entry!$C$3:$C$548&amp;"|"&amp;LLM_Data_Entry!$D$3:$D$548,0),0))),"")</f>
        <v>HOLD</v>
      </c>
      <c r="Z172" s="91" t="str">
        <f>IFERROR(IF($X172="","",INDEX(LLM_Data_Entry!$R$3:$R$548,MATCH($X172,INDEX(LLM_Data_Entry!$A$3:$A$548&amp;"|"&amp;LLM_Data_Entry!$C$3:$C$548&amp;"|"&amp;LLM_Data_Entry!$D$3:$D$548,0),0))),"")</f>
        <v>NO</v>
      </c>
      <c r="AB172" t="s">
        <v>685</v>
      </c>
      <c r="AC172" t="s">
        <v>1098</v>
      </c>
      <c r="AD172" t="s">
        <v>709</v>
      </c>
      <c r="AE172">
        <v>308.6601</v>
      </c>
      <c r="AF172" t="s">
        <v>656</v>
      </c>
      <c r="AG172">
        <v>335.70409999999998</v>
      </c>
      <c r="AH172">
        <v>8.7617299775408802E-2</v>
      </c>
      <c r="AI172" t="s">
        <v>591</v>
      </c>
      <c r="AJ172" t="s">
        <v>554</v>
      </c>
      <c r="AK172">
        <v>8.6617E-2</v>
      </c>
      <c r="AL172" t="str">
        <f>IF($A172="","",IFERROR(INDEX(Company_List!$G$3:$G$207,MATCH($A172,Company_List!$A$3:$A$207,0)),"unassigned"))</f>
        <v>P3</v>
      </c>
      <c r="AM172" t="s">
        <v>1103</v>
      </c>
      <c r="AO172" t="s">
        <v>548</v>
      </c>
      <c r="AP172" t="str">
        <f>IF($A172="","",IF(COUNTIFS(LLM_Data_Entry!$A$3:$A$548,$A172)&gt;0,"YES","NO"))</f>
        <v>YES</v>
      </c>
      <c r="AQ172" t="str">
        <f>IF($A172="","",IF(COUNTIFS($A$3:$A172,$A172,$C$3:$C172,$C172,$D$3:$D172,$D172)=1,"YES","NO"))</f>
        <v>YES</v>
      </c>
      <c r="AR172" t="str">
        <f>IF($A172="","",IF(AND($C172&amp;"-"&amp;$D172&gt;=Settings!$B$19,$C172&amp;"-"&amp;$D172&lt;=Settings!$B$20),"IN","OUT"))</f>
        <v>IN</v>
      </c>
      <c r="AS172" t="str">
        <f t="shared" si="27"/>
        <v>guidance</v>
      </c>
      <c r="AT172">
        <f t="shared" si="28"/>
        <v>8.6599999999999996E-2</v>
      </c>
      <c r="AU172">
        <f t="shared" si="29"/>
        <v>8.6617E-2</v>
      </c>
      <c r="AV172">
        <f>IF(ISNUMBER($AT172),ABS(IF(ISNUMBER($I172),$I172,0)-Settings!$B$24),"")</f>
        <v>0.8</v>
      </c>
      <c r="AW172">
        <f t="shared" si="30"/>
        <v>6.9279999999999994E-2</v>
      </c>
      <c r="AX172">
        <f>IF(ISNUMBER($AU172),ABS(IF(ISNUMBER($I172),$I172,0)-Settings!$B$24),"")</f>
        <v>0.8</v>
      </c>
      <c r="AY172" t="s">
        <v>549</v>
      </c>
      <c r="AZ172" t="str">
        <f>IF($A172="","",IFERROR(INDEX(Company_List!$H$3:$H$207,MATCH($A172,Company_List!$A$3:$A$207,0)),"unassigned"))</f>
        <v>Financials</v>
      </c>
      <c r="BC172">
        <f>IF($A172="","",IF(COUNTIFS($A$3:$A172,$A172,$C$3:$C172,$C172,$D$3:$D172,$D172,$G$3:$G172,$G172)=1,1,0))</f>
        <v>1</v>
      </c>
      <c r="BG172" t="s">
        <v>550</v>
      </c>
      <c r="BK172">
        <f t="shared" si="31"/>
        <v>0</v>
      </c>
      <c r="BL172" t="s">
        <v>551</v>
      </c>
      <c r="BM172">
        <v>1</v>
      </c>
      <c r="BN172" t="s">
        <v>617</v>
      </c>
      <c r="BO172" t="s">
        <v>553</v>
      </c>
      <c r="BP172" t="s">
        <v>550</v>
      </c>
      <c r="BQ172" t="s">
        <v>550</v>
      </c>
      <c r="BS172" t="s">
        <v>554</v>
      </c>
    </row>
    <row r="173" spans="1:72" x14ac:dyDescent="0.2">
      <c r="A173" s="100" t="s">
        <v>1104</v>
      </c>
      <c r="B173" s="116" t="str">
        <f>IF(A173="","",_xlfn.XLOOKUP(A173, Company_List!$A:$A, Company_List!$B:$B, ""))</f>
        <v>JNJ</v>
      </c>
      <c r="C173" s="21">
        <v>2025</v>
      </c>
      <c r="D173" s="20" t="s">
        <v>537</v>
      </c>
      <c r="E173" s="19" t="s">
        <v>1095</v>
      </c>
      <c r="F173" s="19" t="s">
        <v>538</v>
      </c>
      <c r="G173" s="20" t="s">
        <v>712</v>
      </c>
      <c r="H173" s="20" t="s">
        <v>540</v>
      </c>
      <c r="I173" s="145">
        <v>0.3</v>
      </c>
      <c r="J173" s="145" t="str">
        <f>IF(OR(I173="",Settings!$B$6=""),"",IF(I173&gt;Settings!$B$6,"BUY",IF(I173&lt;-Settings!$B$6,"SELL","HOLD")))</f>
        <v>BUY</v>
      </c>
      <c r="K173" s="145">
        <v>28</v>
      </c>
      <c r="L173" s="123">
        <v>45762</v>
      </c>
      <c r="M173" s="124">
        <v>45761</v>
      </c>
      <c r="N173" s="147">
        <v>154.36000000000001</v>
      </c>
      <c r="O173" s="124">
        <v>45762</v>
      </c>
      <c r="P173" s="145">
        <v>155.69999999999999</v>
      </c>
      <c r="Q173" s="148">
        <f t="shared" si="32"/>
        <v>8.6999999999999994E-3</v>
      </c>
      <c r="R173" s="20" t="str">
        <f>IF(OR(N173="",P173=""),"",IF(Q173&gt;Settings!$B$3/100,"UP",IF(Q173&lt;-Settings!$B$3/100,"DOWN","FLAT")))</f>
        <v>FLAT</v>
      </c>
      <c r="S173" s="20" t="str">
        <f t="shared" si="23"/>
        <v>NO</v>
      </c>
      <c r="T173" s="21">
        <f t="shared" si="24"/>
        <v>1</v>
      </c>
      <c r="U173" s="148">
        <f>IFERROR(IF(OR(J173="",N173="",P173=""),"",IF(T173=0,0,T173*Q173-Settings!$B$4/10000-IF(T173&lt;0,Settings!$B$5/10000,0))),"")</f>
        <v>7.6999999999999994E-3</v>
      </c>
      <c r="W173" s="21">
        <f t="shared" si="25"/>
        <v>1680</v>
      </c>
      <c r="X173" s="91" t="str">
        <f t="shared" si="26"/>
        <v>Johnson &amp; Johnson|2025|Q1</v>
      </c>
      <c r="Y173" s="91" t="str">
        <f>IFERROR(IF($X173="","",INDEX(LLM_Data_Entry!$H$3:$H$548,MATCH($X173,INDEX(LLM_Data_Entry!$A$3:$A$548&amp;"|"&amp;LLM_Data_Entry!$C$3:$C$548&amp;"|"&amp;LLM_Data_Entry!$D$3:$D$548,0),0))),"")</f>
        <v>HOLD</v>
      </c>
      <c r="Z173" s="91" t="str">
        <f>IFERROR(IF($X173="","",INDEX(LLM_Data_Entry!$R$3:$R$548,MATCH($X173,INDEX(LLM_Data_Entry!$A$3:$A$548&amp;"|"&amp;LLM_Data_Entry!$C$3:$C$548&amp;"|"&amp;LLM_Data_Entry!$D$3:$D$548,0),0))),"")</f>
        <v>YES</v>
      </c>
      <c r="AB173" t="s">
        <v>636</v>
      </c>
      <c r="AC173" t="s">
        <v>1105</v>
      </c>
      <c r="AD173" t="s">
        <v>714</v>
      </c>
      <c r="AE173">
        <v>149.31710000000001</v>
      </c>
      <c r="AF173" t="s">
        <v>715</v>
      </c>
      <c r="AG173">
        <v>150.61330000000001</v>
      </c>
      <c r="AH173">
        <v>8.6809398535638189E-3</v>
      </c>
      <c r="AI173" t="s">
        <v>579</v>
      </c>
      <c r="AJ173" t="s">
        <v>546</v>
      </c>
      <c r="AK173">
        <v>7.6810000000000003E-3</v>
      </c>
      <c r="AL173" t="str">
        <f>IF($A173="","",IFERROR(INDEX(Company_List!$G$3:$G$207,MATCH($A173,Company_List!$A$3:$A$207,0)),"unassigned"))</f>
        <v>P3</v>
      </c>
      <c r="AM173" t="s">
        <v>1106</v>
      </c>
      <c r="AO173" t="s">
        <v>548</v>
      </c>
      <c r="AP173" t="str">
        <f>IF($A173="","",IF(COUNTIFS(LLM_Data_Entry!$A$3:$A$548,$A173)&gt;0,"YES","NO"))</f>
        <v>YES</v>
      </c>
      <c r="AQ173" t="str">
        <f>IF($A173="","",IF(COUNTIFS($A$3:$A173,$A173,$C$3:$C173,$C173,$D$3:$D173,$D173)=1,"YES","NO"))</f>
        <v>YES</v>
      </c>
      <c r="AR173" t="str">
        <f>IF($A173="","",IF(AND($C173&amp;"-"&amp;$D173&gt;=Settings!$B$19,$C173&amp;"-"&amp;$D173&lt;=Settings!$B$20),"IN","OUT"))</f>
        <v>IN</v>
      </c>
      <c r="AS173" t="str">
        <f t="shared" si="27"/>
        <v>presentation only</v>
      </c>
      <c r="AT173">
        <f t="shared" si="28"/>
        <v>7.6999999999999994E-3</v>
      </c>
      <c r="AU173">
        <f t="shared" si="29"/>
        <v>7.6810000000000003E-3</v>
      </c>
      <c r="AV173">
        <f>IF(ISNUMBER($AT173),ABS(IF(ISNUMBER($I173),$I173,0)-Settings!$B$24),"")</f>
        <v>0.3</v>
      </c>
      <c r="AW173">
        <f t="shared" si="30"/>
        <v>2.3099999999999996E-3</v>
      </c>
      <c r="AX173">
        <f>IF(ISNUMBER($AU173),ABS(IF(ISNUMBER($I173),$I173,0)-Settings!$B$24),"")</f>
        <v>0.3</v>
      </c>
      <c r="AY173" t="s">
        <v>549</v>
      </c>
      <c r="AZ173" t="str">
        <f>IF($A173="","",IFERROR(INDEX(Company_List!$H$3:$H$207,MATCH($A173,Company_List!$A$3:$A$207,0)),"unassigned"))</f>
        <v>Health Care</v>
      </c>
      <c r="BC173">
        <f>IF($A173="","",IF(COUNTIFS($A$3:$A173,$A173,$C$3:$C173,$C173,$D$3:$D173,$D173,$G$3:$G173,$G173)=1,1,0))</f>
        <v>1</v>
      </c>
      <c r="BG173" t="s">
        <v>550</v>
      </c>
      <c r="BK173">
        <f t="shared" si="31"/>
        <v>0</v>
      </c>
      <c r="BL173" t="s">
        <v>551</v>
      </c>
      <c r="BM173">
        <v>1</v>
      </c>
      <c r="BN173" t="s">
        <v>788</v>
      </c>
      <c r="BO173" t="s">
        <v>553</v>
      </c>
      <c r="BP173" t="s">
        <v>550</v>
      </c>
      <c r="BQ173" t="s">
        <v>550</v>
      </c>
      <c r="BS173" t="s">
        <v>554</v>
      </c>
    </row>
    <row r="174" spans="1:72" x14ac:dyDescent="0.2">
      <c r="A174" s="100" t="s">
        <v>1104</v>
      </c>
      <c r="B174" s="116" t="str">
        <f>IF(A174="","",_xlfn.XLOOKUP(A174, Company_List!$A:$A, Company_List!$B:$B, ""))</f>
        <v>JNJ</v>
      </c>
      <c r="C174" s="21">
        <v>2025</v>
      </c>
      <c r="D174" s="20" t="s">
        <v>555</v>
      </c>
      <c r="E174" s="19" t="s">
        <v>1095</v>
      </c>
      <c r="F174" s="19" t="s">
        <v>538</v>
      </c>
      <c r="G174" s="20" t="s">
        <v>712</v>
      </c>
      <c r="H174" s="20" t="s">
        <v>540</v>
      </c>
      <c r="I174" s="145">
        <v>0.4</v>
      </c>
      <c r="J174" s="145" t="str">
        <f>IF(OR(I174="",Settings!$B$6=""),"",IF(I174&gt;Settings!$B$6,"BUY",IF(I174&lt;-Settings!$B$6,"SELL","HOLD")))</f>
        <v>BUY</v>
      </c>
      <c r="K174" s="145">
        <v>25</v>
      </c>
      <c r="L174" s="123">
        <v>45854</v>
      </c>
      <c r="M174" s="124">
        <v>45853</v>
      </c>
      <c r="N174" s="147">
        <v>155.16999999999999</v>
      </c>
      <c r="O174" s="124">
        <v>45854</v>
      </c>
      <c r="P174" s="145">
        <v>160.30000000000001</v>
      </c>
      <c r="Q174" s="148">
        <f t="shared" si="32"/>
        <v>3.3099999999999997E-2</v>
      </c>
      <c r="R174" s="20" t="str">
        <f>IF(OR(N174="",P174=""),"",IF(Q174&gt;Settings!$B$3/100,"UP",IF(Q174&lt;-Settings!$B$3/100,"DOWN","FLAT")))</f>
        <v>UP</v>
      </c>
      <c r="S174" s="20" t="str">
        <f t="shared" si="23"/>
        <v>YES</v>
      </c>
      <c r="T174" s="21">
        <f t="shared" si="24"/>
        <v>1</v>
      </c>
      <c r="U174" s="148">
        <f>IFERROR(IF(OR(J174="",N174="",P174=""),"",IF(T174=0,0,T174*Q174-Settings!$B$4/10000-IF(T174&lt;0,Settings!$B$5/10000,0))),"")</f>
        <v>3.2099999999999997E-2</v>
      </c>
      <c r="W174" s="21">
        <f t="shared" si="25"/>
        <v>1500</v>
      </c>
      <c r="X174" s="91" t="str">
        <f t="shared" si="26"/>
        <v>Johnson &amp; Johnson|2025|Q2</v>
      </c>
      <c r="Y174" s="91" t="str">
        <f>IFERROR(IF($X174="","",INDEX(LLM_Data_Entry!$H$3:$H$548,MATCH($X174,INDEX(LLM_Data_Entry!$A$3:$A$548&amp;"|"&amp;LLM_Data_Entry!$C$3:$C$548&amp;"|"&amp;LLM_Data_Entry!$D$3:$D$548,0),0))),"")</f>
        <v>BUY</v>
      </c>
      <c r="Z174" s="91" t="str">
        <f>IFERROR(IF($X174="","",INDEX(LLM_Data_Entry!$R$3:$R$548,MATCH($X174,INDEX(LLM_Data_Entry!$A$3:$A$548&amp;"|"&amp;LLM_Data_Entry!$C$3:$C$548&amp;"|"&amp;LLM_Data_Entry!$D$3:$D$548,0),0))),"")</f>
        <v>YES</v>
      </c>
      <c r="AB174" t="s">
        <v>835</v>
      </c>
      <c r="AC174" t="s">
        <v>1105</v>
      </c>
      <c r="AD174" t="s">
        <v>719</v>
      </c>
      <c r="AE174">
        <v>151.38740000000001</v>
      </c>
      <c r="AF174" t="s">
        <v>884</v>
      </c>
      <c r="AG174">
        <v>156.39240000000001</v>
      </c>
      <c r="AH174">
        <v>3.3060507519144973E-2</v>
      </c>
      <c r="AI174" t="s">
        <v>591</v>
      </c>
      <c r="AJ174" t="s">
        <v>554</v>
      </c>
      <c r="AK174">
        <v>3.2060999999999999E-2</v>
      </c>
      <c r="AL174" t="str">
        <f>IF($A174="","",IFERROR(INDEX(Company_List!$G$3:$G$207,MATCH($A174,Company_List!$A$3:$A$207,0)),"unassigned"))</f>
        <v>P3</v>
      </c>
      <c r="AM174" t="s">
        <v>1107</v>
      </c>
      <c r="AO174" t="s">
        <v>548</v>
      </c>
      <c r="AP174" t="str">
        <f>IF($A174="","",IF(COUNTIFS(LLM_Data_Entry!$A$3:$A$548,$A174)&gt;0,"YES","NO"))</f>
        <v>YES</v>
      </c>
      <c r="AQ174" t="str">
        <f>IF($A174="","",IF(COUNTIFS($A$3:$A174,$A174,$C$3:$C174,$C174,$D$3:$D174,$D174)=1,"YES","NO"))</f>
        <v>YES</v>
      </c>
      <c r="AR174" t="str">
        <f>IF($A174="","",IF(AND($C174&amp;"-"&amp;$D174&gt;=Settings!$B$19,$C174&amp;"-"&amp;$D174&lt;=Settings!$B$20),"IN","OUT"))</f>
        <v>IN</v>
      </c>
      <c r="AS174" t="str">
        <f t="shared" si="27"/>
        <v>presentation only</v>
      </c>
      <c r="AT174">
        <f t="shared" si="28"/>
        <v>3.2099999999999997E-2</v>
      </c>
      <c r="AU174">
        <f t="shared" si="29"/>
        <v>3.2060999999999999E-2</v>
      </c>
      <c r="AV174">
        <f>IF(ISNUMBER($AT174),ABS(IF(ISNUMBER($I174),$I174,0)-Settings!$B$24),"")</f>
        <v>0.4</v>
      </c>
      <c r="AW174">
        <f t="shared" si="30"/>
        <v>1.2839999999999999E-2</v>
      </c>
      <c r="AX174">
        <f>IF(ISNUMBER($AU174),ABS(IF(ISNUMBER($I174),$I174,0)-Settings!$B$24),"")</f>
        <v>0.4</v>
      </c>
      <c r="AY174" t="s">
        <v>549</v>
      </c>
      <c r="AZ174" t="str">
        <f>IF($A174="","",IFERROR(INDEX(Company_List!$H$3:$H$207,MATCH($A174,Company_List!$A$3:$A$207,0)),"unassigned"))</f>
        <v>Health Care</v>
      </c>
      <c r="BC174">
        <f>IF($A174="","",IF(COUNTIFS($A$3:$A174,$A174,$C$3:$C174,$C174,$D$3:$D174,$D174,$G$3:$G174,$G174)=1,1,0))</f>
        <v>1</v>
      </c>
      <c r="BG174" t="s">
        <v>550</v>
      </c>
      <c r="BK174">
        <f t="shared" si="31"/>
        <v>1</v>
      </c>
      <c r="BL174" t="s">
        <v>551</v>
      </c>
      <c r="BM174">
        <v>1</v>
      </c>
      <c r="BN174" t="s">
        <v>788</v>
      </c>
      <c r="BO174" t="s">
        <v>553</v>
      </c>
      <c r="BP174" t="s">
        <v>550</v>
      </c>
      <c r="BQ174" t="s">
        <v>550</v>
      </c>
      <c r="BS174" t="s">
        <v>554</v>
      </c>
    </row>
    <row r="175" spans="1:72" x14ac:dyDescent="0.2">
      <c r="A175" s="100" t="s">
        <v>1104</v>
      </c>
      <c r="B175" s="116" t="str">
        <f>IF(A175="","",_xlfn.XLOOKUP(A175, Company_List!$A:$A, Company_List!$B:$B, ""))</f>
        <v>JNJ</v>
      </c>
      <c r="C175" s="21">
        <v>2025</v>
      </c>
      <c r="D175" s="20" t="s">
        <v>563</v>
      </c>
      <c r="E175" s="19" t="s">
        <v>1095</v>
      </c>
      <c r="F175" s="19" t="s">
        <v>538</v>
      </c>
      <c r="G175" s="20" t="s">
        <v>712</v>
      </c>
      <c r="H175" s="20" t="s">
        <v>540</v>
      </c>
      <c r="I175" s="145">
        <v>0.6</v>
      </c>
      <c r="J175" s="145" t="str">
        <f>IF(OR(I175="",Settings!$B$6=""),"",IF(I175&gt;Settings!$B$6,"BUY",IF(I175&lt;-Settings!$B$6,"SELL","HOLD")))</f>
        <v>BUY</v>
      </c>
      <c r="K175" s="145">
        <v>22</v>
      </c>
      <c r="L175" s="123">
        <v>45944</v>
      </c>
      <c r="M175" s="124">
        <v>45943</v>
      </c>
      <c r="N175" s="147">
        <v>190.9</v>
      </c>
      <c r="O175" s="124">
        <v>45944</v>
      </c>
      <c r="P175" s="145">
        <v>192.92</v>
      </c>
      <c r="Q175" s="148">
        <f t="shared" si="32"/>
        <v>1.06E-2</v>
      </c>
      <c r="R175" s="20" t="str">
        <f>IF(OR(N175="",P175=""),"",IF(Q175&gt;Settings!$B$3/100,"UP",IF(Q175&lt;-Settings!$B$3/100,"DOWN","FLAT")))</f>
        <v>FLAT</v>
      </c>
      <c r="S175" s="20" t="str">
        <f t="shared" si="23"/>
        <v>NO</v>
      </c>
      <c r="T175" s="21">
        <f t="shared" si="24"/>
        <v>1</v>
      </c>
      <c r="U175" s="148">
        <f>IFERROR(IF(OR(J175="",N175="",P175=""),"",IF(T175=0,0,T175*Q175-Settings!$B$4/10000-IF(T175&lt;0,Settings!$B$5/10000,0))),"")</f>
        <v>9.6000000000000009E-3</v>
      </c>
      <c r="W175" s="21">
        <f t="shared" si="25"/>
        <v>1320</v>
      </c>
      <c r="X175" s="91" t="str">
        <f t="shared" si="26"/>
        <v>Johnson &amp; Johnson|2025|Q3</v>
      </c>
      <c r="Y175" s="91" t="str">
        <f>IFERROR(IF($X175="","",INDEX(LLM_Data_Entry!$H$3:$H$548,MATCH($X175,INDEX(LLM_Data_Entry!$A$3:$A$548&amp;"|"&amp;LLM_Data_Entry!$C$3:$C$548&amp;"|"&amp;LLM_Data_Entry!$D$3:$D$548,0),0))),"")</f>
        <v>BUY</v>
      </c>
      <c r="Z175" s="91" t="str">
        <f>IFERROR(IF($X175="","",INDEX(LLM_Data_Entry!$R$3:$R$548,MATCH($X175,INDEX(LLM_Data_Entry!$A$3:$A$548&amp;"|"&amp;LLM_Data_Entry!$C$3:$C$548&amp;"|"&amp;LLM_Data_Entry!$D$3:$D$548,0),0))),"")</f>
        <v>NO</v>
      </c>
      <c r="AB175" t="s">
        <v>835</v>
      </c>
      <c r="AC175" t="s">
        <v>1105</v>
      </c>
      <c r="AD175" t="s">
        <v>757</v>
      </c>
      <c r="AE175">
        <v>187.61349999999999</v>
      </c>
      <c r="AF175" t="s">
        <v>722</v>
      </c>
      <c r="AG175">
        <v>189.59870000000001</v>
      </c>
      <c r="AH175">
        <v>1.0581528256365351E-2</v>
      </c>
      <c r="AI175" t="s">
        <v>579</v>
      </c>
      <c r="AJ175" t="s">
        <v>546</v>
      </c>
      <c r="AK175">
        <v>9.5820000000000002E-3</v>
      </c>
      <c r="AL175" t="str">
        <f>IF($A175="","",IFERROR(INDEX(Company_List!$G$3:$G$207,MATCH($A175,Company_List!$A$3:$A$207,0)),"unassigned"))</f>
        <v>P3</v>
      </c>
      <c r="AM175" t="s">
        <v>1108</v>
      </c>
      <c r="AO175" t="s">
        <v>548</v>
      </c>
      <c r="AP175" t="str">
        <f>IF($A175="","",IF(COUNTIFS(LLM_Data_Entry!$A$3:$A$548,$A175)&gt;0,"YES","NO"))</f>
        <v>YES</v>
      </c>
      <c r="AQ175" t="str">
        <f>IF($A175="","",IF(COUNTIFS($A$3:$A175,$A175,$C$3:$C175,$C175,$D$3:$D175,$D175)=1,"YES","NO"))</f>
        <v>YES</v>
      </c>
      <c r="AR175" t="str">
        <f>IF($A175="","",IF(AND($C175&amp;"-"&amp;$D175&gt;=Settings!$B$19,$C175&amp;"-"&amp;$D175&lt;=Settings!$B$20),"IN","OUT"))</f>
        <v>IN</v>
      </c>
      <c r="AS175" t="str">
        <f t="shared" si="27"/>
        <v>presentation only</v>
      </c>
      <c r="AT175">
        <f t="shared" si="28"/>
        <v>9.6000000000000009E-3</v>
      </c>
      <c r="AU175">
        <f t="shared" si="29"/>
        <v>9.5820000000000002E-3</v>
      </c>
      <c r="AV175">
        <f>IF(ISNUMBER($AT175),ABS(IF(ISNUMBER($I175),$I175,0)-Settings!$B$24),"")</f>
        <v>0.6</v>
      </c>
      <c r="AW175">
        <f t="shared" si="30"/>
        <v>5.7600000000000004E-3</v>
      </c>
      <c r="AX175">
        <f>IF(ISNUMBER($AU175),ABS(IF(ISNUMBER($I175),$I175,0)-Settings!$B$24),"")</f>
        <v>0.6</v>
      </c>
      <c r="AY175" t="s">
        <v>549</v>
      </c>
      <c r="AZ175" t="str">
        <f>IF($A175="","",IFERROR(INDEX(Company_List!$H$3:$H$207,MATCH($A175,Company_List!$A$3:$A$207,0)),"unassigned"))</f>
        <v>Health Care</v>
      </c>
      <c r="BC175">
        <f>IF($A175="","",IF(COUNTIFS($A$3:$A175,$A175,$C$3:$C175,$C175,$D$3:$D175,$D175,$G$3:$G175,$G175)=1,1,0))</f>
        <v>1</v>
      </c>
      <c r="BG175" t="s">
        <v>550</v>
      </c>
      <c r="BK175">
        <f t="shared" si="31"/>
        <v>1</v>
      </c>
      <c r="BL175" t="s">
        <v>551</v>
      </c>
      <c r="BM175">
        <v>1</v>
      </c>
      <c r="BN175" t="s">
        <v>788</v>
      </c>
      <c r="BO175" t="s">
        <v>553</v>
      </c>
      <c r="BP175" t="s">
        <v>550</v>
      </c>
      <c r="BQ175" t="s">
        <v>550</v>
      </c>
      <c r="BS175" t="s">
        <v>554</v>
      </c>
    </row>
    <row r="176" spans="1:72" x14ac:dyDescent="0.2">
      <c r="A176" s="100" t="s">
        <v>1104</v>
      </c>
      <c r="B176" s="116" t="str">
        <f>IF(A176="","",_xlfn.XLOOKUP(A176, Company_List!$A:$A, Company_List!$B:$B, ""))</f>
        <v>JNJ</v>
      </c>
      <c r="C176" s="21">
        <v>2026</v>
      </c>
      <c r="D176" s="20" t="s">
        <v>537</v>
      </c>
      <c r="E176" s="98" t="s">
        <v>1095</v>
      </c>
      <c r="F176" s="98" t="s">
        <v>538</v>
      </c>
      <c r="G176" s="103" t="s">
        <v>712</v>
      </c>
      <c r="H176" s="20" t="s">
        <v>540</v>
      </c>
      <c r="I176" s="145">
        <v>-0.3</v>
      </c>
      <c r="J176" s="145" t="str">
        <f>IF(OR(I176="",Settings!$B$6=""),"",IF(I176&gt;Settings!$B$6,"BUY",IF(I176&lt;-Settings!$B$6,"SELL","HOLD")))</f>
        <v>SELL</v>
      </c>
      <c r="K176" s="145">
        <v>24</v>
      </c>
      <c r="L176" s="125">
        <v>46126</v>
      </c>
      <c r="M176" s="126">
        <v>46125</v>
      </c>
      <c r="N176" s="147">
        <v>237.96</v>
      </c>
      <c r="O176" s="126">
        <v>46126</v>
      </c>
      <c r="P176" s="145">
        <v>235.01</v>
      </c>
      <c r="Q176" s="148">
        <f t="shared" si="32"/>
        <v>-1.24E-2</v>
      </c>
      <c r="R176" s="20" t="str">
        <f>IF(OR(N176="",P176=""),"",IF(Q176&gt;Settings!$B$3/100,"UP",IF(Q176&lt;-Settings!$B$3/100,"DOWN","FLAT")))</f>
        <v>FLAT</v>
      </c>
      <c r="S176" s="20" t="str">
        <f t="shared" si="23"/>
        <v>NO</v>
      </c>
      <c r="T176" s="21">
        <f t="shared" si="24"/>
        <v>-1</v>
      </c>
      <c r="U176" s="148">
        <f>IFERROR(IF(OR(J176="",N176="",P176=""),"",IF(T176=0,0,T176*Q176-Settings!$B$4/10000-IF(T176&lt;0,Settings!$B$5/10000,0))),"")</f>
        <v>1.14E-2</v>
      </c>
      <c r="W176" s="21">
        <f t="shared" si="25"/>
        <v>1440</v>
      </c>
      <c r="X176" s="91" t="str">
        <f t="shared" si="26"/>
        <v>Johnson &amp; Johnson|2026|Q1</v>
      </c>
      <c r="Y176" s="91" t="str">
        <f>IFERROR(IF($X176="","",INDEX(LLM_Data_Entry!$H$3:$H$548,MATCH($X176,INDEX(LLM_Data_Entry!$A$3:$A$548&amp;"|"&amp;LLM_Data_Entry!$C$3:$C$548&amp;"|"&amp;LLM_Data_Entry!$D$3:$D$548,0),0))),"")</f>
        <v/>
      </c>
      <c r="Z176" s="91" t="str">
        <f>IFERROR(IF($X176="","",INDEX(LLM_Data_Entry!$R$3:$R$548,MATCH($X176,INDEX(LLM_Data_Entry!$A$3:$A$548&amp;"|"&amp;LLM_Data_Entry!$C$3:$C$548&amp;"|"&amp;LLM_Data_Entry!$D$3:$D$548,0),0))),"")</f>
        <v/>
      </c>
      <c r="AB176" t="s">
        <v>835</v>
      </c>
      <c r="AC176" t="s">
        <v>1105</v>
      </c>
      <c r="AD176" t="s">
        <v>766</v>
      </c>
      <c r="AE176">
        <v>236.5993</v>
      </c>
      <c r="AF176" t="s">
        <v>767</v>
      </c>
      <c r="AG176">
        <v>233.6662</v>
      </c>
      <c r="AH176">
        <v>-1.2397091819049459E-2</v>
      </c>
      <c r="AI176" t="s">
        <v>579</v>
      </c>
      <c r="AJ176" t="s">
        <v>546</v>
      </c>
      <c r="AK176">
        <v>1.1396999999999999E-2</v>
      </c>
      <c r="AL176" t="str">
        <f>IF($A176="","",IFERROR(INDEX(Company_List!$G$3:$G$207,MATCH($A176,Company_List!$A$3:$A$207,0)),"unassigned"))</f>
        <v>P3</v>
      </c>
      <c r="AM176" t="s">
        <v>1109</v>
      </c>
      <c r="AO176" t="s">
        <v>548</v>
      </c>
      <c r="AP176" t="str">
        <f>IF($A176="","",IF(COUNTIFS(LLM_Data_Entry!$A$3:$A$548,$A176)&gt;0,"YES","NO"))</f>
        <v>YES</v>
      </c>
      <c r="AQ176" t="str">
        <f>IF($A176="","",IF(COUNTIFS($A$3:$A176,$A176,$C$3:$C176,$C176,$D$3:$D176,$D176)=1,"YES","NO"))</f>
        <v>YES</v>
      </c>
      <c r="AR176" t="str">
        <f>IF($A176="","",IF(AND($C176&amp;"-"&amp;$D176&gt;=Settings!$B$19,$C176&amp;"-"&amp;$D176&lt;=Settings!$B$20),"IN","OUT"))</f>
        <v>IN</v>
      </c>
      <c r="AS176" t="str">
        <f t="shared" si="27"/>
        <v>presentation only</v>
      </c>
      <c r="AT176">
        <f t="shared" si="28"/>
        <v>1.14E-2</v>
      </c>
      <c r="AU176">
        <f t="shared" si="29"/>
        <v>1.1396999999999999E-2</v>
      </c>
      <c r="AV176">
        <f>IF(ISNUMBER($AT176),ABS(IF(ISNUMBER($I176),$I176,0)-Settings!$B$24),"")</f>
        <v>0.3</v>
      </c>
      <c r="AW176">
        <f t="shared" si="30"/>
        <v>3.4199999999999999E-3</v>
      </c>
      <c r="AX176">
        <f>IF(ISNUMBER($AU176),ABS(IF(ISNUMBER($I176),$I176,0)-Settings!$B$24),"")</f>
        <v>0.3</v>
      </c>
      <c r="AY176" t="s">
        <v>549</v>
      </c>
      <c r="AZ176" t="str">
        <f>IF($A176="","",IFERROR(INDEX(Company_List!$H$3:$H$207,MATCH($A176,Company_List!$A$3:$A$207,0)),"unassigned"))</f>
        <v>Health Care</v>
      </c>
      <c r="BC176">
        <f>IF($A176="","",IF(COUNTIFS($A$3:$A176,$A176,$C$3:$C176,$C176,$D$3:$D176,$D176,$G$3:$G176,$G176)=1,1,0))</f>
        <v>1</v>
      </c>
      <c r="BG176" t="s">
        <v>550</v>
      </c>
      <c r="BK176" t="str">
        <f t="shared" si="31"/>
        <v/>
      </c>
      <c r="BL176" t="s">
        <v>551</v>
      </c>
      <c r="BM176">
        <v>1</v>
      </c>
      <c r="BN176" t="s">
        <v>788</v>
      </c>
      <c r="BO176" t="s">
        <v>553</v>
      </c>
      <c r="BP176" t="s">
        <v>550</v>
      </c>
      <c r="BQ176" t="s">
        <v>550</v>
      </c>
      <c r="BS176" t="s">
        <v>546</v>
      </c>
      <c r="BT176" t="s">
        <v>1110</v>
      </c>
    </row>
    <row r="177" spans="1:71" x14ac:dyDescent="0.2">
      <c r="A177" s="100" t="s">
        <v>1111</v>
      </c>
      <c r="B177" s="116" t="str">
        <f>IF(A177="","",_xlfn.XLOOKUP(A177, Company_List!$A:$A, Company_List!$B:$B, ""))</f>
        <v>EXPE</v>
      </c>
      <c r="C177" s="21">
        <v>2025</v>
      </c>
      <c r="D177" s="20" t="s">
        <v>537</v>
      </c>
      <c r="E177" s="98" t="s">
        <v>647</v>
      </c>
      <c r="F177" s="98" t="s">
        <v>1092</v>
      </c>
      <c r="G177" s="143" t="s">
        <v>712</v>
      </c>
      <c r="H177" s="20" t="s">
        <v>540</v>
      </c>
      <c r="I177" s="145">
        <v>-0.3</v>
      </c>
      <c r="J177" s="145" t="str">
        <f>IF(OR(I177="",Settings!$B$6=""),"",IF(I177&gt;Settings!$B$6,"BUY",IF(I177&lt;-Settings!$B$6,"SELL","HOLD")))</f>
        <v>SELL</v>
      </c>
      <c r="K177" s="145">
        <v>38</v>
      </c>
      <c r="L177" s="125">
        <v>45785</v>
      </c>
      <c r="M177" s="125">
        <v>45785</v>
      </c>
      <c r="N177" s="147">
        <v>168.99</v>
      </c>
      <c r="O177" s="125">
        <v>45786</v>
      </c>
      <c r="P177" s="145">
        <v>152.59</v>
      </c>
      <c r="Q177" s="148">
        <f t="shared" si="32"/>
        <v>-9.7000000000000003E-2</v>
      </c>
      <c r="R177" s="20" t="str">
        <f>IF(OR(N177="",P177=""),"",IF(Q177&gt;Settings!$B$3/100,"UP",IF(Q177&lt;-Settings!$B$3/100,"DOWN","FLAT")))</f>
        <v>DOWN</v>
      </c>
      <c r="S177" s="20" t="str">
        <f t="shared" si="23"/>
        <v>YES</v>
      </c>
      <c r="T177" s="21">
        <f t="shared" si="24"/>
        <v>-1</v>
      </c>
      <c r="U177" s="148">
        <f>IFERROR(IF(OR(J177="",N177="",P177=""),"",IF(T177=0,0,T177*Q177-Settings!$B$4/10000-IF(T177&lt;0,Settings!$B$5/10000,0))),"")</f>
        <v>9.6000000000000002E-2</v>
      </c>
      <c r="W177" s="21">
        <f t="shared" si="25"/>
        <v>2280</v>
      </c>
      <c r="X177" s="91" t="str">
        <f t="shared" si="26"/>
        <v>Expedia|2025|Q1</v>
      </c>
      <c r="Y177" s="91" t="str">
        <f>IFERROR(IF($X177="","",INDEX(LLM_Data_Entry!$H$3:$H$548,MATCH($X177,INDEX(LLM_Data_Entry!$A$3:$A$548&amp;"|"&amp;LLM_Data_Entry!$C$3:$C$548&amp;"|"&amp;LLM_Data_Entry!$D$3:$D$548,0),0))),"")</f>
        <v>SELL</v>
      </c>
      <c r="Z177" s="91" t="str">
        <f>IFERROR(IF($X177="","",INDEX(LLM_Data_Entry!$R$3:$R$548,MATCH($X177,INDEX(LLM_Data_Entry!$A$3:$A$548&amp;"|"&amp;LLM_Data_Entry!$C$3:$C$548&amp;"|"&amp;LLM_Data_Entry!$D$3:$D$548,0),0))),"")</f>
        <v>YES</v>
      </c>
      <c r="AB177" t="s">
        <v>748</v>
      </c>
      <c r="AC177" t="s">
        <v>1112</v>
      </c>
      <c r="AD177" t="s">
        <v>1113</v>
      </c>
      <c r="AE177">
        <v>167.26990000000001</v>
      </c>
      <c r="AF177" t="s">
        <v>1114</v>
      </c>
      <c r="AG177">
        <v>151.0368</v>
      </c>
      <c r="AH177">
        <v>-9.7047231914891813E-2</v>
      </c>
      <c r="AI177" t="s">
        <v>545</v>
      </c>
      <c r="AJ177" t="s">
        <v>554</v>
      </c>
      <c r="AK177">
        <v>9.6046999999999993E-2</v>
      </c>
      <c r="AL177" t="str">
        <f>IF($A177="","",IFERROR(INDEX(Company_List!$G$3:$G$207,MATCH($A177,Company_List!$A$3:$A$207,0)),"unassigned"))</f>
        <v>P3</v>
      </c>
      <c r="AM177" t="s">
        <v>1115</v>
      </c>
      <c r="AO177" t="s">
        <v>548</v>
      </c>
      <c r="AP177" t="str">
        <f>IF($A177="","",IF(COUNTIFS(LLM_Data_Entry!$A$3:$A$548,$A177)&gt;0,"YES","NO"))</f>
        <v>YES</v>
      </c>
      <c r="AQ177" t="str">
        <f>IF($A177="","",IF(COUNTIFS($A$3:$A177,$A177,$C$3:$C177,$C177,$D$3:$D177,$D177)=1,"YES","NO"))</f>
        <v>YES</v>
      </c>
      <c r="AR177" t="str">
        <f>IF($A177="","",IF(AND($C177&amp;"-"&amp;$D177&gt;=Settings!$B$19,$C177&amp;"-"&amp;$D177&lt;=Settings!$B$20),"IN","OUT"))</f>
        <v>IN</v>
      </c>
      <c r="AS177" t="str">
        <f t="shared" si="27"/>
        <v>qanda</v>
      </c>
      <c r="AT177">
        <f t="shared" si="28"/>
        <v>9.6000000000000002E-2</v>
      </c>
      <c r="AU177">
        <f t="shared" si="29"/>
        <v>9.6046999999999993E-2</v>
      </c>
      <c r="AV177">
        <f>IF(ISNUMBER($AT177),ABS(IF(ISNUMBER($I177),$I177,0)-Settings!$B$24),"")</f>
        <v>0.3</v>
      </c>
      <c r="AW177">
        <f t="shared" si="30"/>
        <v>2.8799999999999999E-2</v>
      </c>
      <c r="AX177">
        <f>IF(ISNUMBER($AU177),ABS(IF(ISNUMBER($I177),$I177,0)-Settings!$B$24),"")</f>
        <v>0.3</v>
      </c>
      <c r="AY177" t="s">
        <v>549</v>
      </c>
      <c r="AZ177" t="str">
        <f>IF($A177="","",IFERROR(INDEX(Company_List!$H$3:$H$207,MATCH($A177,Company_List!$A$3:$A$207,0)),"unassigned"))</f>
        <v>Consumer Discretionary</v>
      </c>
      <c r="BC177">
        <f>IF($A177="","",IF(COUNTIFS($A$3:$A177,$A177,$C$3:$C177,$C177,$D$3:$D177,$D177,$G$3:$G177,$G177)=1,1,0))</f>
        <v>1</v>
      </c>
      <c r="BG177" t="s">
        <v>550</v>
      </c>
      <c r="BK177">
        <f t="shared" si="31"/>
        <v>1</v>
      </c>
      <c r="BL177" t="s">
        <v>551</v>
      </c>
      <c r="BM177">
        <v>1</v>
      </c>
      <c r="BN177" t="s">
        <v>788</v>
      </c>
      <c r="BO177" t="s">
        <v>553</v>
      </c>
      <c r="BP177" t="s">
        <v>550</v>
      </c>
      <c r="BQ177" t="s">
        <v>550</v>
      </c>
      <c r="BS177" t="s">
        <v>554</v>
      </c>
    </row>
    <row r="178" spans="1:71" x14ac:dyDescent="0.2">
      <c r="A178" s="100" t="s">
        <v>1111</v>
      </c>
      <c r="B178" s="116" t="str">
        <f>IF(A178="","",_xlfn.XLOOKUP(A178, Company_List!$A:$A, Company_List!$B:$B, ""))</f>
        <v>EXPE</v>
      </c>
      <c r="C178" s="21">
        <v>2025</v>
      </c>
      <c r="D178" s="20" t="s">
        <v>555</v>
      </c>
      <c r="E178" s="98" t="s">
        <v>647</v>
      </c>
      <c r="F178" s="98" t="s">
        <v>1092</v>
      </c>
      <c r="G178" s="143" t="s">
        <v>712</v>
      </c>
      <c r="H178" s="20" t="s">
        <v>540</v>
      </c>
      <c r="I178" s="145">
        <v>0.2</v>
      </c>
      <c r="J178" s="145" t="str">
        <f>IF(OR(I178="",Settings!$B$6=""),"",IF(I178&gt;Settings!$B$6,"BUY",IF(I178&lt;-Settings!$B$6,"SELL","HOLD")))</f>
        <v>HOLD</v>
      </c>
      <c r="K178" s="145">
        <v>32</v>
      </c>
      <c r="L178" s="125">
        <v>45876</v>
      </c>
      <c r="M178" s="125">
        <v>45876</v>
      </c>
      <c r="N178" s="147">
        <v>187.61</v>
      </c>
      <c r="O178" s="125">
        <v>45877</v>
      </c>
      <c r="P178" s="145">
        <v>211.6</v>
      </c>
      <c r="Q178" s="148">
        <f t="shared" si="32"/>
        <v>0.12790000000000001</v>
      </c>
      <c r="R178" s="20" t="str">
        <f>IF(OR(N178="",P178=""),"",IF(Q178&gt;Settings!$B$3/100,"UP",IF(Q178&lt;-Settings!$B$3/100,"DOWN","FLAT")))</f>
        <v>UP</v>
      </c>
      <c r="S178" s="20" t="str">
        <f t="shared" si="23"/>
        <v>NO</v>
      </c>
      <c r="T178" s="21">
        <f t="shared" si="24"/>
        <v>0</v>
      </c>
      <c r="U178" s="148">
        <f>IFERROR(IF(OR(J178="",N178="",P178=""),"",IF(T178=0,0,T178*Q178-Settings!$B$4/10000-IF(T178&lt;0,Settings!$B$5/10000,0))),"")</f>
        <v>0</v>
      </c>
      <c r="W178" s="21">
        <f t="shared" si="25"/>
        <v>1920</v>
      </c>
      <c r="X178" s="91" t="str">
        <f t="shared" si="26"/>
        <v>Expedia|2025|Q2</v>
      </c>
      <c r="Y178" s="91" t="str">
        <f>IFERROR(IF($X178="","",INDEX(LLM_Data_Entry!$H$3:$H$548,MATCH($X178,INDEX(LLM_Data_Entry!$A$3:$A$548&amp;"|"&amp;LLM_Data_Entry!$C$3:$C$548&amp;"|"&amp;LLM_Data_Entry!$D$3:$D$548,0),0))),"")</f>
        <v>BUY</v>
      </c>
      <c r="Z178" s="91" t="str">
        <f>IFERROR(IF($X178="","",INDEX(LLM_Data_Entry!$R$3:$R$548,MATCH($X178,INDEX(LLM_Data_Entry!$A$3:$A$548&amp;"|"&amp;LLM_Data_Entry!$C$3:$C$548&amp;"|"&amp;LLM_Data_Entry!$D$3:$D$548,0),0))),"")</f>
        <v>YES</v>
      </c>
      <c r="AB178" t="s">
        <v>541</v>
      </c>
      <c r="AC178" t="s">
        <v>1112</v>
      </c>
      <c r="AD178" t="s">
        <v>742</v>
      </c>
      <c r="AE178">
        <v>186.14439999999999</v>
      </c>
      <c r="AF178" t="s">
        <v>1116</v>
      </c>
      <c r="AG178">
        <v>209.947</v>
      </c>
      <c r="AH178">
        <v>0.1278717323670675</v>
      </c>
      <c r="AI178" t="s">
        <v>591</v>
      </c>
      <c r="AJ178" t="s">
        <v>546</v>
      </c>
      <c r="AK178">
        <v>0</v>
      </c>
      <c r="AL178" t="str">
        <f>IF($A178="","",IFERROR(INDEX(Company_List!$G$3:$G$207,MATCH($A178,Company_List!$A$3:$A$207,0)),"unassigned"))</f>
        <v>P3</v>
      </c>
      <c r="AM178" t="s">
        <v>1117</v>
      </c>
      <c r="AO178" t="s">
        <v>548</v>
      </c>
      <c r="AP178" t="str">
        <f>IF($A178="","",IF(COUNTIFS(LLM_Data_Entry!$A$3:$A$548,$A178)&gt;0,"YES","NO"))</f>
        <v>YES</v>
      </c>
      <c r="AQ178" t="str">
        <f>IF($A178="","",IF(COUNTIFS($A$3:$A178,$A178,$C$3:$C178,$C178,$D$3:$D178,$D178)=1,"YES","NO"))</f>
        <v>YES</v>
      </c>
      <c r="AR178" t="str">
        <f>IF($A178="","",IF(AND($C178&amp;"-"&amp;$D178&gt;=Settings!$B$19,$C178&amp;"-"&amp;$D178&lt;=Settings!$B$20),"IN","OUT"))</f>
        <v>IN</v>
      </c>
      <c r="AS178" t="str">
        <f t="shared" si="27"/>
        <v>qanda</v>
      </c>
      <c r="AT178" t="str">
        <f t="shared" si="28"/>
        <v/>
      </c>
      <c r="AU178" t="str">
        <f t="shared" si="29"/>
        <v/>
      </c>
      <c r="AV178" t="str">
        <f>IF(ISNUMBER($AT178),ABS(IF(ISNUMBER($I178),$I178,0)-Settings!$B$24),"")</f>
        <v/>
      </c>
      <c r="AW178" t="str">
        <f t="shared" si="30"/>
        <v/>
      </c>
      <c r="AX178" t="str">
        <f>IF(ISNUMBER($AU178),ABS(IF(ISNUMBER($I178),$I178,0)-Settings!$B$24),"")</f>
        <v/>
      </c>
      <c r="AY178" t="s">
        <v>549</v>
      </c>
      <c r="AZ178" t="str">
        <f>IF($A178="","",IFERROR(INDEX(Company_List!$H$3:$H$207,MATCH($A178,Company_List!$A$3:$A$207,0)),"unassigned"))</f>
        <v>Consumer Discretionary</v>
      </c>
      <c r="BC178">
        <f>IF($A178="","",IF(COUNTIFS($A$3:$A178,$A178,$C$3:$C178,$C178,$D$3:$D178,$D178,$G$3:$G178,$G178)=1,1,0))</f>
        <v>1</v>
      </c>
      <c r="BG178" t="s">
        <v>550</v>
      </c>
      <c r="BK178">
        <f t="shared" si="31"/>
        <v>0</v>
      </c>
      <c r="BL178" t="s">
        <v>551</v>
      </c>
      <c r="BM178">
        <v>1</v>
      </c>
      <c r="BN178" t="s">
        <v>788</v>
      </c>
      <c r="BO178" t="s">
        <v>553</v>
      </c>
      <c r="BP178" t="s">
        <v>550</v>
      </c>
      <c r="BQ178" t="s">
        <v>550</v>
      </c>
      <c r="BS178" t="s">
        <v>554</v>
      </c>
    </row>
    <row r="179" spans="1:71" x14ac:dyDescent="0.2">
      <c r="A179" s="100" t="s">
        <v>1111</v>
      </c>
      <c r="B179" s="116" t="str">
        <f>IF(A179="","",_xlfn.XLOOKUP(A179, Company_List!$A:$A, Company_List!$B:$B, ""))</f>
        <v>EXPE</v>
      </c>
      <c r="C179" s="21">
        <v>2025</v>
      </c>
      <c r="D179" s="20" t="s">
        <v>569</v>
      </c>
      <c r="E179" s="98" t="s">
        <v>647</v>
      </c>
      <c r="F179" s="98" t="s">
        <v>1092</v>
      </c>
      <c r="G179" s="143" t="s">
        <v>712</v>
      </c>
      <c r="H179" s="20" t="s">
        <v>540</v>
      </c>
      <c r="I179" s="145">
        <v>0.4</v>
      </c>
      <c r="J179" s="145" t="str">
        <f>IF(OR(I179="",Settings!$B$6=""),"",IF(I179&gt;Settings!$B$6,"BUY",IF(I179&lt;-Settings!$B$6,"SELL","HOLD")))</f>
        <v>BUY</v>
      </c>
      <c r="K179" s="145">
        <v>34</v>
      </c>
      <c r="L179" s="125">
        <v>46065</v>
      </c>
      <c r="M179" s="125">
        <v>46065</v>
      </c>
      <c r="N179" s="147">
        <v>227.24</v>
      </c>
      <c r="O179" s="125">
        <v>46066</v>
      </c>
      <c r="P179" s="145">
        <v>212</v>
      </c>
      <c r="Q179" s="148">
        <f t="shared" si="32"/>
        <v>-6.7100000000000007E-2</v>
      </c>
      <c r="R179" s="20" t="str">
        <f>IF(OR(N179="",P179=""),"",IF(Q179&gt;Settings!$B$3/100,"UP",IF(Q179&lt;-Settings!$B$3/100,"DOWN","FLAT")))</f>
        <v>DOWN</v>
      </c>
      <c r="S179" s="20" t="str">
        <f t="shared" si="23"/>
        <v>NO</v>
      </c>
      <c r="T179" s="21">
        <f t="shared" si="24"/>
        <v>1</v>
      </c>
      <c r="U179" s="148">
        <f>IFERROR(IF(OR(J179="",N179="",P179=""),"",IF(T179=0,0,T179*Q179-Settings!$B$4/10000-IF(T179&lt;0,Settings!$B$5/10000,0))),"")</f>
        <v>-6.8100000000000008E-2</v>
      </c>
      <c r="W179" s="21">
        <f t="shared" si="25"/>
        <v>2040</v>
      </c>
      <c r="X179" s="91" t="str">
        <f t="shared" si="26"/>
        <v>Expedia|2025|Q4</v>
      </c>
      <c r="Y179" s="91" t="str">
        <f>IFERROR(IF($X179="","",INDEX(LLM_Data_Entry!$H$3:$H$548,MATCH($X179,INDEX(LLM_Data_Entry!$A$3:$A$548&amp;"|"&amp;LLM_Data_Entry!$C$3:$C$548&amp;"|"&amp;LLM_Data_Entry!$D$3:$D$548,0),0))),"")</f>
        <v>BUY</v>
      </c>
      <c r="Z179" s="91" t="str">
        <f>IFERROR(IF($X179="","",INDEX(LLM_Data_Entry!$R$3:$R$548,MATCH($X179,INDEX(LLM_Data_Entry!$A$3:$A$548&amp;"|"&amp;LLM_Data_Entry!$C$3:$C$548&amp;"|"&amp;LLM_Data_Entry!$D$3:$D$548,0),0))),"")</f>
        <v>NO</v>
      </c>
      <c r="AB179" t="s">
        <v>685</v>
      </c>
      <c r="AC179" t="s">
        <v>1112</v>
      </c>
      <c r="AD179" t="s">
        <v>677</v>
      </c>
      <c r="AE179">
        <v>226.26769999999999</v>
      </c>
      <c r="AF179" t="s">
        <v>923</v>
      </c>
      <c r="AG179">
        <v>211.09289999999999</v>
      </c>
      <c r="AH179">
        <v>-6.7065724225585349E-2</v>
      </c>
      <c r="AI179" t="s">
        <v>545</v>
      </c>
      <c r="AJ179" t="s">
        <v>546</v>
      </c>
      <c r="AK179">
        <v>-6.8066000000000002E-2</v>
      </c>
      <c r="AL179" t="str">
        <f>IF($A179="","",IFERROR(INDEX(Company_List!$G$3:$G$207,MATCH($A179,Company_List!$A$3:$A$207,0)),"unassigned"))</f>
        <v>P3</v>
      </c>
      <c r="AM179" t="s">
        <v>1118</v>
      </c>
      <c r="AO179" t="s">
        <v>548</v>
      </c>
      <c r="AP179" t="str">
        <f>IF($A179="","",IF(COUNTIFS(LLM_Data_Entry!$A$3:$A$548,$A179)&gt;0,"YES","NO"))</f>
        <v>YES</v>
      </c>
      <c r="AQ179" t="str">
        <f>IF($A179="","",IF(COUNTIFS($A$3:$A179,$A179,$C$3:$C179,$C179,$D$3:$D179,$D179)=1,"YES","NO"))</f>
        <v>YES</v>
      </c>
      <c r="AR179" t="str">
        <f>IF($A179="","",IF(AND($C179&amp;"-"&amp;$D179&gt;=Settings!$B$19,$C179&amp;"-"&amp;$D179&lt;=Settings!$B$20),"IN","OUT"))</f>
        <v>IN</v>
      </c>
      <c r="AS179" t="str">
        <f t="shared" si="27"/>
        <v>qanda</v>
      </c>
      <c r="AT179">
        <f t="shared" si="28"/>
        <v>-6.8100000000000008E-2</v>
      </c>
      <c r="AU179">
        <f t="shared" si="29"/>
        <v>-6.8066000000000002E-2</v>
      </c>
      <c r="AV179">
        <f>IF(ISNUMBER($AT179),ABS(IF(ISNUMBER($I179),$I179,0)-Settings!$B$24),"")</f>
        <v>0.4</v>
      </c>
      <c r="AW179">
        <f t="shared" si="30"/>
        <v>-2.7240000000000004E-2</v>
      </c>
      <c r="AX179">
        <f>IF(ISNUMBER($AU179),ABS(IF(ISNUMBER($I179),$I179,0)-Settings!$B$24),"")</f>
        <v>0.4</v>
      </c>
      <c r="AY179" t="s">
        <v>549</v>
      </c>
      <c r="AZ179" t="str">
        <f>IF($A179="","",IFERROR(INDEX(Company_List!$H$3:$H$207,MATCH($A179,Company_List!$A$3:$A$207,0)),"unassigned"))</f>
        <v>Consumer Discretionary</v>
      </c>
      <c r="BC179">
        <f>IF($A179="","",IF(COUNTIFS($A$3:$A179,$A179,$C$3:$C179,$C179,$D$3:$D179,$D179,$G$3:$G179,$G179)=1,1,0))</f>
        <v>1</v>
      </c>
      <c r="BG179" t="s">
        <v>550</v>
      </c>
      <c r="BK179">
        <f t="shared" si="31"/>
        <v>1</v>
      </c>
      <c r="BL179" t="s">
        <v>551</v>
      </c>
      <c r="BM179">
        <v>1</v>
      </c>
      <c r="BN179" t="s">
        <v>788</v>
      </c>
      <c r="BO179" t="s">
        <v>553</v>
      </c>
      <c r="BP179" t="s">
        <v>550</v>
      </c>
      <c r="BQ179" t="s">
        <v>550</v>
      </c>
      <c r="BS179" t="s">
        <v>554</v>
      </c>
    </row>
    <row r="180" spans="1:71" x14ac:dyDescent="0.2">
      <c r="A180" s="100" t="s">
        <v>1111</v>
      </c>
      <c r="B180" s="116" t="str">
        <f>IF(A180="","",_xlfn.XLOOKUP(A180, Company_List!$A:$A, Company_List!$B:$B, ""))</f>
        <v>EXPE</v>
      </c>
      <c r="C180" s="21">
        <v>2026</v>
      </c>
      <c r="D180" s="20" t="s">
        <v>537</v>
      </c>
      <c r="E180" s="98" t="s">
        <v>647</v>
      </c>
      <c r="F180" s="98" t="s">
        <v>1092</v>
      </c>
      <c r="G180" s="143" t="s">
        <v>712</v>
      </c>
      <c r="H180" s="20" t="s">
        <v>540</v>
      </c>
      <c r="I180" s="145">
        <v>-0.4</v>
      </c>
      <c r="J180" s="145" t="str">
        <f>IF(OR(I180="",Settings!$B$6=""),"",IF(I180&gt;Settings!$B$6,"BUY",IF(I180&lt;-Settings!$B$6,"SELL","HOLD")))</f>
        <v>SELL</v>
      </c>
      <c r="K180" s="145">
        <v>30</v>
      </c>
      <c r="L180" s="125">
        <v>46149</v>
      </c>
      <c r="M180" s="125">
        <v>46149</v>
      </c>
      <c r="N180" s="147">
        <v>252.79</v>
      </c>
      <c r="O180" s="125">
        <v>46150</v>
      </c>
      <c r="P180" s="145">
        <v>232.51</v>
      </c>
      <c r="Q180" s="148">
        <f t="shared" si="32"/>
        <v>-8.0199999999999994E-2</v>
      </c>
      <c r="R180" s="20" t="str">
        <f>IF(OR(N180="",P180=""),"",IF(Q180&gt;Settings!$B$3/100,"UP",IF(Q180&lt;-Settings!$B$3/100,"DOWN","FLAT")))</f>
        <v>DOWN</v>
      </c>
      <c r="S180" s="20" t="str">
        <f t="shared" si="23"/>
        <v>YES</v>
      </c>
      <c r="T180" s="21">
        <f t="shared" si="24"/>
        <v>-1</v>
      </c>
      <c r="U180" s="148">
        <f>IFERROR(IF(OR(J180="",N180="",P180=""),"",IF(T180=0,0,T180*Q180-Settings!$B$4/10000-IF(T180&lt;0,Settings!$B$5/10000,0))),"")</f>
        <v>7.9199999999999993E-2</v>
      </c>
      <c r="W180" s="21">
        <f t="shared" si="25"/>
        <v>1800</v>
      </c>
      <c r="X180" s="91" t="str">
        <f t="shared" si="26"/>
        <v>Expedia|2026|Q1</v>
      </c>
      <c r="Y180" s="91" t="str">
        <f>IFERROR(IF($X180="","",INDEX(LLM_Data_Entry!$H$3:$H$548,MATCH($X180,INDEX(LLM_Data_Entry!$A$3:$A$548&amp;"|"&amp;LLM_Data_Entry!$C$3:$C$548&amp;"|"&amp;LLM_Data_Entry!$D$3:$D$548,0),0))),"")</f>
        <v>HOLD</v>
      </c>
      <c r="Z180" s="91" t="str">
        <f>IFERROR(IF($X180="","",INDEX(LLM_Data_Entry!$R$3:$R$548,MATCH($X180,INDEX(LLM_Data_Entry!$A$3:$A$548&amp;"|"&amp;LLM_Data_Entry!$C$3:$C$548&amp;"|"&amp;LLM_Data_Entry!$D$3:$D$548,0),0))),"")</f>
        <v>NO</v>
      </c>
      <c r="AB180" t="s">
        <v>541</v>
      </c>
      <c r="AC180" t="s">
        <v>1112</v>
      </c>
      <c r="AD180" t="s">
        <v>681</v>
      </c>
      <c r="AE180">
        <v>252.2544</v>
      </c>
      <c r="AF180" t="s">
        <v>830</v>
      </c>
      <c r="AG180">
        <v>232.01740000000001</v>
      </c>
      <c r="AH180">
        <v>-8.0224694365914881E-2</v>
      </c>
      <c r="AI180" t="s">
        <v>545</v>
      </c>
      <c r="AJ180" t="s">
        <v>554</v>
      </c>
      <c r="AK180">
        <v>7.9225000000000004E-2</v>
      </c>
      <c r="AL180" t="str">
        <f>IF($A180="","",IFERROR(INDEX(Company_List!$G$3:$G$207,MATCH($A180,Company_List!$A$3:$A$207,0)),"unassigned"))</f>
        <v>P3</v>
      </c>
      <c r="AM180" t="s">
        <v>1119</v>
      </c>
      <c r="AO180" t="s">
        <v>548</v>
      </c>
      <c r="AP180" t="str">
        <f>IF($A180="","",IF(COUNTIFS(LLM_Data_Entry!$A$3:$A$548,$A180)&gt;0,"YES","NO"))</f>
        <v>YES</v>
      </c>
      <c r="AQ180" t="str">
        <f>IF($A180="","",IF(COUNTIFS($A$3:$A180,$A180,$C$3:$C180,$C180,$D$3:$D180,$D180)=1,"YES","NO"))</f>
        <v>YES</v>
      </c>
      <c r="AR180" t="str">
        <f>IF($A180="","",IF(AND($C180&amp;"-"&amp;$D180&gt;=Settings!$B$19,$C180&amp;"-"&amp;$D180&lt;=Settings!$B$20),"IN","OUT"))</f>
        <v>IN</v>
      </c>
      <c r="AS180" t="str">
        <f t="shared" si="27"/>
        <v>qanda</v>
      </c>
      <c r="AT180">
        <f t="shared" si="28"/>
        <v>7.9199999999999993E-2</v>
      </c>
      <c r="AU180">
        <f t="shared" si="29"/>
        <v>7.9225000000000004E-2</v>
      </c>
      <c r="AV180">
        <f>IF(ISNUMBER($AT180),ABS(IF(ISNUMBER($I180),$I180,0)-Settings!$B$24),"")</f>
        <v>0.4</v>
      </c>
      <c r="AW180">
        <f t="shared" si="30"/>
        <v>3.168E-2</v>
      </c>
      <c r="AX180">
        <f>IF(ISNUMBER($AU180),ABS(IF(ISNUMBER($I180),$I180,0)-Settings!$B$24),"")</f>
        <v>0.4</v>
      </c>
      <c r="AY180" t="s">
        <v>549</v>
      </c>
      <c r="AZ180" t="str">
        <f>IF($A180="","",IFERROR(INDEX(Company_List!$H$3:$H$207,MATCH($A180,Company_List!$A$3:$A$207,0)),"unassigned"))</f>
        <v>Consumer Discretionary</v>
      </c>
      <c r="BC180">
        <f>IF($A180="","",IF(COUNTIFS($A$3:$A180,$A180,$C$3:$C180,$C180,$D$3:$D180,$D180,$G$3:$G180,$G180)=1,1,0))</f>
        <v>1</v>
      </c>
      <c r="BG180" t="s">
        <v>550</v>
      </c>
      <c r="BK180">
        <f t="shared" si="31"/>
        <v>0</v>
      </c>
      <c r="BL180" t="s">
        <v>551</v>
      </c>
      <c r="BM180">
        <v>1</v>
      </c>
      <c r="BN180" t="s">
        <v>788</v>
      </c>
      <c r="BO180" t="s">
        <v>553</v>
      </c>
      <c r="BP180" t="s">
        <v>550</v>
      </c>
      <c r="BQ180" t="s">
        <v>550</v>
      </c>
      <c r="BS180" t="s">
        <v>554</v>
      </c>
    </row>
    <row r="181" spans="1:71" x14ac:dyDescent="0.2">
      <c r="A181" s="100" t="s">
        <v>1120</v>
      </c>
      <c r="B181" s="116" t="str">
        <f>IF(A181="","",_xlfn.XLOOKUP(A181, Company_List!$A:$A, Company_List!$B:$B, ""))</f>
        <v>HOOD</v>
      </c>
      <c r="C181" s="21">
        <v>2025</v>
      </c>
      <c r="D181" s="20" t="s">
        <v>537</v>
      </c>
      <c r="E181" s="98" t="s">
        <v>1121</v>
      </c>
      <c r="F181" s="98" t="s">
        <v>538</v>
      </c>
      <c r="G181" s="143" t="s">
        <v>712</v>
      </c>
      <c r="H181" s="20" t="s">
        <v>540</v>
      </c>
      <c r="I181" s="145">
        <v>0.7</v>
      </c>
      <c r="J181" s="145" t="str">
        <f>IF(OR(I181="",Settings!$B$6=""),"",IF(I181&gt;Settings!$B$6,"BUY",IF(I181&lt;-Settings!$B$6,"SELL","HOLD")))</f>
        <v>BUY</v>
      </c>
      <c r="K181" s="145">
        <v>21</v>
      </c>
      <c r="L181" s="124">
        <v>45777</v>
      </c>
      <c r="M181" s="124">
        <v>45777</v>
      </c>
      <c r="N181" s="147">
        <v>49.11</v>
      </c>
      <c r="O181" s="126">
        <v>45778</v>
      </c>
      <c r="P181" s="145">
        <v>51.12</v>
      </c>
      <c r="Q181" s="148">
        <f t="shared" si="32"/>
        <v>4.0899999999999999E-2</v>
      </c>
      <c r="R181" s="20" t="str">
        <f>IF(OR(N181="",P181=""),"",IF(Q181&gt;Settings!$B$3/100,"UP",IF(Q181&lt;-Settings!$B$3/100,"DOWN","FLAT")))</f>
        <v>UP</v>
      </c>
      <c r="S181" s="20" t="str">
        <f t="shared" si="23"/>
        <v>YES</v>
      </c>
      <c r="T181" s="21">
        <f t="shared" si="24"/>
        <v>1</v>
      </c>
      <c r="U181" s="148">
        <f>IFERROR(IF(OR(J181="",N181="",P181=""),"",IF(T181=0,0,T181*Q181-Settings!$B$4/10000-IF(T181&lt;0,Settings!$B$5/10000,0))),"")</f>
        <v>3.9899999999999998E-2</v>
      </c>
      <c r="W181" s="21">
        <f t="shared" si="25"/>
        <v>1260</v>
      </c>
      <c r="X181" s="91" t="str">
        <f t="shared" si="26"/>
        <v>Robinhood Markets|2025|Q1</v>
      </c>
      <c r="Y181" s="91" t="str">
        <f>IFERROR(IF($X181="","",INDEX(LLM_Data_Entry!$H$3:$H$548,MATCH($X181,INDEX(LLM_Data_Entry!$A$3:$A$548&amp;"|"&amp;LLM_Data_Entry!$C$3:$C$548&amp;"|"&amp;LLM_Data_Entry!$D$3:$D$548,0),0))),"")</f>
        <v>HOLD</v>
      </c>
      <c r="Z181" s="91" t="str">
        <f>IFERROR(IF($X181="","",INDEX(LLM_Data_Entry!$R$3:$R$548,MATCH($X181,INDEX(LLM_Data_Entry!$A$3:$A$548&amp;"|"&amp;LLM_Data_Entry!$C$3:$C$548&amp;"|"&amp;LLM_Data_Entry!$D$3:$D$548,0),0))),"")</f>
        <v>NO</v>
      </c>
      <c r="AB181" t="s">
        <v>1122</v>
      </c>
      <c r="AC181" t="s">
        <v>1123</v>
      </c>
      <c r="AD181" t="s">
        <v>1099</v>
      </c>
      <c r="AE181">
        <v>49.11</v>
      </c>
      <c r="AF181" t="s">
        <v>1124</v>
      </c>
      <c r="AG181">
        <v>51.125</v>
      </c>
      <c r="AH181">
        <v>4.1030318855013057E-2</v>
      </c>
      <c r="AI181" t="s">
        <v>591</v>
      </c>
      <c r="AJ181" t="s">
        <v>554</v>
      </c>
      <c r="AK181">
        <v>4.0030000000000003E-2</v>
      </c>
      <c r="AL181" t="str">
        <f>IF($A181="","",IFERROR(INDEX(Company_List!$G$3:$G$207,MATCH($A181,Company_List!$A$3:$A$207,0)),"unassigned"))</f>
        <v>P3</v>
      </c>
      <c r="AM181" t="s">
        <v>1125</v>
      </c>
      <c r="AO181" t="s">
        <v>548</v>
      </c>
      <c r="AP181" t="str">
        <f>IF($A181="","",IF(COUNTIFS(LLM_Data_Entry!$A$3:$A$548,$A181)&gt;0,"YES","NO"))</f>
        <v>YES</v>
      </c>
      <c r="AQ181" t="str">
        <f>IF($A181="","",IF(COUNTIFS($A$3:$A181,$A181,$C$3:$C181,$C181,$D$3:$D181,$D181)=1,"YES","NO"))</f>
        <v>YES</v>
      </c>
      <c r="AR181" t="str">
        <f>IF($A181="","",IF(AND($C181&amp;"-"&amp;$D181&gt;=Settings!$B$19,$C181&amp;"-"&amp;$D181&lt;=Settings!$B$20),"IN","OUT"))</f>
        <v>IN</v>
      </c>
      <c r="AS181" t="str">
        <f t="shared" si="27"/>
        <v>press release document only</v>
      </c>
      <c r="AT181">
        <f t="shared" si="28"/>
        <v>3.9899999999999998E-2</v>
      </c>
      <c r="AU181">
        <f t="shared" si="29"/>
        <v>4.0030000000000003E-2</v>
      </c>
      <c r="AV181">
        <f>IF(ISNUMBER($AT181),ABS(IF(ISNUMBER($I181),$I181,0)-Settings!$B$24),"")</f>
        <v>0.7</v>
      </c>
      <c r="AW181">
        <f t="shared" si="30"/>
        <v>2.7929999999999996E-2</v>
      </c>
      <c r="AX181">
        <f>IF(ISNUMBER($AU181),ABS(IF(ISNUMBER($I181),$I181,0)-Settings!$B$24),"")</f>
        <v>0.7</v>
      </c>
      <c r="AY181" t="s">
        <v>549</v>
      </c>
      <c r="AZ181" t="str">
        <f>IF($A181="","",IFERROR(INDEX(Company_List!$H$3:$H$207,MATCH($A181,Company_List!$A$3:$A$207,0)),"unassigned"))</f>
        <v>Financials</v>
      </c>
      <c r="BC181">
        <f>IF($A181="","",IF(COUNTIFS($A$3:$A181,$A181,$C$3:$C181,$C181,$D$3:$D181,$D181,$G$3:$G181,$G181)=1,1,0))</f>
        <v>1</v>
      </c>
      <c r="BG181" t="s">
        <v>550</v>
      </c>
      <c r="BK181">
        <f t="shared" si="31"/>
        <v>0</v>
      </c>
      <c r="BL181" t="s">
        <v>551</v>
      </c>
      <c r="BM181">
        <v>1</v>
      </c>
      <c r="BN181" t="s">
        <v>561</v>
      </c>
      <c r="BO181" t="s">
        <v>561</v>
      </c>
      <c r="BP181" t="s">
        <v>550</v>
      </c>
      <c r="BQ181" t="s">
        <v>550</v>
      </c>
      <c r="BS181" t="s">
        <v>554</v>
      </c>
    </row>
    <row r="182" spans="1:71" x14ac:dyDescent="0.2">
      <c r="A182" s="100" t="s">
        <v>1120</v>
      </c>
      <c r="B182" s="116" t="str">
        <f>IF(A182="","",_xlfn.XLOOKUP(A182, Company_List!$A:$A, Company_List!$B:$B, ""))</f>
        <v>HOOD</v>
      </c>
      <c r="C182" s="21">
        <v>2025</v>
      </c>
      <c r="D182" s="20" t="s">
        <v>555</v>
      </c>
      <c r="E182" s="98" t="s">
        <v>647</v>
      </c>
      <c r="F182" s="98" t="s">
        <v>1090</v>
      </c>
      <c r="G182" s="143" t="s">
        <v>712</v>
      </c>
      <c r="H182" s="20" t="s">
        <v>540</v>
      </c>
      <c r="I182" s="145">
        <v>0.6</v>
      </c>
      <c r="J182" s="145" t="str">
        <f>IF(OR(I182="",Settings!$B$6=""),"",IF(I182&gt;Settings!$B$6,"BUY",IF(I182&lt;-Settings!$B$6,"SELL","HOLD")))</f>
        <v>BUY</v>
      </c>
      <c r="K182" s="145">
        <v>15</v>
      </c>
      <c r="L182" s="124">
        <v>45868</v>
      </c>
      <c r="M182" s="124">
        <v>45868</v>
      </c>
      <c r="N182" s="147">
        <v>106.1</v>
      </c>
      <c r="O182" s="124">
        <v>45869</v>
      </c>
      <c r="P182" s="145">
        <v>103.87</v>
      </c>
      <c r="Q182" s="148">
        <f t="shared" si="32"/>
        <v>-2.1000000000000001E-2</v>
      </c>
      <c r="R182" s="20" t="str">
        <f>IF(OR(N182="",P182=""),"",IF(Q182&gt;Settings!$B$3/100,"UP",IF(Q182&lt;-Settings!$B$3/100,"DOWN","FLAT")))</f>
        <v>DOWN</v>
      </c>
      <c r="S182" s="20" t="str">
        <f t="shared" si="23"/>
        <v>NO</v>
      </c>
      <c r="T182" s="21">
        <f t="shared" si="24"/>
        <v>1</v>
      </c>
      <c r="U182" s="148">
        <f>IFERROR(IF(OR(J182="",N182="",P182=""),"",IF(T182=0,0,T182*Q182-Settings!$B$4/10000-IF(T182&lt;0,Settings!$B$5/10000,0))),"")</f>
        <v>-2.2000000000000002E-2</v>
      </c>
      <c r="W182" s="21">
        <f t="shared" si="25"/>
        <v>900</v>
      </c>
      <c r="X182" s="91" t="str">
        <f t="shared" si="26"/>
        <v>Robinhood Markets|2025|Q2</v>
      </c>
      <c r="Y182" s="91" t="str">
        <f>IFERROR(IF($X182="","",INDEX(LLM_Data_Entry!$H$3:$H$548,MATCH($X182,INDEX(LLM_Data_Entry!$A$3:$A$548&amp;"|"&amp;LLM_Data_Entry!$C$3:$C$548&amp;"|"&amp;LLM_Data_Entry!$D$3:$D$548,0),0))),"")</f>
        <v>HOLD</v>
      </c>
      <c r="Z182" s="91" t="str">
        <f>IFERROR(IF($X182="","",INDEX(LLM_Data_Entry!$R$3:$R$548,MATCH($X182,INDEX(LLM_Data_Entry!$A$3:$A$548&amp;"|"&amp;LLM_Data_Entry!$C$3:$C$548&amp;"|"&amp;LLM_Data_Entry!$D$3:$D$548,0),0))),"")</f>
        <v>NO</v>
      </c>
      <c r="AB182" t="s">
        <v>541</v>
      </c>
      <c r="AC182" t="s">
        <v>1123</v>
      </c>
      <c r="AD182" t="s">
        <v>1001</v>
      </c>
      <c r="AE182">
        <v>106.1</v>
      </c>
      <c r="AF182" t="s">
        <v>687</v>
      </c>
      <c r="AG182">
        <v>103.86499999999999</v>
      </c>
      <c r="AH182">
        <v>-2.1065033384826262E-2</v>
      </c>
      <c r="AI182" t="s">
        <v>545</v>
      </c>
      <c r="AJ182" t="s">
        <v>546</v>
      </c>
      <c r="AK182">
        <v>-2.2065000000000001E-2</v>
      </c>
      <c r="AL182" t="str">
        <f>IF($A182="","",IFERROR(INDEX(Company_List!$G$3:$G$207,MATCH($A182,Company_List!$A$3:$A$207,0)),"unassigned"))</f>
        <v>P3</v>
      </c>
      <c r="AM182" t="s">
        <v>1126</v>
      </c>
      <c r="AO182" t="s">
        <v>548</v>
      </c>
      <c r="AP182" t="str">
        <f>IF($A182="","",IF(COUNTIFS(LLM_Data_Entry!$A$3:$A$548,$A182)&gt;0,"YES","NO"))</f>
        <v>YES</v>
      </c>
      <c r="AQ182" t="str">
        <f>IF($A182="","",IF(COUNTIFS($A$3:$A182,$A182,$C$3:$C182,$C182,$D$3:$D182,$D182)=1,"YES","NO"))</f>
        <v>YES</v>
      </c>
      <c r="AR182" t="str">
        <f>IF($A182="","",IF(AND($C182&amp;"-"&amp;$D182&gt;=Settings!$B$19,$C182&amp;"-"&amp;$D182&lt;=Settings!$B$20),"IN","OUT"))</f>
        <v>IN</v>
      </c>
      <c r="AS182" t="str">
        <f t="shared" si="27"/>
        <v>guidance</v>
      </c>
      <c r="AT182">
        <f t="shared" si="28"/>
        <v>-2.2000000000000002E-2</v>
      </c>
      <c r="AU182">
        <f t="shared" si="29"/>
        <v>-2.2065000000000001E-2</v>
      </c>
      <c r="AV182">
        <f>IF(ISNUMBER($AT182),ABS(IF(ISNUMBER($I182),$I182,0)-Settings!$B$24),"")</f>
        <v>0.6</v>
      </c>
      <c r="AW182">
        <f t="shared" si="30"/>
        <v>-1.3200000000000002E-2</v>
      </c>
      <c r="AX182">
        <f>IF(ISNUMBER($AU182),ABS(IF(ISNUMBER($I182),$I182,0)-Settings!$B$24),"")</f>
        <v>0.6</v>
      </c>
      <c r="AY182" t="s">
        <v>549</v>
      </c>
      <c r="AZ182" t="str">
        <f>IF($A182="","",IFERROR(INDEX(Company_List!$H$3:$H$207,MATCH($A182,Company_List!$A$3:$A$207,0)),"unassigned"))</f>
        <v>Financials</v>
      </c>
      <c r="BC182">
        <f>IF($A182="","",IF(COUNTIFS($A$3:$A182,$A182,$C$3:$C182,$C182,$D$3:$D182,$D182,$G$3:$G182,$G182)=1,1,0))</f>
        <v>1</v>
      </c>
      <c r="BG182" t="s">
        <v>550</v>
      </c>
      <c r="BK182">
        <f t="shared" si="31"/>
        <v>0</v>
      </c>
      <c r="BL182" t="s">
        <v>551</v>
      </c>
      <c r="BM182">
        <v>1</v>
      </c>
      <c r="BN182" t="s">
        <v>561</v>
      </c>
      <c r="BO182" t="s">
        <v>561</v>
      </c>
      <c r="BP182" t="s">
        <v>550</v>
      </c>
      <c r="BQ182" t="s">
        <v>550</v>
      </c>
      <c r="BS182" t="s">
        <v>554</v>
      </c>
    </row>
    <row r="183" spans="1:71" x14ac:dyDescent="0.2">
      <c r="A183" s="100" t="s">
        <v>1120</v>
      </c>
      <c r="B183" s="116" t="str">
        <f>IF(A183="","",_xlfn.XLOOKUP(A183, Company_List!$A:$A, Company_List!$B:$B, ""))</f>
        <v>HOOD</v>
      </c>
      <c r="C183" s="21">
        <v>2025</v>
      </c>
      <c r="D183" s="20" t="s">
        <v>563</v>
      </c>
      <c r="E183" s="98" t="s">
        <v>647</v>
      </c>
      <c r="F183" s="98" t="s">
        <v>1092</v>
      </c>
      <c r="G183" s="143" t="s">
        <v>712</v>
      </c>
      <c r="H183" s="20" t="s">
        <v>540</v>
      </c>
      <c r="I183" s="145">
        <v>0.3</v>
      </c>
      <c r="J183" s="145" t="str">
        <f>IF(OR(I183="",Settings!$B$6=""),"",IF(I183&gt;Settings!$B$6,"BUY",IF(I183&lt;-Settings!$B$6,"SELL","HOLD")))</f>
        <v>BUY</v>
      </c>
      <c r="K183" s="145">
        <v>40</v>
      </c>
      <c r="L183" s="125">
        <v>45966</v>
      </c>
      <c r="M183" s="126">
        <v>45966</v>
      </c>
      <c r="N183" s="147">
        <v>142.47999999999999</v>
      </c>
      <c r="O183" s="126">
        <v>45967</v>
      </c>
      <c r="P183" s="145">
        <v>140</v>
      </c>
      <c r="Q183" s="148">
        <f t="shared" si="32"/>
        <v>-1.7399999999999999E-2</v>
      </c>
      <c r="R183" s="20" t="str">
        <f>IF(OR(N183="",P183=""),"",IF(Q183&gt;Settings!$B$3/100,"UP",IF(Q183&lt;-Settings!$B$3/100,"DOWN","FLAT")))</f>
        <v>FLAT</v>
      </c>
      <c r="S183" s="20" t="str">
        <f t="shared" si="23"/>
        <v>NO</v>
      </c>
      <c r="T183" s="21">
        <f t="shared" si="24"/>
        <v>1</v>
      </c>
      <c r="U183" s="148">
        <f>IFERROR(IF(OR(J183="",N183="",P183=""),"",IF(T183=0,0,T183*Q183-Settings!$B$4/10000-IF(T183&lt;0,Settings!$B$5/10000,0))),"")</f>
        <v>-1.84E-2</v>
      </c>
      <c r="W183" s="21">
        <f t="shared" si="25"/>
        <v>2400</v>
      </c>
      <c r="X183" s="91" t="str">
        <f t="shared" si="26"/>
        <v>Robinhood Markets|2025|Q3</v>
      </c>
      <c r="Y183" s="91" t="str">
        <f>IFERROR(IF($X183="","",INDEX(LLM_Data_Entry!$H$3:$H$548,MATCH($X183,INDEX(LLM_Data_Entry!$A$3:$A$548&amp;"|"&amp;LLM_Data_Entry!$C$3:$C$548&amp;"|"&amp;LLM_Data_Entry!$D$3:$D$548,0),0))),"")</f>
        <v>BUY</v>
      </c>
      <c r="Z183" s="91" t="str">
        <f>IFERROR(IF($X183="","",INDEX(LLM_Data_Entry!$R$3:$R$548,MATCH($X183,INDEX(LLM_Data_Entry!$A$3:$A$548&amp;"|"&amp;LLM_Data_Entry!$C$3:$C$548&amp;"|"&amp;LLM_Data_Entry!$D$3:$D$548,0),0))),"")</f>
        <v>NO</v>
      </c>
      <c r="AB183" t="s">
        <v>612</v>
      </c>
      <c r="AC183" t="s">
        <v>1123</v>
      </c>
      <c r="AD183" t="s">
        <v>1031</v>
      </c>
      <c r="AE183">
        <v>136.80000000000001</v>
      </c>
      <c r="AF183" t="s">
        <v>872</v>
      </c>
      <c r="AG183">
        <v>139.63499999999999</v>
      </c>
      <c r="AH183">
        <v>2.0723625276528681E-2</v>
      </c>
      <c r="AI183" t="s">
        <v>591</v>
      </c>
      <c r="AJ183" t="s">
        <v>554</v>
      </c>
      <c r="AK183">
        <v>1.9723999999999998E-2</v>
      </c>
      <c r="AL183" t="str">
        <f>IF($A183="","",IFERROR(INDEX(Company_List!$G$3:$G$207,MATCH($A183,Company_List!$A$3:$A$207,0)),"unassigned"))</f>
        <v>P3</v>
      </c>
      <c r="AM183" t="s">
        <v>1127</v>
      </c>
      <c r="AO183" t="s">
        <v>548</v>
      </c>
      <c r="AP183" t="str">
        <f>IF($A183="","",IF(COUNTIFS(LLM_Data_Entry!$A$3:$A$548,$A183)&gt;0,"YES","NO"))</f>
        <v>YES</v>
      </c>
      <c r="AQ183" t="str">
        <f>IF($A183="","",IF(COUNTIFS($A$3:$A183,$A183,$C$3:$C183,$C183,$D$3:$D183,$D183)=1,"YES","NO"))</f>
        <v>YES</v>
      </c>
      <c r="AR183" t="str">
        <f>IF($A183="","",IF(AND($C183&amp;"-"&amp;$D183&gt;=Settings!$B$19,$C183&amp;"-"&amp;$D183&lt;=Settings!$B$20),"IN","OUT"))</f>
        <v>IN</v>
      </c>
      <c r="AS183" t="str">
        <f t="shared" si="27"/>
        <v>qanda</v>
      </c>
      <c r="AT183">
        <f t="shared" si="28"/>
        <v>-1.84E-2</v>
      </c>
      <c r="AU183">
        <f t="shared" si="29"/>
        <v>1.9723999999999998E-2</v>
      </c>
      <c r="AV183">
        <f>IF(ISNUMBER($AT183),ABS(IF(ISNUMBER($I183),$I183,0)-Settings!$B$24),"")</f>
        <v>0.3</v>
      </c>
      <c r="AW183">
        <f t="shared" si="30"/>
        <v>-5.5199999999999997E-3</v>
      </c>
      <c r="AX183">
        <f>IF(ISNUMBER($AU183),ABS(IF(ISNUMBER($I183),$I183,0)-Settings!$B$24),"")</f>
        <v>0.3</v>
      </c>
      <c r="AY183" t="s">
        <v>549</v>
      </c>
      <c r="AZ183" t="str">
        <f>IF($A183="","",IFERROR(INDEX(Company_List!$H$3:$H$207,MATCH($A183,Company_List!$A$3:$A$207,0)),"unassigned"))</f>
        <v>Financials</v>
      </c>
      <c r="BC183">
        <f>IF($A183="","",IF(COUNTIFS($A$3:$A183,$A183,$C$3:$C183,$C183,$D$3:$D183,$D183,$G$3:$G183,$G183)=1,1,0))</f>
        <v>1</v>
      </c>
      <c r="BG183" t="s">
        <v>550</v>
      </c>
      <c r="BK183">
        <f t="shared" si="31"/>
        <v>1</v>
      </c>
      <c r="BL183" t="s">
        <v>551</v>
      </c>
      <c r="BM183">
        <v>1</v>
      </c>
      <c r="BN183" t="s">
        <v>561</v>
      </c>
      <c r="BO183" t="s">
        <v>561</v>
      </c>
      <c r="BP183" t="s">
        <v>550</v>
      </c>
      <c r="BQ183" t="s">
        <v>550</v>
      </c>
      <c r="BS183" t="s">
        <v>554</v>
      </c>
    </row>
    <row r="184" spans="1:71" x14ac:dyDescent="0.2">
      <c r="A184" s="100" t="s">
        <v>1120</v>
      </c>
      <c r="B184" s="116" t="str">
        <f>IF(A184="","",_xlfn.XLOOKUP(A184, Company_List!$A:$A, Company_List!$B:$B, ""))</f>
        <v>HOOD</v>
      </c>
      <c r="C184" s="21">
        <v>2026</v>
      </c>
      <c r="D184" s="20" t="s">
        <v>537</v>
      </c>
      <c r="E184" s="98" t="s">
        <v>1095</v>
      </c>
      <c r="F184" s="98" t="s">
        <v>538</v>
      </c>
      <c r="G184" s="143" t="s">
        <v>712</v>
      </c>
      <c r="H184" s="20" t="s">
        <v>540</v>
      </c>
      <c r="I184" s="145">
        <v>-0.6</v>
      </c>
      <c r="J184" s="145" t="str">
        <f>IF(OR(I184="",Settings!$B$6=""),"",IF(I184&gt;Settings!$B$6,"BUY",IF(I184&lt;-Settings!$B$6,"SELL","HOLD")))</f>
        <v>SELL</v>
      </c>
      <c r="K184" s="145">
        <v>25</v>
      </c>
      <c r="L184" s="125">
        <v>46140</v>
      </c>
      <c r="M184" s="126">
        <v>46140</v>
      </c>
      <c r="N184" s="147">
        <v>82.07</v>
      </c>
      <c r="O184" s="126">
        <v>46141</v>
      </c>
      <c r="P184" s="145">
        <v>72.3</v>
      </c>
      <c r="Q184" s="148">
        <f t="shared" si="32"/>
        <v>-0.11899999999999999</v>
      </c>
      <c r="R184" s="20" t="str">
        <f>IF(OR(N184="",P184=""),"",IF(Q184&gt;Settings!$B$3/100,"UP",IF(Q184&lt;-Settings!$B$3/100,"DOWN","FLAT")))</f>
        <v>DOWN</v>
      </c>
      <c r="S184" s="20" t="str">
        <f t="shared" si="23"/>
        <v>YES</v>
      </c>
      <c r="T184" s="21">
        <f t="shared" si="24"/>
        <v>-1</v>
      </c>
      <c r="U184" s="148">
        <f>IFERROR(IF(OR(J184="",N184="",P184=""),"",IF(T184=0,0,T184*Q184-Settings!$B$4/10000-IF(T184&lt;0,Settings!$B$5/10000,0))),"")</f>
        <v>0.11799999999999999</v>
      </c>
      <c r="W184" s="21">
        <f t="shared" si="25"/>
        <v>1500</v>
      </c>
      <c r="X184" s="91" t="str">
        <f t="shared" si="26"/>
        <v>Robinhood Markets|2026|Q1</v>
      </c>
      <c r="Y184" s="91" t="str">
        <f>IFERROR(IF($X184="","",INDEX(LLM_Data_Entry!$H$3:$H$548,MATCH($X184,INDEX(LLM_Data_Entry!$A$3:$A$548&amp;"|"&amp;LLM_Data_Entry!$C$3:$C$548&amp;"|"&amp;LLM_Data_Entry!$D$3:$D$548,0),0))),"")</f>
        <v>HOLD</v>
      </c>
      <c r="Z184" s="91" t="str">
        <f>IFERROR(IF($X184="","",INDEX(LLM_Data_Entry!$R$3:$R$548,MATCH($X184,INDEX(LLM_Data_Entry!$A$3:$A$548&amp;"|"&amp;LLM_Data_Entry!$C$3:$C$548&amp;"|"&amp;LLM_Data_Entry!$D$3:$D$548,0),0))),"")</f>
        <v>NO</v>
      </c>
      <c r="AB184" t="s">
        <v>685</v>
      </c>
      <c r="AC184" t="s">
        <v>1123</v>
      </c>
      <c r="AD184" t="s">
        <v>709</v>
      </c>
      <c r="AE184">
        <v>82.07</v>
      </c>
      <c r="AF184" t="s">
        <v>656</v>
      </c>
      <c r="AG184">
        <v>72.3</v>
      </c>
      <c r="AH184">
        <v>-0.11904468136956239</v>
      </c>
      <c r="AI184" t="s">
        <v>545</v>
      </c>
      <c r="AJ184" t="s">
        <v>554</v>
      </c>
      <c r="AK184">
        <v>0.118045</v>
      </c>
      <c r="AL184" t="str">
        <f>IF($A184="","",IFERROR(INDEX(Company_List!$G$3:$G$207,MATCH($A184,Company_List!$A$3:$A$207,0)),"unassigned"))</f>
        <v>P3</v>
      </c>
      <c r="AM184" t="s">
        <v>1128</v>
      </c>
      <c r="AO184" t="s">
        <v>548</v>
      </c>
      <c r="AP184" t="str">
        <f>IF($A184="","",IF(COUNTIFS(LLM_Data_Entry!$A$3:$A$548,$A184)&gt;0,"YES","NO"))</f>
        <v>YES</v>
      </c>
      <c r="AQ184" t="str">
        <f>IF($A184="","",IF(COUNTIFS($A$3:$A184,$A184,$C$3:$C184,$C184,$D$3:$D184,$D184)=1,"YES","NO"))</f>
        <v>YES</v>
      </c>
      <c r="AR184" t="str">
        <f>IF($A184="","",IF(AND($C184&amp;"-"&amp;$D184&gt;=Settings!$B$19,$C184&amp;"-"&amp;$D184&lt;=Settings!$B$20),"IN","OUT"))</f>
        <v>IN</v>
      </c>
      <c r="AS184" t="str">
        <f t="shared" si="27"/>
        <v>presentation only</v>
      </c>
      <c r="AT184">
        <f t="shared" si="28"/>
        <v>0.11799999999999999</v>
      </c>
      <c r="AU184">
        <f t="shared" si="29"/>
        <v>0.118045</v>
      </c>
      <c r="AV184">
        <f>IF(ISNUMBER($AT184),ABS(IF(ISNUMBER($I184),$I184,0)-Settings!$B$24),"")</f>
        <v>0.6</v>
      </c>
      <c r="AW184">
        <f t="shared" si="30"/>
        <v>7.0799999999999988E-2</v>
      </c>
      <c r="AX184">
        <f>IF(ISNUMBER($AU184),ABS(IF(ISNUMBER($I184),$I184,0)-Settings!$B$24),"")</f>
        <v>0.6</v>
      </c>
      <c r="AY184" t="s">
        <v>549</v>
      </c>
      <c r="AZ184" t="str">
        <f>IF($A184="","",IFERROR(INDEX(Company_List!$H$3:$H$207,MATCH($A184,Company_List!$A$3:$A$207,0)),"unassigned"))</f>
        <v>Financials</v>
      </c>
      <c r="BC184">
        <f>IF($A184="","",IF(COUNTIFS($A$3:$A184,$A184,$C$3:$C184,$C184,$D$3:$D184,$D184,$G$3:$G184,$G184)=1,1,0))</f>
        <v>1</v>
      </c>
      <c r="BG184" t="s">
        <v>550</v>
      </c>
      <c r="BK184">
        <f t="shared" si="31"/>
        <v>0</v>
      </c>
      <c r="BL184" t="s">
        <v>551</v>
      </c>
      <c r="BM184">
        <v>1</v>
      </c>
      <c r="BN184" t="s">
        <v>561</v>
      </c>
      <c r="BO184" t="s">
        <v>561</v>
      </c>
      <c r="BP184" t="s">
        <v>550</v>
      </c>
      <c r="BQ184" t="s">
        <v>550</v>
      </c>
      <c r="BS184" t="s">
        <v>554</v>
      </c>
    </row>
    <row r="185" spans="1:71" x14ac:dyDescent="0.2">
      <c r="A185" s="100" t="s">
        <v>1129</v>
      </c>
      <c r="B185" s="116" t="str">
        <f>IF(A185="","",_xlfn.XLOOKUP(A185, Company_List!$A:$A, Company_List!$B:$B, ""))</f>
        <v>CMCSA</v>
      </c>
      <c r="C185" s="21">
        <v>2025</v>
      </c>
      <c r="D185" s="20" t="s">
        <v>537</v>
      </c>
      <c r="E185" s="19" t="s">
        <v>647</v>
      </c>
      <c r="F185" s="19" t="s">
        <v>538</v>
      </c>
      <c r="G185" s="143" t="s">
        <v>712</v>
      </c>
      <c r="H185" s="20" t="s">
        <v>540</v>
      </c>
      <c r="I185" s="145">
        <v>-0.1</v>
      </c>
      <c r="J185" s="145" t="str">
        <f>IF(OR(I185="",Settings!$B$6=""),"",IF(I185&gt;Settings!$B$6,"BUY",IF(I185&lt;-Settings!$B$6,"SELL","HOLD")))</f>
        <v>HOLD</v>
      </c>
      <c r="K185" s="145">
        <v>38</v>
      </c>
      <c r="L185" s="123">
        <v>45771</v>
      </c>
      <c r="M185" s="123">
        <v>45770</v>
      </c>
      <c r="N185" s="147">
        <v>32.305500000000002</v>
      </c>
      <c r="O185" s="123">
        <v>45771</v>
      </c>
      <c r="P185" s="145">
        <v>29.97</v>
      </c>
      <c r="Q185" s="148">
        <f t="shared" si="32"/>
        <v>-7.2300000000000003E-2</v>
      </c>
      <c r="R185" s="20" t="str">
        <f>IF(OR(N185="",P185=""),"",IF(Q185&gt;Settings!$B$3/100,"UP",IF(Q185&lt;-Settings!$B$3/100,"DOWN","FLAT")))</f>
        <v>DOWN</v>
      </c>
      <c r="S185" s="20" t="str">
        <f t="shared" si="23"/>
        <v>NO</v>
      </c>
      <c r="T185" s="21">
        <f t="shared" si="24"/>
        <v>0</v>
      </c>
      <c r="U185" s="148">
        <f>IFERROR(IF(OR(J185="",N185="",P185=""),"",IF(T185=0,0,T185*Q185-Settings!$B$4/10000-IF(T185&lt;0,Settings!$B$5/10000,0))),"")</f>
        <v>0</v>
      </c>
      <c r="W185" s="21">
        <f t="shared" si="25"/>
        <v>2280</v>
      </c>
      <c r="X185" s="91" t="str">
        <f t="shared" si="26"/>
        <v>Comcast Corporation|2025|Q1</v>
      </c>
      <c r="Y185" s="91" t="str">
        <f>IFERROR(IF($X185="","",INDEX(LLM_Data_Entry!$H$3:$H$548,MATCH($X185,INDEX(LLM_Data_Entry!$A$3:$A$548&amp;"|"&amp;LLM_Data_Entry!$C$3:$C$548&amp;"|"&amp;LLM_Data_Entry!$D$3:$D$548,0),0))),"")</f>
        <v>SELL</v>
      </c>
      <c r="Z185" s="91" t="str">
        <f>IFERROR(IF($X185="","",INDEX(LLM_Data_Entry!$R$3:$R$548,MATCH($X185,INDEX(LLM_Data_Entry!$A$3:$A$548&amp;"|"&amp;LLM_Data_Entry!$C$3:$C$548&amp;"|"&amp;LLM_Data_Entry!$D$3:$D$548,0),0))),"")</f>
        <v>YES</v>
      </c>
      <c r="AB185" t="s">
        <v>835</v>
      </c>
      <c r="AC185" t="s">
        <v>1130</v>
      </c>
      <c r="AD185" t="s">
        <v>615</v>
      </c>
      <c r="AE185">
        <v>30.532900000000001</v>
      </c>
      <c r="AF185" t="s">
        <v>1131</v>
      </c>
      <c r="AG185">
        <v>28.327300000000001</v>
      </c>
      <c r="AH185">
        <v>-7.2236817020277663E-2</v>
      </c>
      <c r="AI185" t="s">
        <v>545</v>
      </c>
      <c r="AJ185" t="s">
        <v>546</v>
      </c>
      <c r="AK185">
        <v>0</v>
      </c>
      <c r="AL185" t="str">
        <f>IF($A185="","",IFERROR(INDEX(Company_List!$G$3:$G$207,MATCH($A185,Company_List!$A$3:$A$207,0)),"unassigned"))</f>
        <v>P3</v>
      </c>
      <c r="AM185" t="s">
        <v>1132</v>
      </c>
      <c r="AO185" t="s">
        <v>548</v>
      </c>
      <c r="AP185" t="str">
        <f>IF($A185="","",IF(COUNTIFS(LLM_Data_Entry!$A$3:$A$548,$A185)&gt;0,"YES","NO"))</f>
        <v>YES</v>
      </c>
      <c r="AQ185" t="str">
        <f>IF($A185="","",IF(COUNTIFS($A$3:$A185,$A185,$C$3:$C185,$C185,$D$3:$D185,$D185)=1,"YES","NO"))</f>
        <v>YES</v>
      </c>
      <c r="AR185" t="str">
        <f>IF($A185="","",IF(AND($C185&amp;"-"&amp;$D185&gt;=Settings!$B$19,$C185&amp;"-"&amp;$D185&lt;=Settings!$B$20),"IN","OUT"))</f>
        <v>IN</v>
      </c>
      <c r="AS185" t="str">
        <f t="shared" si="27"/>
        <v>transcript only</v>
      </c>
      <c r="AT185" t="str">
        <f t="shared" si="28"/>
        <v/>
      </c>
      <c r="AU185" t="str">
        <f t="shared" si="29"/>
        <v/>
      </c>
      <c r="AV185" t="str">
        <f>IF(ISNUMBER($AT185),ABS(IF(ISNUMBER($I185),$I185,0)-Settings!$B$24),"")</f>
        <v/>
      </c>
      <c r="AW185" t="str">
        <f t="shared" si="30"/>
        <v/>
      </c>
      <c r="AX185" t="str">
        <f>IF(ISNUMBER($AU185),ABS(IF(ISNUMBER($I185),$I185,0)-Settings!$B$24),"")</f>
        <v/>
      </c>
      <c r="AY185" t="s">
        <v>549</v>
      </c>
      <c r="AZ185" t="str">
        <f>IF($A185="","",IFERROR(INDEX(Company_List!$H$3:$H$207,MATCH($A185,Company_List!$A$3:$A$207,0)),"unassigned"))</f>
        <v>Communication Services</v>
      </c>
      <c r="BC185">
        <f>IF($A185="","",IF(COUNTIFS($A$3:$A185,$A185,$C$3:$C185,$C185,$D$3:$D185,$D185,$G$3:$G185,$G185)=1,1,0))</f>
        <v>1</v>
      </c>
      <c r="BG185" t="s">
        <v>550</v>
      </c>
      <c r="BK185">
        <f t="shared" si="31"/>
        <v>0</v>
      </c>
      <c r="BL185" t="s">
        <v>551</v>
      </c>
      <c r="BM185">
        <v>1</v>
      </c>
      <c r="BN185" t="s">
        <v>788</v>
      </c>
      <c r="BO185" t="s">
        <v>553</v>
      </c>
      <c r="BP185" t="s">
        <v>550</v>
      </c>
      <c r="BQ185" t="s">
        <v>550</v>
      </c>
      <c r="BS185" t="s">
        <v>554</v>
      </c>
    </row>
    <row r="186" spans="1:71" x14ac:dyDescent="0.2">
      <c r="A186" s="100" t="s">
        <v>1129</v>
      </c>
      <c r="B186" s="116" t="str">
        <f>IF(A186="","",_xlfn.XLOOKUP(A186, Company_List!$A:$A, Company_List!$B:$B, ""))</f>
        <v>CMCSA</v>
      </c>
      <c r="C186" s="21">
        <v>2025</v>
      </c>
      <c r="D186" s="20" t="s">
        <v>555</v>
      </c>
      <c r="E186" s="19" t="s">
        <v>647</v>
      </c>
      <c r="F186" s="19" t="s">
        <v>538</v>
      </c>
      <c r="G186" s="143" t="s">
        <v>712</v>
      </c>
      <c r="H186" s="20" t="s">
        <v>540</v>
      </c>
      <c r="I186" s="145">
        <v>-0.3</v>
      </c>
      <c r="J186" s="145" t="str">
        <f>IF(OR(I186="",Settings!$B$6=""),"",IF(I186&gt;Settings!$B$6,"BUY",IF(I186&lt;-Settings!$B$6,"SELL","HOLD")))</f>
        <v>SELL</v>
      </c>
      <c r="K186" s="145">
        <v>29</v>
      </c>
      <c r="L186" s="123">
        <v>45869</v>
      </c>
      <c r="M186" s="123">
        <v>45868</v>
      </c>
      <c r="N186" s="147">
        <v>30.459199999999999</v>
      </c>
      <c r="O186" s="123">
        <v>45869</v>
      </c>
      <c r="P186" s="145">
        <v>31.86</v>
      </c>
      <c r="Q186" s="148">
        <f t="shared" si="32"/>
        <v>4.5999999999999999E-2</v>
      </c>
      <c r="R186" s="20" t="str">
        <f>IF(OR(N186="",P186=""),"",IF(Q186&gt;Settings!$B$3/100,"UP",IF(Q186&lt;-Settings!$B$3/100,"DOWN","FLAT")))</f>
        <v>UP</v>
      </c>
      <c r="S186" s="20" t="str">
        <f t="shared" si="23"/>
        <v>NO</v>
      </c>
      <c r="T186" s="21">
        <f t="shared" si="24"/>
        <v>-1</v>
      </c>
      <c r="U186" s="148">
        <f>IFERROR(IF(OR(J186="",N186="",P186=""),"",IF(T186=0,0,T186*Q186-Settings!$B$4/10000-IF(T186&lt;0,Settings!$B$5/10000,0))),"")</f>
        <v>-4.7E-2</v>
      </c>
      <c r="W186" s="21">
        <f t="shared" si="25"/>
        <v>1740</v>
      </c>
      <c r="X186" s="91" t="str">
        <f t="shared" si="26"/>
        <v>Comcast Corporation|2025|Q2</v>
      </c>
      <c r="Y186" s="91" t="str">
        <f>IFERROR(IF($X186="","",INDEX(LLM_Data_Entry!$H$3:$H$548,MATCH($X186,INDEX(LLM_Data_Entry!$A$3:$A$548&amp;"|"&amp;LLM_Data_Entry!$C$3:$C$548&amp;"|"&amp;LLM_Data_Entry!$D$3:$D$548,0),0))),"")</f>
        <v>HOLD</v>
      </c>
      <c r="Z186" s="91" t="str">
        <f>IFERROR(IF($X186="","",INDEX(LLM_Data_Entry!$R$3:$R$548,MATCH($X186,INDEX(LLM_Data_Entry!$A$3:$A$548&amp;"|"&amp;LLM_Data_Entry!$C$3:$C$548&amp;"|"&amp;LLM_Data_Entry!$D$3:$D$548,0),0))),"")</f>
        <v>NO</v>
      </c>
      <c r="AB186" t="s">
        <v>835</v>
      </c>
      <c r="AC186" t="s">
        <v>1130</v>
      </c>
      <c r="AD186" t="s">
        <v>1001</v>
      </c>
      <c r="AE186">
        <v>29.0518</v>
      </c>
      <c r="AF186" t="s">
        <v>687</v>
      </c>
      <c r="AG186">
        <v>30.383800000000001</v>
      </c>
      <c r="AH186">
        <v>4.5846239370015217E-2</v>
      </c>
      <c r="AI186" t="s">
        <v>591</v>
      </c>
      <c r="AJ186" t="s">
        <v>546</v>
      </c>
      <c r="AK186">
        <v>-4.6845999999999999E-2</v>
      </c>
      <c r="AL186" t="str">
        <f>IF($A186="","",IFERROR(INDEX(Company_List!$G$3:$G$207,MATCH($A186,Company_List!$A$3:$A$207,0)),"unassigned"))</f>
        <v>P3</v>
      </c>
      <c r="AM186" t="s">
        <v>1133</v>
      </c>
      <c r="AO186" t="s">
        <v>548</v>
      </c>
      <c r="AP186" t="str">
        <f>IF($A186="","",IF(COUNTIFS(LLM_Data_Entry!$A$3:$A$548,$A186)&gt;0,"YES","NO"))</f>
        <v>YES</v>
      </c>
      <c r="AQ186" t="str">
        <f>IF($A186="","",IF(COUNTIFS($A$3:$A186,$A186,$C$3:$C186,$C186,$D$3:$D186,$D186)=1,"YES","NO"))</f>
        <v>YES</v>
      </c>
      <c r="AR186" t="str">
        <f>IF($A186="","",IF(AND($C186&amp;"-"&amp;$D186&gt;=Settings!$B$19,$C186&amp;"-"&amp;$D186&lt;=Settings!$B$20),"IN","OUT"))</f>
        <v>IN</v>
      </c>
      <c r="AS186" t="str">
        <f t="shared" si="27"/>
        <v>transcript only</v>
      </c>
      <c r="AT186">
        <f t="shared" si="28"/>
        <v>-4.7E-2</v>
      </c>
      <c r="AU186">
        <f t="shared" si="29"/>
        <v>-4.6845999999999999E-2</v>
      </c>
      <c r="AV186">
        <f>IF(ISNUMBER($AT186),ABS(IF(ISNUMBER($I186),$I186,0)-Settings!$B$24),"")</f>
        <v>0.3</v>
      </c>
      <c r="AW186">
        <f t="shared" si="30"/>
        <v>-1.41E-2</v>
      </c>
      <c r="AX186">
        <f>IF(ISNUMBER($AU186),ABS(IF(ISNUMBER($I186),$I186,0)-Settings!$B$24),"")</f>
        <v>0.3</v>
      </c>
      <c r="AY186" t="s">
        <v>549</v>
      </c>
      <c r="AZ186" t="str">
        <f>IF($A186="","",IFERROR(INDEX(Company_List!$H$3:$H$207,MATCH($A186,Company_List!$A$3:$A$207,0)),"unassigned"))</f>
        <v>Communication Services</v>
      </c>
      <c r="BC186">
        <f>IF($A186="","",IF(COUNTIFS($A$3:$A186,$A186,$C$3:$C186,$C186,$D$3:$D186,$D186,$G$3:$G186,$G186)=1,1,0))</f>
        <v>1</v>
      </c>
      <c r="BG186" t="s">
        <v>550</v>
      </c>
      <c r="BK186">
        <f t="shared" si="31"/>
        <v>0</v>
      </c>
      <c r="BL186" t="s">
        <v>551</v>
      </c>
      <c r="BM186">
        <v>1</v>
      </c>
      <c r="BN186" t="s">
        <v>788</v>
      </c>
      <c r="BO186" t="s">
        <v>553</v>
      </c>
      <c r="BP186" t="s">
        <v>550</v>
      </c>
      <c r="BQ186" t="s">
        <v>550</v>
      </c>
      <c r="BS186" t="s">
        <v>554</v>
      </c>
    </row>
    <row r="187" spans="1:71" x14ac:dyDescent="0.2">
      <c r="A187" s="100" t="s">
        <v>1129</v>
      </c>
      <c r="B187" s="116" t="str">
        <f>IF(A187="","",_xlfn.XLOOKUP(A187, Company_List!$A:$A, Company_List!$B:$B, ""))</f>
        <v>CMCSA</v>
      </c>
      <c r="C187" s="99">
        <v>2025</v>
      </c>
      <c r="D187" s="103" t="s">
        <v>569</v>
      </c>
      <c r="E187" s="19" t="s">
        <v>647</v>
      </c>
      <c r="F187" s="19" t="s">
        <v>538</v>
      </c>
      <c r="G187" s="143" t="s">
        <v>712</v>
      </c>
      <c r="H187" s="103" t="s">
        <v>540</v>
      </c>
      <c r="I187" s="145">
        <v>0.3</v>
      </c>
      <c r="J187" s="145" t="str">
        <f>IF(OR(I187="",Settings!$B$6=""),"",IF(I187&gt;Settings!$B$6,"BUY",IF(I187&lt;-Settings!$B$6,"SELL","HOLD")))</f>
        <v>BUY</v>
      </c>
      <c r="K187" s="145">
        <v>33</v>
      </c>
      <c r="L187" s="125">
        <v>46051</v>
      </c>
      <c r="M187" s="125">
        <v>46050</v>
      </c>
      <c r="N187" s="147">
        <v>28.41</v>
      </c>
      <c r="O187" s="125">
        <v>46051</v>
      </c>
      <c r="P187" s="145">
        <v>27.63</v>
      </c>
      <c r="Q187" s="149">
        <f t="shared" si="32"/>
        <v>-2.75E-2</v>
      </c>
      <c r="R187" s="103" t="str">
        <f>IF(OR(N187="",P187=""),"",IF(Q187&gt;Settings!$B$3/100,"UP",IF(Q187&lt;-Settings!$B$3/100,"DOWN","FLAT")))</f>
        <v>DOWN</v>
      </c>
      <c r="S187" s="103" t="str">
        <f t="shared" si="23"/>
        <v>NO</v>
      </c>
      <c r="T187" s="99">
        <f t="shared" si="24"/>
        <v>1</v>
      </c>
      <c r="U187" s="149">
        <f>IFERROR(IF(OR(J187="",N187="",P187=""),"",IF(T187=0,0,T187*Q187-Settings!$B$4/10000-IF(T187&lt;0,Settings!$B$5/10000,0))),"")</f>
        <v>-2.8500000000000001E-2</v>
      </c>
      <c r="W187" s="21">
        <f t="shared" si="25"/>
        <v>1980</v>
      </c>
      <c r="X187" s="91" t="str">
        <f t="shared" si="26"/>
        <v>Comcast Corporation|2025|Q4</v>
      </c>
      <c r="Y187" s="91" t="str">
        <f>IFERROR(IF($X187="","",INDEX(LLM_Data_Entry!$H$3:$H$548,MATCH($X187,INDEX(LLM_Data_Entry!$A$3:$A$548&amp;"|"&amp;LLM_Data_Entry!$C$3:$C$548&amp;"|"&amp;LLM_Data_Entry!$D$3:$D$548,0),0))),"")</f>
        <v>SELL</v>
      </c>
      <c r="Z187" s="91" t="str">
        <f>IFERROR(IF($X187="","",INDEX(LLM_Data_Entry!$R$3:$R$548,MATCH($X187,INDEX(LLM_Data_Entry!$A$3:$A$548&amp;"|"&amp;LLM_Data_Entry!$C$3:$C$548&amp;"|"&amp;LLM_Data_Entry!$D$3:$D$548,0),0))),"")</f>
        <v>YES</v>
      </c>
      <c r="AB187" t="s">
        <v>807</v>
      </c>
      <c r="AC187" t="s">
        <v>1130</v>
      </c>
      <c r="AD187" t="s">
        <v>776</v>
      </c>
      <c r="AE187">
        <v>27.706</v>
      </c>
      <c r="AF187" t="s">
        <v>694</v>
      </c>
      <c r="AG187">
        <v>26.9453</v>
      </c>
      <c r="AH187">
        <v>-2.7455092972904091E-2</v>
      </c>
      <c r="AI187" t="s">
        <v>545</v>
      </c>
      <c r="AJ187" t="s">
        <v>546</v>
      </c>
      <c r="AK187">
        <v>-2.8455000000000001E-2</v>
      </c>
      <c r="AL187" t="str">
        <f>IF($A187="","",IFERROR(INDEX(Company_List!$G$3:$G$207,MATCH($A187,Company_List!$A$3:$A$207,0)),"unassigned"))</f>
        <v>P3</v>
      </c>
      <c r="AM187" t="s">
        <v>1134</v>
      </c>
      <c r="AN187" t="s">
        <v>1135</v>
      </c>
      <c r="AO187" t="s">
        <v>560</v>
      </c>
      <c r="AP187" t="str">
        <f>IF($A187="","",IF(COUNTIFS(LLM_Data_Entry!$A$3:$A$548,$A187)&gt;0,"YES","NO"))</f>
        <v>YES</v>
      </c>
      <c r="AQ187" t="str">
        <f>IF($A187="","",IF(COUNTIFS($A$3:$A187,$A187,$C$3:$C187,$C187,$D$3:$D187,$D187)=1,"YES","NO"))</f>
        <v>YES</v>
      </c>
      <c r="AR187" t="str">
        <f>IF($A187="","",IF(AND($C187&amp;"-"&amp;$D187&gt;=Settings!$B$19,$C187&amp;"-"&amp;$D187&lt;=Settings!$B$20),"IN","OUT"))</f>
        <v>IN</v>
      </c>
      <c r="AS187" t="str">
        <f t="shared" si="27"/>
        <v>transcript only</v>
      </c>
      <c r="AT187">
        <f t="shared" si="28"/>
        <v>-2.8500000000000001E-2</v>
      </c>
      <c r="AU187">
        <f t="shared" si="29"/>
        <v>-2.8455000000000001E-2</v>
      </c>
      <c r="AV187">
        <f>IF(ISNUMBER($AT187),ABS(IF(ISNUMBER($I187),$I187,0)-Settings!$B$24),"")</f>
        <v>0.3</v>
      </c>
      <c r="AW187">
        <f t="shared" si="30"/>
        <v>-8.5500000000000003E-3</v>
      </c>
      <c r="AX187">
        <f>IF(ISNUMBER($AU187),ABS(IF(ISNUMBER($I187),$I187,0)-Settings!$B$24),"")</f>
        <v>0.3</v>
      </c>
      <c r="AY187" t="s">
        <v>549</v>
      </c>
      <c r="AZ187" t="str">
        <f>IF($A187="","",IFERROR(INDEX(Company_List!$H$3:$H$207,MATCH($A187,Company_List!$A$3:$A$207,0)),"unassigned"))</f>
        <v>Communication Services</v>
      </c>
      <c r="BC187">
        <f>IF($A187="","",IF(COUNTIFS($A$3:$A187,$A187,$C$3:$C187,$C187,$D$3:$D187,$D187,$G$3:$G187,$G187)=1,1,0))</f>
        <v>1</v>
      </c>
      <c r="BG187" t="s">
        <v>550</v>
      </c>
      <c r="BK187">
        <f t="shared" si="31"/>
        <v>0</v>
      </c>
      <c r="BL187" t="s">
        <v>551</v>
      </c>
      <c r="BM187">
        <v>1</v>
      </c>
      <c r="BN187" t="s">
        <v>595</v>
      </c>
      <c r="BO187" t="s">
        <v>596</v>
      </c>
      <c r="BP187" t="s">
        <v>550</v>
      </c>
      <c r="BQ187" t="s">
        <v>562</v>
      </c>
      <c r="BS187" t="s">
        <v>554</v>
      </c>
    </row>
    <row r="188" spans="1:71" x14ac:dyDescent="0.2">
      <c r="A188" s="100" t="s">
        <v>1129</v>
      </c>
      <c r="B188" s="116" t="str">
        <f>IF(A188="","",_xlfn.XLOOKUP(A188, Company_List!$A:$A, Company_List!$B:$B, ""))</f>
        <v>CMCSA</v>
      </c>
      <c r="C188" s="99">
        <v>2026</v>
      </c>
      <c r="D188" s="103" t="s">
        <v>537</v>
      </c>
      <c r="E188" s="19" t="s">
        <v>647</v>
      </c>
      <c r="F188" s="19" t="s">
        <v>538</v>
      </c>
      <c r="G188" s="143" t="s">
        <v>712</v>
      </c>
      <c r="H188" s="103" t="s">
        <v>540</v>
      </c>
      <c r="I188" s="145">
        <v>-0.5</v>
      </c>
      <c r="J188" s="145" t="str">
        <f>IF(OR(I188="",Settings!$B$6=""),"",IF(I188&gt;Settings!$B$6,"BUY",IF(I188&lt;-Settings!$B$6,"SELL","HOLD")))</f>
        <v>SELL</v>
      </c>
      <c r="K188" s="145">
        <v>40</v>
      </c>
      <c r="L188" s="125">
        <v>46135</v>
      </c>
      <c r="M188" s="125">
        <v>46134</v>
      </c>
      <c r="N188" s="147">
        <v>29.37</v>
      </c>
      <c r="O188" s="125">
        <v>46135</v>
      </c>
      <c r="P188" s="145">
        <v>30.5</v>
      </c>
      <c r="Q188" s="149">
        <f t="shared" si="32"/>
        <v>3.85E-2</v>
      </c>
      <c r="R188" s="103" t="str">
        <f>IF(OR(N188="",P188=""),"",IF(Q188&gt;Settings!$B$3/100,"UP",IF(Q188&lt;-Settings!$B$3/100,"DOWN","FLAT")))</f>
        <v>UP</v>
      </c>
      <c r="S188" s="103" t="str">
        <f t="shared" si="23"/>
        <v>NO</v>
      </c>
      <c r="T188" s="99">
        <f t="shared" si="24"/>
        <v>-1</v>
      </c>
      <c r="U188" s="149">
        <f>IFERROR(IF(OR(J188="",N188="",P188=""),"",IF(T188=0,0,T188*Q188-Settings!$B$4/10000-IF(T188&lt;0,Settings!$B$5/10000,0))),"")</f>
        <v>-3.95E-2</v>
      </c>
      <c r="W188" s="21">
        <f t="shared" si="25"/>
        <v>2400</v>
      </c>
      <c r="X188" s="91" t="str">
        <f t="shared" si="26"/>
        <v>Comcast Corporation|2026|Q1</v>
      </c>
      <c r="Y188" s="91" t="str">
        <f>IFERROR(IF($X188="","",INDEX(LLM_Data_Entry!$H$3:$H$548,MATCH($X188,INDEX(LLM_Data_Entry!$A$3:$A$548&amp;"|"&amp;LLM_Data_Entry!$C$3:$C$548&amp;"|"&amp;LLM_Data_Entry!$D$3:$D$548,0),0))),"")</f>
        <v>HOLD</v>
      </c>
      <c r="Z188" s="91" t="str">
        <f>IFERROR(IF($X188="","",INDEX(LLM_Data_Entry!$R$3:$R$548,MATCH($X188,INDEX(LLM_Data_Entry!$A$3:$A$548&amp;"|"&amp;LLM_Data_Entry!$C$3:$C$548&amp;"|"&amp;LLM_Data_Entry!$D$3:$D$548,0),0))),"")</f>
        <v>NO</v>
      </c>
      <c r="AB188" t="s">
        <v>835</v>
      </c>
      <c r="AC188" t="s">
        <v>1130</v>
      </c>
      <c r="AD188" t="s">
        <v>779</v>
      </c>
      <c r="AE188">
        <v>28.975200000000001</v>
      </c>
      <c r="AF188" t="s">
        <v>780</v>
      </c>
      <c r="AG188">
        <v>30.09</v>
      </c>
      <c r="AH188">
        <v>3.8474607615808322E-2</v>
      </c>
      <c r="AI188" t="s">
        <v>591</v>
      </c>
      <c r="AJ188" t="s">
        <v>546</v>
      </c>
      <c r="AK188">
        <v>-3.9475000000000003E-2</v>
      </c>
      <c r="AL188" t="str">
        <f>IF($A188="","",IFERROR(INDEX(Company_List!$G$3:$G$207,MATCH($A188,Company_List!$A$3:$A$207,0)),"unassigned"))</f>
        <v>P3</v>
      </c>
      <c r="AM188" t="s">
        <v>1136</v>
      </c>
      <c r="AO188" t="s">
        <v>548</v>
      </c>
      <c r="AP188" t="str">
        <f>IF($A188="","",IF(COUNTIFS(LLM_Data_Entry!$A$3:$A$548,$A188)&gt;0,"YES","NO"))</f>
        <v>YES</v>
      </c>
      <c r="AQ188" t="str">
        <f>IF($A188="","",IF(COUNTIFS($A$3:$A188,$A188,$C$3:$C188,$C188,$D$3:$D188,$D188)=1,"YES","NO"))</f>
        <v>YES</v>
      </c>
      <c r="AR188" t="str">
        <f>IF($A188="","",IF(AND($C188&amp;"-"&amp;$D188&gt;=Settings!$B$19,$C188&amp;"-"&amp;$D188&lt;=Settings!$B$20),"IN","OUT"))</f>
        <v>IN</v>
      </c>
      <c r="AS188" t="str">
        <f t="shared" si="27"/>
        <v>transcript only</v>
      </c>
      <c r="AT188">
        <f t="shared" si="28"/>
        <v>-3.95E-2</v>
      </c>
      <c r="AU188">
        <f t="shared" si="29"/>
        <v>-3.9475000000000003E-2</v>
      </c>
      <c r="AV188">
        <f>IF(ISNUMBER($AT188),ABS(IF(ISNUMBER($I188),$I188,0)-Settings!$B$24),"")</f>
        <v>0.5</v>
      </c>
      <c r="AW188">
        <f t="shared" si="30"/>
        <v>-1.975E-2</v>
      </c>
      <c r="AX188">
        <f>IF(ISNUMBER($AU188),ABS(IF(ISNUMBER($I188),$I188,0)-Settings!$B$24),"")</f>
        <v>0.5</v>
      </c>
      <c r="AY188" t="s">
        <v>549</v>
      </c>
      <c r="AZ188" t="str">
        <f>IF($A188="","",IFERROR(INDEX(Company_List!$H$3:$H$207,MATCH($A188,Company_List!$A$3:$A$207,0)),"unassigned"))</f>
        <v>Communication Services</v>
      </c>
      <c r="BC188">
        <f>IF($A188="","",IF(COUNTIFS($A$3:$A188,$A188,$C$3:$C188,$C188,$D$3:$D188,$D188,$G$3:$G188,$G188)=1,1,0))</f>
        <v>1</v>
      </c>
      <c r="BG188" t="s">
        <v>550</v>
      </c>
      <c r="BK188">
        <f t="shared" si="31"/>
        <v>0</v>
      </c>
      <c r="BL188" t="s">
        <v>551</v>
      </c>
      <c r="BM188">
        <v>1</v>
      </c>
      <c r="BN188" t="s">
        <v>788</v>
      </c>
      <c r="BO188" t="s">
        <v>553</v>
      </c>
      <c r="BP188" t="s">
        <v>550</v>
      </c>
      <c r="BQ188" t="s">
        <v>550</v>
      </c>
      <c r="BS188" t="s">
        <v>554</v>
      </c>
    </row>
    <row r="189" spans="1:71" x14ac:dyDescent="0.2">
      <c r="A189" s="100" t="s">
        <v>1137</v>
      </c>
      <c r="B189" s="116" t="str">
        <f>IF(A189="","",_xlfn.XLOOKUP(A189, Company_List!$A:$A, Company_List!$B:$B, ""))</f>
        <v>PINS</v>
      </c>
      <c r="C189" s="105">
        <v>2024</v>
      </c>
      <c r="D189" s="106" t="s">
        <v>569</v>
      </c>
      <c r="E189" s="98" t="s">
        <v>1095</v>
      </c>
      <c r="F189" s="98" t="s">
        <v>538</v>
      </c>
      <c r="G189" s="143" t="s">
        <v>574</v>
      </c>
      <c r="H189" s="106" t="s">
        <v>540</v>
      </c>
      <c r="I189" s="145">
        <v>0.5</v>
      </c>
      <c r="J189" s="145" t="str">
        <f>IF(OR(I189="",Settings!$B$6=""),"",IF(I189&gt;Settings!$B$6,"BUY",IF(I189&lt;-Settings!$B$6,"SELL","HOLD")))</f>
        <v>BUY</v>
      </c>
      <c r="K189" s="145">
        <v>14</v>
      </c>
      <c r="L189" s="126">
        <v>45694</v>
      </c>
      <c r="M189" s="126">
        <v>45694</v>
      </c>
      <c r="N189" s="147">
        <v>33.590000000000003</v>
      </c>
      <c r="O189" s="126">
        <v>45695</v>
      </c>
      <c r="P189" s="145">
        <v>40.89</v>
      </c>
      <c r="Q189" s="150">
        <f t="shared" si="32"/>
        <v>0.21729999999999999</v>
      </c>
      <c r="R189" s="106" t="str">
        <f>IF(OR(N189="",P189=""),"",IF(Q189&gt;Settings!$B$3/100,"UP",IF(Q189&lt;-Settings!$B$3/100,"DOWN","FLAT")))</f>
        <v>UP</v>
      </c>
      <c r="S189" s="106" t="str">
        <f t="shared" si="23"/>
        <v>YES</v>
      </c>
      <c r="T189" s="105">
        <f t="shared" si="24"/>
        <v>1</v>
      </c>
      <c r="U189" s="150">
        <f>IFERROR(IF(OR(J189="",N189="",P189=""),"",IF(T189=0,0,T189*Q189-Settings!$B$4/10000-IF(T189&lt;0,Settings!$B$5/10000,0))),"")</f>
        <v>0.21629999999999999</v>
      </c>
      <c r="V189" s="7" t="s">
        <v>1138</v>
      </c>
      <c r="W189" s="21">
        <f t="shared" si="25"/>
        <v>840</v>
      </c>
      <c r="X189" s="91" t="str">
        <f t="shared" si="26"/>
        <v>Pinterest|2024|Q4</v>
      </c>
      <c r="Y189" s="91" t="str">
        <f>IFERROR(IF($X189="","",INDEX(LLM_Data_Entry!$H$3:$H$548,MATCH($X189,INDEX(LLM_Data_Entry!$A$3:$A$548&amp;"|"&amp;LLM_Data_Entry!$C$3:$C$548&amp;"|"&amp;LLM_Data_Entry!$D$3:$D$548,0),0))),"")</f>
        <v>HOLD</v>
      </c>
      <c r="Z189" s="91" t="str">
        <f>IFERROR(IF($X189="","",INDEX(LLM_Data_Entry!$R$3:$R$548,MATCH($X189,INDEX(LLM_Data_Entry!$A$3:$A$548&amp;"|"&amp;LLM_Data_Entry!$C$3:$C$548&amp;"|"&amp;LLM_Data_Entry!$D$3:$D$548,0),0))),"")</f>
        <v>NO</v>
      </c>
      <c r="AB189" t="s">
        <v>541</v>
      </c>
      <c r="AC189" t="s">
        <v>1139</v>
      </c>
      <c r="AD189" t="s">
        <v>866</v>
      </c>
      <c r="AE189">
        <v>33.590000000000003</v>
      </c>
      <c r="AF189" t="s">
        <v>671</v>
      </c>
      <c r="AG189">
        <v>40.89</v>
      </c>
      <c r="AH189">
        <v>0.2173265555224769</v>
      </c>
      <c r="AI189" t="s">
        <v>591</v>
      </c>
      <c r="AJ189" t="s">
        <v>554</v>
      </c>
      <c r="AK189">
        <v>0.21632699999999999</v>
      </c>
      <c r="AL189" t="str">
        <f>IF($A189="","",IFERROR(INDEX(Company_List!$G$3:$G$207,MATCH($A189,Company_List!$A$3:$A$207,0)),"unassigned"))</f>
        <v>P3</v>
      </c>
      <c r="AM189" t="s">
        <v>1140</v>
      </c>
      <c r="AO189" t="s">
        <v>548</v>
      </c>
      <c r="AP189" t="str">
        <f>IF($A189="","",IF(COUNTIFS(LLM_Data_Entry!$A$3:$A$548,$A189)&gt;0,"YES","NO"))</f>
        <v>YES</v>
      </c>
      <c r="AQ189" t="str">
        <f>IF($A189="","",IF(COUNTIFS($A$3:$A189,$A189,$C$3:$C189,$C189,$D$3:$D189,$D189)=1,"YES","NO"))</f>
        <v>YES</v>
      </c>
      <c r="AR189" t="str">
        <f>IF($A189="","",IF(AND($C189&amp;"-"&amp;$D189&gt;=Settings!$B$19,$C189&amp;"-"&amp;$D189&lt;=Settings!$B$20),"IN","OUT"))</f>
        <v>IN</v>
      </c>
      <c r="AS189" t="str">
        <f t="shared" si="27"/>
        <v>presentation only</v>
      </c>
      <c r="AT189">
        <f t="shared" si="28"/>
        <v>0.21629999999999999</v>
      </c>
      <c r="AU189">
        <f t="shared" si="29"/>
        <v>0.21632699999999999</v>
      </c>
      <c r="AV189">
        <f>IF(ISNUMBER($AT189),ABS(IF(ISNUMBER($I189),$I189,0)-Settings!$B$24),"")</f>
        <v>0.5</v>
      </c>
      <c r="AW189">
        <f t="shared" si="30"/>
        <v>0.10815</v>
      </c>
      <c r="AX189">
        <f>IF(ISNUMBER($AU189),ABS(IF(ISNUMBER($I189),$I189,0)-Settings!$B$24),"")</f>
        <v>0.5</v>
      </c>
      <c r="AY189" t="s">
        <v>549</v>
      </c>
      <c r="AZ189" t="str">
        <f>IF($A189="","",IFERROR(INDEX(Company_List!$H$3:$H$207,MATCH($A189,Company_List!$A$3:$A$207,0)),"unassigned"))</f>
        <v>Communication Services</v>
      </c>
      <c r="BC189">
        <f>IF($A189="","",IF(COUNTIFS($A$3:$A189,$A189,$C$3:$C189,$C189,$D$3:$D189,$D189,$G$3:$G189,$G189)=1,1,0))</f>
        <v>1</v>
      </c>
      <c r="BG189" t="s">
        <v>550</v>
      </c>
      <c r="BK189">
        <f t="shared" si="31"/>
        <v>0</v>
      </c>
      <c r="BL189" t="s">
        <v>551</v>
      </c>
      <c r="BM189">
        <v>1</v>
      </c>
      <c r="BN189" t="s">
        <v>561</v>
      </c>
      <c r="BO189" t="s">
        <v>561</v>
      </c>
      <c r="BP189" t="s">
        <v>550</v>
      </c>
      <c r="BQ189" t="s">
        <v>550</v>
      </c>
      <c r="BS189" t="s">
        <v>554</v>
      </c>
    </row>
    <row r="190" spans="1:71" x14ac:dyDescent="0.2">
      <c r="A190" s="100" t="s">
        <v>1137</v>
      </c>
      <c r="B190" s="116" t="str">
        <f>IF(A190="","",_xlfn.XLOOKUP(A190, Company_List!$A:$A, Company_List!$B:$B, ""))</f>
        <v>PINS</v>
      </c>
      <c r="C190" s="105">
        <v>2025</v>
      </c>
      <c r="D190" s="106" t="s">
        <v>569</v>
      </c>
      <c r="E190" s="98" t="s">
        <v>647</v>
      </c>
      <c r="F190" s="98" t="s">
        <v>1086</v>
      </c>
      <c r="G190" s="143" t="s">
        <v>574</v>
      </c>
      <c r="H190" s="106" t="s">
        <v>540</v>
      </c>
      <c r="I190" s="145">
        <v>-0.1</v>
      </c>
      <c r="J190" s="145" t="str">
        <f>IF(OR(I190="",Settings!$B$6=""),"",IF(I190&gt;Settings!$B$6,"BUY",IF(I190&lt;-Settings!$B$6,"SELL","HOLD")))</f>
        <v>HOLD</v>
      </c>
      <c r="K190" s="145">
        <v>25</v>
      </c>
      <c r="L190" s="126">
        <v>46065</v>
      </c>
      <c r="M190" s="126">
        <v>46065</v>
      </c>
      <c r="N190" s="147">
        <v>18.54</v>
      </c>
      <c r="O190" s="126">
        <v>46066</v>
      </c>
      <c r="P190" s="145">
        <v>14.33</v>
      </c>
      <c r="Q190" s="150">
        <f t="shared" si="32"/>
        <v>-0.2271</v>
      </c>
      <c r="R190" s="106" t="str">
        <f>IF(OR(N190="",P190=""),"",IF(Q190&gt;Settings!$B$3/100,"UP",IF(Q190&lt;-Settings!$B$3/100,"DOWN","FLAT")))</f>
        <v>DOWN</v>
      </c>
      <c r="S190" s="106" t="str">
        <f t="shared" si="23"/>
        <v>NO</v>
      </c>
      <c r="T190" s="105">
        <f t="shared" si="24"/>
        <v>0</v>
      </c>
      <c r="U190" s="150">
        <f>IFERROR(IF(OR(J190="",N190="",P190=""),"",IF(T190=0,0,T190*Q190-Settings!$B$4/10000-IF(T190&lt;0,Settings!$B$5/10000,0))),"")</f>
        <v>0</v>
      </c>
      <c r="V190" s="7" t="s">
        <v>1141</v>
      </c>
      <c r="W190" s="21">
        <f t="shared" si="25"/>
        <v>1500</v>
      </c>
      <c r="X190" s="91" t="str">
        <f t="shared" si="26"/>
        <v>Pinterest|2025|Q4</v>
      </c>
      <c r="Y190" s="91" t="str">
        <f>IFERROR(IF($X190="","",INDEX(LLM_Data_Entry!$H$3:$H$548,MATCH($X190,INDEX(LLM_Data_Entry!$A$3:$A$548&amp;"|"&amp;LLM_Data_Entry!$C$3:$C$548&amp;"|"&amp;LLM_Data_Entry!$D$3:$D$548,0),0))),"")</f>
        <v>SELL</v>
      </c>
      <c r="Z190" s="91" t="str">
        <f>IFERROR(IF($X190="","",INDEX(LLM_Data_Entry!$R$3:$R$548,MATCH($X190,INDEX(LLM_Data_Entry!$A$3:$A$548&amp;"|"&amp;LLM_Data_Entry!$C$3:$C$548&amp;"|"&amp;LLM_Data_Entry!$D$3:$D$548,0),0))),"")</f>
        <v>YES</v>
      </c>
      <c r="AB190" t="s">
        <v>541</v>
      </c>
      <c r="AC190" t="s">
        <v>1139</v>
      </c>
      <c r="AD190" t="s">
        <v>677</v>
      </c>
      <c r="AE190">
        <v>18.54</v>
      </c>
      <c r="AF190" t="s">
        <v>923</v>
      </c>
      <c r="AG190">
        <v>14.33</v>
      </c>
      <c r="AH190">
        <v>-0.22707663284376309</v>
      </c>
      <c r="AI190" t="s">
        <v>545</v>
      </c>
      <c r="AJ190" t="s">
        <v>546</v>
      </c>
      <c r="AK190">
        <v>0</v>
      </c>
      <c r="AL190" t="str">
        <f>IF($A190="","",IFERROR(INDEX(Company_List!$G$3:$G$207,MATCH($A190,Company_List!$A$3:$A$207,0)),"unassigned"))</f>
        <v>P3</v>
      </c>
      <c r="AM190" t="s">
        <v>1142</v>
      </c>
      <c r="AO190" t="s">
        <v>548</v>
      </c>
      <c r="AP190" t="str">
        <f>IF($A190="","",IF(COUNTIFS(LLM_Data_Entry!$A$3:$A$548,$A190)&gt;0,"YES","NO"))</f>
        <v>YES</v>
      </c>
      <c r="AQ190" t="str">
        <f>IF($A190="","",IF(COUNTIFS($A$3:$A190,$A190,$C$3:$C190,$C190,$D$3:$D190,$D190)=1,"YES","NO"))</f>
        <v>YES</v>
      </c>
      <c r="AR190" t="str">
        <f>IF($A190="","",IF(AND($C190&amp;"-"&amp;$D190&gt;=Settings!$B$19,$C190&amp;"-"&amp;$D190&lt;=Settings!$B$20),"IN","OUT"))</f>
        <v>IN</v>
      </c>
      <c r="AS190" t="str">
        <f t="shared" si="27"/>
        <v>financials</v>
      </c>
      <c r="AT190" t="str">
        <f t="shared" si="28"/>
        <v/>
      </c>
      <c r="AU190" t="str">
        <f t="shared" si="29"/>
        <v/>
      </c>
      <c r="AV190" t="str">
        <f>IF(ISNUMBER($AT190),ABS(IF(ISNUMBER($I190),$I190,0)-Settings!$B$24),"")</f>
        <v/>
      </c>
      <c r="AW190" t="str">
        <f t="shared" si="30"/>
        <v/>
      </c>
      <c r="AX190" t="str">
        <f>IF(ISNUMBER($AU190),ABS(IF(ISNUMBER($I190),$I190,0)-Settings!$B$24),"")</f>
        <v/>
      </c>
      <c r="AY190" t="s">
        <v>549</v>
      </c>
      <c r="AZ190" t="str">
        <f>IF($A190="","",IFERROR(INDEX(Company_List!$H$3:$H$207,MATCH($A190,Company_List!$A$3:$A$207,0)),"unassigned"))</f>
        <v>Communication Services</v>
      </c>
      <c r="BC190">
        <f>IF($A190="","",IF(COUNTIFS($A$3:$A190,$A190,$C$3:$C190,$C190,$D$3:$D190,$D190,$G$3:$G190,$G190)=1,1,0))</f>
        <v>1</v>
      </c>
      <c r="BG190" t="s">
        <v>550</v>
      </c>
      <c r="BK190">
        <f t="shared" si="31"/>
        <v>0</v>
      </c>
      <c r="BL190" t="s">
        <v>551</v>
      </c>
      <c r="BM190">
        <v>1</v>
      </c>
      <c r="BN190" t="s">
        <v>595</v>
      </c>
      <c r="BO190" t="s">
        <v>596</v>
      </c>
      <c r="BP190" t="s">
        <v>550</v>
      </c>
      <c r="BQ190" t="s">
        <v>550</v>
      </c>
      <c r="BS190" t="s">
        <v>554</v>
      </c>
    </row>
    <row r="191" spans="1:71" x14ac:dyDescent="0.2">
      <c r="A191" s="100" t="s">
        <v>1137</v>
      </c>
      <c r="B191" s="116" t="str">
        <f>IF(A191="","",_xlfn.XLOOKUP(A191, Company_List!$A:$A, Company_List!$B:$B, ""))</f>
        <v>PINS</v>
      </c>
      <c r="C191" s="105">
        <v>2026</v>
      </c>
      <c r="D191" s="106" t="s">
        <v>537</v>
      </c>
      <c r="E191" s="98" t="s">
        <v>647</v>
      </c>
      <c r="F191" s="98" t="s">
        <v>1092</v>
      </c>
      <c r="G191" s="143" t="s">
        <v>574</v>
      </c>
      <c r="H191" s="106" t="s">
        <v>540</v>
      </c>
      <c r="I191" s="145">
        <v>0.3</v>
      </c>
      <c r="J191" s="145" t="str">
        <f>IF(OR(I191="",Settings!$B$6=""),"",IF(I191&gt;Settings!$B$6,"BUY",IF(I191&lt;-Settings!$B$6,"SELL","HOLD")))</f>
        <v>BUY</v>
      </c>
      <c r="K191" s="145">
        <v>35</v>
      </c>
      <c r="L191" s="126">
        <v>46146</v>
      </c>
      <c r="M191" s="126">
        <v>46146</v>
      </c>
      <c r="N191" s="147">
        <v>20.85</v>
      </c>
      <c r="O191" s="126">
        <v>46147</v>
      </c>
      <c r="P191" s="145">
        <v>24.71</v>
      </c>
      <c r="Q191" s="150">
        <f t="shared" si="32"/>
        <v>0.18509999999999999</v>
      </c>
      <c r="R191" s="106" t="str">
        <f>IF(OR(N191="",P191=""),"",IF(Q191&gt;Settings!$B$3/100,"UP",IF(Q191&lt;-Settings!$B$3/100,"DOWN","FLAT")))</f>
        <v>UP</v>
      </c>
      <c r="S191" s="106" t="str">
        <f t="shared" si="23"/>
        <v>YES</v>
      </c>
      <c r="T191" s="105">
        <f t="shared" si="24"/>
        <v>1</v>
      </c>
      <c r="U191" s="150">
        <f>IFERROR(IF(OR(J191="",N191="",P191=""),"",IF(T191=0,0,T191*Q191-Settings!$B$4/10000-IF(T191&lt;0,Settings!$B$5/10000,0))),"")</f>
        <v>0.18409999999999999</v>
      </c>
      <c r="V191" s="7" t="s">
        <v>1143</v>
      </c>
      <c r="W191" s="21">
        <f t="shared" si="25"/>
        <v>2100</v>
      </c>
      <c r="X191" s="91" t="str">
        <f t="shared" si="26"/>
        <v>Pinterest|2026|Q1</v>
      </c>
      <c r="Y191" s="91" t="str">
        <f>IFERROR(IF($X191="","",INDEX(LLM_Data_Entry!$H$3:$H$548,MATCH($X191,INDEX(LLM_Data_Entry!$A$3:$A$548&amp;"|"&amp;LLM_Data_Entry!$C$3:$C$548&amp;"|"&amp;LLM_Data_Entry!$D$3:$D$548,0),0))),"")</f>
        <v>SELL</v>
      </c>
      <c r="Z191" s="91" t="str">
        <f>IFERROR(IF($X191="","",INDEX(LLM_Data_Entry!$R$3:$R$548,MATCH($X191,INDEX(LLM_Data_Entry!$A$3:$A$548&amp;"|"&amp;LLM_Data_Entry!$C$3:$C$548&amp;"|"&amp;LLM_Data_Entry!$D$3:$D$548,0),0))),"")</f>
        <v>NO</v>
      </c>
      <c r="AB191" t="s">
        <v>541</v>
      </c>
      <c r="AC191" t="s">
        <v>1139</v>
      </c>
      <c r="AD191" t="s">
        <v>985</v>
      </c>
      <c r="AE191">
        <v>20.85</v>
      </c>
      <c r="AF191" t="s">
        <v>731</v>
      </c>
      <c r="AG191">
        <v>24.71</v>
      </c>
      <c r="AH191">
        <v>0.18513184652278189</v>
      </c>
      <c r="AI191" t="s">
        <v>591</v>
      </c>
      <c r="AJ191" t="s">
        <v>554</v>
      </c>
      <c r="AK191">
        <v>0.18413199999999999</v>
      </c>
      <c r="AL191" t="str">
        <f>IF($A191="","",IFERROR(INDEX(Company_List!$G$3:$G$207,MATCH($A191,Company_List!$A$3:$A$207,0)),"unassigned"))</f>
        <v>P3</v>
      </c>
      <c r="AM191" t="s">
        <v>1144</v>
      </c>
      <c r="AO191" t="s">
        <v>548</v>
      </c>
      <c r="AP191" t="str">
        <f>IF($A191="","",IF(COUNTIFS(LLM_Data_Entry!$A$3:$A$548,$A191)&gt;0,"YES","NO"))</f>
        <v>YES</v>
      </c>
      <c r="AQ191" t="str">
        <f>IF($A191="","",IF(COUNTIFS($A$3:$A191,$A191,$C$3:$C191,$C191,$D$3:$D191,$D191)=1,"YES","NO"))</f>
        <v>YES</v>
      </c>
      <c r="AR191" t="str">
        <f>IF($A191="","",IF(AND($C191&amp;"-"&amp;$D191&gt;=Settings!$B$19,$C191&amp;"-"&amp;$D191&lt;=Settings!$B$20),"IN","OUT"))</f>
        <v>IN</v>
      </c>
      <c r="AS191" t="str">
        <f t="shared" si="27"/>
        <v>qanda</v>
      </c>
      <c r="AT191">
        <f t="shared" si="28"/>
        <v>0.18409999999999999</v>
      </c>
      <c r="AU191">
        <f t="shared" si="29"/>
        <v>0.18413199999999999</v>
      </c>
      <c r="AV191">
        <f>IF(ISNUMBER($AT191),ABS(IF(ISNUMBER($I191),$I191,0)-Settings!$B$24),"")</f>
        <v>0.3</v>
      </c>
      <c r="AW191">
        <f t="shared" si="30"/>
        <v>5.5229999999999994E-2</v>
      </c>
      <c r="AX191">
        <f>IF(ISNUMBER($AU191),ABS(IF(ISNUMBER($I191),$I191,0)-Settings!$B$24),"")</f>
        <v>0.3</v>
      </c>
      <c r="AY191" t="s">
        <v>549</v>
      </c>
      <c r="AZ191" t="str">
        <f>IF($A191="","",IFERROR(INDEX(Company_List!$H$3:$H$207,MATCH($A191,Company_List!$A$3:$A$207,0)),"unassigned"))</f>
        <v>Communication Services</v>
      </c>
      <c r="BC191">
        <f>IF($A191="","",IF(COUNTIFS($A$3:$A191,$A191,$C$3:$C191,$C191,$D$3:$D191,$D191,$G$3:$G191,$G191)=1,1,0))</f>
        <v>1</v>
      </c>
      <c r="BG191" t="s">
        <v>550</v>
      </c>
      <c r="BK191">
        <f t="shared" si="31"/>
        <v>0</v>
      </c>
      <c r="BL191" t="s">
        <v>551</v>
      </c>
      <c r="BM191">
        <v>1</v>
      </c>
      <c r="BN191" t="s">
        <v>595</v>
      </c>
      <c r="BO191" t="s">
        <v>596</v>
      </c>
      <c r="BP191" t="s">
        <v>550</v>
      </c>
      <c r="BQ191" t="s">
        <v>550</v>
      </c>
      <c r="BS191" t="s">
        <v>554</v>
      </c>
    </row>
    <row r="192" spans="1:71" x14ac:dyDescent="0.2">
      <c r="A192" s="100" t="s">
        <v>1145</v>
      </c>
      <c r="B192" s="116" t="str">
        <f>IF(A192="","",_xlfn.XLOOKUP(A192, Company_List!$A:$A, Company_List!$B:$B, ""))</f>
        <v>KHC</v>
      </c>
      <c r="C192" s="105">
        <v>2024</v>
      </c>
      <c r="D192" s="106" t="s">
        <v>569</v>
      </c>
      <c r="E192" s="98" t="s">
        <v>1121</v>
      </c>
      <c r="F192" s="98" t="s">
        <v>538</v>
      </c>
      <c r="G192" s="143" t="s">
        <v>574</v>
      </c>
      <c r="H192" s="106" t="s">
        <v>540</v>
      </c>
      <c r="I192" s="145">
        <v>-0.5</v>
      </c>
      <c r="J192" s="145" t="str">
        <f>IF(OR(I192="",Settings!$B$6=""),"",IF(I192&gt;Settings!$B$6,"BUY",IF(I192&lt;-Settings!$B$6,"SELL","HOLD")))</f>
        <v>SELL</v>
      </c>
      <c r="K192" s="145">
        <v>15</v>
      </c>
      <c r="L192" s="126">
        <v>45700</v>
      </c>
      <c r="M192" s="126">
        <v>45699</v>
      </c>
      <c r="N192" s="147">
        <v>29.58</v>
      </c>
      <c r="O192" s="126">
        <v>45700</v>
      </c>
      <c r="P192" s="145">
        <v>27.53</v>
      </c>
      <c r="Q192" s="150">
        <f t="shared" si="32"/>
        <v>-6.93E-2</v>
      </c>
      <c r="R192" s="106" t="str">
        <f>IF(OR(N192="",P192=""),"",IF(Q192&gt;Settings!$B$3/100,"UP",IF(Q192&lt;-Settings!$B$3/100,"DOWN","FLAT")))</f>
        <v>DOWN</v>
      </c>
      <c r="S192" s="106" t="str">
        <f t="shared" si="23"/>
        <v>YES</v>
      </c>
      <c r="T192" s="105">
        <f t="shared" si="24"/>
        <v>-1</v>
      </c>
      <c r="U192" s="150">
        <f>IFERROR(IF(OR(J192="",N192="",P192=""),"",IF(T192=0,0,T192*Q192-Settings!$B$4/10000-IF(T192&lt;0,Settings!$B$5/10000,0))),"")</f>
        <v>6.83E-2</v>
      </c>
      <c r="V192" s="7" t="s">
        <v>1146</v>
      </c>
      <c r="W192" s="21">
        <f t="shared" si="25"/>
        <v>900</v>
      </c>
      <c r="X192" s="91" t="str">
        <f t="shared" si="26"/>
        <v>Kraft Heinz|2024|Q4</v>
      </c>
      <c r="Y192" s="91" t="str">
        <f>IFERROR(IF($X192="","",INDEX(LLM_Data_Entry!$H$3:$H$548,MATCH($X192,INDEX(LLM_Data_Entry!$A$3:$A$548&amp;"|"&amp;LLM_Data_Entry!$C$3:$C$548&amp;"|"&amp;LLM_Data_Entry!$D$3:$D$548,0),0))),"")</f>
        <v>SELL</v>
      </c>
      <c r="Z192" s="91" t="str">
        <f>IFERROR(IF($X192="","",INDEX(LLM_Data_Entry!$R$3:$R$548,MATCH($X192,INDEX(LLM_Data_Entry!$A$3:$A$548&amp;"|"&amp;LLM_Data_Entry!$C$3:$C$548&amp;"|"&amp;LLM_Data_Entry!$D$3:$D$548,0),0))),"")</f>
        <v>YES</v>
      </c>
      <c r="AB192" t="s">
        <v>636</v>
      </c>
      <c r="AC192" t="s">
        <v>1147</v>
      </c>
      <c r="AD192" t="s">
        <v>1148</v>
      </c>
      <c r="AE192">
        <v>26.960699999999999</v>
      </c>
      <c r="AF192" t="s">
        <v>1149</v>
      </c>
      <c r="AG192">
        <v>25.092199999999998</v>
      </c>
      <c r="AH192">
        <v>-6.9303621367013429E-2</v>
      </c>
      <c r="AI192" t="s">
        <v>545</v>
      </c>
      <c r="AJ192" t="s">
        <v>554</v>
      </c>
      <c r="AK192">
        <v>6.8304000000000004E-2</v>
      </c>
      <c r="AL192" t="str">
        <f>IF($A192="","",IFERROR(INDEX(Company_List!$G$3:$G$207,MATCH($A192,Company_List!$A$3:$A$207,0)),"unassigned"))</f>
        <v>P3</v>
      </c>
      <c r="AM192" t="s">
        <v>1150</v>
      </c>
      <c r="AO192" t="s">
        <v>548</v>
      </c>
      <c r="AP192" t="str">
        <f>IF($A192="","",IF(COUNTIFS(LLM_Data_Entry!$A$3:$A$548,$A192)&gt;0,"YES","NO"))</f>
        <v>YES</v>
      </c>
      <c r="AQ192" t="str">
        <f>IF($A192="","",IF(COUNTIFS($A$3:$A192,$A192,$C$3:$C192,$C192,$D$3:$D192,$D192)=1,"YES","NO"))</f>
        <v>YES</v>
      </c>
      <c r="AR192" t="str">
        <f>IF($A192="","",IF(AND($C192&amp;"-"&amp;$D192&gt;=Settings!$B$19,$C192&amp;"-"&amp;$D192&lt;=Settings!$B$20),"IN","OUT"))</f>
        <v>IN</v>
      </c>
      <c r="AS192" t="str">
        <f t="shared" si="27"/>
        <v>press release document only</v>
      </c>
      <c r="AT192">
        <f t="shared" si="28"/>
        <v>6.83E-2</v>
      </c>
      <c r="AU192">
        <f t="shared" si="29"/>
        <v>6.8304000000000004E-2</v>
      </c>
      <c r="AV192">
        <f>IF(ISNUMBER($AT192),ABS(IF(ISNUMBER($I192),$I192,0)-Settings!$B$24),"")</f>
        <v>0.5</v>
      </c>
      <c r="AW192">
        <f t="shared" si="30"/>
        <v>3.415E-2</v>
      </c>
      <c r="AX192">
        <f>IF(ISNUMBER($AU192),ABS(IF(ISNUMBER($I192),$I192,0)-Settings!$B$24),"")</f>
        <v>0.5</v>
      </c>
      <c r="AY192" t="s">
        <v>549</v>
      </c>
      <c r="AZ192" t="str">
        <f>IF($A192="","",IFERROR(INDEX(Company_List!$H$3:$H$207,MATCH($A192,Company_List!$A$3:$A$207,0)),"unassigned"))</f>
        <v>Consumer Staples</v>
      </c>
      <c r="BC192">
        <f>IF($A192="","",IF(COUNTIFS($A$3:$A192,$A192,$C$3:$C192,$C192,$D$3:$D192,$D192,$G$3:$G192,$G192)=1,1,0))</f>
        <v>1</v>
      </c>
      <c r="BG192" t="s">
        <v>550</v>
      </c>
      <c r="BK192">
        <f t="shared" si="31"/>
        <v>1</v>
      </c>
      <c r="BL192" t="s">
        <v>551</v>
      </c>
      <c r="BM192">
        <v>1</v>
      </c>
      <c r="BN192" t="s">
        <v>561</v>
      </c>
      <c r="BO192" t="s">
        <v>561</v>
      </c>
      <c r="BP192" t="s">
        <v>550</v>
      </c>
      <c r="BQ192" t="s">
        <v>550</v>
      </c>
      <c r="BS192" t="s">
        <v>554</v>
      </c>
    </row>
    <row r="193" spans="1:71" x14ac:dyDescent="0.2">
      <c r="A193" s="100" t="s">
        <v>1145</v>
      </c>
      <c r="B193" s="116" t="str">
        <f>IF(A193="","",_xlfn.XLOOKUP(A193, Company_List!$A:$A, Company_List!$B:$B, ""))</f>
        <v>KHC</v>
      </c>
      <c r="C193" s="105">
        <v>2025</v>
      </c>
      <c r="D193" s="106" t="s">
        <v>569</v>
      </c>
      <c r="E193" s="98" t="s">
        <v>647</v>
      </c>
      <c r="F193" s="98" t="s">
        <v>1086</v>
      </c>
      <c r="G193" s="143" t="s">
        <v>574</v>
      </c>
      <c r="H193" s="106" t="s">
        <v>540</v>
      </c>
      <c r="I193" s="145">
        <v>-0.2</v>
      </c>
      <c r="J193" s="145" t="str">
        <f>IF(OR(I193="",Settings!$B$6=""),"",IF(I193&gt;Settings!$B$6,"BUY",IF(I193&lt;-Settings!$B$6,"SELL","HOLD")))</f>
        <v>HOLD</v>
      </c>
      <c r="K193" s="145">
        <v>19</v>
      </c>
      <c r="L193" s="126">
        <v>46064</v>
      </c>
      <c r="M193" s="126">
        <v>46062</v>
      </c>
      <c r="N193" s="147">
        <v>24.9</v>
      </c>
      <c r="O193" s="126">
        <v>46063</v>
      </c>
      <c r="P193" s="145">
        <v>23.8</v>
      </c>
      <c r="Q193" s="150">
        <v>-4.4177</v>
      </c>
      <c r="R193" s="106" t="s">
        <v>545</v>
      </c>
      <c r="S193" s="106" t="str">
        <f t="shared" si="23"/>
        <v>NO</v>
      </c>
      <c r="T193" s="105">
        <f t="shared" si="24"/>
        <v>0</v>
      </c>
      <c r="U193" s="150">
        <f>IFERROR(IF(OR(J193="",N193="",P193=""),"",IF(T193=0,0,T193*Q193-Settings!$B$4/10000-IF(T193&lt;0,Settings!$B$5/10000,0))),"")</f>
        <v>0</v>
      </c>
      <c r="V193" s="7" t="s">
        <v>1151</v>
      </c>
      <c r="W193" s="21">
        <f t="shared" si="25"/>
        <v>1140</v>
      </c>
      <c r="X193" s="91" t="str">
        <f t="shared" si="26"/>
        <v>Kraft Heinz|2025|Q4</v>
      </c>
      <c r="Y193" s="91" t="str">
        <f>IFERROR(IF($X193="","",INDEX(LLM_Data_Entry!$H$3:$H$548,MATCH($X193,INDEX(LLM_Data_Entry!$A$3:$A$548&amp;"|"&amp;LLM_Data_Entry!$C$3:$C$548&amp;"|"&amp;LLM_Data_Entry!$D$3:$D$548,0),0))),"")</f>
        <v>SELL</v>
      </c>
      <c r="Z193" s="91" t="str">
        <f>IFERROR(IF($X193="","",INDEX(LLM_Data_Entry!$R$3:$R$548,MATCH($X193,INDEX(LLM_Data_Entry!$A$3:$A$548&amp;"|"&amp;LLM_Data_Entry!$C$3:$C$548&amp;"|"&amp;LLM_Data_Entry!$D$3:$D$548,0),0))),"")</f>
        <v>YES</v>
      </c>
      <c r="AB193" t="s">
        <v>636</v>
      </c>
      <c r="AC193" t="s">
        <v>1147</v>
      </c>
      <c r="AD193" t="s">
        <v>705</v>
      </c>
      <c r="AE193">
        <v>24.053000000000001</v>
      </c>
      <c r="AF193" t="s">
        <v>676</v>
      </c>
      <c r="AG193">
        <v>22.990400000000001</v>
      </c>
      <c r="AH193">
        <v>-4.4176768645995561E-2</v>
      </c>
      <c r="AI193" t="s">
        <v>545</v>
      </c>
      <c r="AJ193" t="s">
        <v>546</v>
      </c>
      <c r="AK193">
        <v>0</v>
      </c>
      <c r="AL193" t="str">
        <f>IF($A193="","",IFERROR(INDEX(Company_List!$G$3:$G$207,MATCH($A193,Company_List!$A$3:$A$207,0)),"unassigned"))</f>
        <v>P3</v>
      </c>
      <c r="AM193" t="s">
        <v>1152</v>
      </c>
      <c r="AO193" t="s">
        <v>548</v>
      </c>
      <c r="AP193" t="str">
        <f>IF($A193="","",IF(COUNTIFS(LLM_Data_Entry!$A$3:$A$548,$A193)&gt;0,"YES","NO"))</f>
        <v>YES</v>
      </c>
      <c r="AQ193" t="str">
        <f>IF($A193="","",IF(COUNTIFS($A$3:$A193,$A193,$C$3:$C193,$C193,$D$3:$D193,$D193)=1,"YES","NO"))</f>
        <v>YES</v>
      </c>
      <c r="AR193" t="str">
        <f>IF($A193="","",IF(AND($C193&amp;"-"&amp;$D193&gt;=Settings!$B$19,$C193&amp;"-"&amp;$D193&lt;=Settings!$B$20),"IN","OUT"))</f>
        <v>IN</v>
      </c>
      <c r="AS193" t="str">
        <f t="shared" si="27"/>
        <v>financials</v>
      </c>
      <c r="AT193" t="str">
        <f t="shared" si="28"/>
        <v/>
      </c>
      <c r="AU193" t="str">
        <f t="shared" si="29"/>
        <v/>
      </c>
      <c r="AV193" t="str">
        <f>IF(ISNUMBER($AT193),ABS(IF(ISNUMBER($I193),$I193,0)-Settings!$B$24),"")</f>
        <v/>
      </c>
      <c r="AW193" t="str">
        <f t="shared" si="30"/>
        <v/>
      </c>
      <c r="AX193" t="str">
        <f>IF(ISNUMBER($AU193),ABS(IF(ISNUMBER($I193),$I193,0)-Settings!$B$24),"")</f>
        <v/>
      </c>
      <c r="AY193" t="s">
        <v>549</v>
      </c>
      <c r="AZ193" t="str">
        <f>IF($A193="","",IFERROR(INDEX(Company_List!$H$3:$H$207,MATCH($A193,Company_List!$A$3:$A$207,0)),"unassigned"))</f>
        <v>Consumer Staples</v>
      </c>
      <c r="BC193">
        <f>IF($A193="","",IF(COUNTIFS($A$3:$A193,$A193,$C$3:$C193,$C193,$D$3:$D193,$D193,$G$3:$G193,$G193)=1,1,0))</f>
        <v>1</v>
      </c>
      <c r="BG193" t="s">
        <v>550</v>
      </c>
      <c r="BK193">
        <f t="shared" si="31"/>
        <v>0</v>
      </c>
      <c r="BL193" t="s">
        <v>551</v>
      </c>
      <c r="BM193">
        <v>1</v>
      </c>
      <c r="BN193" t="s">
        <v>595</v>
      </c>
      <c r="BO193" t="s">
        <v>596</v>
      </c>
      <c r="BP193" t="s">
        <v>550</v>
      </c>
      <c r="BQ193" t="s">
        <v>550</v>
      </c>
      <c r="BS193" t="s">
        <v>554</v>
      </c>
    </row>
    <row r="194" spans="1:71" x14ac:dyDescent="0.2">
      <c r="A194" s="100" t="s">
        <v>1145</v>
      </c>
      <c r="B194" s="116" t="str">
        <f>IF(A194="","",_xlfn.XLOOKUP(A194, Company_List!$A:$A, Company_List!$B:$B, ""))</f>
        <v>KHC</v>
      </c>
      <c r="C194" s="105">
        <v>2026</v>
      </c>
      <c r="D194" s="106" t="s">
        <v>537</v>
      </c>
      <c r="E194" s="98" t="s">
        <v>647</v>
      </c>
      <c r="F194" s="98" t="s">
        <v>1092</v>
      </c>
      <c r="G194" s="143" t="s">
        <v>574</v>
      </c>
      <c r="H194" s="106" t="s">
        <v>540</v>
      </c>
      <c r="I194" s="145">
        <v>-0.2</v>
      </c>
      <c r="J194" s="145" t="str">
        <f>IF(OR(I194="",Settings!$B$6=""),"",IF(I194&gt;Settings!$B$6,"BUY",IF(I194&lt;-Settings!$B$6,"SELL","HOLD")))</f>
        <v>HOLD</v>
      </c>
      <c r="K194" s="145">
        <v>30</v>
      </c>
      <c r="L194" s="126">
        <v>46148</v>
      </c>
      <c r="M194" s="126">
        <v>46147</v>
      </c>
      <c r="N194" s="147">
        <v>22.54</v>
      </c>
      <c r="O194" s="126">
        <v>46148</v>
      </c>
      <c r="P194" s="145">
        <v>23.17</v>
      </c>
      <c r="Q194" s="150">
        <f t="shared" ref="Q194:Q257" si="33">IF(OR(N194="",P194=""),"",ROUND((P194-N194)/N194,4))</f>
        <v>2.8000000000000001E-2</v>
      </c>
      <c r="R194" s="106" t="str">
        <f>IF(OR(N194="",P194=""),"",IF(Q194&gt;Settings!$B$3/100,"UP",IF(Q194&lt;-Settings!$B$3/100,"DOWN","FLAT")))</f>
        <v>UP</v>
      </c>
      <c r="S194" s="106" t="str">
        <f t="shared" si="23"/>
        <v>NO</v>
      </c>
      <c r="T194" s="105">
        <f t="shared" si="24"/>
        <v>0</v>
      </c>
      <c r="U194" s="150">
        <f>IFERROR(IF(OR(J194="",N194="",P194=""),"",IF(T194=0,0,T194*Q194-Settings!$B$4/10000-IF(T194&lt;0,Settings!$B$5/10000,0))),"")</f>
        <v>0</v>
      </c>
      <c r="V194" s="7" t="s">
        <v>1153</v>
      </c>
      <c r="W194" s="21">
        <f t="shared" si="25"/>
        <v>1800</v>
      </c>
      <c r="X194" s="91" t="str">
        <f t="shared" si="26"/>
        <v>Kraft Heinz|2026|Q1</v>
      </c>
      <c r="Y194" s="91" t="str">
        <f>IFERROR(IF($X194="","",INDEX(LLM_Data_Entry!$H$3:$H$548,MATCH($X194,INDEX(LLM_Data_Entry!$A$3:$A$548&amp;"|"&amp;LLM_Data_Entry!$C$3:$C$548&amp;"|"&amp;LLM_Data_Entry!$D$3:$D$548,0),0))),"")</f>
        <v>SELL</v>
      </c>
      <c r="Z194" s="91" t="str">
        <f>IFERROR(IF($X194="","",INDEX(LLM_Data_Entry!$R$3:$R$548,MATCH($X194,INDEX(LLM_Data_Entry!$A$3:$A$548&amp;"|"&amp;LLM_Data_Entry!$C$3:$C$548&amp;"|"&amp;LLM_Data_Entry!$D$3:$D$548,0),0))),"")</f>
        <v>NO</v>
      </c>
      <c r="AB194" t="s">
        <v>636</v>
      </c>
      <c r="AC194" t="s">
        <v>1147</v>
      </c>
      <c r="AD194" t="s">
        <v>731</v>
      </c>
      <c r="AE194">
        <v>22.1388</v>
      </c>
      <c r="AF194" t="s">
        <v>680</v>
      </c>
      <c r="AG194">
        <v>22.7575</v>
      </c>
      <c r="AH194">
        <v>2.7950301461763399E-2</v>
      </c>
      <c r="AI194" t="s">
        <v>591</v>
      </c>
      <c r="AJ194" t="s">
        <v>546</v>
      </c>
      <c r="AK194">
        <v>0</v>
      </c>
      <c r="AL194" t="str">
        <f>IF($A194="","",IFERROR(INDEX(Company_List!$G$3:$G$207,MATCH($A194,Company_List!$A$3:$A$207,0)),"unassigned"))</f>
        <v>P3</v>
      </c>
      <c r="AM194" t="s">
        <v>1154</v>
      </c>
      <c r="AO194" t="s">
        <v>548</v>
      </c>
      <c r="AP194" t="str">
        <f>IF($A194="","",IF(COUNTIFS(LLM_Data_Entry!$A$3:$A$548,$A194)&gt;0,"YES","NO"))</f>
        <v>YES</v>
      </c>
      <c r="AQ194" t="str">
        <f>IF($A194="","",IF(COUNTIFS($A$3:$A194,$A194,$C$3:$C194,$C194,$D$3:$D194,$D194)=1,"YES","NO"))</f>
        <v>YES</v>
      </c>
      <c r="AR194" t="str">
        <f>IF($A194="","",IF(AND($C194&amp;"-"&amp;$D194&gt;=Settings!$B$19,$C194&amp;"-"&amp;$D194&lt;=Settings!$B$20),"IN","OUT"))</f>
        <v>IN</v>
      </c>
      <c r="AS194" t="str">
        <f t="shared" si="27"/>
        <v>qanda</v>
      </c>
      <c r="AT194" t="str">
        <f t="shared" si="28"/>
        <v/>
      </c>
      <c r="AU194" t="str">
        <f t="shared" si="29"/>
        <v/>
      </c>
      <c r="AV194" t="str">
        <f>IF(ISNUMBER($AT194),ABS(IF(ISNUMBER($I194),$I194,0)-Settings!$B$24),"")</f>
        <v/>
      </c>
      <c r="AW194" t="str">
        <f t="shared" si="30"/>
        <v/>
      </c>
      <c r="AX194" t="str">
        <f>IF(ISNUMBER($AU194),ABS(IF(ISNUMBER($I194),$I194,0)-Settings!$B$24),"")</f>
        <v/>
      </c>
      <c r="AY194" t="s">
        <v>549</v>
      </c>
      <c r="AZ194" t="str">
        <f>IF($A194="","",IFERROR(INDEX(Company_List!$H$3:$H$207,MATCH($A194,Company_List!$A$3:$A$207,0)),"unassigned"))</f>
        <v>Consumer Staples</v>
      </c>
      <c r="BC194">
        <f>IF($A194="","",IF(COUNTIFS($A$3:$A194,$A194,$C$3:$C194,$C194,$D$3:$D194,$D194,$G$3:$G194,$G194)=1,1,0))</f>
        <v>1</v>
      </c>
      <c r="BG194" t="s">
        <v>550</v>
      </c>
      <c r="BK194">
        <f t="shared" si="31"/>
        <v>0</v>
      </c>
      <c r="BL194" t="s">
        <v>551</v>
      </c>
      <c r="BM194">
        <v>1</v>
      </c>
      <c r="BN194" t="s">
        <v>595</v>
      </c>
      <c r="BO194" t="s">
        <v>596</v>
      </c>
      <c r="BP194" t="s">
        <v>550</v>
      </c>
      <c r="BQ194" t="s">
        <v>550</v>
      </c>
      <c r="BS194" t="s">
        <v>554</v>
      </c>
    </row>
    <row r="195" spans="1:71" x14ac:dyDescent="0.2">
      <c r="A195" s="100" t="s">
        <v>1155</v>
      </c>
      <c r="B195" s="116" t="str">
        <f>IF(A195="","",_xlfn.XLOOKUP(A195, Company_List!$A:$A, Company_List!$B:$B, ""))</f>
        <v>LIN</v>
      </c>
      <c r="C195" s="105">
        <v>2025</v>
      </c>
      <c r="D195" s="106" t="s">
        <v>555</v>
      </c>
      <c r="E195" s="98" t="s">
        <v>1095</v>
      </c>
      <c r="F195" s="98" t="s">
        <v>538</v>
      </c>
      <c r="G195" s="143" t="s">
        <v>574</v>
      </c>
      <c r="H195" s="106" t="s">
        <v>540</v>
      </c>
      <c r="I195" s="145">
        <v>0.4</v>
      </c>
      <c r="J195" s="145" t="str">
        <f>IF(OR(I195="",Settings!$B$6=""),"",IF(I195&gt;Settings!$B$6,"BUY",IF(I195&lt;-Settings!$B$6,"SELL","HOLD")))</f>
        <v>BUY</v>
      </c>
      <c r="K195" s="145">
        <v>35</v>
      </c>
      <c r="L195" s="126">
        <v>45870</v>
      </c>
      <c r="M195" s="126">
        <v>45869</v>
      </c>
      <c r="N195" s="147">
        <v>460.26</v>
      </c>
      <c r="O195" s="126">
        <v>45870</v>
      </c>
      <c r="P195" s="145">
        <v>458.33</v>
      </c>
      <c r="Q195" s="150">
        <f t="shared" si="33"/>
        <v>-4.1999999999999997E-3</v>
      </c>
      <c r="R195" s="106" t="str">
        <f>IF(OR(N195="",P195=""),"",IF(Q195&gt;Settings!$B$3/100,"UP",IF(Q195&lt;-Settings!$B$3/100,"DOWN","FLAT")))</f>
        <v>FLAT</v>
      </c>
      <c r="S195" s="106" t="str">
        <f t="shared" ref="S195:S258" si="34">IF(OR(N195="",P195="",J195=""),"",IF(OR(AND(J195="BUY",R195="UP"),AND(J195="SELL",R195="DOWN"),AND(J195="HOLD",R195="FLAT")),"YES","NO"))</f>
        <v>NO</v>
      </c>
      <c r="T195" s="105">
        <f t="shared" ref="T195:T258" si="35">IF(J195="","",IF(J195="BUY",1,IF(J195="SELL",-1,0)))</f>
        <v>1</v>
      </c>
      <c r="U195" s="150">
        <f>IFERROR(IF(OR(J195="",N195="",P195=""),"",IF(T195=0,0,T195*Q195-Settings!$B$4/10000-IF(T195&lt;0,Settings!$B$5/10000,0))),"")</f>
        <v>-5.1999999999999998E-3</v>
      </c>
      <c r="V195" s="7" t="s">
        <v>1156</v>
      </c>
      <c r="W195" s="21">
        <f t="shared" ref="W195:W258" si="36">IF($K195="","",$K195*60)</f>
        <v>2100</v>
      </c>
      <c r="X195" s="91" t="str">
        <f t="shared" ref="X195:X258" si="37">IF($A195="","",$A195&amp;"|"&amp;$C195&amp;"|"&amp;$D195)</f>
        <v>Linde|2025|Q2</v>
      </c>
      <c r="Y195" s="91" t="str">
        <f>IFERROR(IF($X195="","",INDEX(LLM_Data_Entry!$H$3:$H$548,MATCH($X195,INDEX(LLM_Data_Entry!$A$3:$A$548&amp;"|"&amp;LLM_Data_Entry!$C$3:$C$548&amp;"|"&amp;LLM_Data_Entry!$D$3:$D$548,0),0))),"")</f>
        <v>SELL</v>
      </c>
      <c r="Z195" s="91" t="str">
        <f>IFERROR(IF($X195="","",INDEX(LLM_Data_Entry!$R$3:$R$548,MATCH($X195,INDEX(LLM_Data_Entry!$A$3:$A$548&amp;"|"&amp;LLM_Data_Entry!$C$3:$C$548&amp;"|"&amp;LLM_Data_Entry!$D$3:$D$548,0),0))),"")</f>
        <v>NO</v>
      </c>
      <c r="AB195" t="s">
        <v>624</v>
      </c>
      <c r="AC195" t="s">
        <v>1157</v>
      </c>
      <c r="AD195" t="s">
        <v>687</v>
      </c>
      <c r="AE195">
        <v>454.14670000000001</v>
      </c>
      <c r="AF195" t="s">
        <v>688</v>
      </c>
      <c r="AG195">
        <v>452.24239999999998</v>
      </c>
      <c r="AH195">
        <v>-4.1932637915594014E-3</v>
      </c>
      <c r="AI195" t="s">
        <v>579</v>
      </c>
      <c r="AJ195" t="s">
        <v>546</v>
      </c>
      <c r="AK195">
        <v>-5.1929999999999997E-3</v>
      </c>
      <c r="AL195" t="str">
        <f>IF($A195="","",IFERROR(INDEX(Company_List!$G$3:$G$207,MATCH($A195,Company_List!$A$3:$A$207,0)),"unassigned"))</f>
        <v>P3</v>
      </c>
      <c r="AM195" t="s">
        <v>1158</v>
      </c>
      <c r="AN195" t="s">
        <v>1159</v>
      </c>
      <c r="AO195" t="s">
        <v>560</v>
      </c>
      <c r="AP195" t="str">
        <f>IF($A195="","",IF(COUNTIFS(LLM_Data_Entry!$A$3:$A$548,$A195)&gt;0,"YES","NO"))</f>
        <v>YES</v>
      </c>
      <c r="AQ195" t="str">
        <f>IF($A195="","",IF(COUNTIFS($A$3:$A195,$A195,$C$3:$C195,$C195,$D$3:$D195,$D195)=1,"YES","NO"))</f>
        <v>YES</v>
      </c>
      <c r="AR195" t="str">
        <f>IF($A195="","",IF(AND($C195&amp;"-"&amp;$D195&gt;=Settings!$B$19,$C195&amp;"-"&amp;$D195&lt;=Settings!$B$20),"IN","OUT"))</f>
        <v>IN</v>
      </c>
      <c r="AS195" t="str">
        <f t="shared" ref="AS195:AS258" si="38">IF($A195="","",IF($F195="Financial Results","financials",IF($F195="Outlook/Guidance","guidance",IF($F195="Transcript Q&amp;A","qanda",IF($F195="","unrecorded",IF($E195="All","full",IF($E195="","unrecorded",LOWER($E195)&amp;" only")))))))</f>
        <v>presentation only</v>
      </c>
      <c r="AT195">
        <f t="shared" ref="AT195:AT258" si="39">IF(AND(OR($J195="BUY",$J195="SELL"),ISNUMBER($U195)),$U195,"")</f>
        <v>-5.1999999999999998E-3</v>
      </c>
      <c r="AU195">
        <f t="shared" ref="AU195:AU258" si="40">IF(AND(OR($J195="BUY",$J195="SELL"),ISNUMBER($AK195)),$AK195,"")</f>
        <v>-5.1929999999999997E-3</v>
      </c>
      <c r="AV195">
        <f>IF(ISNUMBER($AT195),ABS(IF(ISNUMBER($I195),$I195,0)-Settings!$B$24),"")</f>
        <v>0.4</v>
      </c>
      <c r="AW195">
        <f t="shared" ref="AW195:AW258" si="41">IF(ISNUMBER($AV195),$AV195*$AT195,"")</f>
        <v>-2.0799999999999998E-3</v>
      </c>
      <c r="AX195">
        <f>IF(ISNUMBER($AU195),ABS(IF(ISNUMBER($I195),$I195,0)-Settings!$B$24),"")</f>
        <v>0.4</v>
      </c>
      <c r="AY195" t="s">
        <v>549</v>
      </c>
      <c r="AZ195" t="str">
        <f>IF($A195="","",IFERROR(INDEX(Company_List!$H$3:$H$207,MATCH($A195,Company_List!$A$3:$A$207,0)),"unassigned"))</f>
        <v>Materials</v>
      </c>
      <c r="BC195">
        <f>IF($A195="","",IF(COUNTIFS($A$3:$A195,$A195,$C$3:$C195,$C195,$D$3:$D195,$D195,$G$3:$G195,$G195)=1,1,0))</f>
        <v>1</v>
      </c>
      <c r="BG195" t="s">
        <v>550</v>
      </c>
      <c r="BK195">
        <f t="shared" ref="BK195:BK258" si="42">IF(OR($H195&lt;&gt;"Human",$S195="",$J195="",$Y195="",$Z195=""),"",IF(EXACT(UPPER($J195),UPPER($Y195)),1,0))</f>
        <v>0</v>
      </c>
      <c r="BL195" t="s">
        <v>551</v>
      </c>
      <c r="BM195">
        <v>1</v>
      </c>
      <c r="BN195" t="s">
        <v>561</v>
      </c>
      <c r="BO195" t="s">
        <v>561</v>
      </c>
      <c r="BP195" t="s">
        <v>550</v>
      </c>
      <c r="BQ195" t="s">
        <v>562</v>
      </c>
      <c r="BS195" t="s">
        <v>554</v>
      </c>
    </row>
    <row r="196" spans="1:71" x14ac:dyDescent="0.2">
      <c r="A196" s="100" t="s">
        <v>1155</v>
      </c>
      <c r="B196" s="116" t="str">
        <f>IF(A196="","",_xlfn.XLOOKUP(A196, Company_List!$A:$A, Company_List!$B:$B, ""))</f>
        <v>LIN</v>
      </c>
      <c r="C196" s="105">
        <v>2025</v>
      </c>
      <c r="D196" s="106" t="s">
        <v>563</v>
      </c>
      <c r="E196" s="98" t="s">
        <v>647</v>
      </c>
      <c r="F196" s="98" t="s">
        <v>1086</v>
      </c>
      <c r="G196" s="143" t="s">
        <v>574</v>
      </c>
      <c r="H196" s="106" t="s">
        <v>540</v>
      </c>
      <c r="I196" s="145">
        <v>0.2</v>
      </c>
      <c r="J196" s="145" t="str">
        <f>IF(OR(I196="",Settings!$B$6=""),"",IF(I196&gt;Settings!$B$6,"BUY",IF(I196&lt;-Settings!$B$6,"SELL","HOLD")))</f>
        <v>HOLD</v>
      </c>
      <c r="K196" s="145">
        <v>24</v>
      </c>
      <c r="L196" s="126">
        <v>45961</v>
      </c>
      <c r="M196" s="126">
        <v>45960</v>
      </c>
      <c r="N196" s="147">
        <v>429.91</v>
      </c>
      <c r="O196" s="126">
        <v>45961</v>
      </c>
      <c r="P196" s="145">
        <v>425</v>
      </c>
      <c r="Q196" s="150">
        <f t="shared" si="33"/>
        <v>-1.14E-2</v>
      </c>
      <c r="R196" s="106" t="str">
        <f>IF(OR(N196="",P196=""),"",IF(Q196&gt;Settings!$B$3/100,"UP",IF(Q196&lt;-Settings!$B$3/100,"DOWN","FLAT")))</f>
        <v>FLAT</v>
      </c>
      <c r="S196" s="106" t="str">
        <f t="shared" si="34"/>
        <v>YES</v>
      </c>
      <c r="T196" s="105">
        <f t="shared" si="35"/>
        <v>0</v>
      </c>
      <c r="U196" s="150">
        <f>IFERROR(IF(OR(J196="",N196="",P196=""),"",IF(T196=0,0,T196*Q196-Settings!$B$4/10000-IF(T196&lt;0,Settings!$B$5/10000,0))),"")</f>
        <v>0</v>
      </c>
      <c r="V196" s="7" t="s">
        <v>1160</v>
      </c>
      <c r="W196" s="21">
        <f t="shared" si="36"/>
        <v>1440</v>
      </c>
      <c r="X196" s="91" t="str">
        <f t="shared" si="37"/>
        <v>Linde|2025|Q3</v>
      </c>
      <c r="Y196" s="91" t="str">
        <f>IFERROR(IF($X196="","",INDEX(LLM_Data_Entry!$H$3:$H$548,MATCH($X196,INDEX(LLM_Data_Entry!$A$3:$A$548&amp;"|"&amp;LLM_Data_Entry!$C$3:$C$548&amp;"|"&amp;LLM_Data_Entry!$D$3:$D$548,0),0))),"")</f>
        <v>HOLD</v>
      </c>
      <c r="Z196" s="91" t="str">
        <f>IFERROR(IF($X196="","",INDEX(LLM_Data_Entry!$R$3:$R$548,MATCH($X196,INDEX(LLM_Data_Entry!$A$3:$A$548&amp;"|"&amp;LLM_Data_Entry!$C$3:$C$548&amp;"|"&amp;LLM_Data_Entry!$D$3:$D$548,0),0))),"")</f>
        <v>YES</v>
      </c>
      <c r="AB196" t="s">
        <v>748</v>
      </c>
      <c r="AC196" t="s">
        <v>1157</v>
      </c>
      <c r="AD196" t="s">
        <v>660</v>
      </c>
      <c r="AE196">
        <v>425.55290000000002</v>
      </c>
      <c r="AF196" t="s">
        <v>661</v>
      </c>
      <c r="AG196">
        <v>420.69260000000003</v>
      </c>
      <c r="AH196">
        <v>-1.1420984676916081E-2</v>
      </c>
      <c r="AI196" t="s">
        <v>579</v>
      </c>
      <c r="AJ196" t="s">
        <v>554</v>
      </c>
      <c r="AK196">
        <v>0</v>
      </c>
      <c r="AL196" t="str">
        <f>IF($A196="","",IFERROR(INDEX(Company_List!$G$3:$G$207,MATCH($A196,Company_List!$A$3:$A$207,0)),"unassigned"))</f>
        <v>P3</v>
      </c>
      <c r="AM196" t="s">
        <v>1161</v>
      </c>
      <c r="AO196" t="s">
        <v>548</v>
      </c>
      <c r="AP196" t="str">
        <f>IF($A196="","",IF(COUNTIFS(LLM_Data_Entry!$A$3:$A$548,$A196)&gt;0,"YES","NO"))</f>
        <v>YES</v>
      </c>
      <c r="AQ196" t="str">
        <f>IF($A196="","",IF(COUNTIFS($A$3:$A196,$A196,$C$3:$C196,$C196,$D$3:$D196,$D196)=1,"YES","NO"))</f>
        <v>YES</v>
      </c>
      <c r="AR196" t="str">
        <f>IF($A196="","",IF(AND($C196&amp;"-"&amp;$D196&gt;=Settings!$B$19,$C196&amp;"-"&amp;$D196&lt;=Settings!$B$20),"IN","OUT"))</f>
        <v>IN</v>
      </c>
      <c r="AS196" t="str">
        <f t="shared" si="38"/>
        <v>financials</v>
      </c>
      <c r="AT196" t="str">
        <f t="shared" si="39"/>
        <v/>
      </c>
      <c r="AU196" t="str">
        <f t="shared" si="40"/>
        <v/>
      </c>
      <c r="AV196" t="str">
        <f>IF(ISNUMBER($AT196),ABS(IF(ISNUMBER($I196),$I196,0)-Settings!$B$24),"")</f>
        <v/>
      </c>
      <c r="AW196" t="str">
        <f t="shared" si="41"/>
        <v/>
      </c>
      <c r="AX196" t="str">
        <f>IF(ISNUMBER($AU196),ABS(IF(ISNUMBER($I196),$I196,0)-Settings!$B$24),"")</f>
        <v/>
      </c>
      <c r="AY196" t="s">
        <v>549</v>
      </c>
      <c r="AZ196" t="str">
        <f>IF($A196="","",IFERROR(INDEX(Company_List!$H$3:$H$207,MATCH($A196,Company_List!$A$3:$A$207,0)),"unassigned"))</f>
        <v>Materials</v>
      </c>
      <c r="BC196">
        <f>IF($A196="","",IF(COUNTIFS($A$3:$A196,$A196,$C$3:$C196,$C196,$D$3:$D196,$D196,$G$3:$G196,$G196)=1,1,0))</f>
        <v>1</v>
      </c>
      <c r="BG196" t="s">
        <v>550</v>
      </c>
      <c r="BK196">
        <f t="shared" si="42"/>
        <v>1</v>
      </c>
      <c r="BL196" t="s">
        <v>551</v>
      </c>
      <c r="BM196">
        <v>1</v>
      </c>
      <c r="BN196" t="s">
        <v>561</v>
      </c>
      <c r="BO196" t="s">
        <v>561</v>
      </c>
      <c r="BP196" t="s">
        <v>550</v>
      </c>
      <c r="BQ196" t="s">
        <v>550</v>
      </c>
      <c r="BS196" t="s">
        <v>554</v>
      </c>
    </row>
    <row r="197" spans="1:71" x14ac:dyDescent="0.2">
      <c r="A197" s="100" t="s">
        <v>1155</v>
      </c>
      <c r="B197" s="116" t="str">
        <f>IF(A197="","",_xlfn.XLOOKUP(A197, Company_List!$A:$A, Company_List!$B:$B, ""))</f>
        <v>LIN</v>
      </c>
      <c r="C197" s="105">
        <v>2026</v>
      </c>
      <c r="D197" s="106" t="s">
        <v>537</v>
      </c>
      <c r="E197" s="98" t="s">
        <v>647</v>
      </c>
      <c r="F197" s="98" t="s">
        <v>1092</v>
      </c>
      <c r="G197" s="143" t="s">
        <v>574</v>
      </c>
      <c r="H197" s="106" t="s">
        <v>540</v>
      </c>
      <c r="I197" s="145">
        <v>0.1</v>
      </c>
      <c r="J197" s="145" t="str">
        <f>IF(OR(I197="",Settings!$B$6=""),"",IF(I197&gt;Settings!$B$6,"BUY",IF(I197&lt;-Settings!$B$6,"SELL","HOLD")))</f>
        <v>HOLD</v>
      </c>
      <c r="K197" s="145">
        <v>42</v>
      </c>
      <c r="L197" s="126">
        <v>46143</v>
      </c>
      <c r="M197" s="126">
        <v>46142</v>
      </c>
      <c r="N197" s="147">
        <v>501.14</v>
      </c>
      <c r="O197" s="126">
        <v>46143</v>
      </c>
      <c r="P197" s="145">
        <v>503.36</v>
      </c>
      <c r="Q197" s="150">
        <f t="shared" si="33"/>
        <v>4.4000000000000003E-3</v>
      </c>
      <c r="R197" s="106" t="str">
        <f>IF(OR(N197="",P197=""),"",IF(Q197&gt;Settings!$B$3/100,"UP",IF(Q197&lt;-Settings!$B$3/100,"DOWN","FLAT")))</f>
        <v>FLAT</v>
      </c>
      <c r="S197" s="106" t="str">
        <f t="shared" si="34"/>
        <v>YES</v>
      </c>
      <c r="T197" s="105">
        <f t="shared" si="35"/>
        <v>0</v>
      </c>
      <c r="U197" s="150">
        <f>IFERROR(IF(OR(J197="",N197="",P197=""),"",IF(T197=0,0,T197*Q197-Settings!$B$4/10000-IF(T197&lt;0,Settings!$B$5/10000,0))),"")</f>
        <v>0</v>
      </c>
      <c r="V197" s="7" t="s">
        <v>1162</v>
      </c>
      <c r="W197" s="21">
        <f t="shared" si="36"/>
        <v>2520</v>
      </c>
      <c r="X197" s="91" t="str">
        <f t="shared" si="37"/>
        <v>Linde|2026|Q1</v>
      </c>
      <c r="Y197" s="91" t="str">
        <f>IFERROR(IF($X197="","",INDEX(LLM_Data_Entry!$H$3:$H$548,MATCH($X197,INDEX(LLM_Data_Entry!$A$3:$A$548&amp;"|"&amp;LLM_Data_Entry!$C$3:$C$548&amp;"|"&amp;LLM_Data_Entry!$D$3:$D$548,0),0))),"")</f>
        <v>SELL</v>
      </c>
      <c r="Z197" s="91" t="str">
        <f>IFERROR(IF($X197="","",INDEX(LLM_Data_Entry!$R$3:$R$548,MATCH($X197,INDEX(LLM_Data_Entry!$A$3:$A$548&amp;"|"&amp;LLM_Data_Entry!$C$3:$C$548&amp;"|"&amp;LLM_Data_Entry!$D$3:$D$548,0),0))),"")</f>
        <v>NO</v>
      </c>
      <c r="AB197" t="s">
        <v>624</v>
      </c>
      <c r="AC197" t="s">
        <v>1157</v>
      </c>
      <c r="AD197" t="s">
        <v>657</v>
      </c>
      <c r="AE197">
        <v>499.56029999999998</v>
      </c>
      <c r="AF197" t="s">
        <v>1163</v>
      </c>
      <c r="AG197">
        <v>501.77330000000001</v>
      </c>
      <c r="AH197">
        <v>4.4298004724029434E-3</v>
      </c>
      <c r="AI197" t="s">
        <v>579</v>
      </c>
      <c r="AJ197" t="s">
        <v>554</v>
      </c>
      <c r="AK197">
        <v>0</v>
      </c>
      <c r="AL197" t="str">
        <f>IF($A197="","",IFERROR(INDEX(Company_List!$G$3:$G$207,MATCH($A197,Company_List!$A$3:$A$207,0)),"unassigned"))</f>
        <v>P3</v>
      </c>
      <c r="AM197" t="s">
        <v>1164</v>
      </c>
      <c r="AO197" t="s">
        <v>548</v>
      </c>
      <c r="AP197" t="str">
        <f>IF($A197="","",IF(COUNTIFS(LLM_Data_Entry!$A$3:$A$548,$A197)&gt;0,"YES","NO"))</f>
        <v>YES</v>
      </c>
      <c r="AQ197" t="str">
        <f>IF($A197="","",IF(COUNTIFS($A$3:$A197,$A197,$C$3:$C197,$C197,$D$3:$D197,$D197)=1,"YES","NO"))</f>
        <v>YES</v>
      </c>
      <c r="AR197" t="str">
        <f>IF($A197="","",IF(AND($C197&amp;"-"&amp;$D197&gt;=Settings!$B$19,$C197&amp;"-"&amp;$D197&lt;=Settings!$B$20),"IN","OUT"))</f>
        <v>IN</v>
      </c>
      <c r="AS197" t="str">
        <f t="shared" si="38"/>
        <v>qanda</v>
      </c>
      <c r="AT197" t="str">
        <f t="shared" si="39"/>
        <v/>
      </c>
      <c r="AU197" t="str">
        <f t="shared" si="40"/>
        <v/>
      </c>
      <c r="AV197" t="str">
        <f>IF(ISNUMBER($AT197),ABS(IF(ISNUMBER($I197),$I197,0)-Settings!$B$24),"")</f>
        <v/>
      </c>
      <c r="AW197" t="str">
        <f t="shared" si="41"/>
        <v/>
      </c>
      <c r="AX197" t="str">
        <f>IF(ISNUMBER($AU197),ABS(IF(ISNUMBER($I197),$I197,0)-Settings!$B$24),"")</f>
        <v/>
      </c>
      <c r="AY197" t="s">
        <v>549</v>
      </c>
      <c r="AZ197" t="str">
        <f>IF($A197="","",IFERROR(INDEX(Company_List!$H$3:$H$207,MATCH($A197,Company_List!$A$3:$A$207,0)),"unassigned"))</f>
        <v>Materials</v>
      </c>
      <c r="BC197">
        <f>IF($A197="","",IF(COUNTIFS($A$3:$A197,$A197,$C$3:$C197,$C197,$D$3:$D197,$D197,$G$3:$G197,$G197)=1,1,0))</f>
        <v>1</v>
      </c>
      <c r="BG197" t="s">
        <v>550</v>
      </c>
      <c r="BK197">
        <f t="shared" si="42"/>
        <v>0</v>
      </c>
      <c r="BL197" t="s">
        <v>551</v>
      </c>
      <c r="BM197">
        <v>1</v>
      </c>
      <c r="BN197" t="s">
        <v>561</v>
      </c>
      <c r="BO197" t="s">
        <v>561</v>
      </c>
      <c r="BP197" t="s">
        <v>550</v>
      </c>
      <c r="BQ197" t="s">
        <v>550</v>
      </c>
      <c r="BS197" t="s">
        <v>554</v>
      </c>
    </row>
    <row r="198" spans="1:71" x14ac:dyDescent="0.2">
      <c r="A198" s="100" t="s">
        <v>1165</v>
      </c>
      <c r="B198" s="116" t="str">
        <f>IF(A198="","",_xlfn.XLOOKUP(A198, Company_List!$A:$A, Company_List!$B:$B, ""))</f>
        <v>PUM.DE</v>
      </c>
      <c r="C198" s="105">
        <v>2026</v>
      </c>
      <c r="D198" s="106" t="s">
        <v>537</v>
      </c>
      <c r="E198" s="98" t="s">
        <v>647</v>
      </c>
      <c r="F198" s="98" t="s">
        <v>538</v>
      </c>
      <c r="G198" s="143" t="s">
        <v>539</v>
      </c>
      <c r="H198" s="106" t="s">
        <v>540</v>
      </c>
      <c r="I198" s="145">
        <v>-0.4</v>
      </c>
      <c r="J198" s="145" t="str">
        <f>IF(OR(I198="",Settings!$B$6=""),"",IF(I198&gt;Settings!$B$6,"BUY",IF(I198&lt;-Settings!$B$6,"SELL","HOLD")))</f>
        <v>SELL</v>
      </c>
      <c r="K198" s="145">
        <v>34</v>
      </c>
      <c r="L198" s="126">
        <v>46142</v>
      </c>
      <c r="M198" s="126">
        <v>46141</v>
      </c>
      <c r="N198" s="147">
        <v>24.68</v>
      </c>
      <c r="O198" s="126">
        <v>46142</v>
      </c>
      <c r="P198" s="145">
        <v>24.94</v>
      </c>
      <c r="Q198" s="150">
        <f t="shared" si="33"/>
        <v>1.0500000000000001E-2</v>
      </c>
      <c r="R198" s="106" t="str">
        <f>IF(OR(N198="",P198=""),"",IF(Q198&gt;Settings!$B$3/100,"UP",IF(Q198&lt;-Settings!$B$3/100,"DOWN","FLAT")))</f>
        <v>FLAT</v>
      </c>
      <c r="S198" s="106" t="str">
        <f t="shared" si="34"/>
        <v>NO</v>
      </c>
      <c r="T198" s="105">
        <f t="shared" si="35"/>
        <v>-1</v>
      </c>
      <c r="U198" s="150">
        <f>IFERROR(IF(OR(J198="",N198="",P198=""),"",IF(T198=0,0,T198*Q198-Settings!$B$4/10000-IF(T198&lt;0,Settings!$B$5/10000,0))),"")</f>
        <v>-1.15E-2</v>
      </c>
      <c r="W198" s="21">
        <f t="shared" si="36"/>
        <v>2040</v>
      </c>
      <c r="X198" s="91" t="str">
        <f t="shared" si="37"/>
        <v>Puma|2026|Q1</v>
      </c>
      <c r="Y198" s="91" t="str">
        <f>IFERROR(IF($X198="","",INDEX(LLM_Data_Entry!$H$3:$H$548,MATCH($X198,INDEX(LLM_Data_Entry!$A$3:$A$548&amp;"|"&amp;LLM_Data_Entry!$C$3:$C$548&amp;"|"&amp;LLM_Data_Entry!$D$3:$D$548,0),0))),"")</f>
        <v>SELL</v>
      </c>
      <c r="Z198" s="91" t="str">
        <f>IFERROR(IF($X198="","",INDEX(LLM_Data_Entry!$R$3:$R$548,MATCH($X198,INDEX(LLM_Data_Entry!$A$3:$A$548&amp;"|"&amp;LLM_Data_Entry!$C$3:$C$548&amp;"|"&amp;LLM_Data_Entry!$D$3:$D$548,0),0))),"")</f>
        <v>NO</v>
      </c>
      <c r="AB198" t="s">
        <v>853</v>
      </c>
      <c r="AC198" t="s">
        <v>1166</v>
      </c>
      <c r="AD198" t="s">
        <v>656</v>
      </c>
      <c r="AE198">
        <v>24.68</v>
      </c>
      <c r="AF198" t="s">
        <v>657</v>
      </c>
      <c r="AG198">
        <v>24.94</v>
      </c>
      <c r="AH198">
        <v>1.0534886547811951E-2</v>
      </c>
      <c r="AI198" t="s">
        <v>579</v>
      </c>
      <c r="AJ198" t="s">
        <v>546</v>
      </c>
      <c r="AK198">
        <v>-1.1535E-2</v>
      </c>
      <c r="AL198" t="str">
        <f>IF($A198="","",IFERROR(INDEX(Company_List!$G$3:$G$207,MATCH($A198,Company_List!$A$3:$A$207,0)),"unassigned"))</f>
        <v>P3</v>
      </c>
      <c r="AM198" t="s">
        <v>1167</v>
      </c>
      <c r="AO198" t="s">
        <v>548</v>
      </c>
      <c r="AP198" t="str">
        <f>IF($A198="","",IF(COUNTIFS(LLM_Data_Entry!$A$3:$A$548,$A198)&gt;0,"YES","NO"))</f>
        <v>YES</v>
      </c>
      <c r="AQ198" t="str">
        <f>IF($A198="","",IF(COUNTIFS($A$3:$A198,$A198,$C$3:$C198,$C198,$D$3:$D198,$D198)=1,"YES","NO"))</f>
        <v>YES</v>
      </c>
      <c r="AR198" t="str">
        <f>IF($A198="","",IF(AND($C198&amp;"-"&amp;$D198&gt;=Settings!$B$19,$C198&amp;"-"&amp;$D198&lt;=Settings!$B$20),"IN","OUT"))</f>
        <v>IN</v>
      </c>
      <c r="AS198" t="str">
        <f t="shared" si="38"/>
        <v>transcript only</v>
      </c>
      <c r="AT198">
        <f t="shared" si="39"/>
        <v>-1.15E-2</v>
      </c>
      <c r="AU198">
        <f t="shared" si="40"/>
        <v>-1.1535E-2</v>
      </c>
      <c r="AV198">
        <f>IF(ISNUMBER($AT198),ABS(IF(ISNUMBER($I198),$I198,0)-Settings!$B$24),"")</f>
        <v>0.4</v>
      </c>
      <c r="AW198">
        <f t="shared" si="41"/>
        <v>-4.5999999999999999E-3</v>
      </c>
      <c r="AX198">
        <f>IF(ISNUMBER($AU198),ABS(IF(ISNUMBER($I198),$I198,0)-Settings!$B$24),"")</f>
        <v>0.4</v>
      </c>
      <c r="AY198" t="s">
        <v>549</v>
      </c>
      <c r="AZ198" t="str">
        <f>IF($A198="","",IFERROR(INDEX(Company_List!$H$3:$H$207,MATCH($A198,Company_List!$A$3:$A$207,0)),"unassigned"))</f>
        <v>Consumer Discretionary</v>
      </c>
      <c r="BC198">
        <f>IF($A198="","",IF(COUNTIFS($A$3:$A198,$A198,$C$3:$C198,$C198,$D$3:$D198,$D198,$G$3:$G198,$G198)=1,1,0))</f>
        <v>1</v>
      </c>
      <c r="BG198" t="s">
        <v>550</v>
      </c>
      <c r="BK198">
        <f t="shared" si="42"/>
        <v>1</v>
      </c>
      <c r="BL198" t="s">
        <v>551</v>
      </c>
      <c r="BM198">
        <v>1</v>
      </c>
      <c r="BN198" t="s">
        <v>561</v>
      </c>
      <c r="BO198" t="s">
        <v>561</v>
      </c>
      <c r="BP198" t="s">
        <v>550</v>
      </c>
      <c r="BQ198" t="s">
        <v>550</v>
      </c>
      <c r="BS198" t="s">
        <v>554</v>
      </c>
    </row>
    <row r="199" spans="1:71" x14ac:dyDescent="0.2">
      <c r="A199" s="100" t="s">
        <v>1165</v>
      </c>
      <c r="B199" s="116" t="str">
        <f>IF(A199="","",_xlfn.XLOOKUP(A199, Company_List!$A:$A, Company_List!$B:$B, ""))</f>
        <v>PUM.DE</v>
      </c>
      <c r="C199" s="105">
        <v>2025</v>
      </c>
      <c r="D199" s="106" t="s">
        <v>563</v>
      </c>
      <c r="E199" s="98" t="s">
        <v>647</v>
      </c>
      <c r="F199" s="98" t="s">
        <v>538</v>
      </c>
      <c r="G199" s="143" t="s">
        <v>539</v>
      </c>
      <c r="H199" s="106" t="s">
        <v>540</v>
      </c>
      <c r="I199" s="145">
        <v>-0.6</v>
      </c>
      <c r="J199" s="145" t="str">
        <f>IF(OR(I199="",Settings!$B$6=""),"",IF(I199&gt;Settings!$B$6,"BUY",IF(I199&lt;-Settings!$B$6,"SELL","HOLD")))</f>
        <v>SELL</v>
      </c>
      <c r="K199" s="145">
        <v>30</v>
      </c>
      <c r="L199" s="126">
        <v>45960</v>
      </c>
      <c r="M199" s="126">
        <v>45959</v>
      </c>
      <c r="N199" s="147">
        <v>20.6</v>
      </c>
      <c r="O199" s="126">
        <v>45960</v>
      </c>
      <c r="P199" s="145">
        <v>21.01</v>
      </c>
      <c r="Q199" s="150">
        <f t="shared" si="33"/>
        <v>1.9900000000000001E-2</v>
      </c>
      <c r="R199" s="106" t="str">
        <f>IF(OR(N199="",P199=""),"",IF(Q199&gt;Settings!$B$3/100,"UP",IF(Q199&lt;-Settings!$B$3/100,"DOWN","FLAT")))</f>
        <v>FLAT</v>
      </c>
      <c r="S199" s="106" t="str">
        <f t="shared" si="34"/>
        <v>NO</v>
      </c>
      <c r="T199" s="105">
        <f t="shared" si="35"/>
        <v>-1</v>
      </c>
      <c r="U199" s="150">
        <f>IFERROR(IF(OR(J199="",N199="",P199=""),"",IF(T199=0,0,T199*Q199-Settings!$B$4/10000-IF(T199&lt;0,Settings!$B$5/10000,0))),"")</f>
        <v>-2.0900000000000002E-2</v>
      </c>
      <c r="V199" s="7" t="s">
        <v>1168</v>
      </c>
      <c r="W199" s="21">
        <f t="shared" si="36"/>
        <v>1800</v>
      </c>
      <c r="X199" s="91" t="str">
        <f t="shared" si="37"/>
        <v>Puma|2025|Q3</v>
      </c>
      <c r="Y199" s="91" t="str">
        <f>IFERROR(IF($X199="","",INDEX(LLM_Data_Entry!$H$3:$H$548,MATCH($X199,INDEX(LLM_Data_Entry!$A$3:$A$548&amp;"|"&amp;LLM_Data_Entry!$C$3:$C$548&amp;"|"&amp;LLM_Data_Entry!$D$3:$D$548,0),0))),"")</f>
        <v>SELL</v>
      </c>
      <c r="Z199" s="91" t="str">
        <f>IFERROR(IF($X199="","",INDEX(LLM_Data_Entry!$R$3:$R$548,MATCH($X199,INDEX(LLM_Data_Entry!$A$3:$A$548&amp;"|"&amp;LLM_Data_Entry!$C$3:$C$548&amp;"|"&amp;LLM_Data_Entry!$D$3:$D$548,0),0))),"")</f>
        <v>NO</v>
      </c>
      <c r="AB199" t="s">
        <v>1169</v>
      </c>
      <c r="AC199" t="s">
        <v>1166</v>
      </c>
      <c r="AD199" t="s">
        <v>626</v>
      </c>
      <c r="AE199">
        <v>20.6</v>
      </c>
      <c r="AF199" t="s">
        <v>660</v>
      </c>
      <c r="AG199">
        <v>21.01</v>
      </c>
      <c r="AH199">
        <v>1.990291262135923E-2</v>
      </c>
      <c r="AI199" t="s">
        <v>579</v>
      </c>
      <c r="AJ199" t="s">
        <v>546</v>
      </c>
      <c r="AK199">
        <v>-2.0903000000000001E-2</v>
      </c>
      <c r="AL199" t="str">
        <f>IF($A199="","",IFERROR(INDEX(Company_List!$G$3:$G$207,MATCH($A199,Company_List!$A$3:$A$207,0)),"unassigned"))</f>
        <v>P3</v>
      </c>
      <c r="AM199" t="s">
        <v>1170</v>
      </c>
      <c r="AO199" t="s">
        <v>548</v>
      </c>
      <c r="AP199" t="str">
        <f>IF($A199="","",IF(COUNTIFS(LLM_Data_Entry!$A$3:$A$548,$A199)&gt;0,"YES","NO"))</f>
        <v>YES</v>
      </c>
      <c r="AQ199" t="str">
        <f>IF($A199="","",IF(COUNTIFS($A$3:$A199,$A199,$C$3:$C199,$C199,$D$3:$D199,$D199)=1,"YES","NO"))</f>
        <v>YES</v>
      </c>
      <c r="AR199" t="str">
        <f>IF($A199="","",IF(AND($C199&amp;"-"&amp;$D199&gt;=Settings!$B$19,$C199&amp;"-"&amp;$D199&lt;=Settings!$B$20),"IN","OUT"))</f>
        <v>IN</v>
      </c>
      <c r="AS199" t="str">
        <f t="shared" si="38"/>
        <v>transcript only</v>
      </c>
      <c r="AT199">
        <f t="shared" si="39"/>
        <v>-2.0900000000000002E-2</v>
      </c>
      <c r="AU199">
        <f t="shared" si="40"/>
        <v>-2.0903000000000001E-2</v>
      </c>
      <c r="AV199">
        <f>IF(ISNUMBER($AT199),ABS(IF(ISNUMBER($I199),$I199,0)-Settings!$B$24),"")</f>
        <v>0.6</v>
      </c>
      <c r="AW199">
        <f t="shared" si="41"/>
        <v>-1.2540000000000001E-2</v>
      </c>
      <c r="AX199">
        <f>IF(ISNUMBER($AU199),ABS(IF(ISNUMBER($I199),$I199,0)-Settings!$B$24),"")</f>
        <v>0.6</v>
      </c>
      <c r="AY199" t="s">
        <v>549</v>
      </c>
      <c r="AZ199" t="str">
        <f>IF($A199="","",IFERROR(INDEX(Company_List!$H$3:$H$207,MATCH($A199,Company_List!$A$3:$A$207,0)),"unassigned"))</f>
        <v>Consumer Discretionary</v>
      </c>
      <c r="BC199">
        <f>IF($A199="","",IF(COUNTIFS($A$3:$A199,$A199,$C$3:$C199,$C199,$D$3:$D199,$D199,$G$3:$G199,$G199)=1,1,0))</f>
        <v>1</v>
      </c>
      <c r="BG199" t="s">
        <v>550</v>
      </c>
      <c r="BK199">
        <f t="shared" si="42"/>
        <v>1</v>
      </c>
      <c r="BL199" t="s">
        <v>551</v>
      </c>
      <c r="BM199">
        <v>1</v>
      </c>
      <c r="BN199" t="s">
        <v>561</v>
      </c>
      <c r="BO199" t="s">
        <v>561</v>
      </c>
      <c r="BP199" t="s">
        <v>550</v>
      </c>
      <c r="BQ199" t="s">
        <v>550</v>
      </c>
      <c r="BS199" t="s">
        <v>554</v>
      </c>
    </row>
    <row r="200" spans="1:71" x14ac:dyDescent="0.2">
      <c r="A200" s="100" t="s">
        <v>1165</v>
      </c>
      <c r="B200" s="116" t="str">
        <f>IF(A200="","",_xlfn.XLOOKUP(A200, Company_List!$A:$A, Company_List!$B:$B, ""))</f>
        <v>PUM.DE</v>
      </c>
      <c r="C200" s="105">
        <v>2025</v>
      </c>
      <c r="D200" s="106" t="s">
        <v>537</v>
      </c>
      <c r="E200" s="98" t="s">
        <v>647</v>
      </c>
      <c r="F200" s="98" t="s">
        <v>538</v>
      </c>
      <c r="G200" s="143" t="s">
        <v>539</v>
      </c>
      <c r="H200" s="106" t="s">
        <v>540</v>
      </c>
      <c r="I200" s="145">
        <v>0.1</v>
      </c>
      <c r="J200" s="145" t="str">
        <f>IF(OR(I200="",Settings!$B$6=""),"",IF(I200&gt;Settings!$B$6,"BUY",IF(I200&lt;-Settings!$B$6,"SELL","HOLD")))</f>
        <v>HOLD</v>
      </c>
      <c r="K200" s="145">
        <v>32</v>
      </c>
      <c r="L200" s="126">
        <v>45785</v>
      </c>
      <c r="M200" s="126">
        <v>45783</v>
      </c>
      <c r="N200" s="147">
        <v>23.67</v>
      </c>
      <c r="O200" s="126">
        <v>45784</v>
      </c>
      <c r="P200" s="145">
        <v>24</v>
      </c>
      <c r="Q200" s="150">
        <f t="shared" si="33"/>
        <v>1.3899999999999999E-2</v>
      </c>
      <c r="R200" s="106" t="str">
        <f>IF(OR(N200="",P200=""),"",IF(Q200&gt;Settings!$B$3/100,"UP",IF(Q200&lt;-Settings!$B$3/100,"DOWN","FLAT")))</f>
        <v>FLAT</v>
      </c>
      <c r="S200" s="106" t="str">
        <f t="shared" si="34"/>
        <v>YES</v>
      </c>
      <c r="T200" s="105">
        <f t="shared" si="35"/>
        <v>0</v>
      </c>
      <c r="U200" s="150">
        <f>IFERROR(IF(OR(J200="",N200="",P200=""),"",IF(T200=0,0,T200*Q200-Settings!$B$4/10000-IF(T200&lt;0,Settings!$B$5/10000,0))),"")</f>
        <v>0</v>
      </c>
      <c r="V200" s="7" t="s">
        <v>1171</v>
      </c>
      <c r="W200" s="21">
        <f t="shared" si="36"/>
        <v>1920</v>
      </c>
      <c r="X200" s="91" t="str">
        <f t="shared" si="37"/>
        <v>Puma|2025|Q1</v>
      </c>
      <c r="Y200" s="91" t="str">
        <f>IFERROR(IF($X200="","",INDEX(LLM_Data_Entry!$H$3:$H$548,MATCH($X200,INDEX(LLM_Data_Entry!$A$3:$A$548&amp;"|"&amp;LLM_Data_Entry!$C$3:$C$548&amp;"|"&amp;LLM_Data_Entry!$D$3:$D$548,0),0))),"")</f>
        <v>SELL</v>
      </c>
      <c r="Z200" s="91" t="str">
        <f>IFERROR(IF($X200="","",INDEX(LLM_Data_Entry!$R$3:$R$548,MATCH($X200,INDEX(LLM_Data_Entry!$A$3:$A$548&amp;"|"&amp;LLM_Data_Entry!$C$3:$C$548&amp;"|"&amp;LLM_Data_Entry!$D$3:$D$548,0),0))),"")</f>
        <v>NO</v>
      </c>
      <c r="AB200" t="s">
        <v>1169</v>
      </c>
      <c r="AC200" t="s">
        <v>1166</v>
      </c>
      <c r="AD200" t="s">
        <v>938</v>
      </c>
      <c r="AE200">
        <v>22.759</v>
      </c>
      <c r="AF200" t="s">
        <v>1113</v>
      </c>
      <c r="AG200">
        <v>23.781500000000001</v>
      </c>
      <c r="AH200">
        <v>4.4929387830831537E-2</v>
      </c>
      <c r="AI200" t="s">
        <v>591</v>
      </c>
      <c r="AJ200" t="s">
        <v>546</v>
      </c>
      <c r="AK200">
        <v>0</v>
      </c>
      <c r="AL200" t="str">
        <f>IF($A200="","",IFERROR(INDEX(Company_List!$G$3:$G$207,MATCH($A200,Company_List!$A$3:$A$207,0)),"unassigned"))</f>
        <v>P3</v>
      </c>
      <c r="AM200" t="s">
        <v>1172</v>
      </c>
      <c r="AO200" t="s">
        <v>548</v>
      </c>
      <c r="AP200" t="str">
        <f>IF($A200="","",IF(COUNTIFS(LLM_Data_Entry!$A$3:$A$548,$A200)&gt;0,"YES","NO"))</f>
        <v>YES</v>
      </c>
      <c r="AQ200" t="str">
        <f>IF($A200="","",IF(COUNTIFS($A$3:$A200,$A200,$C$3:$C200,$C200,$D$3:$D200,$D200)=1,"YES","NO"))</f>
        <v>YES</v>
      </c>
      <c r="AR200" t="str">
        <f>IF($A200="","",IF(AND($C200&amp;"-"&amp;$D200&gt;=Settings!$B$19,$C200&amp;"-"&amp;$D200&lt;=Settings!$B$20),"IN","OUT"))</f>
        <v>IN</v>
      </c>
      <c r="AS200" t="str">
        <f t="shared" si="38"/>
        <v>transcript only</v>
      </c>
      <c r="AT200" t="str">
        <f t="shared" si="39"/>
        <v/>
      </c>
      <c r="AU200" t="str">
        <f t="shared" si="40"/>
        <v/>
      </c>
      <c r="AV200" t="str">
        <f>IF(ISNUMBER($AT200),ABS(IF(ISNUMBER($I200),$I200,0)-Settings!$B$24),"")</f>
        <v/>
      </c>
      <c r="AW200" t="str">
        <f t="shared" si="41"/>
        <v/>
      </c>
      <c r="AX200" t="str">
        <f>IF(ISNUMBER($AU200),ABS(IF(ISNUMBER($I200),$I200,0)-Settings!$B$24),"")</f>
        <v/>
      </c>
      <c r="AY200" t="s">
        <v>549</v>
      </c>
      <c r="AZ200" t="str">
        <f>IF($A200="","",IFERROR(INDEX(Company_List!$H$3:$H$207,MATCH($A200,Company_List!$A$3:$A$207,0)),"unassigned"))</f>
        <v>Consumer Discretionary</v>
      </c>
      <c r="BC200">
        <f>IF($A200="","",IF(COUNTIFS($A$3:$A200,$A200,$C$3:$C200,$C200,$D$3:$D200,$D200,$G$3:$G200,$G200)=1,1,0))</f>
        <v>1</v>
      </c>
      <c r="BG200" t="s">
        <v>550</v>
      </c>
      <c r="BK200">
        <f t="shared" si="42"/>
        <v>0</v>
      </c>
      <c r="BL200" t="s">
        <v>551</v>
      </c>
      <c r="BM200">
        <v>1</v>
      </c>
      <c r="BN200" t="s">
        <v>561</v>
      </c>
      <c r="BO200" t="s">
        <v>561</v>
      </c>
      <c r="BP200" t="s">
        <v>550</v>
      </c>
      <c r="BQ200" t="s">
        <v>550</v>
      </c>
      <c r="BS200" t="s">
        <v>554</v>
      </c>
    </row>
    <row r="201" spans="1:71" x14ac:dyDescent="0.2">
      <c r="A201" s="100" t="s">
        <v>1165</v>
      </c>
      <c r="B201" s="116" t="str">
        <f>IF(A201="","",_xlfn.XLOOKUP(A201, Company_List!$A:$A, Company_List!$B:$B, ""))</f>
        <v>PUM.DE</v>
      </c>
      <c r="C201" s="105">
        <v>2025</v>
      </c>
      <c r="D201" s="106" t="s">
        <v>569</v>
      </c>
      <c r="E201" s="109" t="s">
        <v>647</v>
      </c>
      <c r="F201" s="109" t="s">
        <v>538</v>
      </c>
      <c r="G201" s="143" t="s">
        <v>539</v>
      </c>
      <c r="H201" s="106" t="s">
        <v>540</v>
      </c>
      <c r="I201" s="145">
        <v>0.4</v>
      </c>
      <c r="J201" s="145" t="str">
        <f>IF(OR(I201="",Settings!$B$6=""),"",IF(I201&gt;Settings!$B$6,"BUY",IF(I201&lt;-Settings!$B$6,"SELL","HOLD")))</f>
        <v>BUY</v>
      </c>
      <c r="K201" s="145">
        <v>33</v>
      </c>
      <c r="L201" s="126">
        <v>46079</v>
      </c>
      <c r="M201" s="126">
        <v>46078</v>
      </c>
      <c r="N201" s="147">
        <v>22.61</v>
      </c>
      <c r="O201" s="126">
        <v>46079</v>
      </c>
      <c r="P201" s="145">
        <v>22.61</v>
      </c>
      <c r="Q201" s="150">
        <f t="shared" si="33"/>
        <v>0</v>
      </c>
      <c r="R201" s="106" t="str">
        <f>IF(OR(N201="",P201=""),"",IF(Q201&gt;Settings!$B$3/100,"UP",IF(Q201&lt;-Settings!$B$3/100,"DOWN","FLAT")))</f>
        <v>FLAT</v>
      </c>
      <c r="S201" s="106" t="str">
        <f t="shared" si="34"/>
        <v>NO</v>
      </c>
      <c r="T201" s="105">
        <f t="shared" si="35"/>
        <v>1</v>
      </c>
      <c r="U201" s="150">
        <f>IFERROR(IF(OR(J201="",N201="",P201=""),"",IF(T201=0,0,T201*Q201-Settings!$B$4/10000-IF(T201&lt;0,Settings!$B$5/10000,0))),"")</f>
        <v>-1E-3</v>
      </c>
      <c r="V201" s="7" t="s">
        <v>1173</v>
      </c>
      <c r="W201" s="21">
        <f t="shared" si="36"/>
        <v>1980</v>
      </c>
      <c r="X201" s="91" t="str">
        <f t="shared" si="37"/>
        <v>Puma|2025|Q4</v>
      </c>
      <c r="Y201" s="91" t="str">
        <f>IFERROR(IF($X201="","",INDEX(LLM_Data_Entry!$H$3:$H$548,MATCH($X201,INDEX(LLM_Data_Entry!$A$3:$A$548&amp;"|"&amp;LLM_Data_Entry!$C$3:$C$548&amp;"|"&amp;LLM_Data_Entry!$D$3:$D$548,0),0))),"")</f>
        <v>SELL</v>
      </c>
      <c r="Z201" s="91" t="str">
        <f>IFERROR(IF($X201="","",INDEX(LLM_Data_Entry!$R$3:$R$548,MATCH($X201,INDEX(LLM_Data_Entry!$A$3:$A$548&amp;"|"&amp;LLM_Data_Entry!$C$3:$C$548&amp;"|"&amp;LLM_Data_Entry!$D$3:$D$548,0),0))),"")</f>
        <v>NO</v>
      </c>
      <c r="AB201" t="s">
        <v>1169</v>
      </c>
      <c r="AC201" t="s">
        <v>1166</v>
      </c>
      <c r="AD201" t="s">
        <v>926</v>
      </c>
      <c r="AE201">
        <v>22.61</v>
      </c>
      <c r="AF201" t="s">
        <v>1174</v>
      </c>
      <c r="AG201">
        <v>22.61</v>
      </c>
      <c r="AH201">
        <v>0</v>
      </c>
      <c r="AI201" t="s">
        <v>579</v>
      </c>
      <c r="AJ201" t="s">
        <v>546</v>
      </c>
      <c r="AK201">
        <v>-1E-3</v>
      </c>
      <c r="AL201" t="str">
        <f>IF($A201="","",IFERROR(INDEX(Company_List!$G$3:$G$207,MATCH($A201,Company_List!$A$3:$A$207,0)),"unassigned"))</f>
        <v>P3</v>
      </c>
      <c r="AM201" t="s">
        <v>1175</v>
      </c>
      <c r="AO201" t="s">
        <v>548</v>
      </c>
      <c r="AP201" t="str">
        <f>IF($A201="","",IF(COUNTIFS(LLM_Data_Entry!$A$3:$A$548,$A201)&gt;0,"YES","NO"))</f>
        <v>YES</v>
      </c>
      <c r="AQ201" t="str">
        <f>IF($A201="","",IF(COUNTIFS($A$3:$A201,$A201,$C$3:$C201,$C201,$D$3:$D201,$D201)=1,"YES","NO"))</f>
        <v>YES</v>
      </c>
      <c r="AR201" t="str">
        <f>IF($A201="","",IF(AND($C201&amp;"-"&amp;$D201&gt;=Settings!$B$19,$C201&amp;"-"&amp;$D201&lt;=Settings!$B$20),"IN","OUT"))</f>
        <v>IN</v>
      </c>
      <c r="AS201" t="str">
        <f t="shared" si="38"/>
        <v>transcript only</v>
      </c>
      <c r="AT201">
        <f t="shared" si="39"/>
        <v>-1E-3</v>
      </c>
      <c r="AU201">
        <f t="shared" si="40"/>
        <v>-1E-3</v>
      </c>
      <c r="AV201">
        <f>IF(ISNUMBER($AT201),ABS(IF(ISNUMBER($I201),$I201,0)-Settings!$B$24),"")</f>
        <v>0.4</v>
      </c>
      <c r="AW201">
        <f t="shared" si="41"/>
        <v>-4.0000000000000002E-4</v>
      </c>
      <c r="AX201">
        <f>IF(ISNUMBER($AU201),ABS(IF(ISNUMBER($I201),$I201,0)-Settings!$B$24),"")</f>
        <v>0.4</v>
      </c>
      <c r="AY201" t="s">
        <v>549</v>
      </c>
      <c r="AZ201" t="str">
        <f>IF($A201="","",IFERROR(INDEX(Company_List!$H$3:$H$207,MATCH($A201,Company_List!$A$3:$A$207,0)),"unassigned"))</f>
        <v>Consumer Discretionary</v>
      </c>
      <c r="BC201">
        <f>IF($A201="","",IF(COUNTIFS($A$3:$A201,$A201,$C$3:$C201,$C201,$D$3:$D201,$D201,$G$3:$G201,$G201)=1,1,0))</f>
        <v>1</v>
      </c>
      <c r="BG201" t="s">
        <v>550</v>
      </c>
      <c r="BK201">
        <f t="shared" si="42"/>
        <v>0</v>
      </c>
      <c r="BL201" t="s">
        <v>551</v>
      </c>
      <c r="BM201">
        <v>1</v>
      </c>
      <c r="BN201" t="s">
        <v>561</v>
      </c>
      <c r="BO201" t="s">
        <v>561</v>
      </c>
      <c r="BP201" t="s">
        <v>550</v>
      </c>
      <c r="BQ201" t="s">
        <v>550</v>
      </c>
      <c r="BS201" t="s">
        <v>554</v>
      </c>
    </row>
    <row r="202" spans="1:71" x14ac:dyDescent="0.2">
      <c r="A202" s="115" t="s">
        <v>1176</v>
      </c>
      <c r="B202" s="116" t="str">
        <f>IF(A202="","",_xlfn.XLOOKUP(A202, Company_List!$A:$A, Company_List!$B:$B, ""))</f>
        <v>CL</v>
      </c>
      <c r="C202" s="143">
        <v>2026</v>
      </c>
      <c r="D202" s="143" t="s">
        <v>555</v>
      </c>
      <c r="E202" s="98" t="s">
        <v>1121</v>
      </c>
      <c r="F202" s="98" t="s">
        <v>538</v>
      </c>
      <c r="G202" s="143" t="s">
        <v>539</v>
      </c>
      <c r="H202" s="106" t="s">
        <v>540</v>
      </c>
      <c r="I202" s="145">
        <v>0.4</v>
      </c>
      <c r="J202" s="145" t="str">
        <f>IF(OR(I202="",Settings!$B$6=""),"",IF(I202&gt;Settings!$B$6,"BUY",IF(I202&lt;-Settings!$B$6,"SELL","HOLD")))</f>
        <v>BUY</v>
      </c>
      <c r="K202" s="145">
        <v>15</v>
      </c>
      <c r="L202" s="123">
        <v>46234</v>
      </c>
      <c r="M202" s="140" t="s">
        <v>1177</v>
      </c>
      <c r="N202" s="147">
        <v>93.533799999999999</v>
      </c>
      <c r="O202" s="140" t="s">
        <v>1178</v>
      </c>
      <c r="P202" s="145">
        <v>94.140299999999996</v>
      </c>
      <c r="Q202" s="150">
        <f t="shared" si="33"/>
        <v>6.4999999999999997E-3</v>
      </c>
      <c r="R202" s="106" t="str">
        <f>IF(OR(N202="",P202=""),"",IF(Q202&gt;Settings!$B$3/100,"UP",IF(Q202&lt;-Settings!$B$3/100,"DOWN","FLAT")))</f>
        <v>FLAT</v>
      </c>
      <c r="S202" s="106" t="str">
        <f t="shared" si="34"/>
        <v>NO</v>
      </c>
      <c r="T202" s="105">
        <f t="shared" si="35"/>
        <v>1</v>
      </c>
      <c r="U202" s="150">
        <f>IFERROR(IF(OR(J202="",N202="",P202=""),"",IF(T202=0,0,T202*Q202-Settings!$B$4/10000-IF(T202&lt;0,Settings!$B$5/10000,0))),"")</f>
        <v>5.4999999999999997E-3</v>
      </c>
      <c r="W202" s="21">
        <f t="shared" si="36"/>
        <v>900</v>
      </c>
      <c r="X202" s="91" t="str">
        <f t="shared" si="37"/>
        <v>Colgate-Palmolive|2026|Q2</v>
      </c>
      <c r="Y202" s="91" t="str">
        <f>IFERROR(IF($X202="","",INDEX(LLM_Data_Entry!$H$3:$H$548,MATCH($X202,INDEX(LLM_Data_Entry!$A$3:$A$548&amp;"|"&amp;LLM_Data_Entry!$C$3:$C$548&amp;"|"&amp;LLM_Data_Entry!$D$3:$D$548,0),0))),"")</f>
        <v>HOLD</v>
      </c>
      <c r="Z202" s="91">
        <f>IFERROR(IF($X202="","",INDEX(LLM_Data_Entry!$R$3:$R$548,MATCH($X202,INDEX(LLM_Data_Entry!$A$3:$A$548&amp;"|"&amp;LLM_Data_Entry!$C$3:$C$548&amp;"|"&amp;LLM_Data_Entry!$D$3:$D$548,0),0))),"")</f>
        <v>0</v>
      </c>
      <c r="AB202" t="s">
        <v>1169</v>
      </c>
      <c r="AC202" t="s">
        <v>1179</v>
      </c>
      <c r="AD202" t="s">
        <v>1180</v>
      </c>
      <c r="AE202">
        <v>91.6</v>
      </c>
      <c r="AF202" t="s">
        <v>1181</v>
      </c>
      <c r="AG202">
        <v>90.85</v>
      </c>
      <c r="AH202">
        <v>-8.187773104536375E-3</v>
      </c>
      <c r="AI202" t="s">
        <v>579</v>
      </c>
      <c r="AJ202" t="s">
        <v>546</v>
      </c>
      <c r="AK202">
        <v>-9.188E-3</v>
      </c>
      <c r="AL202" t="str">
        <f>IF($A202="","",IFERROR(INDEX(Company_List!$G$3:$G$207,MATCH($A202,Company_List!$A$3:$A$207,0)),"unassigned"))</f>
        <v>P3</v>
      </c>
      <c r="AM202" t="s">
        <v>1182</v>
      </c>
      <c r="AO202" t="s">
        <v>548</v>
      </c>
      <c r="AP202" t="str">
        <f>IF($A202="","",IF(COUNTIFS(LLM_Data_Entry!$A$3:$A$548,$A202)&gt;0,"YES","NO"))</f>
        <v>YES</v>
      </c>
      <c r="AQ202" t="str">
        <f>IF($A202="","",IF(COUNTIFS($A$3:$A202,$A202,$C$3:$C202,$C202,$D$3:$D202,$D202)=1,"YES","NO"))</f>
        <v>YES</v>
      </c>
      <c r="AR202" t="str">
        <f>IF($A202="","",IF(AND($C202&amp;"-"&amp;$D202&gt;=Settings!$B$19,$C202&amp;"-"&amp;$D202&lt;=Settings!$B$20),"IN","OUT"))</f>
        <v>IN</v>
      </c>
      <c r="AS202" t="str">
        <f t="shared" si="38"/>
        <v>press release document only</v>
      </c>
      <c r="AT202">
        <f t="shared" si="39"/>
        <v>5.4999999999999997E-3</v>
      </c>
      <c r="AU202">
        <f t="shared" si="40"/>
        <v>-9.188E-3</v>
      </c>
      <c r="AV202">
        <f>IF(ISNUMBER($AT202),ABS(IF(ISNUMBER($I202),$I202,0)-Settings!$B$24),"")</f>
        <v>0.4</v>
      </c>
      <c r="AW202">
        <f t="shared" si="41"/>
        <v>2.2000000000000001E-3</v>
      </c>
      <c r="AX202">
        <f>IF(ISNUMBER($AU202),ABS(IF(ISNUMBER($I202),$I202,0)-Settings!$B$24),"")</f>
        <v>0.4</v>
      </c>
      <c r="AY202" t="s">
        <v>1183</v>
      </c>
      <c r="AZ202" t="str">
        <f>IF($A202="","",IFERROR(INDEX(Company_List!$H$3:$H$207,MATCH($A202,Company_List!$A$3:$A$207,0)),"unassigned"))</f>
        <v>Consumer Staples</v>
      </c>
      <c r="BC202">
        <f>IF($A202="","",IF(COUNTIFS($A$3:$A202,$A202,$C$3:$C202,$C202,$D$3:$D202,$D202,$G$3:$G202,$G202)=1,1,0))</f>
        <v>1</v>
      </c>
      <c r="BG202" t="s">
        <v>550</v>
      </c>
      <c r="BK202">
        <f t="shared" si="42"/>
        <v>0</v>
      </c>
      <c r="BL202" t="s">
        <v>551</v>
      </c>
      <c r="BM202">
        <v>1</v>
      </c>
      <c r="BN202" t="s">
        <v>561</v>
      </c>
      <c r="BO202" t="s">
        <v>561</v>
      </c>
      <c r="BP202" t="s">
        <v>550</v>
      </c>
      <c r="BQ202" t="s">
        <v>550</v>
      </c>
      <c r="BS202" t="s">
        <v>554</v>
      </c>
    </row>
    <row r="203" spans="1:71" x14ac:dyDescent="0.2">
      <c r="A203" s="115" t="s">
        <v>1176</v>
      </c>
      <c r="B203" s="116" t="str">
        <f>IF(A203="","",_xlfn.XLOOKUP(A203, Company_List!$A:$A, Company_List!$B:$B, ""))</f>
        <v>CL</v>
      </c>
      <c r="C203" s="143">
        <v>2026</v>
      </c>
      <c r="D203" s="143" t="s">
        <v>537</v>
      </c>
      <c r="E203" s="98" t="s">
        <v>1121</v>
      </c>
      <c r="F203" s="98" t="s">
        <v>538</v>
      </c>
      <c r="G203" s="143" t="s">
        <v>539</v>
      </c>
      <c r="H203" s="106" t="s">
        <v>540</v>
      </c>
      <c r="I203" s="145">
        <v>0.2</v>
      </c>
      <c r="J203" s="145" t="str">
        <f>IF(OR(I203="",Settings!$B$6=""),"",IF(I203&gt;Settings!$B$6,"BUY",IF(I203&lt;-Settings!$B$6,"SELL","HOLD")))</f>
        <v>HOLD</v>
      </c>
      <c r="K203" s="145">
        <v>13</v>
      </c>
      <c r="L203" s="125">
        <v>46143</v>
      </c>
      <c r="M203" s="140" t="s">
        <v>1184</v>
      </c>
      <c r="N203" s="147">
        <v>85.021199999999993</v>
      </c>
      <c r="O203" s="140" t="s">
        <v>895</v>
      </c>
      <c r="P203" s="145">
        <v>84.932199999999995</v>
      </c>
      <c r="Q203" s="150">
        <f t="shared" si="33"/>
        <v>-1E-3</v>
      </c>
      <c r="R203" s="106" t="str">
        <f>IF(OR(N203="",P203=""),"",IF(Q203&gt;Settings!$B$3/100,"UP",IF(Q203&lt;-Settings!$B$3/100,"DOWN","FLAT")))</f>
        <v>FLAT</v>
      </c>
      <c r="S203" s="106" t="str">
        <f t="shared" si="34"/>
        <v>YES</v>
      </c>
      <c r="T203" s="105">
        <f t="shared" si="35"/>
        <v>0</v>
      </c>
      <c r="U203" s="150">
        <f>IFERROR(IF(OR(J203="",N203="",P203=""),"",IF(T203=0,0,T203*Q203-Settings!$B$4/10000-IF(T203&lt;0,Settings!$B$5/10000,0))),"")</f>
        <v>0</v>
      </c>
      <c r="W203" s="21">
        <f t="shared" si="36"/>
        <v>780</v>
      </c>
      <c r="X203" s="91" t="str">
        <f t="shared" si="37"/>
        <v>Colgate-Palmolive|2026|Q1</v>
      </c>
      <c r="Y203" s="91" t="str">
        <f>IFERROR(IF($X203="","",INDEX(LLM_Data_Entry!$H$3:$H$548,MATCH($X203,INDEX(LLM_Data_Entry!$A$3:$A$548&amp;"|"&amp;LLM_Data_Entry!$C$3:$C$548&amp;"|"&amp;LLM_Data_Entry!$D$3:$D$548,0),0))),"")</f>
        <v>SELL</v>
      </c>
      <c r="Z203" s="91">
        <f>IFERROR(IF($X203="","",INDEX(LLM_Data_Entry!$R$3:$R$548,MATCH($X203,INDEX(LLM_Data_Entry!$A$3:$A$548&amp;"|"&amp;LLM_Data_Entry!$C$3:$C$548&amp;"|"&amp;LLM_Data_Entry!$D$3:$D$548,0),0))),"")</f>
        <v>0</v>
      </c>
      <c r="AB203" t="s">
        <v>1169</v>
      </c>
      <c r="AC203" t="s">
        <v>1179</v>
      </c>
      <c r="AD203" t="s">
        <v>657</v>
      </c>
      <c r="AE203">
        <v>84.873400000000004</v>
      </c>
      <c r="AF203" t="s">
        <v>1163</v>
      </c>
      <c r="AG203">
        <v>87.667400000000001</v>
      </c>
      <c r="AH203">
        <v>3.2919332452405477E-2</v>
      </c>
      <c r="AI203" t="s">
        <v>591</v>
      </c>
      <c r="AJ203" t="s">
        <v>546</v>
      </c>
      <c r="AK203">
        <v>0</v>
      </c>
      <c r="AL203" t="str">
        <f>IF($A203="","",IFERROR(INDEX(Company_List!$G$3:$G$207,MATCH($A203,Company_List!$A$3:$A$207,0)),"unassigned"))</f>
        <v>P3</v>
      </c>
      <c r="AM203" t="s">
        <v>1185</v>
      </c>
      <c r="AO203" t="s">
        <v>548</v>
      </c>
      <c r="AP203" t="str">
        <f>IF($A203="","",IF(COUNTIFS(LLM_Data_Entry!$A$3:$A$548,$A203)&gt;0,"YES","NO"))</f>
        <v>YES</v>
      </c>
      <c r="AQ203" t="str">
        <f>IF($A203="","",IF(COUNTIFS($A$3:$A203,$A203,$C$3:$C203,$C203,$D$3:$D203,$D203)=1,"YES","NO"))</f>
        <v>YES</v>
      </c>
      <c r="AR203" t="str">
        <f>IF($A203="","",IF(AND($C203&amp;"-"&amp;$D203&gt;=Settings!$B$19,$C203&amp;"-"&amp;$D203&lt;=Settings!$B$20),"IN","OUT"))</f>
        <v>IN</v>
      </c>
      <c r="AS203" t="str">
        <f t="shared" si="38"/>
        <v>press release document only</v>
      </c>
      <c r="AT203" t="str">
        <f t="shared" si="39"/>
        <v/>
      </c>
      <c r="AU203" t="str">
        <f t="shared" si="40"/>
        <v/>
      </c>
      <c r="AV203" t="str">
        <f>IF(ISNUMBER($AT203),ABS(IF(ISNUMBER($I203),$I203,0)-Settings!$B$24),"")</f>
        <v/>
      </c>
      <c r="AW203" t="str">
        <f t="shared" si="41"/>
        <v/>
      </c>
      <c r="AX203" t="str">
        <f>IF(ISNUMBER($AU203),ABS(IF(ISNUMBER($I203),$I203,0)-Settings!$B$24),"")</f>
        <v/>
      </c>
      <c r="AY203" t="s">
        <v>1183</v>
      </c>
      <c r="AZ203" t="str">
        <f>IF($A203="","",IFERROR(INDEX(Company_List!$H$3:$H$207,MATCH($A203,Company_List!$A$3:$A$207,0)),"unassigned"))</f>
        <v>Consumer Staples</v>
      </c>
      <c r="BC203">
        <f>IF($A203="","",IF(COUNTIFS($A$3:$A203,$A203,$C$3:$C203,$C203,$D$3:$D203,$D203,$G$3:$G203,$G203)=1,1,0))</f>
        <v>1</v>
      </c>
      <c r="BG203" t="s">
        <v>550</v>
      </c>
      <c r="BK203">
        <f t="shared" si="42"/>
        <v>0</v>
      </c>
      <c r="BL203" t="s">
        <v>551</v>
      </c>
      <c r="BM203">
        <v>1</v>
      </c>
      <c r="BN203" t="s">
        <v>561</v>
      </c>
      <c r="BO203" t="s">
        <v>561</v>
      </c>
      <c r="BP203" t="s">
        <v>550</v>
      </c>
      <c r="BQ203" t="s">
        <v>550</v>
      </c>
      <c r="BS203" t="s">
        <v>554</v>
      </c>
    </row>
    <row r="204" spans="1:71" x14ac:dyDescent="0.2">
      <c r="A204" s="115" t="s">
        <v>1176</v>
      </c>
      <c r="B204" s="116" t="str">
        <f>IF(A204="","",_xlfn.XLOOKUP(A204, Company_List!$A:$A, Company_List!$B:$B, ""))</f>
        <v>CL</v>
      </c>
      <c r="C204" s="143">
        <v>2025</v>
      </c>
      <c r="D204" s="143" t="s">
        <v>569</v>
      </c>
      <c r="E204" s="98" t="s">
        <v>1121</v>
      </c>
      <c r="F204" s="98" t="s">
        <v>538</v>
      </c>
      <c r="G204" s="143" t="s">
        <v>539</v>
      </c>
      <c r="H204" s="106" t="s">
        <v>540</v>
      </c>
      <c r="I204" s="145">
        <v>0.2</v>
      </c>
      <c r="J204" s="145" t="str">
        <f>IF(OR(I204="",Settings!$B$6=""),"",IF(I204&gt;Settings!$B$6,"BUY",IF(I204&lt;-Settings!$B$6,"SELL","HOLD")))</f>
        <v>HOLD</v>
      </c>
      <c r="K204" s="145">
        <v>14</v>
      </c>
      <c r="L204" s="125">
        <v>46052</v>
      </c>
      <c r="M204" s="140" t="s">
        <v>891</v>
      </c>
      <c r="N204" s="147">
        <v>82.834100000000007</v>
      </c>
      <c r="O204" s="140" t="s">
        <v>1186</v>
      </c>
      <c r="P204" s="145">
        <v>82.559100000000001</v>
      </c>
      <c r="Q204" s="150">
        <f t="shared" si="33"/>
        <v>-3.3E-3</v>
      </c>
      <c r="R204" s="106" t="str">
        <f>IF(OR(N204="",P204=""),"",IF(Q204&gt;Settings!$B$3/100,"UP",IF(Q204&lt;-Settings!$B$3/100,"DOWN","FLAT")))</f>
        <v>FLAT</v>
      </c>
      <c r="S204" s="106" t="str">
        <f t="shared" si="34"/>
        <v>YES</v>
      </c>
      <c r="T204" s="105">
        <f t="shared" si="35"/>
        <v>0</v>
      </c>
      <c r="U204" s="150">
        <f>IFERROR(IF(OR(J204="",N204="",P204=""),"",IF(T204=0,0,T204*Q204-Settings!$B$4/10000-IF(T204&lt;0,Settings!$B$5/10000,0))),"")</f>
        <v>0</v>
      </c>
      <c r="W204" s="21">
        <f t="shared" si="36"/>
        <v>840</v>
      </c>
      <c r="X204" s="91" t="str">
        <f t="shared" si="37"/>
        <v>Colgate-Palmolive|2025|Q4</v>
      </c>
      <c r="Y204" s="91" t="str">
        <f>IFERROR(IF($X204="","",INDEX(LLM_Data_Entry!$H$3:$H$548,MATCH($X204,INDEX(LLM_Data_Entry!$A$3:$A$548&amp;"|"&amp;LLM_Data_Entry!$C$3:$C$548&amp;"|"&amp;LLM_Data_Entry!$D$3:$D$548,0),0))),"")</f>
        <v>HOLD</v>
      </c>
      <c r="Z204" s="91">
        <f>IFERROR(IF($X204="","",INDEX(LLM_Data_Entry!$R$3:$R$548,MATCH($X204,INDEX(LLM_Data_Entry!$A$3:$A$548&amp;"|"&amp;LLM_Data_Entry!$C$3:$C$548&amp;"|"&amp;LLM_Data_Entry!$D$3:$D$548,0),0))),"")</f>
        <v>0</v>
      </c>
      <c r="AB204" t="s">
        <v>1169</v>
      </c>
      <c r="AC204" t="s">
        <v>1179</v>
      </c>
      <c r="AD204" t="s">
        <v>694</v>
      </c>
      <c r="AE204">
        <v>84.230599999999995</v>
      </c>
      <c r="AF204" t="s">
        <v>695</v>
      </c>
      <c r="AG204">
        <v>87.649699999999996</v>
      </c>
      <c r="AH204">
        <v>4.0591164073984463E-2</v>
      </c>
      <c r="AI204" t="s">
        <v>591</v>
      </c>
      <c r="AJ204" t="s">
        <v>546</v>
      </c>
      <c r="AK204">
        <v>0</v>
      </c>
      <c r="AL204" t="str">
        <f>IF($A204="","",IFERROR(INDEX(Company_List!$G$3:$G$207,MATCH($A204,Company_List!$A$3:$A$207,0)),"unassigned"))</f>
        <v>P3</v>
      </c>
      <c r="AM204" t="s">
        <v>1187</v>
      </c>
      <c r="AO204" t="s">
        <v>548</v>
      </c>
      <c r="AP204" t="str">
        <f>IF($A204="","",IF(COUNTIFS(LLM_Data_Entry!$A$3:$A$548,$A204)&gt;0,"YES","NO"))</f>
        <v>YES</v>
      </c>
      <c r="AQ204" t="str">
        <f>IF($A204="","",IF(COUNTIFS($A$3:$A204,$A204,$C$3:$C204,$C204,$D$3:$D204,$D204)=1,"YES","NO"))</f>
        <v>YES</v>
      </c>
      <c r="AR204" t="str">
        <f>IF($A204="","",IF(AND($C204&amp;"-"&amp;$D204&gt;=Settings!$B$19,$C204&amp;"-"&amp;$D204&lt;=Settings!$B$20),"IN","OUT"))</f>
        <v>IN</v>
      </c>
      <c r="AS204" t="str">
        <f t="shared" si="38"/>
        <v>press release document only</v>
      </c>
      <c r="AT204" t="str">
        <f t="shared" si="39"/>
        <v/>
      </c>
      <c r="AU204" t="str">
        <f t="shared" si="40"/>
        <v/>
      </c>
      <c r="AV204" t="str">
        <f>IF(ISNUMBER($AT204),ABS(IF(ISNUMBER($I204),$I204,0)-Settings!$B$24),"")</f>
        <v/>
      </c>
      <c r="AW204" t="str">
        <f t="shared" si="41"/>
        <v/>
      </c>
      <c r="AX204" t="str">
        <f>IF(ISNUMBER($AU204),ABS(IF(ISNUMBER($I204),$I204,0)-Settings!$B$24),"")</f>
        <v/>
      </c>
      <c r="AY204" t="s">
        <v>1183</v>
      </c>
      <c r="AZ204" t="str">
        <f>IF($A204="","",IFERROR(INDEX(Company_List!$H$3:$H$207,MATCH($A204,Company_List!$A$3:$A$207,0)),"unassigned"))</f>
        <v>Consumer Staples</v>
      </c>
      <c r="BC204">
        <f>IF($A204="","",IF(COUNTIFS($A$3:$A204,$A204,$C$3:$C204,$C204,$D$3:$D204,$D204,$G$3:$G204,$G204)=1,1,0))</f>
        <v>1</v>
      </c>
      <c r="BG204" t="s">
        <v>550</v>
      </c>
      <c r="BK204">
        <f t="shared" si="42"/>
        <v>1</v>
      </c>
      <c r="BL204" t="s">
        <v>551</v>
      </c>
      <c r="BM204">
        <v>1</v>
      </c>
      <c r="BN204" t="s">
        <v>561</v>
      </c>
      <c r="BO204" t="s">
        <v>561</v>
      </c>
      <c r="BP204" t="s">
        <v>550</v>
      </c>
      <c r="BQ204" t="s">
        <v>550</v>
      </c>
      <c r="BS204" t="s">
        <v>554</v>
      </c>
    </row>
    <row r="205" spans="1:71" x14ac:dyDescent="0.2">
      <c r="A205" s="115" t="s">
        <v>1176</v>
      </c>
      <c r="B205" s="116" t="str">
        <f>IF(A205="","",_xlfn.XLOOKUP(A205, Company_List!$A:$A, Company_List!$B:$B, ""))</f>
        <v>CL</v>
      </c>
      <c r="C205" s="143">
        <v>2025</v>
      </c>
      <c r="D205" s="143" t="s">
        <v>563</v>
      </c>
      <c r="E205" s="98" t="s">
        <v>1121</v>
      </c>
      <c r="F205" s="98" t="s">
        <v>538</v>
      </c>
      <c r="G205" s="143" t="s">
        <v>539</v>
      </c>
      <c r="H205" s="106" t="s">
        <v>540</v>
      </c>
      <c r="I205" s="145">
        <v>0.1</v>
      </c>
      <c r="J205" s="145" t="str">
        <f>IF(OR(I205="",Settings!$B$6=""),"",IF(I205&gt;Settings!$B$6,"BUY",IF(I205&lt;-Settings!$B$6,"SELL","HOLD")))</f>
        <v>HOLD</v>
      </c>
      <c r="K205" s="145">
        <v>13</v>
      </c>
      <c r="L205" s="125">
        <v>45961</v>
      </c>
      <c r="M205" s="140" t="s">
        <v>913</v>
      </c>
      <c r="N205" s="147">
        <v>76.1751</v>
      </c>
      <c r="O205" s="140" t="s">
        <v>1188</v>
      </c>
      <c r="P205" s="145">
        <v>76.617099999999994</v>
      </c>
      <c r="Q205" s="150">
        <f t="shared" si="33"/>
        <v>5.7999999999999996E-3</v>
      </c>
      <c r="R205" s="106" t="str">
        <f>IF(OR(N205="",P205=""),"",IF(Q205&gt;Settings!$B$3/100,"UP",IF(Q205&lt;-Settings!$B$3/100,"DOWN","FLAT")))</f>
        <v>FLAT</v>
      </c>
      <c r="S205" s="106" t="str">
        <f t="shared" si="34"/>
        <v>YES</v>
      </c>
      <c r="T205" s="105">
        <f t="shared" si="35"/>
        <v>0</v>
      </c>
      <c r="U205" s="150">
        <f>IFERROR(IF(OR(J205="",N205="",P205=""),"",IF(T205=0,0,T205*Q205-Settings!$B$4/10000-IF(T205&lt;0,Settings!$B$5/10000,0))),"")</f>
        <v>0</v>
      </c>
      <c r="W205" s="21">
        <f t="shared" si="36"/>
        <v>780</v>
      </c>
      <c r="X205" s="91" t="str">
        <f t="shared" si="37"/>
        <v>Colgate-Palmolive|2025|Q3</v>
      </c>
      <c r="Y205" s="91" t="str">
        <f>IFERROR(IF($X205="","",INDEX(LLM_Data_Entry!$H$3:$H$548,MATCH($X205,INDEX(LLM_Data_Entry!$A$3:$A$548&amp;"|"&amp;LLM_Data_Entry!$C$3:$C$548&amp;"|"&amp;LLM_Data_Entry!$D$3:$D$548,0),0))),"")</f>
        <v>SELL</v>
      </c>
      <c r="Z205" s="91">
        <f>IFERROR(IF($X205="","",INDEX(LLM_Data_Entry!$R$3:$R$548,MATCH($X205,INDEX(LLM_Data_Entry!$A$3:$A$548&amp;"|"&amp;LLM_Data_Entry!$C$3:$C$548&amp;"|"&amp;LLM_Data_Entry!$D$3:$D$548,0),0))),"")</f>
        <v>0</v>
      </c>
      <c r="AB205" t="s">
        <v>1169</v>
      </c>
      <c r="AC205" t="s">
        <v>1179</v>
      </c>
      <c r="AD205" t="s">
        <v>660</v>
      </c>
      <c r="AE205">
        <v>75.143900000000002</v>
      </c>
      <c r="AF205" t="s">
        <v>661</v>
      </c>
      <c r="AG205">
        <v>74.200999999999993</v>
      </c>
      <c r="AH205">
        <v>-1.2547392777135701E-2</v>
      </c>
      <c r="AI205" t="s">
        <v>579</v>
      </c>
      <c r="AJ205" t="s">
        <v>554</v>
      </c>
      <c r="AK205">
        <v>0</v>
      </c>
      <c r="AL205" t="str">
        <f>IF($A205="","",IFERROR(INDEX(Company_List!$G$3:$G$207,MATCH($A205,Company_List!$A$3:$A$207,0)),"unassigned"))</f>
        <v>P3</v>
      </c>
      <c r="AM205" t="s">
        <v>1189</v>
      </c>
      <c r="AO205" t="s">
        <v>548</v>
      </c>
      <c r="AP205" t="str">
        <f>IF($A205="","",IF(COUNTIFS(LLM_Data_Entry!$A$3:$A$548,$A205)&gt;0,"YES","NO"))</f>
        <v>YES</v>
      </c>
      <c r="AQ205" t="str">
        <f>IF($A205="","",IF(COUNTIFS($A$3:$A205,$A205,$C$3:$C205,$C205,$D$3:$D205,$D205)=1,"YES","NO"))</f>
        <v>YES</v>
      </c>
      <c r="AR205" t="str">
        <f>IF($A205="","",IF(AND($C205&amp;"-"&amp;$D205&gt;=Settings!$B$19,$C205&amp;"-"&amp;$D205&lt;=Settings!$B$20),"IN","OUT"))</f>
        <v>IN</v>
      </c>
      <c r="AS205" t="str">
        <f t="shared" si="38"/>
        <v>press release document only</v>
      </c>
      <c r="AT205" t="str">
        <f t="shared" si="39"/>
        <v/>
      </c>
      <c r="AU205" t="str">
        <f t="shared" si="40"/>
        <v/>
      </c>
      <c r="AV205" t="str">
        <f>IF(ISNUMBER($AT205),ABS(IF(ISNUMBER($I205),$I205,0)-Settings!$B$24),"")</f>
        <v/>
      </c>
      <c r="AW205" t="str">
        <f t="shared" si="41"/>
        <v/>
      </c>
      <c r="AX205" t="str">
        <f>IF(ISNUMBER($AU205),ABS(IF(ISNUMBER($I205),$I205,0)-Settings!$B$24),"")</f>
        <v/>
      </c>
      <c r="AY205" t="s">
        <v>1183</v>
      </c>
      <c r="AZ205" t="str">
        <f>IF($A205="","",IFERROR(INDEX(Company_List!$H$3:$H$207,MATCH($A205,Company_List!$A$3:$A$207,0)),"unassigned"))</f>
        <v>Consumer Staples</v>
      </c>
      <c r="BC205">
        <f>IF($A205="","",IF(COUNTIFS($A$3:$A205,$A205,$C$3:$C205,$C205,$D$3:$D205,$D205,$G$3:$G205,$G205)=1,1,0))</f>
        <v>1</v>
      </c>
      <c r="BG205" t="s">
        <v>550</v>
      </c>
      <c r="BK205">
        <f t="shared" si="42"/>
        <v>0</v>
      </c>
      <c r="BL205" t="s">
        <v>551</v>
      </c>
      <c r="BM205">
        <v>1</v>
      </c>
      <c r="BN205" t="s">
        <v>561</v>
      </c>
      <c r="BO205" t="s">
        <v>561</v>
      </c>
      <c r="BP205" t="s">
        <v>550</v>
      </c>
      <c r="BQ205" t="s">
        <v>550</v>
      </c>
      <c r="BS205" t="s">
        <v>554</v>
      </c>
    </row>
    <row r="206" spans="1:71" x14ac:dyDescent="0.2">
      <c r="A206" s="115" t="s">
        <v>1190</v>
      </c>
      <c r="B206" s="116" t="str">
        <f>IF(A206="","",_xlfn.XLOOKUP(A206, Company_List!$A:$A, Company_List!$B:$B, ""))</f>
        <v>LNVGY</v>
      </c>
      <c r="C206" s="143">
        <v>2026</v>
      </c>
      <c r="D206" s="143" t="s">
        <v>569</v>
      </c>
      <c r="E206" s="98" t="s">
        <v>1095</v>
      </c>
      <c r="F206" s="98" t="s">
        <v>538</v>
      </c>
      <c r="G206" s="143" t="s">
        <v>539</v>
      </c>
      <c r="H206" s="106" t="s">
        <v>540</v>
      </c>
      <c r="I206" s="145">
        <v>0.7</v>
      </c>
      <c r="J206" s="145" t="str">
        <f>IF(OR(I206="",Settings!$B$6=""),"",IF(I206&gt;Settings!$B$6,"BUY",IF(I206&lt;-Settings!$B$6,"SELL","HOLD")))</f>
        <v>BUY</v>
      </c>
      <c r="K206" s="145">
        <v>21</v>
      </c>
      <c r="L206" s="125">
        <v>46164</v>
      </c>
      <c r="M206" s="140">
        <v>46164</v>
      </c>
      <c r="N206" s="147">
        <v>40.17</v>
      </c>
      <c r="O206" s="140">
        <v>46167</v>
      </c>
      <c r="P206" s="145">
        <v>47.01</v>
      </c>
      <c r="Q206" s="150">
        <f t="shared" si="33"/>
        <v>0.17030000000000001</v>
      </c>
      <c r="R206" s="106" t="str">
        <f>IF(OR(N206="",P206=""),"",IF(Q206&gt;Settings!$B$3/100,"UP",IF(Q206&lt;-Settings!$B$3/100,"DOWN","FLAT")))</f>
        <v>UP</v>
      </c>
      <c r="S206" s="106" t="str">
        <f t="shared" si="34"/>
        <v>YES</v>
      </c>
      <c r="T206" s="105">
        <f t="shared" si="35"/>
        <v>1</v>
      </c>
      <c r="U206" s="150">
        <f>IFERROR(IF(OR(J206="",N206="",P206=""),"",IF(T206=0,0,T206*Q206-Settings!$B$4/10000-IF(T206&lt;0,Settings!$B$5/10000,0))),"")</f>
        <v>0.16930000000000001</v>
      </c>
      <c r="W206" s="21">
        <f t="shared" si="36"/>
        <v>1260</v>
      </c>
      <c r="X206" s="91" t="str">
        <f t="shared" si="37"/>
        <v>Lenovo|2026|Q4</v>
      </c>
      <c r="Y206" s="91" t="str">
        <f>IFERROR(IF($X206="","",INDEX(LLM_Data_Entry!$H$3:$H$548,MATCH($X206,INDEX(LLM_Data_Entry!$A$3:$A$548&amp;"|"&amp;LLM_Data_Entry!$C$3:$C$548&amp;"|"&amp;LLM_Data_Entry!$D$3:$D$548,0),0))),"")</f>
        <v>HOLD</v>
      </c>
      <c r="Z206" s="91" t="str">
        <f>IFERROR(IF($X206="","",INDEX(LLM_Data_Entry!$R$3:$R$548,MATCH($X206,INDEX(LLM_Data_Entry!$A$3:$A$548&amp;"|"&amp;LLM_Data_Entry!$C$3:$C$548&amp;"|"&amp;LLM_Data_Entry!$D$3:$D$548,0),0))),"")</f>
        <v>NO</v>
      </c>
      <c r="AB206" t="s">
        <v>864</v>
      </c>
      <c r="AC206" t="s">
        <v>1191</v>
      </c>
      <c r="AD206" t="s">
        <v>849</v>
      </c>
      <c r="AE206">
        <v>12.9739</v>
      </c>
      <c r="AF206" t="s">
        <v>1192</v>
      </c>
      <c r="AG206">
        <v>13.6053</v>
      </c>
      <c r="AH206">
        <v>4.8669213067963867E-2</v>
      </c>
      <c r="AI206" t="s">
        <v>591</v>
      </c>
      <c r="AJ206" t="s">
        <v>554</v>
      </c>
      <c r="AK206">
        <v>4.7669000000000003E-2</v>
      </c>
      <c r="AL206" t="str">
        <f>IF($A206="","",IFERROR(INDEX(Company_List!$G$3:$G$207,MATCH($A206,Company_List!$A$3:$A$207,0)),"unassigned"))</f>
        <v>P3</v>
      </c>
      <c r="AM206" t="s">
        <v>1193</v>
      </c>
      <c r="AO206" t="s">
        <v>548</v>
      </c>
      <c r="AP206" t="str">
        <f>IF($A206="","",IF(COUNTIFS(LLM_Data_Entry!$A$3:$A$548,$A206)&gt;0,"YES","NO"))</f>
        <v>YES</v>
      </c>
      <c r="AQ206" t="str">
        <f>IF($A206="","",IF(COUNTIFS($A$3:$A206,$A206,$C$3:$C206,$C206,$D$3:$D206,$D206)=1,"YES","NO"))</f>
        <v>YES</v>
      </c>
      <c r="AR206" t="str">
        <f>IF($A206="","",IF(AND($C206&amp;"-"&amp;$D206&gt;=Settings!$B$19,$C206&amp;"-"&amp;$D206&lt;=Settings!$B$20),"IN","OUT"))</f>
        <v>IN</v>
      </c>
      <c r="AS206" t="str">
        <f t="shared" si="38"/>
        <v>presentation only</v>
      </c>
      <c r="AT206">
        <f t="shared" si="39"/>
        <v>0.16930000000000001</v>
      </c>
      <c r="AU206">
        <f t="shared" si="40"/>
        <v>4.7669000000000003E-2</v>
      </c>
      <c r="AV206">
        <f>IF(ISNUMBER($AT206),ABS(IF(ISNUMBER($I206),$I206,0)-Settings!$B$24),"")</f>
        <v>0.7</v>
      </c>
      <c r="AW206">
        <f t="shared" si="41"/>
        <v>0.11850999999999999</v>
      </c>
      <c r="AX206">
        <f>IF(ISNUMBER($AU206),ABS(IF(ISNUMBER($I206),$I206,0)-Settings!$B$24),"")</f>
        <v>0.7</v>
      </c>
      <c r="AY206" t="s">
        <v>549</v>
      </c>
      <c r="AZ206" t="str">
        <f>IF($A206="","",IFERROR(INDEX(Company_List!$H$3:$H$207,MATCH($A206,Company_List!$A$3:$A$207,0)),"unassigned"))</f>
        <v>Information Technology</v>
      </c>
      <c r="BC206">
        <f>IF($A206="","",IF(COUNTIFS($A$3:$A206,$A206,$C$3:$C206,$C206,$D$3:$D206,$D206,$G$3:$G206,$G206)=1,1,0))</f>
        <v>1</v>
      </c>
      <c r="BG206" t="s">
        <v>550</v>
      </c>
      <c r="BK206">
        <f t="shared" si="42"/>
        <v>0</v>
      </c>
      <c r="BL206" t="s">
        <v>551</v>
      </c>
      <c r="BM206">
        <v>1</v>
      </c>
      <c r="BN206" t="s">
        <v>561</v>
      </c>
      <c r="BO206" t="s">
        <v>561</v>
      </c>
      <c r="BP206" t="s">
        <v>550</v>
      </c>
      <c r="BQ206" t="s">
        <v>550</v>
      </c>
      <c r="BS206" t="s">
        <v>554</v>
      </c>
    </row>
    <row r="207" spans="1:71" x14ac:dyDescent="0.2">
      <c r="A207" s="115" t="s">
        <v>1190</v>
      </c>
      <c r="B207" s="116" t="str">
        <f>IF(A207="","",_xlfn.XLOOKUP(A207, Company_List!$A:$A, Company_List!$B:$B, ""))</f>
        <v>LNVGY</v>
      </c>
      <c r="C207" s="143">
        <v>2026</v>
      </c>
      <c r="D207" s="143" t="s">
        <v>563</v>
      </c>
      <c r="E207" s="98" t="s">
        <v>1095</v>
      </c>
      <c r="F207" s="98" t="s">
        <v>538</v>
      </c>
      <c r="G207" s="143" t="s">
        <v>539</v>
      </c>
      <c r="H207" s="106" t="s">
        <v>540</v>
      </c>
      <c r="I207" s="145">
        <v>0.7</v>
      </c>
      <c r="J207" s="145" t="str">
        <f>IF(OR(I207="",Settings!$B$6=""),"",IF(I207&gt;Settings!$B$6,"BUY",IF(I207&lt;-Settings!$B$6,"SELL","HOLD")))</f>
        <v>BUY</v>
      </c>
      <c r="K207" s="145">
        <v>22</v>
      </c>
      <c r="L207" s="125">
        <v>46065</v>
      </c>
      <c r="M207" s="140">
        <v>46065</v>
      </c>
      <c r="N207" s="147">
        <v>22.96</v>
      </c>
      <c r="O207" s="140">
        <v>46066</v>
      </c>
      <c r="P207" s="145">
        <v>23.55</v>
      </c>
      <c r="Q207" s="150">
        <f t="shared" si="33"/>
        <v>2.5700000000000001E-2</v>
      </c>
      <c r="R207" s="106" t="str">
        <f>IF(OR(N207="",P207=""),"",IF(Q207&gt;Settings!$B$3/100,"UP",IF(Q207&lt;-Settings!$B$3/100,"DOWN","FLAT")))</f>
        <v>UP</v>
      </c>
      <c r="S207" s="106" t="str">
        <f t="shared" si="34"/>
        <v>YES</v>
      </c>
      <c r="T207" s="105">
        <f t="shared" si="35"/>
        <v>1</v>
      </c>
      <c r="U207" s="150">
        <f>IFERROR(IF(OR(J207="",N207="",P207=""),"",IF(T207=0,0,T207*Q207-Settings!$B$4/10000-IF(T207&lt;0,Settings!$B$5/10000,0))),"")</f>
        <v>2.47E-2</v>
      </c>
      <c r="W207" s="21">
        <f t="shared" si="36"/>
        <v>1320</v>
      </c>
      <c r="X207" s="91" t="str">
        <f t="shared" si="37"/>
        <v>Lenovo|2026|Q3</v>
      </c>
      <c r="Y207" s="91" t="str">
        <f>IFERROR(IF($X207="","",INDEX(LLM_Data_Entry!$H$3:$H$548,MATCH($X207,INDEX(LLM_Data_Entry!$A$3:$A$548&amp;"|"&amp;LLM_Data_Entry!$C$3:$C$548&amp;"|"&amp;LLM_Data_Entry!$D$3:$D$548,0),0))),"")</f>
        <v>BUY</v>
      </c>
      <c r="Z207" s="91" t="str">
        <f>IFERROR(IF($X207="","",INDEX(LLM_Data_Entry!$R$3:$R$548,MATCH($X207,INDEX(LLM_Data_Entry!$A$3:$A$548&amp;"|"&amp;LLM_Data_Entry!$C$3:$C$548&amp;"|"&amp;LLM_Data_Entry!$D$3:$D$548,0),0))),"")</f>
        <v>YES</v>
      </c>
      <c r="AB207" t="s">
        <v>1194</v>
      </c>
      <c r="AC207" t="s">
        <v>1191</v>
      </c>
      <c r="AD207" t="s">
        <v>676</v>
      </c>
      <c r="AE207">
        <v>9.3036999999999992</v>
      </c>
      <c r="AF207" t="s">
        <v>677</v>
      </c>
      <c r="AG207">
        <v>9.2741000000000007</v>
      </c>
      <c r="AH207">
        <v>-3.1812842567109948E-3</v>
      </c>
      <c r="AI207" t="s">
        <v>579</v>
      </c>
      <c r="AJ207" t="s">
        <v>546</v>
      </c>
      <c r="AK207">
        <v>-4.1809999999999998E-3</v>
      </c>
      <c r="AL207" t="str">
        <f>IF($A207="","",IFERROR(INDEX(Company_List!$G$3:$G$207,MATCH($A207,Company_List!$A$3:$A$207,0)),"unassigned"))</f>
        <v>P3</v>
      </c>
      <c r="AM207" t="s">
        <v>1195</v>
      </c>
      <c r="AO207" t="s">
        <v>548</v>
      </c>
      <c r="AP207" t="str">
        <f>IF($A207="","",IF(COUNTIFS(LLM_Data_Entry!$A$3:$A$548,$A207)&gt;0,"YES","NO"))</f>
        <v>YES</v>
      </c>
      <c r="AQ207" t="str">
        <f>IF($A207="","",IF(COUNTIFS($A$3:$A207,$A207,$C$3:$C207,$C207,$D$3:$D207,$D207)=1,"YES","NO"))</f>
        <v>YES</v>
      </c>
      <c r="AR207" t="str">
        <f>IF($A207="","",IF(AND($C207&amp;"-"&amp;$D207&gt;=Settings!$B$19,$C207&amp;"-"&amp;$D207&lt;=Settings!$B$20),"IN","OUT"))</f>
        <v>IN</v>
      </c>
      <c r="AS207" t="str">
        <f t="shared" si="38"/>
        <v>presentation only</v>
      </c>
      <c r="AT207">
        <f t="shared" si="39"/>
        <v>2.47E-2</v>
      </c>
      <c r="AU207">
        <f t="shared" si="40"/>
        <v>-4.1809999999999998E-3</v>
      </c>
      <c r="AV207">
        <f>IF(ISNUMBER($AT207),ABS(IF(ISNUMBER($I207),$I207,0)-Settings!$B$24),"")</f>
        <v>0.7</v>
      </c>
      <c r="AW207">
        <f t="shared" si="41"/>
        <v>1.729E-2</v>
      </c>
      <c r="AX207">
        <f>IF(ISNUMBER($AU207),ABS(IF(ISNUMBER($I207),$I207,0)-Settings!$B$24),"")</f>
        <v>0.7</v>
      </c>
      <c r="AY207" t="s">
        <v>549</v>
      </c>
      <c r="AZ207" t="str">
        <f>IF($A207="","",IFERROR(INDEX(Company_List!$H$3:$H$207,MATCH($A207,Company_List!$A$3:$A$207,0)),"unassigned"))</f>
        <v>Information Technology</v>
      </c>
      <c r="BC207">
        <f>IF($A207="","",IF(COUNTIFS($A$3:$A207,$A207,$C$3:$C207,$C207,$D$3:$D207,$D207,$G$3:$G207,$G207)=1,1,0))</f>
        <v>1</v>
      </c>
      <c r="BG207" t="s">
        <v>550</v>
      </c>
      <c r="BK207">
        <f t="shared" si="42"/>
        <v>1</v>
      </c>
      <c r="BL207" t="s">
        <v>551</v>
      </c>
      <c r="BM207">
        <v>1</v>
      </c>
      <c r="BN207" t="s">
        <v>561</v>
      </c>
      <c r="BO207" t="s">
        <v>561</v>
      </c>
      <c r="BP207" t="s">
        <v>550</v>
      </c>
      <c r="BQ207" t="s">
        <v>550</v>
      </c>
      <c r="BS207" t="s">
        <v>554</v>
      </c>
    </row>
    <row r="208" spans="1:71" x14ac:dyDescent="0.2">
      <c r="A208" s="115" t="s">
        <v>1190</v>
      </c>
      <c r="B208" s="116" t="str">
        <f>IF(A208="","",_xlfn.XLOOKUP(A208, Company_List!$A:$A, Company_List!$B:$B, ""))</f>
        <v>LNVGY</v>
      </c>
      <c r="C208" s="143">
        <v>2026</v>
      </c>
      <c r="D208" s="143" t="s">
        <v>555</v>
      </c>
      <c r="E208" s="98" t="s">
        <v>1095</v>
      </c>
      <c r="F208" s="98" t="s">
        <v>538</v>
      </c>
      <c r="G208" s="143" t="s">
        <v>539</v>
      </c>
      <c r="H208" s="106" t="s">
        <v>540</v>
      </c>
      <c r="I208" s="145">
        <v>0.6</v>
      </c>
      <c r="J208" s="145" t="str">
        <f>IF(OR(I208="",Settings!$B$6=""),"",IF(I208&gt;Settings!$B$6,"BUY",IF(I208&lt;-Settings!$B$6,"SELL","HOLD")))</f>
        <v>BUY</v>
      </c>
      <c r="K208" s="145">
        <v>25</v>
      </c>
      <c r="L208" s="125">
        <v>45981</v>
      </c>
      <c r="M208" s="140">
        <v>46052</v>
      </c>
      <c r="N208" s="147">
        <v>22.61</v>
      </c>
      <c r="O208" s="140">
        <v>46055</v>
      </c>
      <c r="P208" s="145">
        <v>22.41</v>
      </c>
      <c r="Q208" s="150">
        <f t="shared" si="33"/>
        <v>-8.8000000000000005E-3</v>
      </c>
      <c r="R208" s="106" t="str">
        <f>IF(OR(N208="",P208=""),"",IF(Q208&gt;Settings!$B$3/100,"UP",IF(Q208&lt;-Settings!$B$3/100,"DOWN","FLAT")))</f>
        <v>FLAT</v>
      </c>
      <c r="S208" s="106" t="str">
        <f t="shared" si="34"/>
        <v>NO</v>
      </c>
      <c r="T208" s="105">
        <f t="shared" si="35"/>
        <v>1</v>
      </c>
      <c r="U208" s="150">
        <f>IFERROR(IF(OR(J208="",N208="",P208=""),"",IF(T208=0,0,T208*Q208-Settings!$B$4/10000-IF(T208&lt;0,Settings!$B$5/10000,0))),"")</f>
        <v>-9.7999999999999997E-3</v>
      </c>
      <c r="W208" s="21">
        <f t="shared" si="36"/>
        <v>1500</v>
      </c>
      <c r="X208" s="91" t="str">
        <f t="shared" si="37"/>
        <v>Lenovo|2026|Q2</v>
      </c>
      <c r="Y208" s="91" t="str">
        <f>IFERROR(IF($X208="","",INDEX(LLM_Data_Entry!$H$3:$H$548,MATCH($X208,INDEX(LLM_Data_Entry!$A$3:$A$548&amp;"|"&amp;LLM_Data_Entry!$C$3:$C$548&amp;"|"&amp;LLM_Data_Entry!$D$3:$D$548,0),0))),"")</f>
        <v>HOLD</v>
      </c>
      <c r="Z208" s="91" t="str">
        <f>IFERROR(IF($X208="","",INDEX(LLM_Data_Entry!$R$3:$R$548,MATCH($X208,INDEX(LLM_Data_Entry!$A$3:$A$548&amp;"|"&amp;LLM_Data_Entry!$C$3:$C$548&amp;"|"&amp;LLM_Data_Entry!$D$3:$D$548,0),0))),"")</f>
        <v>YES</v>
      </c>
      <c r="AB208" t="s">
        <v>864</v>
      </c>
      <c r="AC208" t="s">
        <v>1191</v>
      </c>
      <c r="AD208" t="s">
        <v>606</v>
      </c>
      <c r="AE208">
        <v>9.4185999999999996</v>
      </c>
      <c r="AF208" t="s">
        <v>607</v>
      </c>
      <c r="AG208">
        <v>9.6532999999999998</v>
      </c>
      <c r="AH208">
        <v>2.4922080091938852E-2</v>
      </c>
      <c r="AI208" t="s">
        <v>591</v>
      </c>
      <c r="AJ208" t="s">
        <v>554</v>
      </c>
      <c r="AK208">
        <v>2.3921999999999999E-2</v>
      </c>
      <c r="AL208" t="str">
        <f>IF($A208="","",IFERROR(INDEX(Company_List!$G$3:$G$207,MATCH($A208,Company_List!$A$3:$A$207,0)),"unassigned"))</f>
        <v>P3</v>
      </c>
      <c r="AM208" t="s">
        <v>1196</v>
      </c>
      <c r="AO208" t="s">
        <v>548</v>
      </c>
      <c r="AP208" t="str">
        <f>IF($A208="","",IF(COUNTIFS(LLM_Data_Entry!$A$3:$A$548,$A208)&gt;0,"YES","NO"))</f>
        <v>YES</v>
      </c>
      <c r="AQ208" t="str">
        <f>IF($A208="","",IF(COUNTIFS($A$3:$A208,$A208,$C$3:$C208,$C208,$D$3:$D208,$D208)=1,"YES","NO"))</f>
        <v>YES</v>
      </c>
      <c r="AR208" t="str">
        <f>IF($A208="","",IF(AND($C208&amp;"-"&amp;$D208&gt;=Settings!$B$19,$C208&amp;"-"&amp;$D208&lt;=Settings!$B$20),"IN","OUT"))</f>
        <v>IN</v>
      </c>
      <c r="AS208" t="str">
        <f t="shared" si="38"/>
        <v>presentation only</v>
      </c>
      <c r="AT208">
        <f t="shared" si="39"/>
        <v>-9.7999999999999997E-3</v>
      </c>
      <c r="AU208">
        <f t="shared" si="40"/>
        <v>2.3921999999999999E-2</v>
      </c>
      <c r="AV208">
        <f>IF(ISNUMBER($AT208),ABS(IF(ISNUMBER($I208),$I208,0)-Settings!$B$24),"")</f>
        <v>0.6</v>
      </c>
      <c r="AW208">
        <f t="shared" si="41"/>
        <v>-5.8799999999999998E-3</v>
      </c>
      <c r="AX208">
        <f>IF(ISNUMBER($AU208),ABS(IF(ISNUMBER($I208),$I208,0)-Settings!$B$24),"")</f>
        <v>0.6</v>
      </c>
      <c r="AY208" t="s">
        <v>549</v>
      </c>
      <c r="AZ208" t="str">
        <f>IF($A208="","",IFERROR(INDEX(Company_List!$H$3:$H$207,MATCH($A208,Company_List!$A$3:$A$207,0)),"unassigned"))</f>
        <v>Information Technology</v>
      </c>
      <c r="BC208">
        <f>IF($A208="","",IF(COUNTIFS($A$3:$A208,$A208,$C$3:$C208,$C208,$D$3:$D208,$D208,$G$3:$G208,$G208)=1,1,0))</f>
        <v>1</v>
      </c>
      <c r="BG208" t="s">
        <v>550</v>
      </c>
      <c r="BK208">
        <f t="shared" si="42"/>
        <v>0</v>
      </c>
      <c r="BL208" t="s">
        <v>551</v>
      </c>
      <c r="BM208">
        <v>1</v>
      </c>
      <c r="BN208" t="s">
        <v>561</v>
      </c>
      <c r="BO208" t="s">
        <v>561</v>
      </c>
      <c r="BP208" t="s">
        <v>550</v>
      </c>
      <c r="BQ208" t="s">
        <v>550</v>
      </c>
      <c r="BS208" t="s">
        <v>554</v>
      </c>
    </row>
    <row r="209" spans="1:71" x14ac:dyDescent="0.2">
      <c r="A209" s="115" t="s">
        <v>1190</v>
      </c>
      <c r="B209" s="116" t="str">
        <f>IF(A209="","",_xlfn.XLOOKUP(A209, Company_List!$A:$A, Company_List!$B:$B, ""))</f>
        <v>LNVGY</v>
      </c>
      <c r="C209" s="143">
        <v>2026</v>
      </c>
      <c r="D209" s="143" t="s">
        <v>537</v>
      </c>
      <c r="E209" s="98" t="s">
        <v>1095</v>
      </c>
      <c r="F209" s="98" t="s">
        <v>538</v>
      </c>
      <c r="G209" s="143" t="s">
        <v>539</v>
      </c>
      <c r="H209" s="106" t="s">
        <v>540</v>
      </c>
      <c r="I209" s="145">
        <v>0.6</v>
      </c>
      <c r="J209" s="145" t="str">
        <f>IF(OR(I209="",Settings!$B$6=""),"",IF(I209&gt;Settings!$B$6,"BUY",IF(I209&lt;-Settings!$B$6,"SELL","HOLD")))</f>
        <v>BUY</v>
      </c>
      <c r="K209" s="145">
        <v>24</v>
      </c>
      <c r="L209" s="125">
        <v>45883</v>
      </c>
      <c r="M209" s="140">
        <v>45883</v>
      </c>
      <c r="N209" s="147">
        <v>27.4</v>
      </c>
      <c r="O209" s="140">
        <v>45884</v>
      </c>
      <c r="P209" s="145">
        <v>28.75</v>
      </c>
      <c r="Q209" s="150">
        <f t="shared" si="33"/>
        <v>4.9299999999999997E-2</v>
      </c>
      <c r="R209" s="106" t="str">
        <f>IF(OR(N209="",P209=""),"",IF(Q209&gt;Settings!$B$3/100,"UP",IF(Q209&lt;-Settings!$B$3/100,"DOWN","FLAT")))</f>
        <v>UP</v>
      </c>
      <c r="S209" s="106" t="str">
        <f t="shared" si="34"/>
        <v>YES</v>
      </c>
      <c r="T209" s="105">
        <f t="shared" si="35"/>
        <v>1</v>
      </c>
      <c r="U209" s="150">
        <f>IFERROR(IF(OR(J209="",N209="",P209=""),"",IF(T209=0,0,T209*Q209-Settings!$B$4/10000-IF(T209&lt;0,Settings!$B$5/10000,0))),"")</f>
        <v>4.8299999999999996E-2</v>
      </c>
      <c r="W209" s="21">
        <f t="shared" si="36"/>
        <v>1440</v>
      </c>
      <c r="X209" s="91" t="str">
        <f t="shared" si="37"/>
        <v>Lenovo|2026|Q1</v>
      </c>
      <c r="Y209" s="91" t="str">
        <f>IFERROR(IF($X209="","",INDEX(LLM_Data_Entry!$H$3:$H$548,MATCH($X209,INDEX(LLM_Data_Entry!$A$3:$A$548&amp;"|"&amp;LLM_Data_Entry!$C$3:$C$548&amp;"|"&amp;LLM_Data_Entry!$D$3:$D$548,0),0))),"")</f>
        <v>HOLD</v>
      </c>
      <c r="Z209" s="91" t="str">
        <f>IFERROR(IF($X209="","",INDEX(LLM_Data_Entry!$R$3:$R$548,MATCH($X209,INDEX(LLM_Data_Entry!$A$3:$A$548&amp;"|"&amp;LLM_Data_Entry!$C$3:$C$548&amp;"|"&amp;LLM_Data_Entry!$D$3:$D$548,0),0))),"")</f>
        <v>NO</v>
      </c>
      <c r="AB209" t="s">
        <v>864</v>
      </c>
      <c r="AC209" t="s">
        <v>1191</v>
      </c>
      <c r="AD209" t="s">
        <v>1197</v>
      </c>
      <c r="AE209">
        <v>11.267099999999999</v>
      </c>
      <c r="AF209" t="s">
        <v>1198</v>
      </c>
      <c r="AG209">
        <v>11.267099999999999</v>
      </c>
      <c r="AH209">
        <v>-5.4579924396651327E-8</v>
      </c>
      <c r="AI209" t="s">
        <v>579</v>
      </c>
      <c r="AJ209" t="s">
        <v>546</v>
      </c>
      <c r="AK209">
        <v>-1E-3</v>
      </c>
      <c r="AL209" t="str">
        <f>IF($A209="","",IFERROR(INDEX(Company_List!$G$3:$G$207,MATCH($A209,Company_List!$A$3:$A$207,0)),"unassigned"))</f>
        <v>P3</v>
      </c>
      <c r="AM209" t="s">
        <v>1199</v>
      </c>
      <c r="AO209" t="s">
        <v>548</v>
      </c>
      <c r="AP209" t="str">
        <f>IF($A209="","",IF(COUNTIFS(LLM_Data_Entry!$A$3:$A$548,$A209)&gt;0,"YES","NO"))</f>
        <v>YES</v>
      </c>
      <c r="AQ209" t="str">
        <f>IF($A209="","",IF(COUNTIFS($A$3:$A209,$A209,$C$3:$C209,$C209,$D$3:$D209,$D209)=1,"YES","NO"))</f>
        <v>YES</v>
      </c>
      <c r="AR209" t="str">
        <f>IF($A209="","",IF(AND($C209&amp;"-"&amp;$D209&gt;=Settings!$B$19,$C209&amp;"-"&amp;$D209&lt;=Settings!$B$20),"IN","OUT"))</f>
        <v>IN</v>
      </c>
      <c r="AS209" t="str">
        <f t="shared" si="38"/>
        <v>presentation only</v>
      </c>
      <c r="AT209">
        <f t="shared" si="39"/>
        <v>4.8299999999999996E-2</v>
      </c>
      <c r="AU209">
        <f t="shared" si="40"/>
        <v>-1E-3</v>
      </c>
      <c r="AV209">
        <f>IF(ISNUMBER($AT209),ABS(IF(ISNUMBER($I209),$I209,0)-Settings!$B$24),"")</f>
        <v>0.6</v>
      </c>
      <c r="AW209">
        <f t="shared" si="41"/>
        <v>2.8979999999999995E-2</v>
      </c>
      <c r="AX209">
        <f>IF(ISNUMBER($AU209),ABS(IF(ISNUMBER($I209),$I209,0)-Settings!$B$24),"")</f>
        <v>0.6</v>
      </c>
      <c r="AY209" t="s">
        <v>549</v>
      </c>
      <c r="AZ209" t="str">
        <f>IF($A209="","",IFERROR(INDEX(Company_List!$H$3:$H$207,MATCH($A209,Company_List!$A$3:$A$207,0)),"unassigned"))</f>
        <v>Information Technology</v>
      </c>
      <c r="BC209">
        <f>IF($A209="","",IF(COUNTIFS($A$3:$A209,$A209,$C$3:$C209,$C209,$D$3:$D209,$D209,$G$3:$G209,$G209)=1,1,0))</f>
        <v>1</v>
      </c>
      <c r="BG209" t="s">
        <v>550</v>
      </c>
      <c r="BK209">
        <f t="shared" si="42"/>
        <v>0</v>
      </c>
      <c r="BL209" t="s">
        <v>551</v>
      </c>
      <c r="BM209">
        <v>1</v>
      </c>
      <c r="BN209" t="s">
        <v>561</v>
      </c>
      <c r="BO209" t="s">
        <v>561</v>
      </c>
      <c r="BP209" t="s">
        <v>550</v>
      </c>
      <c r="BQ209" t="s">
        <v>550</v>
      </c>
      <c r="BS209" t="s">
        <v>554</v>
      </c>
    </row>
    <row r="210" spans="1:71" x14ac:dyDescent="0.2">
      <c r="A210" s="115" t="s">
        <v>1200</v>
      </c>
      <c r="B210" s="116" t="str">
        <f>IF(A210="","",_xlfn.XLOOKUP(A210, Company_List!$A:$A, Company_List!$B:$B, ""))</f>
        <v>SPOT</v>
      </c>
      <c r="C210" s="143">
        <v>2026</v>
      </c>
      <c r="D210" s="143" t="s">
        <v>537</v>
      </c>
      <c r="E210" s="98" t="s">
        <v>1095</v>
      </c>
      <c r="F210" s="98" t="s">
        <v>538</v>
      </c>
      <c r="G210" s="143" t="s">
        <v>539</v>
      </c>
      <c r="H210" s="106" t="s">
        <v>540</v>
      </c>
      <c r="I210" s="145">
        <v>0.3</v>
      </c>
      <c r="J210" s="145" t="str">
        <f>IF(OR(I210="",Settings!$B$6=""),"",IF(I210&gt;Settings!$B$6,"BUY",IF(I210&lt;-Settings!$B$6,"SELL","HOLD")))</f>
        <v>BUY</v>
      </c>
      <c r="K210" s="145">
        <v>22</v>
      </c>
      <c r="L210" s="125">
        <v>46140</v>
      </c>
      <c r="M210" s="140">
        <v>46139</v>
      </c>
      <c r="N210" s="147">
        <v>495.82</v>
      </c>
      <c r="O210" s="140">
        <v>46140</v>
      </c>
      <c r="P210" s="145">
        <v>445</v>
      </c>
      <c r="Q210" s="150">
        <f t="shared" si="33"/>
        <v>-0.10249999999999999</v>
      </c>
      <c r="R210" s="106" t="str">
        <f>IF(OR(N210="",P210=""),"",IF(Q210&gt;Settings!$B$3/100,"UP",IF(Q210&lt;-Settings!$B$3/100,"DOWN","FLAT")))</f>
        <v>DOWN</v>
      </c>
      <c r="S210" s="106" t="str">
        <f t="shared" si="34"/>
        <v>NO</v>
      </c>
      <c r="T210" s="105">
        <f t="shared" si="35"/>
        <v>1</v>
      </c>
      <c r="U210" s="150">
        <f>IFERROR(IF(OR(J210="",N210="",P210=""),"",IF(T210=0,0,T210*Q210-Settings!$B$4/10000-IF(T210&lt;0,Settings!$B$5/10000,0))),"")</f>
        <v>-0.10349999999999999</v>
      </c>
      <c r="W210" s="21">
        <f t="shared" si="36"/>
        <v>1320</v>
      </c>
      <c r="X210" s="91" t="str">
        <f t="shared" si="37"/>
        <v>Spotify|2026|Q1</v>
      </c>
      <c r="Y210" s="91" t="str">
        <f>IFERROR(IF($X210="","",INDEX(LLM_Data_Entry!$H$3:$H$548,MATCH($X210,INDEX(LLM_Data_Entry!$A$3:$A$548&amp;"|"&amp;LLM_Data_Entry!$C$3:$C$548&amp;"|"&amp;LLM_Data_Entry!$D$3:$D$548,0),0))),"")</f>
        <v>HOLD</v>
      </c>
      <c r="Z210" s="91" t="str">
        <f>IFERROR(IF($X210="","",INDEX(LLM_Data_Entry!$R$3:$R$548,MATCH($X210,INDEX(LLM_Data_Entry!$A$3:$A$548&amp;"|"&amp;LLM_Data_Entry!$C$3:$C$548&amp;"|"&amp;LLM_Data_Entry!$D$3:$D$548,0),0))),"")</f>
        <v>NO</v>
      </c>
      <c r="AB210" t="s">
        <v>1169</v>
      </c>
      <c r="AC210" t="s">
        <v>1201</v>
      </c>
      <c r="AD210" t="s">
        <v>708</v>
      </c>
      <c r="AE210">
        <v>495.82</v>
      </c>
      <c r="AF210" t="s">
        <v>709</v>
      </c>
      <c r="AG210">
        <v>445</v>
      </c>
      <c r="AH210">
        <v>-0.1024968865364886</v>
      </c>
      <c r="AI210" t="s">
        <v>545</v>
      </c>
      <c r="AJ210" t="s">
        <v>546</v>
      </c>
      <c r="AK210">
        <v>-0.10349700000000001</v>
      </c>
      <c r="AL210" t="str">
        <f>IF($A210="","",IFERROR(INDEX(Company_List!$G$3:$G$207,MATCH($A210,Company_List!$A$3:$A$207,0)),"unassigned"))</f>
        <v>P3</v>
      </c>
      <c r="AM210" t="s">
        <v>1202</v>
      </c>
      <c r="AO210" t="s">
        <v>548</v>
      </c>
      <c r="AP210" t="str">
        <f>IF($A210="","",IF(COUNTIFS(LLM_Data_Entry!$A$3:$A$548,$A210)&gt;0,"YES","NO"))</f>
        <v>YES</v>
      </c>
      <c r="AQ210" t="str">
        <f>IF($A210="","",IF(COUNTIFS($A$3:$A210,$A210,$C$3:$C210,$C210,$D$3:$D210,$D210)=1,"YES","NO"))</f>
        <v>YES</v>
      </c>
      <c r="AR210" t="str">
        <f>IF($A210="","",IF(AND($C210&amp;"-"&amp;$D210&gt;=Settings!$B$19,$C210&amp;"-"&amp;$D210&lt;=Settings!$B$20),"IN","OUT"))</f>
        <v>IN</v>
      </c>
      <c r="AS210" t="str">
        <f t="shared" si="38"/>
        <v>presentation only</v>
      </c>
      <c r="AT210">
        <f t="shared" si="39"/>
        <v>-0.10349999999999999</v>
      </c>
      <c r="AU210">
        <f t="shared" si="40"/>
        <v>-0.10349700000000001</v>
      </c>
      <c r="AV210">
        <f>IF(ISNUMBER($AT210),ABS(IF(ISNUMBER($I210),$I210,0)-Settings!$B$24),"")</f>
        <v>0.3</v>
      </c>
      <c r="AW210">
        <f t="shared" si="41"/>
        <v>-3.1049999999999998E-2</v>
      </c>
      <c r="AX210">
        <f>IF(ISNUMBER($AU210),ABS(IF(ISNUMBER($I210),$I210,0)-Settings!$B$24),"")</f>
        <v>0.3</v>
      </c>
      <c r="AY210" t="s">
        <v>549</v>
      </c>
      <c r="AZ210" t="str">
        <f>IF($A210="","",IFERROR(INDEX(Company_List!$H$3:$H$207,MATCH($A210,Company_List!$A$3:$A$207,0)),"unassigned"))</f>
        <v>Communication Services</v>
      </c>
      <c r="BC210">
        <f>IF($A210="","",IF(COUNTIFS($A$3:$A210,$A210,$C$3:$C210,$C210,$D$3:$D210,$D210,$G$3:$G210,$G210)=1,1,0))</f>
        <v>1</v>
      </c>
      <c r="BG210" t="s">
        <v>550</v>
      </c>
      <c r="BK210">
        <f t="shared" si="42"/>
        <v>0</v>
      </c>
      <c r="BL210" t="s">
        <v>551</v>
      </c>
      <c r="BM210">
        <v>1</v>
      </c>
      <c r="BN210" t="s">
        <v>561</v>
      </c>
      <c r="BO210" t="s">
        <v>561</v>
      </c>
      <c r="BP210" t="s">
        <v>550</v>
      </c>
      <c r="BQ210" t="s">
        <v>550</v>
      </c>
      <c r="BS210" t="s">
        <v>554</v>
      </c>
    </row>
    <row r="211" spans="1:71" x14ac:dyDescent="0.2">
      <c r="A211" s="115" t="s">
        <v>1200</v>
      </c>
      <c r="B211" s="116" t="str">
        <f>IF(A211="","",_xlfn.XLOOKUP(A211, Company_List!$A:$A, Company_List!$B:$B, ""))</f>
        <v>SPOT</v>
      </c>
      <c r="C211" s="143">
        <v>2025</v>
      </c>
      <c r="D211" s="143" t="s">
        <v>569</v>
      </c>
      <c r="E211" s="98" t="s">
        <v>1095</v>
      </c>
      <c r="F211" s="98" t="s">
        <v>538</v>
      </c>
      <c r="G211" s="143" t="s">
        <v>539</v>
      </c>
      <c r="H211" s="106" t="s">
        <v>540</v>
      </c>
      <c r="I211" s="145">
        <v>0.6</v>
      </c>
      <c r="J211" s="145" t="str">
        <f>IF(OR(I211="",Settings!$B$6=""),"",IF(I211&gt;Settings!$B$6,"BUY",IF(I211&lt;-Settings!$B$6,"SELL","HOLD")))</f>
        <v>BUY</v>
      </c>
      <c r="K211" s="145">
        <v>23</v>
      </c>
      <c r="L211" s="125">
        <v>45698</v>
      </c>
      <c r="M211" s="140">
        <v>46062</v>
      </c>
      <c r="N211" s="147">
        <v>414.84</v>
      </c>
      <c r="O211" s="140">
        <v>46063</v>
      </c>
      <c r="P211" s="145">
        <v>462.78</v>
      </c>
      <c r="Q211" s="150">
        <f t="shared" si="33"/>
        <v>0.11559999999999999</v>
      </c>
      <c r="R211" s="106" t="str">
        <f>IF(OR(N211="",P211=""),"",IF(Q211&gt;Settings!$B$3/100,"UP",IF(Q211&lt;-Settings!$B$3/100,"DOWN","FLAT")))</f>
        <v>UP</v>
      </c>
      <c r="S211" s="106" t="str">
        <f t="shared" si="34"/>
        <v>YES</v>
      </c>
      <c r="T211" s="105">
        <f t="shared" si="35"/>
        <v>1</v>
      </c>
      <c r="U211" s="150">
        <f>IFERROR(IF(OR(J211="",N211="",P211=""),"",IF(T211=0,0,T211*Q211-Settings!$B$4/10000-IF(T211&lt;0,Settings!$B$5/10000,0))),"")</f>
        <v>0.11459999999999999</v>
      </c>
      <c r="W211" s="21">
        <f t="shared" si="36"/>
        <v>1380</v>
      </c>
      <c r="X211" s="91" t="str">
        <f t="shared" si="37"/>
        <v>Spotify|2025|Q4</v>
      </c>
      <c r="Y211" s="91" t="str">
        <f>IFERROR(IF($X211="","",INDEX(LLM_Data_Entry!$H$3:$H$548,MATCH($X211,INDEX(LLM_Data_Entry!$A$3:$A$548&amp;"|"&amp;LLM_Data_Entry!$C$3:$C$548&amp;"|"&amp;LLM_Data_Entry!$D$3:$D$548,0),0))),"")</f>
        <v>BUY</v>
      </c>
      <c r="Z211" s="91" t="str">
        <f>IFERROR(IF($X211="","",INDEX(LLM_Data_Entry!$R$3:$R$548,MATCH($X211,INDEX(LLM_Data_Entry!$A$3:$A$548&amp;"|"&amp;LLM_Data_Entry!$C$3:$C$548&amp;"|"&amp;LLM_Data_Entry!$D$3:$D$548,0),0))),"")</f>
        <v>YES</v>
      </c>
      <c r="AB211" t="s">
        <v>630</v>
      </c>
      <c r="AC211" t="s">
        <v>1201</v>
      </c>
      <c r="AD211" t="s">
        <v>704</v>
      </c>
      <c r="AE211">
        <v>414.84</v>
      </c>
      <c r="AF211" t="s">
        <v>705</v>
      </c>
      <c r="AG211">
        <v>462.78</v>
      </c>
      <c r="AH211">
        <v>0.1155626349008064</v>
      </c>
      <c r="AI211" t="s">
        <v>591</v>
      </c>
      <c r="AJ211" t="s">
        <v>554</v>
      </c>
      <c r="AK211">
        <v>0.114563</v>
      </c>
      <c r="AL211" t="str">
        <f>IF($A211="","",IFERROR(INDEX(Company_List!$G$3:$G$207,MATCH($A211,Company_List!$A$3:$A$207,0)),"unassigned"))</f>
        <v>P3</v>
      </c>
      <c r="AM211" t="s">
        <v>1203</v>
      </c>
      <c r="AO211" t="s">
        <v>548</v>
      </c>
      <c r="AP211" t="str">
        <f>IF($A211="","",IF(COUNTIFS(LLM_Data_Entry!$A$3:$A$548,$A211)&gt;0,"YES","NO"))</f>
        <v>YES</v>
      </c>
      <c r="AQ211" t="str">
        <f>IF($A211="","",IF(COUNTIFS($A$3:$A211,$A211,$C$3:$C211,$C211,$D$3:$D211,$D211)=1,"YES","NO"))</f>
        <v>YES</v>
      </c>
      <c r="AR211" t="str">
        <f>IF($A211="","",IF(AND($C211&amp;"-"&amp;$D211&gt;=Settings!$B$19,$C211&amp;"-"&amp;$D211&lt;=Settings!$B$20),"IN","OUT"))</f>
        <v>IN</v>
      </c>
      <c r="AS211" t="str">
        <f t="shared" si="38"/>
        <v>presentation only</v>
      </c>
      <c r="AT211">
        <f t="shared" si="39"/>
        <v>0.11459999999999999</v>
      </c>
      <c r="AU211">
        <f t="shared" si="40"/>
        <v>0.114563</v>
      </c>
      <c r="AV211">
        <f>IF(ISNUMBER($AT211),ABS(IF(ISNUMBER($I211),$I211,0)-Settings!$B$24),"")</f>
        <v>0.6</v>
      </c>
      <c r="AW211">
        <f t="shared" si="41"/>
        <v>6.8759999999999988E-2</v>
      </c>
      <c r="AX211">
        <f>IF(ISNUMBER($AU211),ABS(IF(ISNUMBER($I211),$I211,0)-Settings!$B$24),"")</f>
        <v>0.6</v>
      </c>
      <c r="AY211" t="s">
        <v>549</v>
      </c>
      <c r="AZ211" t="str">
        <f>IF($A211="","",IFERROR(INDEX(Company_List!$H$3:$H$207,MATCH($A211,Company_List!$A$3:$A$207,0)),"unassigned"))</f>
        <v>Communication Services</v>
      </c>
      <c r="BC211">
        <f>IF($A211="","",IF(COUNTIFS($A$3:$A211,$A211,$C$3:$C211,$C211,$D$3:$D211,$D211,$G$3:$G211,$G211)=1,1,0))</f>
        <v>1</v>
      </c>
      <c r="BG211" t="s">
        <v>550</v>
      </c>
      <c r="BK211">
        <f t="shared" si="42"/>
        <v>1</v>
      </c>
      <c r="BL211" t="s">
        <v>551</v>
      </c>
      <c r="BM211">
        <v>1</v>
      </c>
      <c r="BN211" t="s">
        <v>561</v>
      </c>
      <c r="BO211" t="s">
        <v>561</v>
      </c>
      <c r="BP211" t="s">
        <v>550</v>
      </c>
      <c r="BQ211" t="s">
        <v>550</v>
      </c>
      <c r="BS211" t="s">
        <v>554</v>
      </c>
    </row>
    <row r="212" spans="1:71" x14ac:dyDescent="0.2">
      <c r="A212" s="115" t="s">
        <v>1200</v>
      </c>
      <c r="B212" s="116" t="str">
        <f>IF(A212="","",_xlfn.XLOOKUP(A212, Company_List!$A:$A, Company_List!$B:$B, ""))</f>
        <v>SPOT</v>
      </c>
      <c r="C212" s="143">
        <v>2025</v>
      </c>
      <c r="D212" s="143" t="s">
        <v>563</v>
      </c>
      <c r="E212" s="98" t="s">
        <v>1095</v>
      </c>
      <c r="F212" s="98" t="s">
        <v>538</v>
      </c>
      <c r="G212" s="143" t="s">
        <v>539</v>
      </c>
      <c r="H212" s="106" t="s">
        <v>540</v>
      </c>
      <c r="I212" s="145">
        <v>0.5</v>
      </c>
      <c r="J212" s="145" t="str">
        <f>IF(OR(I212="",Settings!$B$6=""),"",IF(I212&gt;Settings!$B$6,"BUY",IF(I212&lt;-Settings!$B$6,"SELL","HOLD")))</f>
        <v>BUY</v>
      </c>
      <c r="K212" s="145">
        <v>22</v>
      </c>
      <c r="L212" s="125">
        <v>45965</v>
      </c>
      <c r="M212" s="126">
        <v>45964</v>
      </c>
      <c r="N212" s="147">
        <v>644.09</v>
      </c>
      <c r="O212" s="140">
        <v>45965</v>
      </c>
      <c r="P212" s="145">
        <v>625.17999999999995</v>
      </c>
      <c r="Q212" s="150">
        <f t="shared" si="33"/>
        <v>-2.9399999999999999E-2</v>
      </c>
      <c r="R212" s="106" t="str">
        <f>IF(OR(N212="",P212=""),"",IF(Q212&gt;Settings!$B$3/100,"UP",IF(Q212&lt;-Settings!$B$3/100,"DOWN","FLAT")))</f>
        <v>DOWN</v>
      </c>
      <c r="S212" s="106" t="str">
        <f t="shared" si="34"/>
        <v>NO</v>
      </c>
      <c r="T212" s="105">
        <f t="shared" si="35"/>
        <v>1</v>
      </c>
      <c r="U212" s="150">
        <f>IFERROR(IF(OR(J212="",N212="",P212=""),"",IF(T212=0,0,T212*Q212-Settings!$B$4/10000-IF(T212&lt;0,Settings!$B$5/10000,0))),"")</f>
        <v>-3.04E-2</v>
      </c>
      <c r="W212" s="21">
        <f t="shared" si="36"/>
        <v>1320</v>
      </c>
      <c r="X212" s="91" t="str">
        <f t="shared" si="37"/>
        <v>Spotify|2025|Q3</v>
      </c>
      <c r="Y212" s="91" t="str">
        <f>IFERROR(IF($X212="","",INDEX(LLM_Data_Entry!$H$3:$H$548,MATCH($X212,INDEX(LLM_Data_Entry!$A$3:$A$548&amp;"|"&amp;LLM_Data_Entry!$C$3:$C$548&amp;"|"&amp;LLM_Data_Entry!$D$3:$D$548,0),0))),"")</f>
        <v>BUY</v>
      </c>
      <c r="Z212" s="91" t="str">
        <f>IFERROR(IF($X212="","",INDEX(LLM_Data_Entry!$R$3:$R$548,MATCH($X212,INDEX(LLM_Data_Entry!$A$3:$A$548&amp;"|"&amp;LLM_Data_Entry!$C$3:$C$548&amp;"|"&amp;LLM_Data_Entry!$D$3:$D$548,0),0))),"")</f>
        <v>NO</v>
      </c>
      <c r="AB212" t="s">
        <v>1169</v>
      </c>
      <c r="AC212" t="s">
        <v>1201</v>
      </c>
      <c r="AD212" t="s">
        <v>1204</v>
      </c>
      <c r="AE212">
        <v>644.09</v>
      </c>
      <c r="AF212" t="s">
        <v>1031</v>
      </c>
      <c r="AG212">
        <v>625.17999999999995</v>
      </c>
      <c r="AH212">
        <v>-2.9359302593269309E-2</v>
      </c>
      <c r="AI212" t="s">
        <v>545</v>
      </c>
      <c r="AJ212" t="s">
        <v>546</v>
      </c>
      <c r="AK212">
        <v>-3.0359000000000001E-2</v>
      </c>
      <c r="AL212" t="str">
        <f>IF($A212="","",IFERROR(INDEX(Company_List!$G$3:$G$207,MATCH($A212,Company_List!$A$3:$A$207,0)),"unassigned"))</f>
        <v>P3</v>
      </c>
      <c r="AM212" t="s">
        <v>1205</v>
      </c>
      <c r="AO212" t="s">
        <v>548</v>
      </c>
      <c r="AP212" t="str">
        <f>IF($A212="","",IF(COUNTIFS(LLM_Data_Entry!$A$3:$A$548,$A212)&gt;0,"YES","NO"))</f>
        <v>YES</v>
      </c>
      <c r="AQ212" t="str">
        <f>IF($A212="","",IF(COUNTIFS($A$3:$A212,$A212,$C$3:$C212,$C212,$D$3:$D212,$D212)=1,"YES","NO"))</f>
        <v>YES</v>
      </c>
      <c r="AR212" t="str">
        <f>IF($A212="","",IF(AND($C212&amp;"-"&amp;$D212&gt;=Settings!$B$19,$C212&amp;"-"&amp;$D212&lt;=Settings!$B$20),"IN","OUT"))</f>
        <v>IN</v>
      </c>
      <c r="AS212" t="str">
        <f t="shared" si="38"/>
        <v>presentation only</v>
      </c>
      <c r="AT212">
        <f t="shared" si="39"/>
        <v>-3.04E-2</v>
      </c>
      <c r="AU212">
        <f t="shared" si="40"/>
        <v>-3.0359000000000001E-2</v>
      </c>
      <c r="AV212">
        <f>IF(ISNUMBER($AT212),ABS(IF(ISNUMBER($I212),$I212,0)-Settings!$B$24),"")</f>
        <v>0.5</v>
      </c>
      <c r="AW212">
        <f t="shared" si="41"/>
        <v>-1.52E-2</v>
      </c>
      <c r="AX212">
        <f>IF(ISNUMBER($AU212),ABS(IF(ISNUMBER($I212),$I212,0)-Settings!$B$24),"")</f>
        <v>0.5</v>
      </c>
      <c r="AY212" t="s">
        <v>549</v>
      </c>
      <c r="AZ212" t="str">
        <f>IF($A212="","",IFERROR(INDEX(Company_List!$H$3:$H$207,MATCH($A212,Company_List!$A$3:$A$207,0)),"unassigned"))</f>
        <v>Communication Services</v>
      </c>
      <c r="BC212">
        <f>IF($A212="","",IF(COUNTIFS($A$3:$A212,$A212,$C$3:$C212,$C212,$D$3:$D212,$D212,$G$3:$G212,$G212)=1,1,0))</f>
        <v>1</v>
      </c>
      <c r="BG212" t="s">
        <v>550</v>
      </c>
      <c r="BK212">
        <f t="shared" si="42"/>
        <v>1</v>
      </c>
      <c r="BL212" t="s">
        <v>551</v>
      </c>
      <c r="BM212">
        <v>1</v>
      </c>
      <c r="BN212" t="s">
        <v>561</v>
      </c>
      <c r="BO212" t="s">
        <v>561</v>
      </c>
      <c r="BP212" t="s">
        <v>550</v>
      </c>
      <c r="BQ212" t="s">
        <v>550</v>
      </c>
      <c r="BS212" t="s">
        <v>554</v>
      </c>
    </row>
    <row r="213" spans="1:71" x14ac:dyDescent="0.2">
      <c r="A213" s="115" t="s">
        <v>1200</v>
      </c>
      <c r="B213" s="116" t="str">
        <f>IF(A213="","",_xlfn.XLOOKUP(A213, Company_List!$A:$A, Company_List!$B:$B, ""))</f>
        <v>SPOT</v>
      </c>
      <c r="C213" s="143">
        <v>2025</v>
      </c>
      <c r="D213" s="143" t="s">
        <v>555</v>
      </c>
      <c r="E213" s="98" t="s">
        <v>1095</v>
      </c>
      <c r="F213" s="98" t="s">
        <v>538</v>
      </c>
      <c r="G213" s="143" t="s">
        <v>539</v>
      </c>
      <c r="H213" s="106" t="s">
        <v>540</v>
      </c>
      <c r="I213" s="145">
        <v>0.4</v>
      </c>
      <c r="J213" s="145" t="str">
        <f>IF(OR(I213="",Settings!$B$6=""),"",IF(I213&gt;Settings!$B$6,"BUY",IF(I213&lt;-Settings!$B$6,"SELL","HOLD")))</f>
        <v>BUY</v>
      </c>
      <c r="K213" s="145">
        <v>20</v>
      </c>
      <c r="L213" s="125">
        <v>45867</v>
      </c>
      <c r="M213" s="126">
        <v>45866</v>
      </c>
      <c r="N213" s="145">
        <v>700.98</v>
      </c>
      <c r="O213" s="126">
        <v>45867</v>
      </c>
      <c r="P213" s="145">
        <v>657.53</v>
      </c>
      <c r="Q213" s="150">
        <f t="shared" si="33"/>
        <v>-6.2E-2</v>
      </c>
      <c r="R213" s="106" t="str">
        <f>IF(OR(N213="",P213=""),"",IF(Q213&gt;Settings!$B$3/100,"UP",IF(Q213&lt;-Settings!$B$3/100,"DOWN","FLAT")))</f>
        <v>DOWN</v>
      </c>
      <c r="S213" s="106" t="str">
        <f t="shared" si="34"/>
        <v>NO</v>
      </c>
      <c r="T213" s="105">
        <f t="shared" si="35"/>
        <v>1</v>
      </c>
      <c r="U213" s="150">
        <f>IFERROR(IF(OR(J213="",N213="",P213=""),"",IF(T213=0,0,T213*Q213-Settings!$B$4/10000-IF(T213&lt;0,Settings!$B$5/10000,0))),"")</f>
        <v>-6.3E-2</v>
      </c>
      <c r="W213" s="21">
        <f t="shared" si="36"/>
        <v>1200</v>
      </c>
      <c r="X213" s="91" t="str">
        <f t="shared" si="37"/>
        <v>Spotify|2025|Q2</v>
      </c>
      <c r="Y213" s="91" t="str">
        <f>IFERROR(IF($X213="","",INDEX(LLM_Data_Entry!$H$3:$H$548,MATCH($X213,INDEX(LLM_Data_Entry!$A$3:$A$548&amp;"|"&amp;LLM_Data_Entry!$C$3:$C$548&amp;"|"&amp;LLM_Data_Entry!$D$3:$D$548,0),0))),"")</f>
        <v>HOLD</v>
      </c>
      <c r="Z213" s="91" t="str">
        <f>IFERROR(IF($X213="","",INDEX(LLM_Data_Entry!$R$3:$R$548,MATCH($X213,INDEX(LLM_Data_Entry!$A$3:$A$548&amp;"|"&amp;LLM_Data_Entry!$C$3:$C$548&amp;"|"&amp;LLM_Data_Entry!$D$3:$D$548,0),0))),"")</f>
        <v>NO</v>
      </c>
      <c r="AB213" t="s">
        <v>1169</v>
      </c>
      <c r="AC213" t="s">
        <v>1201</v>
      </c>
      <c r="AD213" t="s">
        <v>619</v>
      </c>
      <c r="AE213">
        <v>700.98</v>
      </c>
      <c r="AF213" t="s">
        <v>620</v>
      </c>
      <c r="AG213">
        <v>657.53</v>
      </c>
      <c r="AH213">
        <v>-6.198458192771774E-2</v>
      </c>
      <c r="AI213" t="s">
        <v>545</v>
      </c>
      <c r="AJ213" t="s">
        <v>546</v>
      </c>
      <c r="AK213">
        <v>-6.2984999999999999E-2</v>
      </c>
      <c r="AL213" t="str">
        <f>IF($A213="","",IFERROR(INDEX(Company_List!$G$3:$G$207,MATCH($A213,Company_List!$A$3:$A$207,0)),"unassigned"))</f>
        <v>P3</v>
      </c>
      <c r="AM213" t="s">
        <v>1206</v>
      </c>
      <c r="AO213" t="s">
        <v>548</v>
      </c>
      <c r="AP213" t="str">
        <f>IF($A213="","",IF(COUNTIFS(LLM_Data_Entry!$A$3:$A$548,$A213)&gt;0,"YES","NO"))</f>
        <v>YES</v>
      </c>
      <c r="AQ213" t="str">
        <f>IF($A213="","",IF(COUNTIFS($A$3:$A213,$A213,$C$3:$C213,$C213,$D$3:$D213,$D213)=1,"YES","NO"))</f>
        <v>YES</v>
      </c>
      <c r="AR213" t="str">
        <f>IF($A213="","",IF(AND($C213&amp;"-"&amp;$D213&gt;=Settings!$B$19,$C213&amp;"-"&amp;$D213&lt;=Settings!$B$20),"IN","OUT"))</f>
        <v>IN</v>
      </c>
      <c r="AS213" t="str">
        <f t="shared" si="38"/>
        <v>presentation only</v>
      </c>
      <c r="AT213">
        <f t="shared" si="39"/>
        <v>-6.3E-2</v>
      </c>
      <c r="AU213">
        <f t="shared" si="40"/>
        <v>-6.2984999999999999E-2</v>
      </c>
      <c r="AV213">
        <f>IF(ISNUMBER($AT213),ABS(IF(ISNUMBER($I213),$I213,0)-Settings!$B$24),"")</f>
        <v>0.4</v>
      </c>
      <c r="AW213">
        <f t="shared" si="41"/>
        <v>-2.52E-2</v>
      </c>
      <c r="AX213">
        <f>IF(ISNUMBER($AU213),ABS(IF(ISNUMBER($I213),$I213,0)-Settings!$B$24),"")</f>
        <v>0.4</v>
      </c>
      <c r="AY213" t="s">
        <v>549</v>
      </c>
      <c r="AZ213" t="str">
        <f>IF($A213="","",IFERROR(INDEX(Company_List!$H$3:$H$207,MATCH($A213,Company_List!$A$3:$A$207,0)),"unassigned"))</f>
        <v>Communication Services</v>
      </c>
      <c r="BC213">
        <f>IF($A213="","",IF(COUNTIFS($A$3:$A213,$A213,$C$3:$C213,$C213,$D$3:$D213,$D213,$G$3:$G213,$G213)=1,1,0))</f>
        <v>1</v>
      </c>
      <c r="BG213" t="s">
        <v>550</v>
      </c>
      <c r="BK213">
        <f t="shared" si="42"/>
        <v>0</v>
      </c>
      <c r="BL213" t="s">
        <v>551</v>
      </c>
      <c r="BM213">
        <v>1</v>
      </c>
      <c r="BN213" t="s">
        <v>561</v>
      </c>
      <c r="BO213" t="s">
        <v>561</v>
      </c>
      <c r="BP213" t="s">
        <v>550</v>
      </c>
      <c r="BQ213" t="s">
        <v>550</v>
      </c>
      <c r="BS213" t="s">
        <v>554</v>
      </c>
    </row>
    <row r="214" spans="1:71" x14ac:dyDescent="0.2">
      <c r="A214" s="115" t="s">
        <v>1207</v>
      </c>
      <c r="B214" s="116" t="str">
        <f>IF(A214="","",_xlfn.XLOOKUP(A214, Company_List!$A:$A, Company_List!$B:$B, ""))</f>
        <v>CMG</v>
      </c>
      <c r="C214" s="143">
        <v>2025</v>
      </c>
      <c r="D214" s="143" t="s">
        <v>569</v>
      </c>
      <c r="E214" s="98" t="s">
        <v>1121</v>
      </c>
      <c r="F214" s="98" t="s">
        <v>538</v>
      </c>
      <c r="G214" s="143" t="s">
        <v>539</v>
      </c>
      <c r="H214" s="106" t="s">
        <v>540</v>
      </c>
      <c r="I214" s="145">
        <v>-0.2</v>
      </c>
      <c r="J214" s="145" t="str">
        <f>IF(OR(I214="",Settings!$B$6=""),"",IF(I214&gt;Settings!$B$6,"BUY",IF(I214&lt;-Settings!$B$6,"SELL","HOLD")))</f>
        <v>HOLD</v>
      </c>
      <c r="K214" s="145">
        <v>19</v>
      </c>
      <c r="L214" s="125">
        <v>46056</v>
      </c>
      <c r="M214" s="140">
        <v>46056</v>
      </c>
      <c r="N214" s="147">
        <v>39.17</v>
      </c>
      <c r="O214" s="140">
        <v>46057</v>
      </c>
      <c r="P214" s="145">
        <v>37.72</v>
      </c>
      <c r="Q214" s="150">
        <f t="shared" si="33"/>
        <v>-3.6999999999999998E-2</v>
      </c>
      <c r="R214" s="106" t="str">
        <f>IF(OR(N214="",P214=""),"",IF(Q214&gt;Settings!$B$3/100,"UP",IF(Q214&lt;-Settings!$B$3/100,"DOWN","FLAT")))</f>
        <v>DOWN</v>
      </c>
      <c r="S214" s="106" t="str">
        <f t="shared" si="34"/>
        <v>NO</v>
      </c>
      <c r="T214" s="105">
        <f t="shared" si="35"/>
        <v>0</v>
      </c>
      <c r="U214" s="150">
        <f>IFERROR(IF(OR(J214="",N214="",P214=""),"",IF(T214=0,0,T214*Q214-Settings!$B$4/10000-IF(T214&lt;0,Settings!$B$5/10000,0))),"")</f>
        <v>0</v>
      </c>
      <c r="W214" s="21">
        <f t="shared" si="36"/>
        <v>1140</v>
      </c>
      <c r="X214" s="91" t="str">
        <f t="shared" si="37"/>
        <v>Chipotle|2025|Q4</v>
      </c>
      <c r="Y214" s="91" t="str">
        <f>IFERROR(IF($X214="","",INDEX(LLM_Data_Entry!$H$3:$H$548,MATCH($X214,INDEX(LLM_Data_Entry!$A$3:$A$548&amp;"|"&amp;LLM_Data_Entry!$C$3:$C$548&amp;"|"&amp;LLM_Data_Entry!$D$3:$D$548,0),0))),"")</f>
        <v>HOLD</v>
      </c>
      <c r="Z214" s="91" t="str">
        <f>IFERROR(IF($X214="","",INDEX(LLM_Data_Entry!$R$3:$R$548,MATCH($X214,INDEX(LLM_Data_Entry!$A$3:$A$548&amp;"|"&amp;LLM_Data_Entry!$C$3:$C$548&amp;"|"&amp;LLM_Data_Entry!$D$3:$D$548,0),0))),"")</f>
        <v>NO</v>
      </c>
      <c r="AB214" t="s">
        <v>541</v>
      </c>
      <c r="AC214" t="s">
        <v>1208</v>
      </c>
      <c r="AD214" t="s">
        <v>736</v>
      </c>
      <c r="AE214">
        <v>39.17</v>
      </c>
      <c r="AF214" t="s">
        <v>737</v>
      </c>
      <c r="AG214">
        <v>37.72</v>
      </c>
      <c r="AH214">
        <v>-3.7018051417822287E-2</v>
      </c>
      <c r="AI214" t="s">
        <v>545</v>
      </c>
      <c r="AJ214" t="s">
        <v>546</v>
      </c>
      <c r="AK214">
        <v>0</v>
      </c>
      <c r="AL214" t="str">
        <f>IF($A214="","",IFERROR(INDEX(Company_List!$G$3:$G$207,MATCH($A214,Company_List!$A$3:$A$207,0)),"unassigned"))</f>
        <v>P3</v>
      </c>
      <c r="AM214" t="s">
        <v>1209</v>
      </c>
      <c r="AO214" t="s">
        <v>548</v>
      </c>
      <c r="AP214" t="str">
        <f>IF($A214="","",IF(COUNTIFS(LLM_Data_Entry!$A$3:$A$548,$A214)&gt;0,"YES","NO"))</f>
        <v>YES</v>
      </c>
      <c r="AQ214" t="str">
        <f>IF($A214="","",IF(COUNTIFS($A$3:$A214,$A214,$C$3:$C214,$C214,$D$3:$D214,$D214)=1,"YES","NO"))</f>
        <v>YES</v>
      </c>
      <c r="AR214" t="str">
        <f>IF($A214="","",IF(AND($C214&amp;"-"&amp;$D214&gt;=Settings!$B$19,$C214&amp;"-"&amp;$D214&lt;=Settings!$B$20),"IN","OUT"))</f>
        <v>IN</v>
      </c>
      <c r="AS214" t="str">
        <f t="shared" si="38"/>
        <v>press release document only</v>
      </c>
      <c r="AT214" t="str">
        <f t="shared" si="39"/>
        <v/>
      </c>
      <c r="AU214" t="str">
        <f t="shared" si="40"/>
        <v/>
      </c>
      <c r="AV214" t="str">
        <f>IF(ISNUMBER($AT214),ABS(IF(ISNUMBER($I214),$I214,0)-Settings!$B$24),"")</f>
        <v/>
      </c>
      <c r="AW214" t="str">
        <f t="shared" si="41"/>
        <v/>
      </c>
      <c r="AX214" t="str">
        <f>IF(ISNUMBER($AU214),ABS(IF(ISNUMBER($I214),$I214,0)-Settings!$B$24),"")</f>
        <v/>
      </c>
      <c r="AY214" t="s">
        <v>549</v>
      </c>
      <c r="AZ214" t="str">
        <f>IF($A214="","",IFERROR(INDEX(Company_List!$H$3:$H$207,MATCH($A214,Company_List!$A$3:$A$207,0)),"unassigned"))</f>
        <v>Consumer Discretionary</v>
      </c>
      <c r="BC214">
        <f>IF($A214="","",IF(COUNTIFS($A$3:$A214,$A214,$C$3:$C214,$C214,$D$3:$D214,$D214,$G$3:$G214,$G214)=1,1,0))</f>
        <v>1</v>
      </c>
      <c r="BG214" t="s">
        <v>550</v>
      </c>
      <c r="BK214">
        <f t="shared" si="42"/>
        <v>1</v>
      </c>
      <c r="BL214" t="s">
        <v>551</v>
      </c>
      <c r="BM214">
        <v>1</v>
      </c>
      <c r="BN214" t="s">
        <v>561</v>
      </c>
      <c r="BO214" t="s">
        <v>561</v>
      </c>
      <c r="BP214" t="s">
        <v>550</v>
      </c>
      <c r="BQ214" t="s">
        <v>550</v>
      </c>
      <c r="BS214" t="s">
        <v>554</v>
      </c>
    </row>
    <row r="215" spans="1:71" x14ac:dyDescent="0.2">
      <c r="A215" s="115" t="s">
        <v>1207</v>
      </c>
      <c r="B215" s="116" t="str">
        <f>IF(A215="","",_xlfn.XLOOKUP(A215, Company_List!$A:$A, Company_List!$B:$B, ""))</f>
        <v>CMG</v>
      </c>
      <c r="C215" s="143">
        <v>2025</v>
      </c>
      <c r="D215" s="143" t="s">
        <v>563</v>
      </c>
      <c r="E215" s="98" t="s">
        <v>1121</v>
      </c>
      <c r="F215" s="98" t="s">
        <v>538</v>
      </c>
      <c r="G215" s="143" t="s">
        <v>539</v>
      </c>
      <c r="H215" s="106" t="s">
        <v>540</v>
      </c>
      <c r="I215" s="145">
        <v>-0.1</v>
      </c>
      <c r="J215" s="145" t="str">
        <f>IF(OR(I215="",Settings!$B$6=""),"",IF(I215&gt;Settings!$B$6,"BUY",IF(I215&lt;-Settings!$B$6,"SELL","HOLD")))</f>
        <v>HOLD</v>
      </c>
      <c r="K215" s="145">
        <v>18</v>
      </c>
      <c r="L215" s="125">
        <v>45959</v>
      </c>
      <c r="M215" s="126">
        <v>45959</v>
      </c>
      <c r="N215" s="147">
        <v>39.76</v>
      </c>
      <c r="O215" s="126">
        <v>45960</v>
      </c>
      <c r="P215" s="145">
        <v>31.27</v>
      </c>
      <c r="Q215" s="150">
        <f t="shared" si="33"/>
        <v>-0.2135</v>
      </c>
      <c r="R215" s="106" t="str">
        <f>IF(OR(N215="",P215=""),"",IF(Q215&gt;Settings!$B$3/100,"UP",IF(Q215&lt;-Settings!$B$3/100,"DOWN","FLAT")))</f>
        <v>DOWN</v>
      </c>
      <c r="S215" s="106" t="str">
        <f t="shared" si="34"/>
        <v>NO</v>
      </c>
      <c r="T215" s="105">
        <f t="shared" si="35"/>
        <v>0</v>
      </c>
      <c r="U215" s="150">
        <f>IFERROR(IF(OR(J215="",N215="",P215=""),"",IF(T215=0,0,T215*Q215-Settings!$B$4/10000-IF(T215&lt;0,Settings!$B$5/10000,0))),"")</f>
        <v>0</v>
      </c>
      <c r="W215" s="21">
        <f t="shared" si="36"/>
        <v>1080</v>
      </c>
      <c r="X215" s="91" t="str">
        <f t="shared" si="37"/>
        <v>Chipotle|2025|Q3</v>
      </c>
      <c r="Y215" s="91" t="str">
        <f>IFERROR(IF($X215="","",INDEX(LLM_Data_Entry!$H$3:$H$548,MATCH($X215,INDEX(LLM_Data_Entry!$A$3:$A$548&amp;"|"&amp;LLM_Data_Entry!$C$3:$C$548&amp;"|"&amp;LLM_Data_Entry!$D$3:$D$548,0),0))),"")</f>
        <v>SELL</v>
      </c>
      <c r="Z215" s="91" t="str">
        <f>IFERROR(IF($X215="","",INDEX(LLM_Data_Entry!$R$3:$R$548,MATCH($X215,INDEX(LLM_Data_Entry!$A$3:$A$548&amp;"|"&amp;LLM_Data_Entry!$C$3:$C$548&amp;"|"&amp;LLM_Data_Entry!$D$3:$D$548,0),0))),"")</f>
        <v>YES</v>
      </c>
      <c r="AB215" t="s">
        <v>685</v>
      </c>
      <c r="AC215" t="s">
        <v>1208</v>
      </c>
      <c r="AD215" t="s">
        <v>626</v>
      </c>
      <c r="AE215">
        <v>39.76</v>
      </c>
      <c r="AF215" t="s">
        <v>660</v>
      </c>
      <c r="AG215">
        <v>31.27</v>
      </c>
      <c r="AH215">
        <v>-0.21353114756192901</v>
      </c>
      <c r="AI215" t="s">
        <v>545</v>
      </c>
      <c r="AJ215" t="s">
        <v>546</v>
      </c>
      <c r="AK215">
        <v>0</v>
      </c>
      <c r="AL215" t="str">
        <f>IF($A215="","",IFERROR(INDEX(Company_List!$G$3:$G$207,MATCH($A215,Company_List!$A$3:$A$207,0)),"unassigned"))</f>
        <v>P3</v>
      </c>
      <c r="AM215" t="s">
        <v>1210</v>
      </c>
      <c r="AN215" t="s">
        <v>1211</v>
      </c>
      <c r="AO215" t="s">
        <v>560</v>
      </c>
      <c r="AP215" t="str">
        <f>IF($A215="","",IF(COUNTIFS(LLM_Data_Entry!$A$3:$A$548,$A215)&gt;0,"YES","NO"))</f>
        <v>YES</v>
      </c>
      <c r="AQ215" t="str">
        <f>IF($A215="","",IF(COUNTIFS($A$3:$A215,$A215,$C$3:$C215,$C215,$D$3:$D215,$D215)=1,"YES","NO"))</f>
        <v>YES</v>
      </c>
      <c r="AR215" t="str">
        <f>IF($A215="","",IF(AND($C215&amp;"-"&amp;$D215&gt;=Settings!$B$19,$C215&amp;"-"&amp;$D215&lt;=Settings!$B$20),"IN","OUT"))</f>
        <v>IN</v>
      </c>
      <c r="AS215" t="str">
        <f t="shared" si="38"/>
        <v>press release document only</v>
      </c>
      <c r="AT215" t="str">
        <f t="shared" si="39"/>
        <v/>
      </c>
      <c r="AU215" t="str">
        <f t="shared" si="40"/>
        <v/>
      </c>
      <c r="AV215" t="str">
        <f>IF(ISNUMBER($AT215),ABS(IF(ISNUMBER($I215),$I215,0)-Settings!$B$24),"")</f>
        <v/>
      </c>
      <c r="AW215" t="str">
        <f t="shared" si="41"/>
        <v/>
      </c>
      <c r="AX215" t="str">
        <f>IF(ISNUMBER($AU215),ABS(IF(ISNUMBER($I215),$I215,0)-Settings!$B$24),"")</f>
        <v/>
      </c>
      <c r="AY215" t="s">
        <v>549</v>
      </c>
      <c r="AZ215" t="str">
        <f>IF($A215="","",IFERROR(INDEX(Company_List!$H$3:$H$207,MATCH($A215,Company_List!$A$3:$A$207,0)),"unassigned"))</f>
        <v>Consumer Discretionary</v>
      </c>
      <c r="BC215">
        <f>IF($A215="","",IF(COUNTIFS($A$3:$A215,$A215,$C$3:$C215,$C215,$D$3:$D215,$D215,$G$3:$G215,$G215)=1,1,0))</f>
        <v>1</v>
      </c>
      <c r="BG215" t="s">
        <v>550</v>
      </c>
      <c r="BK215">
        <f t="shared" si="42"/>
        <v>0</v>
      </c>
      <c r="BL215" t="s">
        <v>551</v>
      </c>
      <c r="BM215">
        <v>1</v>
      </c>
      <c r="BN215" t="s">
        <v>561</v>
      </c>
      <c r="BO215" t="s">
        <v>561</v>
      </c>
      <c r="BP215" t="s">
        <v>550</v>
      </c>
      <c r="BQ215" t="s">
        <v>562</v>
      </c>
      <c r="BS215" t="s">
        <v>554</v>
      </c>
    </row>
    <row r="216" spans="1:71" x14ac:dyDescent="0.2">
      <c r="A216" s="115" t="s">
        <v>1207</v>
      </c>
      <c r="B216" s="116" t="str">
        <f>IF(A216="","",_xlfn.XLOOKUP(A216, Company_List!$A:$A, Company_List!$B:$B, ""))</f>
        <v>CMG</v>
      </c>
      <c r="C216" s="143">
        <v>2025</v>
      </c>
      <c r="D216" s="143" t="s">
        <v>555</v>
      </c>
      <c r="E216" s="98" t="s">
        <v>1121</v>
      </c>
      <c r="F216" s="98" t="s">
        <v>538</v>
      </c>
      <c r="G216" s="143" t="s">
        <v>539</v>
      </c>
      <c r="H216" s="106" t="s">
        <v>540</v>
      </c>
      <c r="I216" s="145">
        <v>-0.4</v>
      </c>
      <c r="J216" s="145" t="str">
        <f>IF(OR(I216="",Settings!$B$6=""),"",IF(I216&gt;Settings!$B$6,"BUY",IF(I216&lt;-Settings!$B$6,"SELL","HOLD")))</f>
        <v>SELL</v>
      </c>
      <c r="K216" s="145">
        <v>10</v>
      </c>
      <c r="L216" s="125">
        <v>45861</v>
      </c>
      <c r="M216" s="126">
        <v>45861</v>
      </c>
      <c r="N216" s="147">
        <v>52.78</v>
      </c>
      <c r="O216" s="126">
        <v>45862</v>
      </c>
      <c r="P216" s="145">
        <v>46.2</v>
      </c>
      <c r="Q216" s="150">
        <f t="shared" si="33"/>
        <v>-0.12470000000000001</v>
      </c>
      <c r="R216" s="106" t="str">
        <f>IF(OR(N216="",P216=""),"",IF(Q216&gt;Settings!$B$3/100,"UP",IF(Q216&lt;-Settings!$B$3/100,"DOWN","FLAT")))</f>
        <v>DOWN</v>
      </c>
      <c r="S216" s="106" t="str">
        <f t="shared" si="34"/>
        <v>YES</v>
      </c>
      <c r="T216" s="105">
        <f t="shared" si="35"/>
        <v>-1</v>
      </c>
      <c r="U216" s="150">
        <f>IFERROR(IF(OR(J216="",N216="",P216=""),"",IF(T216=0,0,T216*Q216-Settings!$B$4/10000-IF(T216&lt;0,Settings!$B$5/10000,0))),"")</f>
        <v>0.1237</v>
      </c>
      <c r="W216" s="21">
        <f t="shared" si="36"/>
        <v>600</v>
      </c>
      <c r="X216" s="91" t="str">
        <f t="shared" si="37"/>
        <v>Chipotle|2025|Q2</v>
      </c>
      <c r="Y216" s="91" t="str">
        <f>IFERROR(IF($X216="","",INDEX(LLM_Data_Entry!$H$3:$H$548,MATCH($X216,INDEX(LLM_Data_Entry!$A$3:$A$548&amp;"|"&amp;LLM_Data_Entry!$C$3:$C$548&amp;"|"&amp;LLM_Data_Entry!$D$3:$D$548,0),0))),"")</f>
        <v>SELL</v>
      </c>
      <c r="Z216" s="91" t="str">
        <f>IFERROR(IF($X216="","",INDEX(LLM_Data_Entry!$R$3:$R$548,MATCH($X216,INDEX(LLM_Data_Entry!$A$3:$A$548&amp;"|"&amp;LLM_Data_Entry!$C$3:$C$548&amp;"|"&amp;LLM_Data_Entry!$D$3:$D$548,0),0))),"")</f>
        <v>YES</v>
      </c>
      <c r="AB216" t="s">
        <v>541</v>
      </c>
      <c r="AC216" t="s">
        <v>1208</v>
      </c>
      <c r="AD216" t="s">
        <v>772</v>
      </c>
      <c r="AE216">
        <v>52.78</v>
      </c>
      <c r="AF216" t="s">
        <v>773</v>
      </c>
      <c r="AG216">
        <v>46.2</v>
      </c>
      <c r="AH216">
        <v>-0.12466839948216001</v>
      </c>
      <c r="AI216" t="s">
        <v>545</v>
      </c>
      <c r="AJ216" t="s">
        <v>554</v>
      </c>
      <c r="AK216">
        <v>0.123668</v>
      </c>
      <c r="AL216" t="str">
        <f>IF($A216="","",IFERROR(INDEX(Company_List!$G$3:$G$207,MATCH($A216,Company_List!$A$3:$A$207,0)),"unassigned"))</f>
        <v>P3</v>
      </c>
      <c r="AM216" t="s">
        <v>1212</v>
      </c>
      <c r="AN216" t="s">
        <v>1213</v>
      </c>
      <c r="AO216" t="s">
        <v>560</v>
      </c>
      <c r="AP216" t="str">
        <f>IF($A216="","",IF(COUNTIFS(LLM_Data_Entry!$A$3:$A$548,$A216)&gt;0,"YES","NO"))</f>
        <v>YES</v>
      </c>
      <c r="AQ216" t="str">
        <f>IF($A216="","",IF(COUNTIFS($A$3:$A216,$A216,$C$3:$C216,$C216,$D$3:$D216,$D216)=1,"YES","NO"))</f>
        <v>YES</v>
      </c>
      <c r="AR216" t="str">
        <f>IF($A216="","",IF(AND($C216&amp;"-"&amp;$D216&gt;=Settings!$B$19,$C216&amp;"-"&amp;$D216&lt;=Settings!$B$20),"IN","OUT"))</f>
        <v>IN</v>
      </c>
      <c r="AS216" t="str">
        <f t="shared" si="38"/>
        <v>press release document only</v>
      </c>
      <c r="AT216">
        <f t="shared" si="39"/>
        <v>0.1237</v>
      </c>
      <c r="AU216">
        <f t="shared" si="40"/>
        <v>0.123668</v>
      </c>
      <c r="AV216">
        <f>IF(ISNUMBER($AT216),ABS(IF(ISNUMBER($I216),$I216,0)-Settings!$B$24),"")</f>
        <v>0.4</v>
      </c>
      <c r="AW216">
        <f t="shared" si="41"/>
        <v>4.9480000000000003E-2</v>
      </c>
      <c r="AX216">
        <f>IF(ISNUMBER($AU216),ABS(IF(ISNUMBER($I216),$I216,0)-Settings!$B$24),"")</f>
        <v>0.4</v>
      </c>
      <c r="AY216" t="s">
        <v>549</v>
      </c>
      <c r="AZ216" t="str">
        <f>IF($A216="","",IFERROR(INDEX(Company_List!$H$3:$H$207,MATCH($A216,Company_List!$A$3:$A$207,0)),"unassigned"))</f>
        <v>Consumer Discretionary</v>
      </c>
      <c r="BC216">
        <f>IF($A216="","",IF(COUNTIFS($A$3:$A216,$A216,$C$3:$C216,$C216,$D$3:$D216,$D216,$G$3:$G216,$G216)=1,1,0))</f>
        <v>1</v>
      </c>
      <c r="BG216" t="s">
        <v>550</v>
      </c>
      <c r="BK216">
        <f t="shared" si="42"/>
        <v>1</v>
      </c>
      <c r="BL216" t="s">
        <v>551</v>
      </c>
      <c r="BM216">
        <v>1</v>
      </c>
      <c r="BN216" t="s">
        <v>561</v>
      </c>
      <c r="BO216" t="s">
        <v>561</v>
      </c>
      <c r="BP216" t="s">
        <v>550</v>
      </c>
      <c r="BQ216" t="s">
        <v>562</v>
      </c>
      <c r="BS216" t="s">
        <v>554</v>
      </c>
    </row>
    <row r="217" spans="1:71" x14ac:dyDescent="0.2">
      <c r="A217" s="115" t="s">
        <v>1207</v>
      </c>
      <c r="B217" s="116" t="str">
        <f>IF(A217="","",_xlfn.XLOOKUP(A217, Company_List!$A:$A, Company_List!$B:$B, ""))</f>
        <v>CMG</v>
      </c>
      <c r="C217" s="143">
        <v>2025</v>
      </c>
      <c r="D217" s="143" t="s">
        <v>537</v>
      </c>
      <c r="E217" s="98" t="s">
        <v>1121</v>
      </c>
      <c r="F217" s="98" t="s">
        <v>538</v>
      </c>
      <c r="G217" s="143" t="s">
        <v>539</v>
      </c>
      <c r="H217" s="106" t="s">
        <v>540</v>
      </c>
      <c r="I217" s="145">
        <v>-0.2</v>
      </c>
      <c r="J217" s="145" t="str">
        <f>IF(OR(I217="",Settings!$B$6=""),"",IF(I217&gt;Settings!$B$6,"BUY",IF(I217&lt;-Settings!$B$6,"SELL","HOLD")))</f>
        <v>HOLD</v>
      </c>
      <c r="K217" s="145">
        <v>12</v>
      </c>
      <c r="L217" s="125">
        <v>45770</v>
      </c>
      <c r="M217" s="126">
        <v>45770</v>
      </c>
      <c r="N217" s="147">
        <v>48.76</v>
      </c>
      <c r="O217" s="126">
        <v>45771</v>
      </c>
      <c r="P217" s="145">
        <v>49.2</v>
      </c>
      <c r="Q217" s="150">
        <f t="shared" si="33"/>
        <v>8.9999999999999993E-3</v>
      </c>
      <c r="R217" s="106" t="str">
        <f>IF(OR(N217="",P217=""),"",IF(Q217&gt;Settings!$B$3/100,"UP",IF(Q217&lt;-Settings!$B$3/100,"DOWN","FLAT")))</f>
        <v>FLAT</v>
      </c>
      <c r="S217" s="106" t="str">
        <f t="shared" si="34"/>
        <v>YES</v>
      </c>
      <c r="T217" s="105">
        <f t="shared" si="35"/>
        <v>0</v>
      </c>
      <c r="U217" s="150">
        <f>IFERROR(IF(OR(J217="",N217="",P217=""),"",IF(T217=0,0,T217*Q217-Settings!$B$4/10000-IF(T217&lt;0,Settings!$B$5/10000,0))),"")</f>
        <v>0</v>
      </c>
      <c r="W217" s="21">
        <f t="shared" si="36"/>
        <v>720</v>
      </c>
      <c r="X217" s="91" t="str">
        <f t="shared" si="37"/>
        <v>Chipotle|2025|Q1</v>
      </c>
      <c r="Y217" s="91" t="str">
        <f>IFERROR(IF($X217="","",INDEX(LLM_Data_Entry!$H$3:$H$548,MATCH($X217,INDEX(LLM_Data_Entry!$A$3:$A$548&amp;"|"&amp;LLM_Data_Entry!$C$3:$C$548&amp;"|"&amp;LLM_Data_Entry!$D$3:$D$548,0),0))),"")</f>
        <v>SELL</v>
      </c>
      <c r="Z217" s="91" t="str">
        <f>IFERROR(IF($X217="","",INDEX(LLM_Data_Entry!$R$3:$R$548,MATCH($X217,INDEX(LLM_Data_Entry!$A$3:$A$548&amp;"|"&amp;LLM_Data_Entry!$C$3:$C$548&amp;"|"&amp;LLM_Data_Entry!$D$3:$D$548,0),0))),"")</f>
        <v>NO</v>
      </c>
      <c r="AB217" t="s">
        <v>612</v>
      </c>
      <c r="AC217" t="s">
        <v>1208</v>
      </c>
      <c r="AD217" t="s">
        <v>614</v>
      </c>
      <c r="AE217">
        <v>47.1</v>
      </c>
      <c r="AF217" t="s">
        <v>615</v>
      </c>
      <c r="AG217">
        <v>48.87</v>
      </c>
      <c r="AH217">
        <v>3.7579640661555877E-2</v>
      </c>
      <c r="AI217" t="s">
        <v>591</v>
      </c>
      <c r="AJ217" t="s">
        <v>546</v>
      </c>
      <c r="AK217">
        <v>0</v>
      </c>
      <c r="AL217" t="str">
        <f>IF($A217="","",IFERROR(INDEX(Company_List!$G$3:$G$207,MATCH($A217,Company_List!$A$3:$A$207,0)),"unassigned"))</f>
        <v>P3</v>
      </c>
      <c r="AM217" t="s">
        <v>1214</v>
      </c>
      <c r="AN217" t="s">
        <v>1215</v>
      </c>
      <c r="AO217" t="s">
        <v>560</v>
      </c>
      <c r="AP217" t="str">
        <f>IF($A217="","",IF(COUNTIFS(LLM_Data_Entry!$A$3:$A$548,$A217)&gt;0,"YES","NO"))</f>
        <v>YES</v>
      </c>
      <c r="AQ217" t="str">
        <f>IF($A217="","",IF(COUNTIFS($A$3:$A217,$A217,$C$3:$C217,$C217,$D$3:$D217,$D217)=1,"YES","NO"))</f>
        <v>YES</v>
      </c>
      <c r="AR217" t="str">
        <f>IF($A217="","",IF(AND($C217&amp;"-"&amp;$D217&gt;=Settings!$B$19,$C217&amp;"-"&amp;$D217&lt;=Settings!$B$20),"IN","OUT"))</f>
        <v>IN</v>
      </c>
      <c r="AS217" t="str">
        <f t="shared" si="38"/>
        <v>press release document only</v>
      </c>
      <c r="AT217" t="str">
        <f t="shared" si="39"/>
        <v/>
      </c>
      <c r="AU217" t="str">
        <f t="shared" si="40"/>
        <v/>
      </c>
      <c r="AV217" t="str">
        <f>IF(ISNUMBER($AT217),ABS(IF(ISNUMBER($I217),$I217,0)-Settings!$B$24),"")</f>
        <v/>
      </c>
      <c r="AW217" t="str">
        <f t="shared" si="41"/>
        <v/>
      </c>
      <c r="AX217" t="str">
        <f>IF(ISNUMBER($AU217),ABS(IF(ISNUMBER($I217),$I217,0)-Settings!$B$24),"")</f>
        <v/>
      </c>
      <c r="AY217" t="s">
        <v>549</v>
      </c>
      <c r="AZ217" t="str">
        <f>IF($A217="","",IFERROR(INDEX(Company_List!$H$3:$H$207,MATCH($A217,Company_List!$A$3:$A$207,0)),"unassigned"))</f>
        <v>Consumer Discretionary</v>
      </c>
      <c r="BC217">
        <f>IF($A217="","",IF(COUNTIFS($A$3:$A217,$A217,$C$3:$C217,$C217,$D$3:$D217,$D217,$G$3:$G217,$G217)=1,1,0))</f>
        <v>1</v>
      </c>
      <c r="BG217" t="s">
        <v>550</v>
      </c>
      <c r="BK217">
        <f t="shared" si="42"/>
        <v>0</v>
      </c>
      <c r="BL217" t="s">
        <v>551</v>
      </c>
      <c r="BM217">
        <v>1</v>
      </c>
      <c r="BN217" t="s">
        <v>561</v>
      </c>
      <c r="BO217" t="s">
        <v>561</v>
      </c>
      <c r="BP217" t="s">
        <v>550</v>
      </c>
      <c r="BQ217" t="s">
        <v>562</v>
      </c>
      <c r="BS217" t="s">
        <v>554</v>
      </c>
    </row>
    <row r="218" spans="1:71" x14ac:dyDescent="0.2">
      <c r="A218" s="115" t="s">
        <v>1216</v>
      </c>
      <c r="B218" s="116" t="str">
        <f>IF(A218="","",_xlfn.XLOOKUP(A218, Company_List!$A:$A, Company_List!$B:$B, ""))</f>
        <v>HEINY</v>
      </c>
      <c r="C218" s="143">
        <v>2025</v>
      </c>
      <c r="D218" s="143" t="s">
        <v>563</v>
      </c>
      <c r="E218" s="98" t="s">
        <v>1095</v>
      </c>
      <c r="F218" s="98" t="s">
        <v>538</v>
      </c>
      <c r="G218" s="143" t="s">
        <v>539</v>
      </c>
      <c r="H218" s="106" t="s">
        <v>540</v>
      </c>
      <c r="I218" s="145">
        <v>-0.3</v>
      </c>
      <c r="J218" s="145" t="str">
        <f>IF(OR(I218="",Settings!$B$6=""),"",IF(I218&gt;Settings!$B$6,"BUY",IF(I218&lt;-Settings!$B$6,"SELL","HOLD")))</f>
        <v>SELL</v>
      </c>
      <c r="K218" s="145">
        <v>10</v>
      </c>
      <c r="L218" s="125">
        <v>45952</v>
      </c>
      <c r="M218" s="126" t="s">
        <v>1217</v>
      </c>
      <c r="N218" s="147">
        <v>64.886300000000006</v>
      </c>
      <c r="O218" s="140" t="s">
        <v>1218</v>
      </c>
      <c r="P218" s="145">
        <v>64.945700000000002</v>
      </c>
      <c r="Q218" s="150">
        <f t="shared" si="33"/>
        <v>8.9999999999999998E-4</v>
      </c>
      <c r="R218" s="106" t="str">
        <f>IF(OR(N218="",P218=""),"",IF(Q218&gt;Settings!$B$3/100,"UP",IF(Q218&lt;-Settings!$B$3/100,"DOWN","FLAT")))</f>
        <v>FLAT</v>
      </c>
      <c r="S218" s="106" t="str">
        <f t="shared" si="34"/>
        <v>NO</v>
      </c>
      <c r="T218" s="105">
        <f t="shared" si="35"/>
        <v>-1</v>
      </c>
      <c r="U218" s="150">
        <f>IFERROR(IF(OR(J218="",N218="",P218=""),"",IF(T218=0,0,T218*Q218-Settings!$B$4/10000-IF(T218&lt;0,Settings!$B$5/10000,0))),"")</f>
        <v>-1.9E-3</v>
      </c>
      <c r="W218" s="21">
        <f t="shared" si="36"/>
        <v>600</v>
      </c>
      <c r="X218" s="91" t="str">
        <f t="shared" si="37"/>
        <v>Heineken|2025|Q3</v>
      </c>
      <c r="Y218" s="91" t="str">
        <f>IFERROR(IF($X218="","",INDEX(LLM_Data_Entry!$H$3:$H$548,MATCH($X218,INDEX(LLM_Data_Entry!$A$3:$A$548&amp;"|"&amp;LLM_Data_Entry!$C$3:$C$548&amp;"|"&amp;LLM_Data_Entry!$D$3:$D$548,0),0))),"")</f>
        <v>SELL</v>
      </c>
      <c r="Z218" s="91">
        <f>IFERROR(IF($X218="","",INDEX(LLM_Data_Entry!$R$3:$R$548,MATCH($X218,INDEX(LLM_Data_Entry!$A$3:$A$548&amp;"|"&amp;LLM_Data_Entry!$C$3:$C$548&amp;"|"&amp;LLM_Data_Entry!$D$3:$D$548,0),0))),"")</f>
        <v>0</v>
      </c>
      <c r="AB218" t="s">
        <v>630</v>
      </c>
      <c r="AC218" t="s">
        <v>1219</v>
      </c>
      <c r="AD218" t="s">
        <v>565</v>
      </c>
      <c r="AE218">
        <v>69.481399999999994</v>
      </c>
      <c r="AF218" t="s">
        <v>566</v>
      </c>
      <c r="AG218">
        <v>68.748599999999996</v>
      </c>
      <c r="AH218">
        <v>-1.054740485912891E-2</v>
      </c>
      <c r="AI218" t="s">
        <v>579</v>
      </c>
      <c r="AJ218" t="s">
        <v>546</v>
      </c>
      <c r="AK218">
        <v>9.5469999999999999E-3</v>
      </c>
      <c r="AL218" t="str">
        <f>IF($A218="","",IFERROR(INDEX(Company_List!$G$3:$G$207,MATCH($A218,Company_List!$A$3:$A$207,0)),"unassigned"))</f>
        <v>P3</v>
      </c>
      <c r="AM218" t="s">
        <v>1220</v>
      </c>
      <c r="AO218" t="s">
        <v>548</v>
      </c>
      <c r="AP218" t="str">
        <f>IF($A218="","",IF(COUNTIFS(LLM_Data_Entry!$A$3:$A$548,$A218)&gt;0,"YES","NO"))</f>
        <v>YES</v>
      </c>
      <c r="AQ218" t="str">
        <f>IF($A218="","",IF(COUNTIFS($A$3:$A218,$A218,$C$3:$C218,$C218,$D$3:$D218,$D218)=1,"YES","NO"))</f>
        <v>YES</v>
      </c>
      <c r="AR218" t="str">
        <f>IF($A218="","",IF(AND($C218&amp;"-"&amp;$D218&gt;=Settings!$B$19,$C218&amp;"-"&amp;$D218&lt;=Settings!$B$20),"IN","OUT"))</f>
        <v>IN</v>
      </c>
      <c r="AS218" t="str">
        <f t="shared" si="38"/>
        <v>presentation only</v>
      </c>
      <c r="AT218">
        <f t="shared" si="39"/>
        <v>-1.9E-3</v>
      </c>
      <c r="AU218">
        <f t="shared" si="40"/>
        <v>9.5469999999999999E-3</v>
      </c>
      <c r="AV218">
        <f>IF(ISNUMBER($AT218),ABS(IF(ISNUMBER($I218),$I218,0)-Settings!$B$24),"")</f>
        <v>0.3</v>
      </c>
      <c r="AW218">
        <f t="shared" si="41"/>
        <v>-5.6999999999999998E-4</v>
      </c>
      <c r="AX218">
        <f>IF(ISNUMBER($AU218),ABS(IF(ISNUMBER($I218),$I218,0)-Settings!$B$24),"")</f>
        <v>0.3</v>
      </c>
      <c r="AY218" t="s">
        <v>1183</v>
      </c>
      <c r="AZ218" t="str">
        <f>IF($A218="","",IFERROR(INDEX(Company_List!$H$3:$H$207,MATCH($A218,Company_List!$A$3:$A$207,0)),"unassigned"))</f>
        <v>Consumer Staples</v>
      </c>
      <c r="BC218">
        <f>IF($A218="","",IF(COUNTIFS($A$3:$A218,$A218,$C$3:$C218,$C218,$D$3:$D218,$D218,$G$3:$G218,$G218)=1,1,0))</f>
        <v>1</v>
      </c>
      <c r="BG218" t="s">
        <v>550</v>
      </c>
      <c r="BK218">
        <f t="shared" si="42"/>
        <v>1</v>
      </c>
      <c r="BL218" t="s">
        <v>551</v>
      </c>
      <c r="BM218">
        <v>1</v>
      </c>
      <c r="BN218" t="s">
        <v>561</v>
      </c>
      <c r="BO218" t="s">
        <v>561</v>
      </c>
      <c r="BP218" t="s">
        <v>550</v>
      </c>
      <c r="BQ218" t="s">
        <v>550</v>
      </c>
      <c r="BS218" t="s">
        <v>554</v>
      </c>
    </row>
    <row r="219" spans="1:71" x14ac:dyDescent="0.2">
      <c r="A219" s="115" t="s">
        <v>1216</v>
      </c>
      <c r="B219" s="116" t="str">
        <f>IF(A219="","",_xlfn.XLOOKUP(A219, Company_List!$A:$A, Company_List!$B:$B, ""))</f>
        <v>HEINY</v>
      </c>
      <c r="C219" s="143">
        <v>2024</v>
      </c>
      <c r="D219" s="143" t="s">
        <v>563</v>
      </c>
      <c r="E219" s="98" t="s">
        <v>1095</v>
      </c>
      <c r="F219" s="98" t="s">
        <v>538</v>
      </c>
      <c r="G219" s="143" t="s">
        <v>539</v>
      </c>
      <c r="H219" s="106" t="s">
        <v>540</v>
      </c>
      <c r="I219" s="145">
        <v>0.5</v>
      </c>
      <c r="J219" s="145" t="str">
        <f>IF(OR(I219="",Settings!$B$6=""),"",IF(I219&gt;Settings!$B$6,"BUY",IF(I219&lt;-Settings!$B$6,"SELL","HOLD")))</f>
        <v>BUY</v>
      </c>
      <c r="K219" s="145">
        <v>10</v>
      </c>
      <c r="L219" s="125">
        <v>45588</v>
      </c>
      <c r="M219" s="140" t="s">
        <v>1221</v>
      </c>
      <c r="N219" s="147">
        <v>79.137900000000002</v>
      </c>
      <c r="O219" s="140" t="s">
        <v>1222</v>
      </c>
      <c r="P219" s="145">
        <v>79.446899999999999</v>
      </c>
      <c r="Q219" s="150">
        <f t="shared" si="33"/>
        <v>3.8999999999999998E-3</v>
      </c>
      <c r="R219" s="106" t="str">
        <f>IF(OR(N219="",P219=""),"",IF(Q219&gt;Settings!$B$3/100,"UP",IF(Q219&lt;-Settings!$B$3/100,"DOWN","FLAT")))</f>
        <v>FLAT</v>
      </c>
      <c r="S219" s="106" t="str">
        <f t="shared" si="34"/>
        <v>NO</v>
      </c>
      <c r="T219" s="105">
        <f t="shared" si="35"/>
        <v>1</v>
      </c>
      <c r="U219" s="150">
        <f>IFERROR(IF(OR(J219="",N219="",P219=""),"",IF(T219=0,0,T219*Q219-Settings!$B$4/10000-IF(T219&lt;0,Settings!$B$5/10000,0))),"")</f>
        <v>2.8999999999999998E-3</v>
      </c>
      <c r="W219" s="21">
        <f t="shared" si="36"/>
        <v>600</v>
      </c>
      <c r="X219" s="91" t="str">
        <f t="shared" si="37"/>
        <v>Heineken|2024|Q3</v>
      </c>
      <c r="Y219" s="91" t="str">
        <f>IFERROR(IF($X219="","",INDEX(LLM_Data_Entry!$H$3:$H$548,MATCH($X219,INDEX(LLM_Data_Entry!$A$3:$A$548&amp;"|"&amp;LLM_Data_Entry!$C$3:$C$548&amp;"|"&amp;LLM_Data_Entry!$D$3:$D$548,0),0))),"")</f>
        <v>HOLD</v>
      </c>
      <c r="Z219" s="91">
        <f>IFERROR(IF($X219="","",INDEX(LLM_Data_Entry!$R$3:$R$548,MATCH($X219,INDEX(LLM_Data_Entry!$A$3:$A$548&amp;"|"&amp;LLM_Data_Entry!$C$3:$C$548&amp;"|"&amp;LLM_Data_Entry!$D$3:$D$548,0),0))),"")</f>
        <v>0</v>
      </c>
      <c r="AB219" t="s">
        <v>630</v>
      </c>
      <c r="AC219" t="s">
        <v>1219</v>
      </c>
      <c r="AD219" t="s">
        <v>1074</v>
      </c>
      <c r="AE219">
        <v>74.329400000000007</v>
      </c>
      <c r="AF219" t="s">
        <v>1075</v>
      </c>
      <c r="AG219">
        <v>74.792900000000003</v>
      </c>
      <c r="AH219">
        <v>6.235368989053385E-3</v>
      </c>
      <c r="AI219" t="s">
        <v>579</v>
      </c>
      <c r="AJ219" t="s">
        <v>546</v>
      </c>
      <c r="AK219">
        <v>5.2350000000000001E-3</v>
      </c>
      <c r="AL219" t="str">
        <f>IF($A219="","",IFERROR(INDEX(Company_List!$G$3:$G$207,MATCH($A219,Company_List!$A$3:$A$207,0)),"unassigned"))</f>
        <v>P3</v>
      </c>
      <c r="AM219" t="s">
        <v>1223</v>
      </c>
      <c r="AO219" t="s">
        <v>548</v>
      </c>
      <c r="AP219" t="str">
        <f>IF($A219="","",IF(COUNTIFS(LLM_Data_Entry!$A$3:$A$548,$A219)&gt;0,"YES","NO"))</f>
        <v>YES</v>
      </c>
      <c r="AQ219" t="str">
        <f>IF($A219="","",IF(COUNTIFS($A$3:$A219,$A219,$C$3:$C219,$C219,$D$3:$D219,$D219)=1,"YES","NO"))</f>
        <v>YES</v>
      </c>
      <c r="AR219" t="str">
        <f>IF($A219="","",IF(AND($C219&amp;"-"&amp;$D219&gt;=Settings!$B$19,$C219&amp;"-"&amp;$D219&lt;=Settings!$B$20),"IN","OUT"))</f>
        <v>IN</v>
      </c>
      <c r="AS219" t="str">
        <f t="shared" si="38"/>
        <v>presentation only</v>
      </c>
      <c r="AT219">
        <f t="shared" si="39"/>
        <v>2.8999999999999998E-3</v>
      </c>
      <c r="AU219">
        <f t="shared" si="40"/>
        <v>5.2350000000000001E-3</v>
      </c>
      <c r="AV219">
        <f>IF(ISNUMBER($AT219),ABS(IF(ISNUMBER($I219),$I219,0)-Settings!$B$24),"")</f>
        <v>0.5</v>
      </c>
      <c r="AW219">
        <f t="shared" si="41"/>
        <v>1.4499999999999999E-3</v>
      </c>
      <c r="AX219">
        <f>IF(ISNUMBER($AU219),ABS(IF(ISNUMBER($I219),$I219,0)-Settings!$B$24),"")</f>
        <v>0.5</v>
      </c>
      <c r="AY219" t="s">
        <v>1183</v>
      </c>
      <c r="AZ219" t="str">
        <f>IF($A219="","",IFERROR(INDEX(Company_List!$H$3:$H$207,MATCH($A219,Company_List!$A$3:$A$207,0)),"unassigned"))</f>
        <v>Consumer Staples</v>
      </c>
      <c r="BC219">
        <f>IF($A219="","",IF(COUNTIFS($A$3:$A219,$A219,$C$3:$C219,$C219,$D$3:$D219,$D219,$G$3:$G219,$G219)=1,1,0))</f>
        <v>1</v>
      </c>
      <c r="BG219" t="s">
        <v>550</v>
      </c>
      <c r="BK219">
        <f t="shared" si="42"/>
        <v>0</v>
      </c>
      <c r="BL219" t="s">
        <v>551</v>
      </c>
      <c r="BM219">
        <v>1</v>
      </c>
      <c r="BN219" t="s">
        <v>561</v>
      </c>
      <c r="BO219" t="s">
        <v>561</v>
      </c>
      <c r="BP219" t="s">
        <v>550</v>
      </c>
      <c r="BQ219" t="s">
        <v>550</v>
      </c>
      <c r="BS219" t="s">
        <v>554</v>
      </c>
    </row>
    <row r="220" spans="1:71" x14ac:dyDescent="0.2">
      <c r="A220" s="115" t="s">
        <v>1216</v>
      </c>
      <c r="B220" s="116" t="str">
        <f>IF(A220="","",_xlfn.XLOOKUP(A220, Company_List!$A:$A, Company_List!$B:$B, ""))</f>
        <v>HEINY</v>
      </c>
      <c r="C220" s="143">
        <v>2024</v>
      </c>
      <c r="D220" s="143" t="s">
        <v>555</v>
      </c>
      <c r="E220" s="98" t="s">
        <v>1095</v>
      </c>
      <c r="F220" s="98" t="s">
        <v>538</v>
      </c>
      <c r="G220" s="143" t="s">
        <v>539</v>
      </c>
      <c r="H220" s="106" t="s">
        <v>540</v>
      </c>
      <c r="I220" s="145">
        <v>0.5</v>
      </c>
      <c r="J220" s="145" t="str">
        <f>IF(OR(I220="",Settings!$B$6=""),"",IF(I220&gt;Settings!$B$6,"BUY",IF(I220&lt;-Settings!$B$6,"SELL","HOLD")))</f>
        <v>BUY</v>
      </c>
      <c r="K220" s="145">
        <v>11</v>
      </c>
      <c r="L220" s="125">
        <v>45502</v>
      </c>
      <c r="M220" s="126" t="s">
        <v>1224</v>
      </c>
      <c r="N220" s="147">
        <v>89.884600000000006</v>
      </c>
      <c r="O220" s="126" t="s">
        <v>1225</v>
      </c>
      <c r="P220" s="145">
        <v>89.597300000000004</v>
      </c>
      <c r="Q220" s="150">
        <f t="shared" si="33"/>
        <v>-3.2000000000000002E-3</v>
      </c>
      <c r="R220" s="106" t="str">
        <f>IF(OR(N220="",P220=""),"",IF(Q220&gt;Settings!$B$3/100,"UP",IF(Q220&lt;-Settings!$B$3/100,"DOWN","FLAT")))</f>
        <v>FLAT</v>
      </c>
      <c r="S220" s="106" t="str">
        <f t="shared" si="34"/>
        <v>NO</v>
      </c>
      <c r="T220" s="105">
        <f t="shared" si="35"/>
        <v>1</v>
      </c>
      <c r="U220" s="150">
        <f>IFERROR(IF(OR(J220="",N220="",P220=""),"",IF(T220=0,0,T220*Q220-Settings!$B$4/10000-IF(T220&lt;0,Settings!$B$5/10000,0))),"")</f>
        <v>-4.2000000000000006E-3</v>
      </c>
      <c r="W220" s="21">
        <f t="shared" si="36"/>
        <v>660</v>
      </c>
      <c r="X220" s="91" t="str">
        <f t="shared" si="37"/>
        <v>Heineken|2024|Q2</v>
      </c>
      <c r="Y220" s="91" t="str">
        <f>IFERROR(IF($X220="","",INDEX(LLM_Data_Entry!$H$3:$H$548,MATCH($X220,INDEX(LLM_Data_Entry!$A$3:$A$548&amp;"|"&amp;LLM_Data_Entry!$C$3:$C$548&amp;"|"&amp;LLM_Data_Entry!$D$3:$D$548,0),0))),"")</f>
        <v>HOLD</v>
      </c>
      <c r="Z220" s="91">
        <f>IFERROR(IF($X220="","",INDEX(LLM_Data_Entry!$R$3:$R$548,MATCH($X220,INDEX(LLM_Data_Entry!$A$3:$A$548&amp;"|"&amp;LLM_Data_Entry!$C$3:$C$548&amp;"|"&amp;LLM_Data_Entry!$D$3:$D$548,0),0))),"")</f>
        <v>0</v>
      </c>
      <c r="AB220" t="s">
        <v>630</v>
      </c>
      <c r="AC220" t="s">
        <v>1219</v>
      </c>
      <c r="AD220" t="s">
        <v>1226</v>
      </c>
      <c r="AE220">
        <v>86.8399</v>
      </c>
      <c r="AF220" t="s">
        <v>1227</v>
      </c>
      <c r="AG220">
        <v>81.918700000000001</v>
      </c>
      <c r="AH220">
        <v>-5.6670353693713572E-2</v>
      </c>
      <c r="AI220" t="s">
        <v>545</v>
      </c>
      <c r="AJ220" t="s">
        <v>546</v>
      </c>
      <c r="AK220">
        <v>-5.7669999999999999E-2</v>
      </c>
      <c r="AL220" t="str">
        <f>IF($A220="","",IFERROR(INDEX(Company_List!$G$3:$G$207,MATCH($A220,Company_List!$A$3:$A$207,0)),"unassigned"))</f>
        <v>P3</v>
      </c>
      <c r="AM220" t="s">
        <v>1228</v>
      </c>
      <c r="AN220" t="s">
        <v>1229</v>
      </c>
      <c r="AO220" t="s">
        <v>560</v>
      </c>
      <c r="AP220" t="str">
        <f>IF($A220="","",IF(COUNTIFS(LLM_Data_Entry!$A$3:$A$548,$A220)&gt;0,"YES","NO"))</f>
        <v>YES</v>
      </c>
      <c r="AQ220" t="str">
        <f>IF($A220="","",IF(COUNTIFS($A$3:$A220,$A220,$C$3:$C220,$C220,$D$3:$D220,$D220)=1,"YES","NO"))</f>
        <v>YES</v>
      </c>
      <c r="AR220" t="str">
        <f>IF($A220="","",IF(AND($C220&amp;"-"&amp;$D220&gt;=Settings!$B$19,$C220&amp;"-"&amp;$D220&lt;=Settings!$B$20),"IN","OUT"))</f>
        <v>IN</v>
      </c>
      <c r="AS220" t="str">
        <f t="shared" si="38"/>
        <v>presentation only</v>
      </c>
      <c r="AT220">
        <f t="shared" si="39"/>
        <v>-4.2000000000000006E-3</v>
      </c>
      <c r="AU220">
        <f t="shared" si="40"/>
        <v>-5.7669999999999999E-2</v>
      </c>
      <c r="AV220">
        <f>IF(ISNUMBER($AT220),ABS(IF(ISNUMBER($I220),$I220,0)-Settings!$B$24),"")</f>
        <v>0.5</v>
      </c>
      <c r="AW220">
        <f t="shared" si="41"/>
        <v>-2.1000000000000003E-3</v>
      </c>
      <c r="AX220">
        <f>IF(ISNUMBER($AU220),ABS(IF(ISNUMBER($I220),$I220,0)-Settings!$B$24),"")</f>
        <v>0.5</v>
      </c>
      <c r="AY220" t="s">
        <v>1183</v>
      </c>
      <c r="AZ220" t="str">
        <f>IF($A220="","",IFERROR(INDEX(Company_List!$H$3:$H$207,MATCH($A220,Company_List!$A$3:$A$207,0)),"unassigned"))</f>
        <v>Consumer Staples</v>
      </c>
      <c r="BC220">
        <f>IF($A220="","",IF(COUNTIFS($A$3:$A220,$A220,$C$3:$C220,$C220,$D$3:$D220,$D220,$G$3:$G220,$G220)=1,1,0))</f>
        <v>1</v>
      </c>
      <c r="BG220" t="s">
        <v>550</v>
      </c>
      <c r="BK220">
        <f t="shared" si="42"/>
        <v>0</v>
      </c>
      <c r="BL220" t="s">
        <v>551</v>
      </c>
      <c r="BM220">
        <v>1</v>
      </c>
      <c r="BN220" t="s">
        <v>561</v>
      </c>
      <c r="BO220" t="s">
        <v>561</v>
      </c>
      <c r="BP220" t="s">
        <v>550</v>
      </c>
      <c r="BQ220" t="s">
        <v>562</v>
      </c>
      <c r="BS220" t="s">
        <v>554</v>
      </c>
    </row>
    <row r="221" spans="1:71" x14ac:dyDescent="0.2">
      <c r="A221" s="115" t="s">
        <v>1216</v>
      </c>
      <c r="B221" s="116" t="str">
        <f>IF(A221="","",_xlfn.XLOOKUP(A221, Company_List!$A:$A, Company_List!$B:$B, ""))</f>
        <v>HEINY</v>
      </c>
      <c r="C221" s="143">
        <v>2024</v>
      </c>
      <c r="D221" s="143" t="s">
        <v>537</v>
      </c>
      <c r="E221" s="98" t="s">
        <v>1095</v>
      </c>
      <c r="F221" s="98" t="s">
        <v>538</v>
      </c>
      <c r="G221" s="143" t="s">
        <v>539</v>
      </c>
      <c r="H221" s="106" t="s">
        <v>540</v>
      </c>
      <c r="I221" s="145">
        <v>0.5</v>
      </c>
      <c r="J221" s="145" t="str">
        <f>IF(OR(I221="",Settings!$B$6=""),"",IF(I221&gt;Settings!$B$6,"BUY",IF(I221&lt;-Settings!$B$6,"SELL","HOLD")))</f>
        <v>BUY</v>
      </c>
      <c r="K221" s="145">
        <v>9</v>
      </c>
      <c r="L221" s="125">
        <v>45406</v>
      </c>
      <c r="M221" s="140" t="s">
        <v>1230</v>
      </c>
      <c r="N221" s="147">
        <v>83.901899999999998</v>
      </c>
      <c r="O221" s="140" t="s">
        <v>1231</v>
      </c>
      <c r="P221" s="145">
        <v>83.8262</v>
      </c>
      <c r="Q221" s="150">
        <f t="shared" si="33"/>
        <v>-8.9999999999999998E-4</v>
      </c>
      <c r="R221" s="106" t="str">
        <f>IF(OR(N221="",P221=""),"",IF(Q221&gt;Settings!$B$3/100,"UP",IF(Q221&lt;-Settings!$B$3/100,"DOWN","FLAT")))</f>
        <v>FLAT</v>
      </c>
      <c r="S221" s="106" t="str">
        <f t="shared" si="34"/>
        <v>NO</v>
      </c>
      <c r="T221" s="105">
        <f t="shared" si="35"/>
        <v>1</v>
      </c>
      <c r="U221" s="150">
        <f>IFERROR(IF(OR(J221="",N221="",P221=""),"",IF(T221=0,0,T221*Q221-Settings!$B$4/10000-IF(T221&lt;0,Settings!$B$5/10000,0))),"")</f>
        <v>-1.9E-3</v>
      </c>
      <c r="W221" s="21">
        <f t="shared" si="36"/>
        <v>540</v>
      </c>
      <c r="X221" s="91" t="str">
        <f t="shared" si="37"/>
        <v>Heineken|2024|Q1</v>
      </c>
      <c r="Y221" s="91" t="str">
        <f>IFERROR(IF($X221="","",INDEX(LLM_Data_Entry!$H$3:$H$548,MATCH($X221,INDEX(LLM_Data_Entry!$A$3:$A$548&amp;"|"&amp;LLM_Data_Entry!$C$3:$C$548&amp;"|"&amp;LLM_Data_Entry!$D$3:$D$548,0),0))),"")</f>
        <v>HOLD</v>
      </c>
      <c r="Z221" s="91">
        <f>IFERROR(IF($X221="","",INDEX(LLM_Data_Entry!$R$3:$R$548,MATCH($X221,INDEX(LLM_Data_Entry!$A$3:$A$548&amp;"|"&amp;LLM_Data_Entry!$C$3:$C$548&amp;"|"&amp;LLM_Data_Entry!$D$3:$D$548,0),0))),"")</f>
        <v>0</v>
      </c>
      <c r="AB221" t="s">
        <v>630</v>
      </c>
      <c r="AC221" t="s">
        <v>1219</v>
      </c>
      <c r="AD221" t="s">
        <v>1232</v>
      </c>
      <c r="AE221">
        <v>85.832899999999995</v>
      </c>
      <c r="AF221" t="s">
        <v>1233</v>
      </c>
      <c r="AG221">
        <v>86.628</v>
      </c>
      <c r="AH221">
        <v>9.2632242976116805E-3</v>
      </c>
      <c r="AI221" t="s">
        <v>579</v>
      </c>
      <c r="AJ221" t="s">
        <v>546</v>
      </c>
      <c r="AK221">
        <v>8.2629999999999995E-3</v>
      </c>
      <c r="AL221" t="str">
        <f>IF($A221="","",IFERROR(INDEX(Company_List!$G$3:$G$207,MATCH($A221,Company_List!$A$3:$A$207,0)),"unassigned"))</f>
        <v>P3</v>
      </c>
      <c r="AM221" t="s">
        <v>1234</v>
      </c>
      <c r="AO221" t="s">
        <v>548</v>
      </c>
      <c r="AP221" t="str">
        <f>IF($A221="","",IF(COUNTIFS(LLM_Data_Entry!$A$3:$A$548,$A221)&gt;0,"YES","NO"))</f>
        <v>YES</v>
      </c>
      <c r="AQ221" t="str">
        <f>IF($A221="","",IF(COUNTIFS($A$3:$A221,$A221,$C$3:$C221,$C221,$D$3:$D221,$D221)=1,"YES","NO"))</f>
        <v>YES</v>
      </c>
      <c r="AR221" t="str">
        <f>IF($A221="","",IF(AND($C221&amp;"-"&amp;$D221&gt;=Settings!$B$19,$C221&amp;"-"&amp;$D221&lt;=Settings!$B$20),"IN","OUT"))</f>
        <v>IN</v>
      </c>
      <c r="AS221" t="str">
        <f t="shared" si="38"/>
        <v>presentation only</v>
      </c>
      <c r="AT221">
        <f t="shared" si="39"/>
        <v>-1.9E-3</v>
      </c>
      <c r="AU221">
        <f t="shared" si="40"/>
        <v>8.2629999999999995E-3</v>
      </c>
      <c r="AV221">
        <f>IF(ISNUMBER($AT221),ABS(IF(ISNUMBER($I221),$I221,0)-Settings!$B$24),"")</f>
        <v>0.5</v>
      </c>
      <c r="AW221">
        <f t="shared" si="41"/>
        <v>-9.5E-4</v>
      </c>
      <c r="AX221">
        <f>IF(ISNUMBER($AU221),ABS(IF(ISNUMBER($I221),$I221,0)-Settings!$B$24),"")</f>
        <v>0.5</v>
      </c>
      <c r="AY221" t="s">
        <v>1183</v>
      </c>
      <c r="AZ221" t="str">
        <f>IF($A221="","",IFERROR(INDEX(Company_List!$H$3:$H$207,MATCH($A221,Company_List!$A$3:$A$207,0)),"unassigned"))</f>
        <v>Consumer Staples</v>
      </c>
      <c r="BC221">
        <f>IF($A221="","",IF(COUNTIFS($A$3:$A221,$A221,$C$3:$C221,$C221,$D$3:$D221,$D221,$G$3:$G221,$G221)=1,1,0))</f>
        <v>1</v>
      </c>
      <c r="BG221" t="s">
        <v>550</v>
      </c>
      <c r="BK221">
        <f t="shared" si="42"/>
        <v>0</v>
      </c>
      <c r="BL221" t="s">
        <v>551</v>
      </c>
      <c r="BM221">
        <v>1</v>
      </c>
      <c r="BN221" t="s">
        <v>561</v>
      </c>
      <c r="BO221" t="s">
        <v>561</v>
      </c>
      <c r="BP221" t="s">
        <v>550</v>
      </c>
      <c r="BQ221" t="s">
        <v>550</v>
      </c>
      <c r="BS221" t="s">
        <v>554</v>
      </c>
    </row>
    <row r="222" spans="1:71" x14ac:dyDescent="0.2">
      <c r="A222" s="115" t="s">
        <v>1235</v>
      </c>
      <c r="B222" s="116" t="str">
        <f>IF(A222="","",_xlfn.XLOOKUP(A222, Company_List!$A:$A, Company_List!$B:$B, ""))</f>
        <v>DDOG</v>
      </c>
      <c r="C222" s="143">
        <v>2026</v>
      </c>
      <c r="D222" s="143" t="s">
        <v>537</v>
      </c>
      <c r="E222" s="98" t="s">
        <v>1121</v>
      </c>
      <c r="F222" s="98" t="s">
        <v>538</v>
      </c>
      <c r="G222" s="143" t="s">
        <v>539</v>
      </c>
      <c r="H222" s="106" t="s">
        <v>540</v>
      </c>
      <c r="I222" s="145">
        <v>0.6</v>
      </c>
      <c r="J222" s="145" t="str">
        <f>IF(OR(I222="",Settings!$B$6=""),"",IF(I222&gt;Settings!$B$6,"BUY",IF(I222&lt;-Settings!$B$6,"SELL","HOLD")))</f>
        <v>BUY</v>
      </c>
      <c r="K222" s="145">
        <v>10</v>
      </c>
      <c r="L222" s="125">
        <v>46149</v>
      </c>
      <c r="M222" s="140" t="s">
        <v>779</v>
      </c>
      <c r="N222" s="147">
        <v>132.13999999999999</v>
      </c>
      <c r="O222" s="140" t="s">
        <v>780</v>
      </c>
      <c r="P222" s="145">
        <v>127.83</v>
      </c>
      <c r="Q222" s="150">
        <f t="shared" si="33"/>
        <v>-3.2599999999999997E-2</v>
      </c>
      <c r="R222" s="106" t="str">
        <f>IF(OR(N222="",P222=""),"",IF(Q222&gt;Settings!$B$3/100,"UP",IF(Q222&lt;-Settings!$B$3/100,"DOWN","FLAT")))</f>
        <v>DOWN</v>
      </c>
      <c r="S222" s="106" t="str">
        <f t="shared" si="34"/>
        <v>NO</v>
      </c>
      <c r="T222" s="105">
        <f t="shared" si="35"/>
        <v>1</v>
      </c>
      <c r="U222" s="150">
        <f>IFERROR(IF(OR(J222="",N222="",P222=""),"",IF(T222=0,0,T222*Q222-Settings!$B$4/10000-IF(T222&lt;0,Settings!$B$5/10000,0))),"")</f>
        <v>-3.3599999999999998E-2</v>
      </c>
      <c r="W222" s="21">
        <f t="shared" si="36"/>
        <v>600</v>
      </c>
      <c r="X222" s="91" t="str">
        <f t="shared" si="37"/>
        <v>Datadog|2026|Q1</v>
      </c>
      <c r="Y222" s="91" t="str">
        <f>IFERROR(IF($X222="","",INDEX(LLM_Data_Entry!$H$3:$H$548,MATCH($X222,INDEX(LLM_Data_Entry!$A$3:$A$548&amp;"|"&amp;LLM_Data_Entry!$C$3:$C$548&amp;"|"&amp;LLM_Data_Entry!$D$3:$D$548,0),0))),"")</f>
        <v>HOLD</v>
      </c>
      <c r="Z222" s="91">
        <f>IFERROR(IF($X222="","",INDEX(LLM_Data_Entry!$R$3:$R$548,MATCH($X222,INDEX(LLM_Data_Entry!$A$3:$A$548&amp;"|"&amp;LLM_Data_Entry!$C$3:$C$548&amp;"|"&amp;LLM_Data_Entry!$D$3:$D$548,0),0))),"")</f>
        <v>0</v>
      </c>
      <c r="AB222" t="s">
        <v>1169</v>
      </c>
      <c r="AC222" t="s">
        <v>1236</v>
      </c>
      <c r="AD222" t="s">
        <v>680</v>
      </c>
      <c r="AE222">
        <v>143.71</v>
      </c>
      <c r="AF222" t="s">
        <v>681</v>
      </c>
      <c r="AG222">
        <v>187.99</v>
      </c>
      <c r="AH222">
        <v>0.30812049156743843</v>
      </c>
      <c r="AI222" t="s">
        <v>591</v>
      </c>
      <c r="AJ222" t="s">
        <v>554</v>
      </c>
      <c r="AK222">
        <v>0.30712</v>
      </c>
      <c r="AL222" t="str">
        <f>IF($A222="","",IFERROR(INDEX(Company_List!$G$3:$G$207,MATCH($A222,Company_List!$A$3:$A$207,0)),"unassigned"))</f>
        <v>P3</v>
      </c>
      <c r="AM222" t="s">
        <v>1237</v>
      </c>
      <c r="AN222" t="s">
        <v>1238</v>
      </c>
      <c r="AO222" t="s">
        <v>560</v>
      </c>
      <c r="AP222" t="str">
        <f>IF($A222="","",IF(COUNTIFS(LLM_Data_Entry!$A$3:$A$548,$A222)&gt;0,"YES","NO"))</f>
        <v>YES</v>
      </c>
      <c r="AQ222" t="str">
        <f>IF($A222="","",IF(COUNTIFS($A$3:$A222,$A222,$C$3:$C222,$C222,$D$3:$D222,$D222)=1,"YES","NO"))</f>
        <v>YES</v>
      </c>
      <c r="AR222" t="str">
        <f>IF($A222="","",IF(AND($C222&amp;"-"&amp;$D222&gt;=Settings!$B$19,$C222&amp;"-"&amp;$D222&lt;=Settings!$B$20),"IN","OUT"))</f>
        <v>IN</v>
      </c>
      <c r="AS222" t="str">
        <f t="shared" si="38"/>
        <v>press release document only</v>
      </c>
      <c r="AT222">
        <f t="shared" si="39"/>
        <v>-3.3599999999999998E-2</v>
      </c>
      <c r="AU222">
        <f t="shared" si="40"/>
        <v>0.30712</v>
      </c>
      <c r="AV222">
        <f>IF(ISNUMBER($AT222),ABS(IF(ISNUMBER($I222),$I222,0)-Settings!$B$24),"")</f>
        <v>0.6</v>
      </c>
      <c r="AW222">
        <f t="shared" si="41"/>
        <v>-2.0159999999999997E-2</v>
      </c>
      <c r="AX222">
        <f>IF(ISNUMBER($AU222),ABS(IF(ISNUMBER($I222),$I222,0)-Settings!$B$24),"")</f>
        <v>0.6</v>
      </c>
      <c r="AY222" t="s">
        <v>1183</v>
      </c>
      <c r="AZ222" t="str">
        <f>IF($A222="","",IFERROR(INDEX(Company_List!$H$3:$H$207,MATCH($A222,Company_List!$A$3:$A$207,0)),"unassigned"))</f>
        <v>Information Technology</v>
      </c>
      <c r="BC222">
        <f>IF($A222="","",IF(COUNTIFS($A$3:$A222,$A222,$C$3:$C222,$C222,$D$3:$D222,$D222,$G$3:$G222,$G222)=1,1,0))</f>
        <v>1</v>
      </c>
      <c r="BG222" t="s">
        <v>550</v>
      </c>
      <c r="BK222">
        <f t="shared" si="42"/>
        <v>0</v>
      </c>
      <c r="BL222" t="s">
        <v>551</v>
      </c>
      <c r="BM222">
        <v>1</v>
      </c>
      <c r="BN222" t="s">
        <v>561</v>
      </c>
      <c r="BO222" t="s">
        <v>561</v>
      </c>
      <c r="BP222" t="s">
        <v>550</v>
      </c>
      <c r="BQ222" t="s">
        <v>562</v>
      </c>
      <c r="BS222" t="s">
        <v>554</v>
      </c>
    </row>
    <row r="223" spans="1:71" x14ac:dyDescent="0.2">
      <c r="A223" s="115" t="s">
        <v>1235</v>
      </c>
      <c r="B223" s="116" t="str">
        <f>IF(A223="","",_xlfn.XLOOKUP(A223, Company_List!$A:$A, Company_List!$B:$B, ""))</f>
        <v>DDOG</v>
      </c>
      <c r="C223" s="143">
        <v>2025</v>
      </c>
      <c r="D223" s="143" t="s">
        <v>563</v>
      </c>
      <c r="E223" s="98" t="s">
        <v>1121</v>
      </c>
      <c r="F223" s="98" t="s">
        <v>538</v>
      </c>
      <c r="G223" s="143" t="s">
        <v>539</v>
      </c>
      <c r="H223" s="106" t="s">
        <v>540</v>
      </c>
      <c r="I223" s="145">
        <v>0.4</v>
      </c>
      <c r="J223" s="145" t="str">
        <f>IF(OR(I223="",Settings!$B$6=""),"",IF(I223&gt;Settings!$B$6,"BUY",IF(I223&lt;-Settings!$B$6,"SELL","HOLD")))</f>
        <v>BUY</v>
      </c>
      <c r="K223" s="145">
        <v>9</v>
      </c>
      <c r="L223" s="125">
        <v>45967</v>
      </c>
      <c r="M223" s="140" t="s">
        <v>566</v>
      </c>
      <c r="N223" s="147">
        <v>154.21</v>
      </c>
      <c r="O223" s="140" t="s">
        <v>971</v>
      </c>
      <c r="P223" s="145">
        <v>154.24</v>
      </c>
      <c r="Q223" s="150">
        <f t="shared" si="33"/>
        <v>2.0000000000000001E-4</v>
      </c>
      <c r="R223" s="106" t="str">
        <f>IF(OR(N223="",P223=""),"",IF(Q223&gt;Settings!$B$3/100,"UP",IF(Q223&lt;-Settings!$B$3/100,"DOWN","FLAT")))</f>
        <v>FLAT</v>
      </c>
      <c r="S223" s="106" t="str">
        <f t="shared" si="34"/>
        <v>NO</v>
      </c>
      <c r="T223" s="105">
        <f t="shared" si="35"/>
        <v>1</v>
      </c>
      <c r="U223" s="150">
        <f>IFERROR(IF(OR(J223="",N223="",P223=""),"",IF(T223=0,0,T223*Q223-Settings!$B$4/10000-IF(T223&lt;0,Settings!$B$5/10000,0))),"")</f>
        <v>-8.0000000000000004E-4</v>
      </c>
      <c r="W223" s="21">
        <f t="shared" si="36"/>
        <v>540</v>
      </c>
      <c r="X223" s="91" t="str">
        <f t="shared" si="37"/>
        <v>Datadog|2025|Q3</v>
      </c>
      <c r="Y223" s="91" t="str">
        <f>IFERROR(IF($X223="","",INDEX(LLM_Data_Entry!$H$3:$H$548,MATCH($X223,INDEX(LLM_Data_Entry!$A$3:$A$548&amp;"|"&amp;LLM_Data_Entry!$C$3:$C$548&amp;"|"&amp;LLM_Data_Entry!$D$3:$D$548,0),0))),"")</f>
        <v>BUY</v>
      </c>
      <c r="Z223" s="91">
        <f>IFERROR(IF($X223="","",INDEX(LLM_Data_Entry!$R$3:$R$548,MATCH($X223,INDEX(LLM_Data_Entry!$A$3:$A$548&amp;"|"&amp;LLM_Data_Entry!$C$3:$C$548&amp;"|"&amp;LLM_Data_Entry!$D$3:$D$548,0),0))),"")</f>
        <v>0</v>
      </c>
      <c r="AB223" t="s">
        <v>1169</v>
      </c>
      <c r="AC223" t="s">
        <v>1236</v>
      </c>
      <c r="AD223" t="s">
        <v>872</v>
      </c>
      <c r="AE223">
        <v>154.97999999999999</v>
      </c>
      <c r="AF223" t="s">
        <v>744</v>
      </c>
      <c r="AG223">
        <v>178.89</v>
      </c>
      <c r="AH223">
        <v>0.1542779946903598</v>
      </c>
      <c r="AI223" t="s">
        <v>591</v>
      </c>
      <c r="AJ223" t="s">
        <v>554</v>
      </c>
      <c r="AK223">
        <v>0.153278</v>
      </c>
      <c r="AL223" t="str">
        <f>IF($A223="","",IFERROR(INDEX(Company_List!$G$3:$G$207,MATCH($A223,Company_List!$A$3:$A$207,0)),"unassigned"))</f>
        <v>P3</v>
      </c>
      <c r="AM223" t="s">
        <v>1239</v>
      </c>
      <c r="AN223" t="s">
        <v>1240</v>
      </c>
      <c r="AO223" t="s">
        <v>560</v>
      </c>
      <c r="AP223" t="str">
        <f>IF($A223="","",IF(COUNTIFS(LLM_Data_Entry!$A$3:$A$548,$A223)&gt;0,"YES","NO"))</f>
        <v>YES</v>
      </c>
      <c r="AQ223" t="str">
        <f>IF($A223="","",IF(COUNTIFS($A$3:$A223,$A223,$C$3:$C223,$C223,$D$3:$D223,$D223)=1,"YES","NO"))</f>
        <v>YES</v>
      </c>
      <c r="AR223" t="str">
        <f>IF($A223="","",IF(AND($C223&amp;"-"&amp;$D223&gt;=Settings!$B$19,$C223&amp;"-"&amp;$D223&lt;=Settings!$B$20),"IN","OUT"))</f>
        <v>IN</v>
      </c>
      <c r="AS223" t="str">
        <f t="shared" si="38"/>
        <v>press release document only</v>
      </c>
      <c r="AT223">
        <f t="shared" si="39"/>
        <v>-8.0000000000000004E-4</v>
      </c>
      <c r="AU223">
        <f t="shared" si="40"/>
        <v>0.153278</v>
      </c>
      <c r="AV223">
        <f>IF(ISNUMBER($AT223),ABS(IF(ISNUMBER($I223),$I223,0)-Settings!$B$24),"")</f>
        <v>0.4</v>
      </c>
      <c r="AW223">
        <f t="shared" si="41"/>
        <v>-3.2000000000000003E-4</v>
      </c>
      <c r="AX223">
        <f>IF(ISNUMBER($AU223),ABS(IF(ISNUMBER($I223),$I223,0)-Settings!$B$24),"")</f>
        <v>0.4</v>
      </c>
      <c r="AY223" t="s">
        <v>1183</v>
      </c>
      <c r="AZ223" t="str">
        <f>IF($A223="","",IFERROR(INDEX(Company_List!$H$3:$H$207,MATCH($A223,Company_List!$A$3:$A$207,0)),"unassigned"))</f>
        <v>Information Technology</v>
      </c>
      <c r="BC223">
        <f>IF($A223="","",IF(COUNTIFS($A$3:$A223,$A223,$C$3:$C223,$C223,$D$3:$D223,$D223,$G$3:$G223,$G223)=1,1,0))</f>
        <v>1</v>
      </c>
      <c r="BG223" t="s">
        <v>550</v>
      </c>
      <c r="BK223">
        <f t="shared" si="42"/>
        <v>1</v>
      </c>
      <c r="BL223" t="s">
        <v>551</v>
      </c>
      <c r="BM223">
        <v>1</v>
      </c>
      <c r="BN223" t="s">
        <v>561</v>
      </c>
      <c r="BO223" t="s">
        <v>561</v>
      </c>
      <c r="BP223" t="s">
        <v>550</v>
      </c>
      <c r="BQ223" t="s">
        <v>562</v>
      </c>
      <c r="BS223" t="s">
        <v>554</v>
      </c>
    </row>
    <row r="224" spans="1:71" x14ac:dyDescent="0.2">
      <c r="A224" s="115" t="s">
        <v>1235</v>
      </c>
      <c r="B224" s="116" t="str">
        <f>IF(A224="","",_xlfn.XLOOKUP(A224, Company_List!$A:$A, Company_List!$B:$B, ""))</f>
        <v>DDOG</v>
      </c>
      <c r="C224" s="143">
        <v>2025</v>
      </c>
      <c r="D224" s="143" t="s">
        <v>569</v>
      </c>
      <c r="E224" s="98" t="s">
        <v>647</v>
      </c>
      <c r="F224" s="98" t="s">
        <v>538</v>
      </c>
      <c r="G224" s="143" t="s">
        <v>539</v>
      </c>
      <c r="H224" s="106" t="s">
        <v>540</v>
      </c>
      <c r="I224" s="145">
        <v>0.4</v>
      </c>
      <c r="J224" s="145" t="str">
        <f>IF(OR(I224="",Settings!$B$6=""),"",IF(I224&gt;Settings!$B$6,"BUY",IF(I224&lt;-Settings!$B$6,"SELL","HOLD")))</f>
        <v>BUY</v>
      </c>
      <c r="K224" s="145">
        <v>28</v>
      </c>
      <c r="L224" s="125">
        <v>46063</v>
      </c>
      <c r="M224" s="140" t="s">
        <v>631</v>
      </c>
      <c r="N224" s="147">
        <v>136.63999999999999</v>
      </c>
      <c r="O224" s="140" t="s">
        <v>632</v>
      </c>
      <c r="P224" s="145">
        <v>140.91999999999999</v>
      </c>
      <c r="Q224" s="150">
        <f t="shared" si="33"/>
        <v>3.1300000000000001E-2</v>
      </c>
      <c r="R224" s="106" t="str">
        <f>IF(OR(N224="",P224=""),"",IF(Q224&gt;Settings!$B$3/100,"UP",IF(Q224&lt;-Settings!$B$3/100,"DOWN","FLAT")))</f>
        <v>UP</v>
      </c>
      <c r="S224" s="106" t="str">
        <f t="shared" si="34"/>
        <v>YES</v>
      </c>
      <c r="T224" s="105">
        <f t="shared" si="35"/>
        <v>1</v>
      </c>
      <c r="U224" s="150">
        <f>IFERROR(IF(OR(J224="",N224="",P224=""),"",IF(T224=0,0,T224*Q224-Settings!$B$4/10000-IF(T224&lt;0,Settings!$B$5/10000,0))),"")</f>
        <v>3.0300000000000001E-2</v>
      </c>
      <c r="W224" s="21">
        <f t="shared" si="36"/>
        <v>1680</v>
      </c>
      <c r="X224" s="91" t="str">
        <f t="shared" si="37"/>
        <v>Datadog|2025|Q4</v>
      </c>
      <c r="Y224" s="91" t="str">
        <f>IFERROR(IF($X224="","",INDEX(LLM_Data_Entry!$H$3:$H$548,MATCH($X224,INDEX(LLM_Data_Entry!$A$3:$A$548&amp;"|"&amp;LLM_Data_Entry!$C$3:$C$548&amp;"|"&amp;LLM_Data_Entry!$D$3:$D$548,0),0))),"")</f>
        <v>HOLD</v>
      </c>
      <c r="Z224" s="91">
        <f>IFERROR(IF($X224="","",INDEX(LLM_Data_Entry!$R$3:$R$548,MATCH($X224,INDEX(LLM_Data_Entry!$A$3:$A$548&amp;"|"&amp;LLM_Data_Entry!$C$3:$C$548&amp;"|"&amp;LLM_Data_Entry!$D$3:$D$548,0),0))),"")</f>
        <v>0</v>
      </c>
      <c r="AB224" t="s">
        <v>1169</v>
      </c>
      <c r="AC224" t="s">
        <v>1236</v>
      </c>
      <c r="AD224" t="s">
        <v>704</v>
      </c>
      <c r="AE224">
        <v>114.01</v>
      </c>
      <c r="AF224" t="s">
        <v>705</v>
      </c>
      <c r="AG224">
        <v>124.175</v>
      </c>
      <c r="AH224">
        <v>8.9158852922395379E-2</v>
      </c>
      <c r="AI224" t="s">
        <v>591</v>
      </c>
      <c r="AJ224" t="s">
        <v>554</v>
      </c>
      <c r="AK224">
        <v>8.8159000000000001E-2</v>
      </c>
      <c r="AL224" t="str">
        <f>IF($A224="","",IFERROR(INDEX(Company_List!$G$3:$G$207,MATCH($A224,Company_List!$A$3:$A$207,0)),"unassigned"))</f>
        <v>P3</v>
      </c>
      <c r="AM224" t="s">
        <v>1241</v>
      </c>
      <c r="AO224" t="s">
        <v>548</v>
      </c>
      <c r="AP224" t="str">
        <f>IF($A224="","",IF(COUNTIFS(LLM_Data_Entry!$A$3:$A$548,$A224)&gt;0,"YES","NO"))</f>
        <v>YES</v>
      </c>
      <c r="AQ224" t="str">
        <f>IF($A224="","",IF(COUNTIFS($A$3:$A224,$A224,$C$3:$C224,$C224,$D$3:$D224,$D224)=1,"YES","NO"))</f>
        <v>YES</v>
      </c>
      <c r="AR224" t="str">
        <f>IF($A224="","",IF(AND($C224&amp;"-"&amp;$D224&gt;=Settings!$B$19,$C224&amp;"-"&amp;$D224&lt;=Settings!$B$20),"IN","OUT"))</f>
        <v>IN</v>
      </c>
      <c r="AS224" t="str">
        <f t="shared" si="38"/>
        <v>transcript only</v>
      </c>
      <c r="AT224">
        <f t="shared" si="39"/>
        <v>3.0300000000000001E-2</v>
      </c>
      <c r="AU224">
        <f t="shared" si="40"/>
        <v>8.8159000000000001E-2</v>
      </c>
      <c r="AV224">
        <f>IF(ISNUMBER($AT224),ABS(IF(ISNUMBER($I224),$I224,0)-Settings!$B$24),"")</f>
        <v>0.4</v>
      </c>
      <c r="AW224">
        <f t="shared" si="41"/>
        <v>1.2120000000000001E-2</v>
      </c>
      <c r="AX224">
        <f>IF(ISNUMBER($AU224),ABS(IF(ISNUMBER($I224),$I224,0)-Settings!$B$24),"")</f>
        <v>0.4</v>
      </c>
      <c r="AY224" t="s">
        <v>1183</v>
      </c>
      <c r="AZ224" t="str">
        <f>IF($A224="","",IFERROR(INDEX(Company_List!$H$3:$H$207,MATCH($A224,Company_List!$A$3:$A$207,0)),"unassigned"))</f>
        <v>Information Technology</v>
      </c>
      <c r="BC224">
        <f>IF($A224="","",IF(COUNTIFS($A$3:$A224,$A224,$C$3:$C224,$C224,$D$3:$D224,$D224,$G$3:$G224,$G224)=1,1,0))</f>
        <v>1</v>
      </c>
      <c r="BG224" t="s">
        <v>550</v>
      </c>
      <c r="BK224">
        <f t="shared" si="42"/>
        <v>0</v>
      </c>
      <c r="BL224" t="s">
        <v>551</v>
      </c>
      <c r="BM224">
        <v>1</v>
      </c>
      <c r="BN224" t="s">
        <v>552</v>
      </c>
      <c r="BO224" t="s">
        <v>553</v>
      </c>
      <c r="BP224" t="s">
        <v>550</v>
      </c>
      <c r="BQ224" t="s">
        <v>550</v>
      </c>
      <c r="BS224" t="s">
        <v>554</v>
      </c>
    </row>
    <row r="225" spans="1:71" x14ac:dyDescent="0.2">
      <c r="A225" s="115" t="s">
        <v>1235</v>
      </c>
      <c r="B225" s="116" t="str">
        <f>IF(A225="","",_xlfn.XLOOKUP(A225, Company_List!$A:$A, Company_List!$B:$B, ""))</f>
        <v>DDOG</v>
      </c>
      <c r="C225" s="143">
        <v>2025</v>
      </c>
      <c r="D225" s="143" t="s">
        <v>555</v>
      </c>
      <c r="E225" s="98" t="s">
        <v>1121</v>
      </c>
      <c r="F225" s="98" t="s">
        <v>538</v>
      </c>
      <c r="G225" s="143" t="s">
        <v>539</v>
      </c>
      <c r="H225" s="106" t="s">
        <v>540</v>
      </c>
      <c r="I225" s="145">
        <v>0.4</v>
      </c>
      <c r="J225" s="145" t="str">
        <f>IF(OR(I225="",Settings!$B$6=""),"",IF(I225&gt;Settings!$B$6,"BUY",IF(I225&lt;-Settings!$B$6,"SELL","HOLD")))</f>
        <v>BUY</v>
      </c>
      <c r="K225" s="145">
        <v>5</v>
      </c>
      <c r="L225" s="123">
        <v>45876</v>
      </c>
      <c r="M225" s="140" t="s">
        <v>772</v>
      </c>
      <c r="N225" s="147">
        <v>144</v>
      </c>
      <c r="O225" s="140" t="s">
        <v>773</v>
      </c>
      <c r="P225" s="145">
        <v>145</v>
      </c>
      <c r="Q225" s="150">
        <f t="shared" si="33"/>
        <v>6.8999999999999999E-3</v>
      </c>
      <c r="R225" s="106" t="str">
        <f>IF(OR(N225="",P225=""),"",IF(Q225&gt;Settings!$B$3/100,"UP",IF(Q225&lt;-Settings!$B$3/100,"DOWN","FLAT")))</f>
        <v>FLAT</v>
      </c>
      <c r="S225" s="106" t="str">
        <f t="shared" si="34"/>
        <v>NO</v>
      </c>
      <c r="T225" s="105">
        <f t="shared" si="35"/>
        <v>1</v>
      </c>
      <c r="U225" s="150">
        <f>IFERROR(IF(OR(J225="",N225="",P225=""),"",IF(T225=0,0,T225*Q225-Settings!$B$4/10000-IF(T225&lt;0,Settings!$B$5/10000,0))),"")</f>
        <v>5.8999999999999999E-3</v>
      </c>
      <c r="W225" s="21">
        <f t="shared" si="36"/>
        <v>300</v>
      </c>
      <c r="X225" s="91" t="str">
        <f t="shared" si="37"/>
        <v>Datadog|2025|Q2</v>
      </c>
      <c r="Y225" s="91" t="str">
        <f>IFERROR(IF($X225="","",INDEX(LLM_Data_Entry!$H$3:$H$548,MATCH($X225,INDEX(LLM_Data_Entry!$A$3:$A$548&amp;"|"&amp;LLM_Data_Entry!$C$3:$C$548&amp;"|"&amp;LLM_Data_Entry!$D$3:$D$548,0),0))),"")</f>
        <v>HOLD</v>
      </c>
      <c r="Z225" s="91">
        <f>IFERROR(IF($X225="","",INDEX(LLM_Data_Entry!$R$3:$R$548,MATCH($X225,INDEX(LLM_Data_Entry!$A$3:$A$548&amp;"|"&amp;LLM_Data_Entry!$C$3:$C$548&amp;"|"&amp;LLM_Data_Entry!$D$3:$D$548,0),0))),"")</f>
        <v>0</v>
      </c>
      <c r="AB225" t="s">
        <v>1169</v>
      </c>
      <c r="AC225" t="s">
        <v>1236</v>
      </c>
      <c r="AD225" t="s">
        <v>642</v>
      </c>
      <c r="AE225">
        <v>136.96</v>
      </c>
      <c r="AF225" t="s">
        <v>742</v>
      </c>
      <c r="AG225">
        <v>147.75</v>
      </c>
      <c r="AH225">
        <v>7.8782071031874373E-2</v>
      </c>
      <c r="AI225" t="s">
        <v>591</v>
      </c>
      <c r="AJ225" t="s">
        <v>554</v>
      </c>
      <c r="AK225">
        <v>7.7782000000000004E-2</v>
      </c>
      <c r="AL225" t="str">
        <f>IF($A225="","",IFERROR(INDEX(Company_List!$G$3:$G$207,MATCH($A225,Company_List!$A$3:$A$207,0)),"unassigned"))</f>
        <v>P3</v>
      </c>
      <c r="AM225" t="s">
        <v>1242</v>
      </c>
      <c r="AN225" t="s">
        <v>1243</v>
      </c>
      <c r="AO225" t="s">
        <v>560</v>
      </c>
      <c r="AP225" t="str">
        <f>IF($A225="","",IF(COUNTIFS(LLM_Data_Entry!$A$3:$A$548,$A225)&gt;0,"YES","NO"))</f>
        <v>YES</v>
      </c>
      <c r="AQ225" t="str">
        <f>IF($A225="","",IF(COUNTIFS($A$3:$A225,$A225,$C$3:$C225,$C225,$D$3:$D225,$D225)=1,"YES","NO"))</f>
        <v>YES</v>
      </c>
      <c r="AR225" t="str">
        <f>IF($A225="","",IF(AND($C225&amp;"-"&amp;$D225&gt;=Settings!$B$19,$C225&amp;"-"&amp;$D225&lt;=Settings!$B$20),"IN","OUT"))</f>
        <v>IN</v>
      </c>
      <c r="AS225" t="str">
        <f t="shared" si="38"/>
        <v>press release document only</v>
      </c>
      <c r="AT225">
        <f t="shared" si="39"/>
        <v>5.8999999999999999E-3</v>
      </c>
      <c r="AU225">
        <f t="shared" si="40"/>
        <v>7.7782000000000004E-2</v>
      </c>
      <c r="AV225">
        <f>IF(ISNUMBER($AT225),ABS(IF(ISNUMBER($I225),$I225,0)-Settings!$B$24),"")</f>
        <v>0.4</v>
      </c>
      <c r="AW225">
        <f t="shared" si="41"/>
        <v>2.3600000000000001E-3</v>
      </c>
      <c r="AX225">
        <f>IF(ISNUMBER($AU225),ABS(IF(ISNUMBER($I225),$I225,0)-Settings!$B$24),"")</f>
        <v>0.4</v>
      </c>
      <c r="AY225" t="s">
        <v>1183</v>
      </c>
      <c r="AZ225" t="str">
        <f>IF($A225="","",IFERROR(INDEX(Company_List!$H$3:$H$207,MATCH($A225,Company_List!$A$3:$A$207,0)),"unassigned"))</f>
        <v>Information Technology</v>
      </c>
      <c r="BC225">
        <f>IF($A225="","",IF(COUNTIFS($A$3:$A225,$A225,$C$3:$C225,$C225,$D$3:$D225,$D225,$G$3:$G225,$G225)=1,1,0))</f>
        <v>1</v>
      </c>
      <c r="BG225" t="s">
        <v>550</v>
      </c>
      <c r="BK225">
        <f t="shared" si="42"/>
        <v>0</v>
      </c>
      <c r="BL225" t="s">
        <v>551</v>
      </c>
      <c r="BM225">
        <v>1</v>
      </c>
      <c r="BN225" t="s">
        <v>561</v>
      </c>
      <c r="BO225" t="s">
        <v>561</v>
      </c>
      <c r="BP225" t="s">
        <v>550</v>
      </c>
      <c r="BQ225" t="s">
        <v>562</v>
      </c>
      <c r="BS225" t="s">
        <v>554</v>
      </c>
    </row>
    <row r="226" spans="1:71" x14ac:dyDescent="0.2">
      <c r="A226" s="115" t="s">
        <v>1244</v>
      </c>
      <c r="B226" s="116" t="str">
        <f>IF(A226="","",_xlfn.XLOOKUP(A226, Company_List!$A:$A, Company_List!$B:$B, ""))</f>
        <v>EBAY</v>
      </c>
      <c r="C226" s="143">
        <v>2025</v>
      </c>
      <c r="D226" s="143" t="s">
        <v>537</v>
      </c>
      <c r="E226" s="98" t="s">
        <v>1095</v>
      </c>
      <c r="F226" s="98" t="s">
        <v>538</v>
      </c>
      <c r="G226" s="143" t="s">
        <v>539</v>
      </c>
      <c r="H226" s="106" t="s">
        <v>540</v>
      </c>
      <c r="I226" s="145">
        <v>0.3</v>
      </c>
      <c r="J226" s="145" t="str">
        <f>IF(OR(I226="",Settings!$B$6=""),"",IF(I226&gt;Settings!$B$6,"BUY",IF(I226&lt;-Settings!$B$6,"SELL","HOLD")))</f>
        <v>BUY</v>
      </c>
      <c r="K226" s="145">
        <v>12</v>
      </c>
      <c r="L226" s="125">
        <v>45777</v>
      </c>
      <c r="M226" s="140" t="s">
        <v>715</v>
      </c>
      <c r="N226" s="147">
        <v>64.411900000000003</v>
      </c>
      <c r="O226" s="140" t="s">
        <v>906</v>
      </c>
      <c r="P226" s="145">
        <v>64.411900000000003</v>
      </c>
      <c r="Q226" s="150">
        <f t="shared" si="33"/>
        <v>0</v>
      </c>
      <c r="R226" s="106" t="str">
        <f>IF(OR(N226="",P226=""),"",IF(Q226&gt;Settings!$B$3/100,"UP",IF(Q226&lt;-Settings!$B$3/100,"DOWN","FLAT")))</f>
        <v>FLAT</v>
      </c>
      <c r="S226" s="106" t="str">
        <f t="shared" si="34"/>
        <v>NO</v>
      </c>
      <c r="T226" s="105">
        <f t="shared" si="35"/>
        <v>1</v>
      </c>
      <c r="U226" s="150">
        <f>IFERROR(IF(OR(J226="",N226="",P226=""),"",IF(T226=0,0,T226*Q226-Settings!$B$4/10000-IF(T226&lt;0,Settings!$B$5/10000,0))),"")</f>
        <v>-1E-3</v>
      </c>
      <c r="W226" s="21">
        <f t="shared" si="36"/>
        <v>720</v>
      </c>
      <c r="X226" s="91" t="str">
        <f t="shared" si="37"/>
        <v>eBay|2025|Q1</v>
      </c>
      <c r="Y226" s="91" t="str">
        <f>IFERROR(IF($X226="","",INDEX(LLM_Data_Entry!$H$3:$H$548,MATCH($X226,INDEX(LLM_Data_Entry!$A$3:$A$548&amp;"|"&amp;LLM_Data_Entry!$C$3:$C$548&amp;"|"&amp;LLM_Data_Entry!$D$3:$D$548,0),0))),"")</f>
        <v>SELL</v>
      </c>
      <c r="Z226" s="91">
        <f>IFERROR(IF($X226="","",INDEX(LLM_Data_Entry!$R$3:$R$548,MATCH($X226,INDEX(LLM_Data_Entry!$A$3:$A$548&amp;"|"&amp;LLM_Data_Entry!$C$3:$C$548&amp;"|"&amp;LLM_Data_Entry!$D$3:$D$548,0),0))),"")</f>
        <v>0</v>
      </c>
      <c r="AB226" t="s">
        <v>541</v>
      </c>
      <c r="AC226" t="s">
        <v>1245</v>
      </c>
      <c r="AD226" t="s">
        <v>1099</v>
      </c>
      <c r="AE226">
        <v>67.027699999999996</v>
      </c>
      <c r="AF226" t="s">
        <v>1124</v>
      </c>
      <c r="AG226">
        <v>68.886300000000006</v>
      </c>
      <c r="AH226">
        <v>2.7728866257583969E-2</v>
      </c>
      <c r="AI226" t="s">
        <v>591</v>
      </c>
      <c r="AJ226" t="s">
        <v>554</v>
      </c>
      <c r="AK226">
        <v>2.6728999999999999E-2</v>
      </c>
      <c r="AL226" t="str">
        <f>IF($A226="","",IFERROR(INDEX(Company_List!$G$3:$G$207,MATCH($A226,Company_List!$A$3:$A$207,0)),"unassigned"))</f>
        <v>P3</v>
      </c>
      <c r="AM226" t="s">
        <v>1246</v>
      </c>
      <c r="AO226" t="s">
        <v>548</v>
      </c>
      <c r="AP226" t="str">
        <f>IF($A226="","",IF(COUNTIFS(LLM_Data_Entry!$A$3:$A$548,$A226)&gt;0,"YES","NO"))</f>
        <v>YES</v>
      </c>
      <c r="AQ226" t="str">
        <f>IF($A226="","",IF(COUNTIFS($A$3:$A226,$A226,$C$3:$C226,$C226,$D$3:$D226,$D226)=1,"YES","NO"))</f>
        <v>YES</v>
      </c>
      <c r="AR226" t="str">
        <f>IF($A226="","",IF(AND($C226&amp;"-"&amp;$D226&gt;=Settings!$B$19,$C226&amp;"-"&amp;$D226&lt;=Settings!$B$20),"IN","OUT"))</f>
        <v>IN</v>
      </c>
      <c r="AS226" t="str">
        <f t="shared" si="38"/>
        <v>presentation only</v>
      </c>
      <c r="AT226">
        <f t="shared" si="39"/>
        <v>-1E-3</v>
      </c>
      <c r="AU226">
        <f t="shared" si="40"/>
        <v>2.6728999999999999E-2</v>
      </c>
      <c r="AV226">
        <f>IF(ISNUMBER($AT226),ABS(IF(ISNUMBER($I226),$I226,0)-Settings!$B$24),"")</f>
        <v>0.3</v>
      </c>
      <c r="AW226">
        <f t="shared" si="41"/>
        <v>-2.9999999999999997E-4</v>
      </c>
      <c r="AX226">
        <f>IF(ISNUMBER($AU226),ABS(IF(ISNUMBER($I226),$I226,0)-Settings!$B$24),"")</f>
        <v>0.3</v>
      </c>
      <c r="AY226" t="s">
        <v>1183</v>
      </c>
      <c r="AZ226" t="str">
        <f>IF($A226="","",IFERROR(INDEX(Company_List!$H$3:$H$207,MATCH($A226,Company_List!$A$3:$A$207,0)),"unassigned"))</f>
        <v>Consumer Discretionary</v>
      </c>
      <c r="BC226">
        <f>IF($A226="","",IF(COUNTIFS($A$3:$A226,$A226,$C$3:$C226,$C226,$D$3:$D226,$D226,$G$3:$G226,$G226)=1,1,0))</f>
        <v>1</v>
      </c>
      <c r="BG226" t="s">
        <v>550</v>
      </c>
      <c r="BK226">
        <f t="shared" si="42"/>
        <v>0</v>
      </c>
      <c r="BL226" t="s">
        <v>551</v>
      </c>
      <c r="BM226">
        <v>1</v>
      </c>
      <c r="BN226" t="s">
        <v>561</v>
      </c>
      <c r="BO226" t="s">
        <v>561</v>
      </c>
      <c r="BP226" t="s">
        <v>550</v>
      </c>
      <c r="BQ226" t="s">
        <v>550</v>
      </c>
      <c r="BS226" t="s">
        <v>554</v>
      </c>
    </row>
    <row r="227" spans="1:71" x14ac:dyDescent="0.2">
      <c r="A227" s="115" t="s">
        <v>1244</v>
      </c>
      <c r="B227" s="116" t="str">
        <f>IF(A227="","",_xlfn.XLOOKUP(A227, Company_List!$A:$A, Company_List!$B:$B, ""))</f>
        <v>EBAY</v>
      </c>
      <c r="C227" s="143">
        <v>2026</v>
      </c>
      <c r="D227" s="143" t="s">
        <v>537</v>
      </c>
      <c r="E227" s="98" t="s">
        <v>1121</v>
      </c>
      <c r="F227" s="98" t="s">
        <v>538</v>
      </c>
      <c r="G227" s="143" t="s">
        <v>539</v>
      </c>
      <c r="H227" s="106" t="s">
        <v>540</v>
      </c>
      <c r="I227" s="145">
        <v>0.7</v>
      </c>
      <c r="J227" s="145" t="str">
        <f>IF(OR(I227="",Settings!$B$6=""),"",IF(I227&gt;Settings!$B$6,"BUY",IF(I227&lt;-Settings!$B$6,"SELL","HOLD")))</f>
        <v>BUY</v>
      </c>
      <c r="K227" s="145">
        <v>10</v>
      </c>
      <c r="L227" s="125">
        <v>46141</v>
      </c>
      <c r="M227" s="140" t="s">
        <v>767</v>
      </c>
      <c r="N227" s="147">
        <v>100.1224</v>
      </c>
      <c r="O227" s="140" t="s">
        <v>920</v>
      </c>
      <c r="P227" s="145">
        <v>99.613799999999998</v>
      </c>
      <c r="Q227" s="150">
        <f t="shared" si="33"/>
        <v>-5.1000000000000004E-3</v>
      </c>
      <c r="R227" s="106" t="str">
        <f>IF(OR(N227="",P227=""),"",IF(Q227&gt;Settings!$B$3/100,"UP",IF(Q227&lt;-Settings!$B$3/100,"DOWN","FLAT")))</f>
        <v>FLAT</v>
      </c>
      <c r="S227" s="106" t="str">
        <f t="shared" si="34"/>
        <v>NO</v>
      </c>
      <c r="T227" s="105">
        <f t="shared" si="35"/>
        <v>1</v>
      </c>
      <c r="U227" s="150">
        <f>IFERROR(IF(OR(J227="",N227="",P227=""),"",IF(T227=0,0,T227*Q227-Settings!$B$4/10000-IF(T227&lt;0,Settings!$B$5/10000,0))),"")</f>
        <v>-6.1000000000000004E-3</v>
      </c>
      <c r="W227" s="21">
        <f t="shared" si="36"/>
        <v>600</v>
      </c>
      <c r="X227" s="91" t="str">
        <f t="shared" si="37"/>
        <v>eBay|2026|Q1</v>
      </c>
      <c r="Y227" s="91" t="str">
        <f>IFERROR(IF($X227="","",INDEX(LLM_Data_Entry!$H$3:$H$548,MATCH($X227,INDEX(LLM_Data_Entry!$A$3:$A$548&amp;"|"&amp;LLM_Data_Entry!$C$3:$C$548&amp;"|"&amp;LLM_Data_Entry!$D$3:$D$548,0),0))),"")</f>
        <v>HOLD</v>
      </c>
      <c r="Z227" s="91">
        <f>IFERROR(IF($X227="","",INDEX(LLM_Data_Entry!$R$3:$R$548,MATCH($X227,INDEX(LLM_Data_Entry!$A$3:$A$548&amp;"|"&amp;LLM_Data_Entry!$C$3:$C$548&amp;"|"&amp;LLM_Data_Entry!$D$3:$D$548,0),0))),"")</f>
        <v>0</v>
      </c>
      <c r="AB227" t="s">
        <v>1247</v>
      </c>
      <c r="AC227" t="s">
        <v>1245</v>
      </c>
      <c r="AD227" t="s">
        <v>656</v>
      </c>
      <c r="AE227">
        <v>103.5031</v>
      </c>
      <c r="AF227" t="s">
        <v>657</v>
      </c>
      <c r="AG227">
        <v>99.793300000000002</v>
      </c>
      <c r="AH227">
        <v>-3.584163152060018E-2</v>
      </c>
      <c r="AI227" t="s">
        <v>545</v>
      </c>
      <c r="AJ227" t="s">
        <v>546</v>
      </c>
      <c r="AK227">
        <v>-3.6842E-2</v>
      </c>
      <c r="AL227" t="str">
        <f>IF($A227="","",IFERROR(INDEX(Company_List!$G$3:$G$207,MATCH($A227,Company_List!$A$3:$A$207,0)),"unassigned"))</f>
        <v>P3</v>
      </c>
      <c r="AM227" t="s">
        <v>1248</v>
      </c>
      <c r="AO227" t="s">
        <v>548</v>
      </c>
      <c r="AP227" t="str">
        <f>IF($A227="","",IF(COUNTIFS(LLM_Data_Entry!$A$3:$A$548,$A227)&gt;0,"YES","NO"))</f>
        <v>YES</v>
      </c>
      <c r="AQ227" t="str">
        <f>IF($A227="","",IF(COUNTIFS($A$3:$A227,$A227,$C$3:$C227,$C227,$D$3:$D227,$D227)=1,"YES","NO"))</f>
        <v>YES</v>
      </c>
      <c r="AR227" t="str">
        <f>IF($A227="","",IF(AND($C227&amp;"-"&amp;$D227&gt;=Settings!$B$19,$C227&amp;"-"&amp;$D227&lt;=Settings!$B$20),"IN","OUT"))</f>
        <v>IN</v>
      </c>
      <c r="AS227" t="str">
        <f t="shared" si="38"/>
        <v>press release document only</v>
      </c>
      <c r="AT227">
        <f t="shared" si="39"/>
        <v>-6.1000000000000004E-3</v>
      </c>
      <c r="AU227">
        <f t="shared" si="40"/>
        <v>-3.6842E-2</v>
      </c>
      <c r="AV227">
        <f>IF(ISNUMBER($AT227),ABS(IF(ISNUMBER($I227),$I227,0)-Settings!$B$24),"")</f>
        <v>0.7</v>
      </c>
      <c r="AW227">
        <f t="shared" si="41"/>
        <v>-4.2700000000000004E-3</v>
      </c>
      <c r="AX227">
        <f>IF(ISNUMBER($AU227),ABS(IF(ISNUMBER($I227),$I227,0)-Settings!$B$24),"")</f>
        <v>0.7</v>
      </c>
      <c r="AY227" t="s">
        <v>1183</v>
      </c>
      <c r="AZ227" t="str">
        <f>IF($A227="","",IFERROR(INDEX(Company_List!$H$3:$H$207,MATCH($A227,Company_List!$A$3:$A$207,0)),"unassigned"))</f>
        <v>Consumer Discretionary</v>
      </c>
      <c r="BC227">
        <f>IF($A227="","",IF(COUNTIFS($A$3:$A227,$A227,$C$3:$C227,$C227,$D$3:$D227,$D227,$G$3:$G227,$G227)=1,1,0))</f>
        <v>1</v>
      </c>
      <c r="BG227" t="s">
        <v>550</v>
      </c>
      <c r="BK227">
        <f t="shared" si="42"/>
        <v>0</v>
      </c>
      <c r="BL227" t="s">
        <v>551</v>
      </c>
      <c r="BM227">
        <v>1</v>
      </c>
      <c r="BN227" t="s">
        <v>561</v>
      </c>
      <c r="BO227" t="s">
        <v>561</v>
      </c>
      <c r="BP227" t="s">
        <v>550</v>
      </c>
      <c r="BQ227" t="s">
        <v>550</v>
      </c>
      <c r="BS227" t="s">
        <v>554</v>
      </c>
    </row>
    <row r="228" spans="1:71" x14ac:dyDescent="0.2">
      <c r="A228" s="115" t="s">
        <v>1244</v>
      </c>
      <c r="B228" s="116" t="str">
        <f>IF(A228="","",_xlfn.XLOOKUP(A228, Company_List!$A:$A, Company_List!$B:$B, ""))</f>
        <v>EBAY</v>
      </c>
      <c r="C228" s="143">
        <v>2025</v>
      </c>
      <c r="D228" s="143" t="s">
        <v>563</v>
      </c>
      <c r="E228" s="98" t="s">
        <v>1121</v>
      </c>
      <c r="F228" s="98" t="s">
        <v>538</v>
      </c>
      <c r="G228" s="143" t="s">
        <v>539</v>
      </c>
      <c r="H228" s="106" t="s">
        <v>540</v>
      </c>
      <c r="I228" s="145">
        <v>0.3</v>
      </c>
      <c r="J228" s="145" t="str">
        <f>IF(OR(I228="",Settings!$B$6=""),"",IF(I228&gt;Settings!$B$6,"BUY",IF(I228&lt;-Settings!$B$6,"SELL","HOLD")))</f>
        <v>BUY</v>
      </c>
      <c r="K228" s="145">
        <v>10</v>
      </c>
      <c r="L228" s="125">
        <v>45959</v>
      </c>
      <c r="M228" s="125" t="s">
        <v>722</v>
      </c>
      <c r="N228" s="147">
        <v>90.1875</v>
      </c>
      <c r="O228" s="140" t="s">
        <v>723</v>
      </c>
      <c r="P228" s="145">
        <v>91.019499999999994</v>
      </c>
      <c r="Q228" s="150">
        <f t="shared" si="33"/>
        <v>9.1999999999999998E-3</v>
      </c>
      <c r="R228" s="106" t="str">
        <f>IF(OR(N228="",P228=""),"",IF(Q228&gt;Settings!$B$3/100,"UP",IF(Q228&lt;-Settings!$B$3/100,"DOWN","FLAT")))</f>
        <v>FLAT</v>
      </c>
      <c r="S228" s="106" t="str">
        <f t="shared" si="34"/>
        <v>NO</v>
      </c>
      <c r="T228" s="105">
        <f t="shared" si="35"/>
        <v>1</v>
      </c>
      <c r="U228" s="150">
        <f>IFERROR(IF(OR(J228="",N228="",P228=""),"",IF(T228=0,0,T228*Q228-Settings!$B$4/10000-IF(T228&lt;0,Settings!$B$5/10000,0))),"")</f>
        <v>8.199999999999999E-3</v>
      </c>
      <c r="W228" s="21">
        <f t="shared" si="36"/>
        <v>600</v>
      </c>
      <c r="X228" s="91" t="str">
        <f t="shared" si="37"/>
        <v>eBay|2025|Q3</v>
      </c>
      <c r="Y228" s="91" t="str">
        <f>IFERROR(IF($X228="","",INDEX(LLM_Data_Entry!$H$3:$H$548,MATCH($X228,INDEX(LLM_Data_Entry!$A$3:$A$548&amp;"|"&amp;LLM_Data_Entry!$C$3:$C$548&amp;"|"&amp;LLM_Data_Entry!$D$3:$D$548,0),0))),"")</f>
        <v>BUY</v>
      </c>
      <c r="Z228" s="91">
        <f>IFERROR(IF($X228="","",INDEX(LLM_Data_Entry!$R$3:$R$548,MATCH($X228,INDEX(LLM_Data_Entry!$A$3:$A$548&amp;"|"&amp;LLM_Data_Entry!$C$3:$C$548&amp;"|"&amp;LLM_Data_Entry!$D$3:$D$548,0),0))),"")</f>
        <v>0</v>
      </c>
      <c r="AB228" t="s">
        <v>1249</v>
      </c>
      <c r="AC228" t="s">
        <v>1245</v>
      </c>
      <c r="AD228" t="s">
        <v>626</v>
      </c>
      <c r="AE228">
        <v>98.586299999999994</v>
      </c>
      <c r="AF228" t="s">
        <v>660</v>
      </c>
      <c r="AG228">
        <v>84.779799999999994</v>
      </c>
      <c r="AH228">
        <v>-0.1400442483700868</v>
      </c>
      <c r="AI228" t="s">
        <v>545</v>
      </c>
      <c r="AJ228" t="s">
        <v>546</v>
      </c>
      <c r="AK228">
        <v>-0.141044</v>
      </c>
      <c r="AL228" t="str">
        <f>IF($A228="","",IFERROR(INDEX(Company_List!$G$3:$G$207,MATCH($A228,Company_List!$A$3:$A$207,0)),"unassigned"))</f>
        <v>P3</v>
      </c>
      <c r="AM228" t="s">
        <v>1250</v>
      </c>
      <c r="AO228" t="s">
        <v>548</v>
      </c>
      <c r="AP228" t="str">
        <f>IF($A228="","",IF(COUNTIFS(LLM_Data_Entry!$A$3:$A$548,$A228)&gt;0,"YES","NO"))</f>
        <v>YES</v>
      </c>
      <c r="AQ228" t="str">
        <f>IF($A228="","",IF(COUNTIFS($A$3:$A228,$A228,$C$3:$C228,$C228,$D$3:$D228,$D228)=1,"YES","NO"))</f>
        <v>YES</v>
      </c>
      <c r="AR228" t="str">
        <f>IF($A228="","",IF(AND($C228&amp;"-"&amp;$D228&gt;=Settings!$B$19,$C228&amp;"-"&amp;$D228&lt;=Settings!$B$20),"IN","OUT"))</f>
        <v>IN</v>
      </c>
      <c r="AS228" t="str">
        <f t="shared" si="38"/>
        <v>press release document only</v>
      </c>
      <c r="AT228">
        <f t="shared" si="39"/>
        <v>8.199999999999999E-3</v>
      </c>
      <c r="AU228">
        <f t="shared" si="40"/>
        <v>-0.141044</v>
      </c>
      <c r="AV228">
        <f>IF(ISNUMBER($AT228),ABS(IF(ISNUMBER($I228),$I228,0)-Settings!$B$24),"")</f>
        <v>0.3</v>
      </c>
      <c r="AW228">
        <f t="shared" si="41"/>
        <v>2.4599999999999995E-3</v>
      </c>
      <c r="AX228">
        <f>IF(ISNUMBER($AU228),ABS(IF(ISNUMBER($I228),$I228,0)-Settings!$B$24),"")</f>
        <v>0.3</v>
      </c>
      <c r="AY228" t="s">
        <v>1183</v>
      </c>
      <c r="AZ228" t="str">
        <f>IF($A228="","",IFERROR(INDEX(Company_List!$H$3:$H$207,MATCH($A228,Company_List!$A$3:$A$207,0)),"unassigned"))</f>
        <v>Consumer Discretionary</v>
      </c>
      <c r="BC228">
        <f>IF($A228="","",IF(COUNTIFS($A$3:$A228,$A228,$C$3:$C228,$C228,$D$3:$D228,$D228,$G$3:$G228,$G228)=1,1,0))</f>
        <v>1</v>
      </c>
      <c r="BG228" t="s">
        <v>550</v>
      </c>
      <c r="BK228">
        <f t="shared" si="42"/>
        <v>1</v>
      </c>
      <c r="BL228" t="s">
        <v>551</v>
      </c>
      <c r="BM228">
        <v>1</v>
      </c>
      <c r="BN228" t="s">
        <v>561</v>
      </c>
      <c r="BO228" t="s">
        <v>561</v>
      </c>
      <c r="BP228" t="s">
        <v>550</v>
      </c>
      <c r="BQ228" t="s">
        <v>550</v>
      </c>
      <c r="BS228" t="s">
        <v>554</v>
      </c>
    </row>
    <row r="229" spans="1:71" x14ac:dyDescent="0.2">
      <c r="A229" s="115" t="s">
        <v>1244</v>
      </c>
      <c r="B229" s="116" t="str">
        <f>IF(A229="","",_xlfn.XLOOKUP(A229, Company_List!$A:$A, Company_List!$B:$B, ""))</f>
        <v>EBAY</v>
      </c>
      <c r="C229" s="143">
        <v>2025</v>
      </c>
      <c r="D229" s="143" t="s">
        <v>555</v>
      </c>
      <c r="E229" s="98" t="s">
        <v>1095</v>
      </c>
      <c r="F229" s="98" t="s">
        <v>538</v>
      </c>
      <c r="G229" s="143" t="s">
        <v>539</v>
      </c>
      <c r="H229" s="106" t="s">
        <v>540</v>
      </c>
      <c r="I229" s="145">
        <v>0.2</v>
      </c>
      <c r="J229" s="145" t="str">
        <f>IF(OR(I229="",Settings!$B$6=""),"",IF(I229&gt;Settings!$B$6,"BUY",IF(I229&lt;-Settings!$B$6,"SELL","HOLD")))</f>
        <v>HOLD</v>
      </c>
      <c r="K229" s="145">
        <v>11</v>
      </c>
      <c r="L229" s="125">
        <v>45868</v>
      </c>
      <c r="M229" s="125" t="s">
        <v>719</v>
      </c>
      <c r="N229" s="147">
        <v>76.241100000000003</v>
      </c>
      <c r="O229" s="140" t="s">
        <v>884</v>
      </c>
      <c r="P229" s="145">
        <v>75.964699999999993</v>
      </c>
      <c r="Q229" s="150">
        <f t="shared" si="33"/>
        <v>-3.5999999999999999E-3</v>
      </c>
      <c r="R229" s="106" t="str">
        <f>IF(OR(N229="",P229=""),"",IF(Q229&gt;Settings!$B$3/100,"UP",IF(Q229&lt;-Settings!$B$3/100,"DOWN","FLAT")))</f>
        <v>FLAT</v>
      </c>
      <c r="S229" s="106" t="str">
        <f t="shared" si="34"/>
        <v>YES</v>
      </c>
      <c r="T229" s="105">
        <f t="shared" si="35"/>
        <v>0</v>
      </c>
      <c r="U229" s="150">
        <f>IFERROR(IF(OR(J229="",N229="",P229=""),"",IF(T229=0,0,T229*Q229-Settings!$B$4/10000-IF(T229&lt;0,Settings!$B$5/10000,0))),"")</f>
        <v>0</v>
      </c>
      <c r="W229" s="21">
        <f t="shared" si="36"/>
        <v>660</v>
      </c>
      <c r="X229" s="91" t="str">
        <f t="shared" si="37"/>
        <v>eBay|2025|Q2</v>
      </c>
      <c r="Y229" s="91" t="str">
        <f>IFERROR(IF($X229="","",INDEX(LLM_Data_Entry!$H$3:$H$548,MATCH($X229,INDEX(LLM_Data_Entry!$A$3:$A$548&amp;"|"&amp;LLM_Data_Entry!$C$3:$C$548&amp;"|"&amp;LLM_Data_Entry!$D$3:$D$548,0),0))),"")</f>
        <v>HOLD</v>
      </c>
      <c r="Z229" s="91">
        <f>IFERROR(IF($X229="","",INDEX(LLM_Data_Entry!$R$3:$R$548,MATCH($X229,INDEX(LLM_Data_Entry!$A$3:$A$548&amp;"|"&amp;LLM_Data_Entry!$C$3:$C$548&amp;"|"&amp;LLM_Data_Entry!$D$3:$D$548,0),0))),"")</f>
        <v>0</v>
      </c>
      <c r="AB229" t="s">
        <v>1247</v>
      </c>
      <c r="AC229" t="s">
        <v>1245</v>
      </c>
      <c r="AD229" t="s">
        <v>1001</v>
      </c>
      <c r="AE229">
        <v>76.576800000000006</v>
      </c>
      <c r="AF229" t="s">
        <v>687</v>
      </c>
      <c r="AG229">
        <v>87.081900000000005</v>
      </c>
      <c r="AH229">
        <v>0.13718404634530271</v>
      </c>
      <c r="AI229" t="s">
        <v>591</v>
      </c>
      <c r="AJ229" t="s">
        <v>546</v>
      </c>
      <c r="AK229">
        <v>0</v>
      </c>
      <c r="AL229" t="str">
        <f>IF($A229="","",IFERROR(INDEX(Company_List!$G$3:$G$207,MATCH($A229,Company_List!$A$3:$A$207,0)),"unassigned"))</f>
        <v>P3</v>
      </c>
      <c r="AM229" t="s">
        <v>1251</v>
      </c>
      <c r="AO229" t="s">
        <v>548</v>
      </c>
      <c r="AP229" t="str">
        <f>IF($A229="","",IF(COUNTIFS(LLM_Data_Entry!$A$3:$A$548,$A229)&gt;0,"YES","NO"))</f>
        <v>YES</v>
      </c>
      <c r="AQ229" t="str">
        <f>IF($A229="","",IF(COUNTIFS($A$3:$A229,$A229,$C$3:$C229,$C229,$D$3:$D229,$D229)=1,"YES","NO"))</f>
        <v>YES</v>
      </c>
      <c r="AR229" t="str">
        <f>IF($A229="","",IF(AND($C229&amp;"-"&amp;$D229&gt;=Settings!$B$19,$C229&amp;"-"&amp;$D229&lt;=Settings!$B$20),"IN","OUT"))</f>
        <v>IN</v>
      </c>
      <c r="AS229" t="str">
        <f t="shared" si="38"/>
        <v>presentation only</v>
      </c>
      <c r="AT229" t="str">
        <f t="shared" si="39"/>
        <v/>
      </c>
      <c r="AU229" t="str">
        <f t="shared" si="40"/>
        <v/>
      </c>
      <c r="AV229" t="str">
        <f>IF(ISNUMBER($AT229),ABS(IF(ISNUMBER($I229),$I229,0)-Settings!$B$24),"")</f>
        <v/>
      </c>
      <c r="AW229" t="str">
        <f t="shared" si="41"/>
        <v/>
      </c>
      <c r="AX229" t="str">
        <f>IF(ISNUMBER($AU229),ABS(IF(ISNUMBER($I229),$I229,0)-Settings!$B$24),"")</f>
        <v/>
      </c>
      <c r="AY229" t="s">
        <v>1183</v>
      </c>
      <c r="AZ229" t="str">
        <f>IF($A229="","",IFERROR(INDEX(Company_List!$H$3:$H$207,MATCH($A229,Company_List!$A$3:$A$207,0)),"unassigned"))</f>
        <v>Consumer Discretionary</v>
      </c>
      <c r="BC229">
        <f>IF($A229="","",IF(COUNTIFS($A$3:$A229,$A229,$C$3:$C229,$C229,$D$3:$D229,$D229,$G$3:$G229,$G229)=1,1,0))</f>
        <v>1</v>
      </c>
      <c r="BG229" t="s">
        <v>550</v>
      </c>
      <c r="BK229">
        <f t="shared" si="42"/>
        <v>1</v>
      </c>
      <c r="BL229" t="s">
        <v>551</v>
      </c>
      <c r="BM229">
        <v>1</v>
      </c>
      <c r="BN229" t="s">
        <v>561</v>
      </c>
      <c r="BO229" t="s">
        <v>561</v>
      </c>
      <c r="BP229" t="s">
        <v>550</v>
      </c>
      <c r="BQ229" t="s">
        <v>550</v>
      </c>
      <c r="BS229" t="s">
        <v>554</v>
      </c>
    </row>
    <row r="230" spans="1:71" x14ac:dyDescent="0.2">
      <c r="A230" s="115" t="s">
        <v>1137</v>
      </c>
      <c r="B230" s="116" t="str">
        <f>IF(A230="","",_xlfn.XLOOKUP(A230, Company_List!$A:$A, Company_List!$B:$B, ""))</f>
        <v>PINS</v>
      </c>
      <c r="C230" s="143">
        <v>2026</v>
      </c>
      <c r="D230" s="143" t="s">
        <v>537</v>
      </c>
      <c r="E230" s="98" t="s">
        <v>647</v>
      </c>
      <c r="F230" s="98" t="s">
        <v>538</v>
      </c>
      <c r="G230" s="143" t="s">
        <v>539</v>
      </c>
      <c r="H230" s="106" t="s">
        <v>540</v>
      </c>
      <c r="I230" s="145">
        <v>0.4</v>
      </c>
      <c r="J230" s="145" t="str">
        <f>IF(OR(I230="",Settings!$B$6=""),"",IF(I230&gt;Settings!$B$6,"BUY",IF(I230&lt;-Settings!$B$6,"SELL","HOLD")))</f>
        <v>BUY</v>
      </c>
      <c r="K230" s="145">
        <v>25</v>
      </c>
      <c r="L230" s="125">
        <v>46146</v>
      </c>
      <c r="M230" s="140">
        <v>46146</v>
      </c>
      <c r="N230" s="147">
        <v>20.85</v>
      </c>
      <c r="O230" s="140">
        <v>46147</v>
      </c>
      <c r="P230" s="145">
        <v>24.71</v>
      </c>
      <c r="Q230" s="150">
        <f t="shared" si="33"/>
        <v>0.18509999999999999</v>
      </c>
      <c r="R230" s="106" t="str">
        <f>IF(OR(N230="",P230=""),"",IF(Q230&gt;Settings!$B$3/100,"UP",IF(Q230&lt;-Settings!$B$3/100,"DOWN","FLAT")))</f>
        <v>UP</v>
      </c>
      <c r="S230" s="106" t="str">
        <f t="shared" si="34"/>
        <v>YES</v>
      </c>
      <c r="T230" s="105">
        <f t="shared" si="35"/>
        <v>1</v>
      </c>
      <c r="U230" s="150">
        <f>IFERROR(IF(OR(J230="",N230="",P230=""),"",IF(T230=0,0,T230*Q230-Settings!$B$4/10000-IF(T230&lt;0,Settings!$B$5/10000,0))),"")</f>
        <v>0.18409999999999999</v>
      </c>
      <c r="W230" s="21">
        <f t="shared" si="36"/>
        <v>1500</v>
      </c>
      <c r="X230" s="91" t="str">
        <f t="shared" si="37"/>
        <v>Pinterest|2026|Q1</v>
      </c>
      <c r="Y230" s="91" t="str">
        <f>IFERROR(IF($X230="","",INDEX(LLM_Data_Entry!$H$3:$H$548,MATCH($X230,INDEX(LLM_Data_Entry!$A$3:$A$548&amp;"|"&amp;LLM_Data_Entry!$C$3:$C$548&amp;"|"&amp;LLM_Data_Entry!$D$3:$D$548,0),0))),"")</f>
        <v>SELL</v>
      </c>
      <c r="Z230" s="91" t="str">
        <f>IFERROR(IF($X230="","",INDEX(LLM_Data_Entry!$R$3:$R$548,MATCH($X230,INDEX(LLM_Data_Entry!$A$3:$A$548&amp;"|"&amp;LLM_Data_Entry!$C$3:$C$548&amp;"|"&amp;LLM_Data_Entry!$D$3:$D$548,0),0))),"")</f>
        <v>NO</v>
      </c>
      <c r="AB230" t="s">
        <v>541</v>
      </c>
      <c r="AC230" t="s">
        <v>1139</v>
      </c>
      <c r="AD230" t="s">
        <v>985</v>
      </c>
      <c r="AE230">
        <v>20.85</v>
      </c>
      <c r="AF230" t="s">
        <v>731</v>
      </c>
      <c r="AG230">
        <v>24.71</v>
      </c>
      <c r="AH230">
        <v>0.18513184652278189</v>
      </c>
      <c r="AI230" t="s">
        <v>591</v>
      </c>
      <c r="AJ230" t="s">
        <v>554</v>
      </c>
      <c r="AK230">
        <v>0.18413199999999999</v>
      </c>
      <c r="AL230" t="str">
        <f>IF($A230="","",IFERROR(INDEX(Company_List!$G$3:$G$207,MATCH($A230,Company_List!$A$3:$A$207,0)),"unassigned"))</f>
        <v>P3</v>
      </c>
      <c r="AM230" t="s">
        <v>1144</v>
      </c>
      <c r="AO230" t="s">
        <v>548</v>
      </c>
      <c r="AP230" t="str">
        <f>IF($A230="","",IF(COUNTIFS(LLM_Data_Entry!$A$3:$A$548,$A230)&gt;0,"YES","NO"))</f>
        <v>YES</v>
      </c>
      <c r="AQ230" t="str">
        <f>IF($A230="","",IF(COUNTIFS($A$3:$A230,$A230,$C$3:$C230,$C230,$D$3:$D230,$D230)=1,"YES","NO"))</f>
        <v>NO</v>
      </c>
      <c r="AR230" t="str">
        <f>IF($A230="","",IF(AND($C230&amp;"-"&amp;$D230&gt;=Settings!$B$19,$C230&amp;"-"&amp;$D230&lt;=Settings!$B$20),"IN","OUT"))</f>
        <v>IN</v>
      </c>
      <c r="AS230" t="str">
        <f t="shared" si="38"/>
        <v>transcript only</v>
      </c>
      <c r="AT230">
        <f t="shared" si="39"/>
        <v>0.18409999999999999</v>
      </c>
      <c r="AU230">
        <f t="shared" si="40"/>
        <v>0.18413199999999999</v>
      </c>
      <c r="AV230">
        <f>IF(ISNUMBER($AT230),ABS(IF(ISNUMBER($I230),$I230,0)-Settings!$B$24),"")</f>
        <v>0.4</v>
      </c>
      <c r="AW230">
        <f t="shared" si="41"/>
        <v>7.3639999999999997E-2</v>
      </c>
      <c r="AX230">
        <f>IF(ISNUMBER($AU230),ABS(IF(ISNUMBER($I230),$I230,0)-Settings!$B$24),"")</f>
        <v>0.4</v>
      </c>
      <c r="AY230" t="s">
        <v>549</v>
      </c>
      <c r="AZ230" t="str">
        <f>IF($A230="","",IFERROR(INDEX(Company_List!$H$3:$H$207,MATCH($A230,Company_List!$A$3:$A$207,0)),"unassigned"))</f>
        <v>Communication Services</v>
      </c>
      <c r="BC230">
        <f>IF($A230="","",IF(COUNTIFS($A$3:$A230,$A230,$C$3:$C230,$C230,$D$3:$D230,$D230,$G$3:$G230,$G230)=1,1,0))</f>
        <v>1</v>
      </c>
      <c r="BG230" t="s">
        <v>550</v>
      </c>
      <c r="BK230">
        <f t="shared" si="42"/>
        <v>0</v>
      </c>
      <c r="BL230" t="s">
        <v>551</v>
      </c>
      <c r="BM230">
        <v>1</v>
      </c>
      <c r="BN230" t="s">
        <v>595</v>
      </c>
      <c r="BO230" t="s">
        <v>596</v>
      </c>
      <c r="BP230" t="s">
        <v>550</v>
      </c>
      <c r="BQ230" t="s">
        <v>550</v>
      </c>
      <c r="BS230" t="s">
        <v>554</v>
      </c>
    </row>
    <row r="231" spans="1:71" x14ac:dyDescent="0.2">
      <c r="A231" s="115" t="s">
        <v>1137</v>
      </c>
      <c r="B231" s="116" t="str">
        <f>IF(A231="","",_xlfn.XLOOKUP(A231, Company_List!$A:$A, Company_List!$B:$B, ""))</f>
        <v>PINS</v>
      </c>
      <c r="C231" s="143">
        <v>2025</v>
      </c>
      <c r="D231" s="143" t="s">
        <v>569</v>
      </c>
      <c r="E231" s="98" t="s">
        <v>647</v>
      </c>
      <c r="F231" s="98" t="s">
        <v>538</v>
      </c>
      <c r="G231" s="143" t="s">
        <v>539</v>
      </c>
      <c r="H231" s="106" t="s">
        <v>540</v>
      </c>
      <c r="I231" s="145">
        <v>0.2</v>
      </c>
      <c r="J231" s="145" t="str">
        <f>IF(OR(I231="",Settings!$B$6=""),"",IF(I231&gt;Settings!$B$6,"BUY",IF(I231&lt;-Settings!$B$6,"SELL","HOLD")))</f>
        <v>HOLD</v>
      </c>
      <c r="K231" s="145">
        <v>22</v>
      </c>
      <c r="L231" s="125">
        <v>46065</v>
      </c>
      <c r="M231" s="140">
        <v>46065</v>
      </c>
      <c r="N231" s="147">
        <v>18.54</v>
      </c>
      <c r="O231" s="140">
        <v>46066</v>
      </c>
      <c r="P231" s="145">
        <v>14.33</v>
      </c>
      <c r="Q231" s="150">
        <f t="shared" si="33"/>
        <v>-0.2271</v>
      </c>
      <c r="R231" s="106" t="str">
        <f>IF(OR(N231="",P231=""),"",IF(Q231&gt;Settings!$B$3/100,"UP",IF(Q231&lt;-Settings!$B$3/100,"DOWN","FLAT")))</f>
        <v>DOWN</v>
      </c>
      <c r="S231" s="106" t="str">
        <f t="shared" si="34"/>
        <v>NO</v>
      </c>
      <c r="T231" s="105">
        <f t="shared" si="35"/>
        <v>0</v>
      </c>
      <c r="U231" s="150">
        <f>IFERROR(IF(OR(J231="",N231="",P231=""),"",IF(T231=0,0,T231*Q231-Settings!$B$4/10000-IF(T231&lt;0,Settings!$B$5/10000,0))),"")</f>
        <v>0</v>
      </c>
      <c r="W231" s="21">
        <f t="shared" si="36"/>
        <v>1320</v>
      </c>
      <c r="X231" s="91" t="str">
        <f t="shared" si="37"/>
        <v>Pinterest|2025|Q4</v>
      </c>
      <c r="Y231" s="91" t="str">
        <f>IFERROR(IF($X231="","",INDEX(LLM_Data_Entry!$H$3:$H$548,MATCH($X231,INDEX(LLM_Data_Entry!$A$3:$A$548&amp;"|"&amp;LLM_Data_Entry!$C$3:$C$548&amp;"|"&amp;LLM_Data_Entry!$D$3:$D$548,0),0))),"")</f>
        <v>SELL</v>
      </c>
      <c r="Z231" s="91" t="str">
        <f>IFERROR(IF($X231="","",INDEX(LLM_Data_Entry!$R$3:$R$548,MATCH($X231,INDEX(LLM_Data_Entry!$A$3:$A$548&amp;"|"&amp;LLM_Data_Entry!$C$3:$C$548&amp;"|"&amp;LLM_Data_Entry!$D$3:$D$548,0),0))),"")</f>
        <v>YES</v>
      </c>
      <c r="AB231" t="s">
        <v>541</v>
      </c>
      <c r="AC231" t="s">
        <v>1139</v>
      </c>
      <c r="AD231" t="s">
        <v>677</v>
      </c>
      <c r="AE231">
        <v>18.54</v>
      </c>
      <c r="AF231" t="s">
        <v>923</v>
      </c>
      <c r="AG231">
        <v>14.33</v>
      </c>
      <c r="AH231">
        <v>-0.22707663284376309</v>
      </c>
      <c r="AI231" t="s">
        <v>545</v>
      </c>
      <c r="AJ231" t="s">
        <v>546</v>
      </c>
      <c r="AK231">
        <v>0</v>
      </c>
      <c r="AL231" t="str">
        <f>IF($A231="","",IFERROR(INDEX(Company_List!$G$3:$G$207,MATCH($A231,Company_List!$A$3:$A$207,0)),"unassigned"))</f>
        <v>P3</v>
      </c>
      <c r="AM231" t="s">
        <v>1142</v>
      </c>
      <c r="AO231" t="s">
        <v>548</v>
      </c>
      <c r="AP231" t="str">
        <f>IF($A231="","",IF(COUNTIFS(LLM_Data_Entry!$A$3:$A$548,$A231)&gt;0,"YES","NO"))</f>
        <v>YES</v>
      </c>
      <c r="AQ231" t="str">
        <f>IF($A231="","",IF(COUNTIFS($A$3:$A231,$A231,$C$3:$C231,$C231,$D$3:$D231,$D231)=1,"YES","NO"))</f>
        <v>NO</v>
      </c>
      <c r="AR231" t="str">
        <f>IF($A231="","",IF(AND($C231&amp;"-"&amp;$D231&gt;=Settings!$B$19,$C231&amp;"-"&amp;$D231&lt;=Settings!$B$20),"IN","OUT"))</f>
        <v>IN</v>
      </c>
      <c r="AS231" t="str">
        <f t="shared" si="38"/>
        <v>transcript only</v>
      </c>
      <c r="AT231" t="str">
        <f t="shared" si="39"/>
        <v/>
      </c>
      <c r="AU231" t="str">
        <f t="shared" si="40"/>
        <v/>
      </c>
      <c r="AV231" t="str">
        <f>IF(ISNUMBER($AT231),ABS(IF(ISNUMBER($I231),$I231,0)-Settings!$B$24),"")</f>
        <v/>
      </c>
      <c r="AW231" t="str">
        <f t="shared" si="41"/>
        <v/>
      </c>
      <c r="AX231" t="str">
        <f>IF(ISNUMBER($AU231),ABS(IF(ISNUMBER($I231),$I231,0)-Settings!$B$24),"")</f>
        <v/>
      </c>
      <c r="AY231" t="s">
        <v>549</v>
      </c>
      <c r="AZ231" t="str">
        <f>IF($A231="","",IFERROR(INDEX(Company_List!$H$3:$H$207,MATCH($A231,Company_List!$A$3:$A$207,0)),"unassigned"))</f>
        <v>Communication Services</v>
      </c>
      <c r="BC231">
        <f>IF($A231="","",IF(COUNTIFS($A$3:$A231,$A231,$C$3:$C231,$C231,$D$3:$D231,$D231,$G$3:$G231,$G231)=1,1,0))</f>
        <v>1</v>
      </c>
      <c r="BG231" t="s">
        <v>550</v>
      </c>
      <c r="BK231">
        <f t="shared" si="42"/>
        <v>0</v>
      </c>
      <c r="BL231" t="s">
        <v>551</v>
      </c>
      <c r="BM231">
        <v>1</v>
      </c>
      <c r="BN231" t="s">
        <v>595</v>
      </c>
      <c r="BO231" t="s">
        <v>596</v>
      </c>
      <c r="BP231" t="s">
        <v>550</v>
      </c>
      <c r="BQ231" t="s">
        <v>550</v>
      </c>
      <c r="BS231" t="s">
        <v>554</v>
      </c>
    </row>
    <row r="232" spans="1:71" x14ac:dyDescent="0.2">
      <c r="A232" s="115" t="s">
        <v>1137</v>
      </c>
      <c r="B232" s="116" t="str">
        <f>IF(A232="","",_xlfn.XLOOKUP(A232, Company_List!$A:$A, Company_List!$B:$B, ""))</f>
        <v>PINS</v>
      </c>
      <c r="C232" s="143">
        <v>2024</v>
      </c>
      <c r="D232" s="143" t="s">
        <v>569</v>
      </c>
      <c r="E232" s="98" t="s">
        <v>1095</v>
      </c>
      <c r="F232" s="98" t="s">
        <v>538</v>
      </c>
      <c r="G232" s="143" t="s">
        <v>539</v>
      </c>
      <c r="H232" s="106" t="s">
        <v>540</v>
      </c>
      <c r="I232" s="145">
        <v>0.5</v>
      </c>
      <c r="J232" s="145" t="str">
        <f>IF(OR(I232="",Settings!$B$6=""),"",IF(I232&gt;Settings!$B$6,"BUY",IF(I232&lt;-Settings!$B$6,"SELL","HOLD")))</f>
        <v>BUY</v>
      </c>
      <c r="K232" s="145">
        <v>13</v>
      </c>
      <c r="L232" s="125">
        <v>45694</v>
      </c>
      <c r="M232" s="140">
        <v>45694</v>
      </c>
      <c r="N232" s="147">
        <v>33.590000000000003</v>
      </c>
      <c r="O232" s="140">
        <v>45695</v>
      </c>
      <c r="P232" s="145">
        <v>40.89</v>
      </c>
      <c r="Q232" s="150">
        <f t="shared" si="33"/>
        <v>0.21729999999999999</v>
      </c>
      <c r="R232" s="106" t="str">
        <f>IF(OR(N232="",P232=""),"",IF(Q232&gt;Settings!$B$3/100,"UP",IF(Q232&lt;-Settings!$B$3/100,"DOWN","FLAT")))</f>
        <v>UP</v>
      </c>
      <c r="S232" s="106" t="str">
        <f t="shared" si="34"/>
        <v>YES</v>
      </c>
      <c r="T232" s="105">
        <f t="shared" si="35"/>
        <v>1</v>
      </c>
      <c r="U232" s="150">
        <f>IFERROR(IF(OR(J232="",N232="",P232=""),"",IF(T232=0,0,T232*Q232-Settings!$B$4/10000-IF(T232&lt;0,Settings!$B$5/10000,0))),"")</f>
        <v>0.21629999999999999</v>
      </c>
      <c r="W232" s="21">
        <f t="shared" si="36"/>
        <v>780</v>
      </c>
      <c r="X232" s="91" t="str">
        <f t="shared" si="37"/>
        <v>Pinterest|2024|Q4</v>
      </c>
      <c r="Y232" s="91" t="str">
        <f>IFERROR(IF($X232="","",INDEX(LLM_Data_Entry!$H$3:$H$548,MATCH($X232,INDEX(LLM_Data_Entry!$A$3:$A$548&amp;"|"&amp;LLM_Data_Entry!$C$3:$C$548&amp;"|"&amp;LLM_Data_Entry!$D$3:$D$548,0),0))),"")</f>
        <v>HOLD</v>
      </c>
      <c r="Z232" s="91" t="str">
        <f>IFERROR(IF($X232="","",INDEX(LLM_Data_Entry!$R$3:$R$548,MATCH($X232,INDEX(LLM_Data_Entry!$A$3:$A$548&amp;"|"&amp;LLM_Data_Entry!$C$3:$C$548&amp;"|"&amp;LLM_Data_Entry!$D$3:$D$548,0),0))),"")</f>
        <v>NO</v>
      </c>
      <c r="AB232" t="s">
        <v>541</v>
      </c>
      <c r="AC232" t="s">
        <v>1139</v>
      </c>
      <c r="AD232" t="s">
        <v>866</v>
      </c>
      <c r="AE232">
        <v>33.590000000000003</v>
      </c>
      <c r="AF232" t="s">
        <v>671</v>
      </c>
      <c r="AG232">
        <v>40.89</v>
      </c>
      <c r="AH232">
        <v>0.2173265555224769</v>
      </c>
      <c r="AI232" t="s">
        <v>591</v>
      </c>
      <c r="AJ232" t="s">
        <v>554</v>
      </c>
      <c r="AK232">
        <v>0.21632699999999999</v>
      </c>
      <c r="AL232" t="str">
        <f>IF($A232="","",IFERROR(INDEX(Company_List!$G$3:$G$207,MATCH($A232,Company_List!$A$3:$A$207,0)),"unassigned"))</f>
        <v>P3</v>
      </c>
      <c r="AM232" t="s">
        <v>1140</v>
      </c>
      <c r="AO232" t="s">
        <v>548</v>
      </c>
      <c r="AP232" t="str">
        <f>IF($A232="","",IF(COUNTIFS(LLM_Data_Entry!$A$3:$A$548,$A232)&gt;0,"YES","NO"))</f>
        <v>YES</v>
      </c>
      <c r="AQ232" t="str">
        <f>IF($A232="","",IF(COUNTIFS($A$3:$A232,$A232,$C$3:$C232,$C232,$D$3:$D232,$D232)=1,"YES","NO"))</f>
        <v>NO</v>
      </c>
      <c r="AR232" t="str">
        <f>IF($A232="","",IF(AND($C232&amp;"-"&amp;$D232&gt;=Settings!$B$19,$C232&amp;"-"&amp;$D232&lt;=Settings!$B$20),"IN","OUT"))</f>
        <v>IN</v>
      </c>
      <c r="AS232" t="str">
        <f t="shared" si="38"/>
        <v>presentation only</v>
      </c>
      <c r="AT232">
        <f t="shared" si="39"/>
        <v>0.21629999999999999</v>
      </c>
      <c r="AU232">
        <f t="shared" si="40"/>
        <v>0.21632699999999999</v>
      </c>
      <c r="AV232">
        <f>IF(ISNUMBER($AT232),ABS(IF(ISNUMBER($I232),$I232,0)-Settings!$B$24),"")</f>
        <v>0.5</v>
      </c>
      <c r="AW232">
        <f t="shared" si="41"/>
        <v>0.10815</v>
      </c>
      <c r="AX232">
        <f>IF(ISNUMBER($AU232),ABS(IF(ISNUMBER($I232),$I232,0)-Settings!$B$24),"")</f>
        <v>0.5</v>
      </c>
      <c r="AY232" t="s">
        <v>549</v>
      </c>
      <c r="AZ232" t="str">
        <f>IF($A232="","",IFERROR(INDEX(Company_List!$H$3:$H$207,MATCH($A232,Company_List!$A$3:$A$207,0)),"unassigned"))</f>
        <v>Communication Services</v>
      </c>
      <c r="BC232">
        <f>IF($A232="","",IF(COUNTIFS($A$3:$A232,$A232,$C$3:$C232,$C232,$D$3:$D232,$D232,$G$3:$G232,$G232)=1,1,0))</f>
        <v>1</v>
      </c>
      <c r="BG232" t="s">
        <v>550</v>
      </c>
      <c r="BK232">
        <f t="shared" si="42"/>
        <v>0</v>
      </c>
      <c r="BL232" t="s">
        <v>551</v>
      </c>
      <c r="BM232">
        <v>1</v>
      </c>
      <c r="BN232" t="s">
        <v>561</v>
      </c>
      <c r="BO232" t="s">
        <v>561</v>
      </c>
      <c r="BP232" t="s">
        <v>550</v>
      </c>
      <c r="BQ232" t="s">
        <v>550</v>
      </c>
      <c r="BS232" t="s">
        <v>554</v>
      </c>
    </row>
    <row r="233" spans="1:71" x14ac:dyDescent="0.2">
      <c r="A233" s="115" t="s">
        <v>1252</v>
      </c>
      <c r="B233" s="116" t="str">
        <f>IF(A233="","",_xlfn.XLOOKUP(A233, Company_List!$A:$A, Company_List!$B:$B, ""))</f>
        <v/>
      </c>
      <c r="C233" s="143">
        <v>2025</v>
      </c>
      <c r="D233" s="143" t="s">
        <v>537</v>
      </c>
      <c r="E233" s="98" t="s">
        <v>1121</v>
      </c>
      <c r="F233" s="98" t="s">
        <v>1086</v>
      </c>
      <c r="G233" s="143" t="s">
        <v>610</v>
      </c>
      <c r="H233" s="106" t="s">
        <v>540</v>
      </c>
      <c r="I233" s="145">
        <v>0.4</v>
      </c>
      <c r="J233" s="145" t="str">
        <f>IF(OR(I233="",Settings!$B$6=""),"",IF(I233&gt;Settings!$B$6,"BUY",IF(I233&lt;-Settings!$B$6,"SELL","HOLD")))</f>
        <v>BUY</v>
      </c>
      <c r="K233" s="145">
        <v>3</v>
      </c>
      <c r="L233" s="125">
        <v>45764</v>
      </c>
      <c r="M233" s="140" t="s">
        <v>1253</v>
      </c>
      <c r="N233" s="147">
        <v>2311.3616000000002</v>
      </c>
      <c r="O233" s="140" t="s">
        <v>1254</v>
      </c>
      <c r="P233" s="145">
        <v>2443.6354000000001</v>
      </c>
      <c r="Q233" s="150">
        <f t="shared" si="33"/>
        <v>5.7200000000000001E-2</v>
      </c>
      <c r="R233" s="106" t="str">
        <f>IF(OR(N233="",P233=""),"",IF(Q233&gt;Settings!$B$3/100,"UP",IF(Q233&lt;-Settings!$B$3/100,"DOWN","FLAT")))</f>
        <v>UP</v>
      </c>
      <c r="S233" s="106" t="str">
        <f t="shared" si="34"/>
        <v>YES</v>
      </c>
      <c r="T233" s="105">
        <f t="shared" si="35"/>
        <v>1</v>
      </c>
      <c r="U233" s="150">
        <f>IFERROR(IF(OR(J233="",N233="",P233=""),"",IF(T233=0,0,T233*Q233-Settings!$B$4/10000-IF(T233&lt;0,Settings!$B$5/10000,0))),"")</f>
        <v>5.62E-2</v>
      </c>
      <c r="V233" s="7" t="s">
        <v>1255</v>
      </c>
      <c r="W233" s="21">
        <f t="shared" si="36"/>
        <v>180</v>
      </c>
      <c r="X233" s="91" t="str">
        <f t="shared" si="37"/>
        <v>Hermès|2025|Q1</v>
      </c>
      <c r="Y233" s="91" t="str">
        <f>IFERROR(IF($X233="","",INDEX(LLM_Data_Entry!$H$3:$H$548,MATCH($X233,INDEX(LLM_Data_Entry!$A$3:$A$548&amp;"|"&amp;LLM_Data_Entry!$C$3:$C$548&amp;"|"&amp;LLM_Data_Entry!$D$3:$D$548,0),0))),"")</f>
        <v>HOLD</v>
      </c>
      <c r="Z233" s="91" t="str">
        <f>IFERROR(IF($X233="","",INDEX(LLM_Data_Entry!$R$3:$R$548,MATCH($X233,INDEX(LLM_Data_Entry!$A$3:$A$548&amp;"|"&amp;LLM_Data_Entry!$C$3:$C$548&amp;"|"&amp;LLM_Data_Entry!$D$3:$D$548,0),0))),"")</f>
        <v>NO</v>
      </c>
      <c r="AB233" t="s">
        <v>541</v>
      </c>
      <c r="AC233" t="s">
        <v>1256</v>
      </c>
      <c r="AD233" t="s">
        <v>906</v>
      </c>
      <c r="AE233">
        <v>2317.9596999999999</v>
      </c>
      <c r="AF233" t="s">
        <v>577</v>
      </c>
      <c r="AG233">
        <v>2235.5607</v>
      </c>
      <c r="AH233">
        <v>-3.5548084757161959E-2</v>
      </c>
      <c r="AI233" t="s">
        <v>545</v>
      </c>
      <c r="AJ233" t="s">
        <v>546</v>
      </c>
      <c r="AK233">
        <v>-3.6547999999999997E-2</v>
      </c>
      <c r="AL233" t="str">
        <f>IF($A233="","",IFERROR(INDEX(Company_List!$G$3:$G$207,MATCH($A233,Company_List!$A$3:$A$207,0)),"unassigned"))</f>
        <v>unassigned</v>
      </c>
      <c r="AM233" t="s">
        <v>1257</v>
      </c>
      <c r="AO233" t="s">
        <v>548</v>
      </c>
      <c r="AP233" t="str">
        <f>IF($A233="","",IF(COUNTIFS(LLM_Data_Entry!$A$3:$A$548,$A233)&gt;0,"YES","NO"))</f>
        <v>YES</v>
      </c>
      <c r="AQ233" t="str">
        <f>IF($A233="","",IF(COUNTIFS($A$3:$A233,$A233,$C$3:$C233,$C233,$D$3:$D233,$D233)=1,"YES","NO"))</f>
        <v>YES</v>
      </c>
      <c r="AR233" t="str">
        <f>IF($A233="","",IF(AND($C233&amp;"-"&amp;$D233&gt;=Settings!$B$19,$C233&amp;"-"&amp;$D233&lt;=Settings!$B$20),"IN","OUT"))</f>
        <v>IN</v>
      </c>
      <c r="AS233" t="str">
        <f t="shared" si="38"/>
        <v>financials</v>
      </c>
      <c r="AT233">
        <f t="shared" si="39"/>
        <v>5.62E-2</v>
      </c>
      <c r="AU233">
        <f t="shared" si="40"/>
        <v>-3.6547999999999997E-2</v>
      </c>
      <c r="AV233">
        <f>IF(ISNUMBER($AT233),ABS(IF(ISNUMBER($I233),$I233,0)-Settings!$B$24),"")</f>
        <v>0.4</v>
      </c>
      <c r="AW233">
        <f t="shared" si="41"/>
        <v>2.248E-2</v>
      </c>
      <c r="AX233">
        <f>IF(ISNUMBER($AU233),ABS(IF(ISNUMBER($I233),$I233,0)-Settings!$B$24),"")</f>
        <v>0.4</v>
      </c>
      <c r="AY233" t="s">
        <v>1183</v>
      </c>
      <c r="AZ233" t="str">
        <f>IF($A233="","",IFERROR(INDEX(Company_List!$H$3:$H$207,MATCH($A233,Company_List!$A$3:$A$207,0)),"unassigned"))</f>
        <v>unassigned</v>
      </c>
      <c r="BC233">
        <f>IF($A233="","",IF(COUNTIFS($A$3:$A233,$A233,$C$3:$C233,$C233,$D$3:$D233,$D233,$G$3:$G233,$G233)=1,1,0))</f>
        <v>1</v>
      </c>
      <c r="BG233" t="s">
        <v>550</v>
      </c>
      <c r="BK233">
        <f t="shared" si="42"/>
        <v>0</v>
      </c>
      <c r="BL233" t="s">
        <v>551</v>
      </c>
      <c r="BM233">
        <v>1</v>
      </c>
      <c r="BN233" t="s">
        <v>561</v>
      </c>
      <c r="BO233" t="s">
        <v>561</v>
      </c>
      <c r="BP233" t="s">
        <v>550</v>
      </c>
      <c r="BQ233" t="s">
        <v>550</v>
      </c>
      <c r="BS233" t="s">
        <v>554</v>
      </c>
    </row>
    <row r="234" spans="1:71" x14ac:dyDescent="0.2">
      <c r="A234" s="115" t="s">
        <v>1252</v>
      </c>
      <c r="B234" s="116" t="str">
        <f>IF(A234="","",_xlfn.XLOOKUP(A234, Company_List!$A:$A, Company_List!$B:$B, ""))</f>
        <v/>
      </c>
      <c r="C234" s="143">
        <v>2025</v>
      </c>
      <c r="D234" s="143" t="s">
        <v>555</v>
      </c>
      <c r="E234" s="98" t="s">
        <v>538</v>
      </c>
      <c r="F234" s="98" t="s">
        <v>1090</v>
      </c>
      <c r="G234" s="143" t="s">
        <v>610</v>
      </c>
      <c r="H234" s="106" t="s">
        <v>540</v>
      </c>
      <c r="I234" s="145">
        <v>0.2</v>
      </c>
      <c r="J234" s="145" t="str">
        <f>IF(OR(I234="",Settings!$B$6=""),"",IF(I234&gt;Settings!$B$6,"BUY",IF(I234&lt;-Settings!$B$6,"SELL","HOLD")))</f>
        <v>HOLD</v>
      </c>
      <c r="K234" s="145">
        <v>2</v>
      </c>
      <c r="L234" s="125">
        <v>45868</v>
      </c>
      <c r="M234" s="140" t="s">
        <v>1258</v>
      </c>
      <c r="N234" s="147">
        <v>2290.0630000000001</v>
      </c>
      <c r="O234" s="140" t="s">
        <v>1259</v>
      </c>
      <c r="P234" s="145">
        <v>2272.2417</v>
      </c>
      <c r="Q234" s="150">
        <f t="shared" si="33"/>
        <v>-7.7999999999999996E-3</v>
      </c>
      <c r="R234" s="106" t="str">
        <f>IF(OR(N234="",P234=""),"",IF(Q234&gt;Settings!$B$3/100,"UP",IF(Q234&lt;-Settings!$B$3/100,"DOWN","FLAT")))</f>
        <v>FLAT</v>
      </c>
      <c r="S234" s="106" t="str">
        <f t="shared" si="34"/>
        <v>YES</v>
      </c>
      <c r="T234" s="105">
        <f t="shared" si="35"/>
        <v>0</v>
      </c>
      <c r="U234" s="150">
        <f>IFERROR(IF(OR(J234="",N234="",P234=""),"",IF(T234=0,0,T234*Q234-Settings!$B$4/10000-IF(T234&lt;0,Settings!$B$5/10000,0))),"")</f>
        <v>0</v>
      </c>
      <c r="V234" s="7" t="s">
        <v>1260</v>
      </c>
      <c r="W234" s="21">
        <f t="shared" si="36"/>
        <v>120</v>
      </c>
      <c r="X234" s="91" t="str">
        <f t="shared" si="37"/>
        <v>Hermès|2025|Q2</v>
      </c>
      <c r="Y234" s="91" t="str">
        <f>IFERROR(IF($X234="","",INDEX(LLM_Data_Entry!$H$3:$H$548,MATCH($X234,INDEX(LLM_Data_Entry!$A$3:$A$548&amp;"|"&amp;LLM_Data_Entry!$C$3:$C$548&amp;"|"&amp;LLM_Data_Entry!$D$3:$D$548,0),0))),"")</f>
        <v>SELL</v>
      </c>
      <c r="Z234" s="91">
        <f>IFERROR(IF($X234="","",INDEX(LLM_Data_Entry!$R$3:$R$548,MATCH($X234,INDEX(LLM_Data_Entry!$A$3:$A$548&amp;"|"&amp;LLM_Data_Entry!$C$3:$C$548&amp;"|"&amp;LLM_Data_Entry!$D$3:$D$548,0),0))),"")</f>
        <v>0</v>
      </c>
      <c r="AB234" t="s">
        <v>541</v>
      </c>
      <c r="AC234" t="s">
        <v>1256</v>
      </c>
      <c r="AD234" t="s">
        <v>620</v>
      </c>
      <c r="AE234">
        <v>2354.2770999999998</v>
      </c>
      <c r="AF234" t="s">
        <v>1001</v>
      </c>
      <c r="AG234">
        <v>2300.8157999999999</v>
      </c>
      <c r="AH234">
        <v>-2.2708164520878728E-2</v>
      </c>
      <c r="AI234" t="s">
        <v>545</v>
      </c>
      <c r="AJ234" t="s">
        <v>546</v>
      </c>
      <c r="AK234">
        <v>0</v>
      </c>
      <c r="AL234" t="str">
        <f>IF($A234="","",IFERROR(INDEX(Company_List!$G$3:$G$207,MATCH($A234,Company_List!$A$3:$A$207,0)),"unassigned"))</f>
        <v>unassigned</v>
      </c>
      <c r="AM234" t="s">
        <v>1261</v>
      </c>
      <c r="AO234" t="s">
        <v>593</v>
      </c>
      <c r="AP234" t="str">
        <f>IF($A234="","",IF(COUNTIFS(LLM_Data_Entry!$A$3:$A$548,$A234)&gt;0,"YES","NO"))</f>
        <v>YES</v>
      </c>
      <c r="AQ234" t="str">
        <f>IF($A234="","",IF(COUNTIFS($A$3:$A234,$A234,$C$3:$C234,$C234,$D$3:$D234,$D234)=1,"YES","NO"))</f>
        <v>YES</v>
      </c>
      <c r="AR234" t="str">
        <f>IF($A234="","",IF(AND($C234&amp;"-"&amp;$D234&gt;=Settings!$B$19,$C234&amp;"-"&amp;$D234&lt;=Settings!$B$20),"IN","OUT"))</f>
        <v>IN</v>
      </c>
      <c r="AS234" t="str">
        <f t="shared" si="38"/>
        <v>guidance</v>
      </c>
      <c r="AT234" t="str">
        <f t="shared" si="39"/>
        <v/>
      </c>
      <c r="AU234" t="str">
        <f t="shared" si="40"/>
        <v/>
      </c>
      <c r="AV234" t="str">
        <f>IF(ISNUMBER($AT234),ABS(IF(ISNUMBER($I234),$I234,0)-Settings!$B$24),"")</f>
        <v/>
      </c>
      <c r="AW234" t="str">
        <f t="shared" si="41"/>
        <v/>
      </c>
      <c r="AX234" t="str">
        <f>IF(ISNUMBER($AU234),ABS(IF(ISNUMBER($I234),$I234,0)-Settings!$B$24),"")</f>
        <v/>
      </c>
      <c r="AY234" t="s">
        <v>1183</v>
      </c>
      <c r="AZ234" t="str">
        <f>IF($A234="","",IFERROR(INDEX(Company_List!$H$3:$H$207,MATCH($A234,Company_List!$A$3:$A$207,0)),"unassigned"))</f>
        <v>unassigned</v>
      </c>
      <c r="BC234">
        <f>IF($A234="","",IF(COUNTIFS($A$3:$A234,$A234,$C$3:$C234,$C234,$D$3:$D234,$D234,$G$3:$G234,$G234)=1,1,0))</f>
        <v>1</v>
      </c>
      <c r="BG234" t="s">
        <v>550</v>
      </c>
      <c r="BK234">
        <f t="shared" si="42"/>
        <v>0</v>
      </c>
      <c r="BL234" t="s">
        <v>551</v>
      </c>
      <c r="BM234">
        <v>4</v>
      </c>
      <c r="BN234" t="s">
        <v>1262</v>
      </c>
      <c r="BO234" t="s">
        <v>553</v>
      </c>
      <c r="BP234" t="s">
        <v>550</v>
      </c>
      <c r="BQ234" t="s">
        <v>550</v>
      </c>
      <c r="BS234" t="s">
        <v>554</v>
      </c>
    </row>
    <row r="235" spans="1:71" x14ac:dyDescent="0.2">
      <c r="A235" s="115" t="s">
        <v>1252</v>
      </c>
      <c r="B235" s="116" t="str">
        <f>IF(A235="","",_xlfn.XLOOKUP(A235, Company_List!$A:$A, Company_List!$B:$B, ""))</f>
        <v/>
      </c>
      <c r="C235" s="143">
        <v>2025</v>
      </c>
      <c r="D235" s="143" t="s">
        <v>563</v>
      </c>
      <c r="E235" s="98" t="s">
        <v>647</v>
      </c>
      <c r="F235" s="98" t="s">
        <v>1092</v>
      </c>
      <c r="G235" s="143" t="s">
        <v>610</v>
      </c>
      <c r="H235" s="106" t="s">
        <v>540</v>
      </c>
      <c r="I235" s="145">
        <v>0.7</v>
      </c>
      <c r="J235" s="145" t="str">
        <f>IF(OR(I235="",Settings!$B$6=""),"",IF(I235&gt;Settings!$B$6,"BUY",IF(I235&lt;-Settings!$B$6,"SELL","HOLD")))</f>
        <v>BUY</v>
      </c>
      <c r="K235" s="145">
        <v>10</v>
      </c>
      <c r="L235" s="125">
        <v>45952</v>
      </c>
      <c r="M235" s="140" t="s">
        <v>1217</v>
      </c>
      <c r="N235" s="147">
        <v>2106.4025999999999</v>
      </c>
      <c r="O235" s="140" t="s">
        <v>1218</v>
      </c>
      <c r="P235" s="145">
        <v>2105.9077000000002</v>
      </c>
      <c r="Q235" s="150">
        <f t="shared" si="33"/>
        <v>-2.0000000000000001E-4</v>
      </c>
      <c r="R235" s="106" t="str">
        <f>IF(OR(N235="",P235=""),"",IF(Q235&gt;Settings!$B$3/100,"UP",IF(Q235&lt;-Settings!$B$3/100,"DOWN","FLAT")))</f>
        <v>FLAT</v>
      </c>
      <c r="S235" s="106" t="str">
        <f t="shared" si="34"/>
        <v>NO</v>
      </c>
      <c r="T235" s="105">
        <f t="shared" si="35"/>
        <v>1</v>
      </c>
      <c r="U235" s="150">
        <f>IFERROR(IF(OR(J235="",N235="",P235=""),"",IF(T235=0,0,T235*Q235-Settings!$B$4/10000-IF(T235&lt;0,Settings!$B$5/10000,0))),"")</f>
        <v>-1.2000000000000001E-3</v>
      </c>
      <c r="V235" s="7" t="s">
        <v>1263</v>
      </c>
      <c r="W235" s="21">
        <f t="shared" si="36"/>
        <v>600</v>
      </c>
      <c r="X235" s="91" t="str">
        <f t="shared" si="37"/>
        <v>Hermès|2025|Q3</v>
      </c>
      <c r="Y235" s="91" t="str">
        <f>IFERROR(IF($X235="","",INDEX(LLM_Data_Entry!$H$3:$H$548,MATCH($X235,INDEX(LLM_Data_Entry!$A$3:$A$548&amp;"|"&amp;LLM_Data_Entry!$C$3:$C$548&amp;"|"&amp;LLM_Data_Entry!$D$3:$D$548,0),0))),"")</f>
        <v>HOLD</v>
      </c>
      <c r="Z235" s="91">
        <f>IFERROR(IF($X235="","",INDEX(LLM_Data_Entry!$R$3:$R$548,MATCH($X235,INDEX(LLM_Data_Entry!$A$3:$A$548&amp;"|"&amp;LLM_Data_Entry!$C$3:$C$548&amp;"|"&amp;LLM_Data_Entry!$D$3:$D$548,0),0))),"")</f>
        <v>0</v>
      </c>
      <c r="AB235" t="s">
        <v>541</v>
      </c>
      <c r="AC235" t="s">
        <v>1256</v>
      </c>
      <c r="AD235" t="s">
        <v>565</v>
      </c>
      <c r="AE235">
        <v>2227.5540000000001</v>
      </c>
      <c r="AF235" t="s">
        <v>566</v>
      </c>
      <c r="AG235">
        <v>2161.2221</v>
      </c>
      <c r="AH235">
        <v>-2.9777881179005729E-2</v>
      </c>
      <c r="AI235" t="s">
        <v>545</v>
      </c>
      <c r="AJ235" t="s">
        <v>546</v>
      </c>
      <c r="AK235">
        <v>-3.0778E-2</v>
      </c>
      <c r="AL235" t="str">
        <f>IF($A235="","",IFERROR(INDEX(Company_List!$G$3:$G$207,MATCH($A235,Company_List!$A$3:$A$207,0)),"unassigned"))</f>
        <v>unassigned</v>
      </c>
      <c r="AM235" t="s">
        <v>1264</v>
      </c>
      <c r="AO235" t="s">
        <v>548</v>
      </c>
      <c r="AP235" t="str">
        <f>IF($A235="","",IF(COUNTIFS(LLM_Data_Entry!$A$3:$A$548,$A235)&gt;0,"YES","NO"))</f>
        <v>YES</v>
      </c>
      <c r="AQ235" t="str">
        <f>IF($A235="","",IF(COUNTIFS($A$3:$A235,$A235,$C$3:$C235,$C235,$D$3:$D235,$D235)=1,"YES","NO"))</f>
        <v>YES</v>
      </c>
      <c r="AR235" t="str">
        <f>IF($A235="","",IF(AND($C235&amp;"-"&amp;$D235&gt;=Settings!$B$19,$C235&amp;"-"&amp;$D235&lt;=Settings!$B$20),"IN","OUT"))</f>
        <v>IN</v>
      </c>
      <c r="AS235" t="str">
        <f t="shared" si="38"/>
        <v>qanda</v>
      </c>
      <c r="AT235">
        <f t="shared" si="39"/>
        <v>-1.2000000000000001E-3</v>
      </c>
      <c r="AU235">
        <f t="shared" si="40"/>
        <v>-3.0778E-2</v>
      </c>
      <c r="AV235">
        <f>IF(ISNUMBER($AT235),ABS(IF(ISNUMBER($I235),$I235,0)-Settings!$B$24),"")</f>
        <v>0.7</v>
      </c>
      <c r="AW235">
        <f t="shared" si="41"/>
        <v>-8.4000000000000003E-4</v>
      </c>
      <c r="AX235">
        <f>IF(ISNUMBER($AU235),ABS(IF(ISNUMBER($I235),$I235,0)-Settings!$B$24),"")</f>
        <v>0.7</v>
      </c>
      <c r="AY235" t="s">
        <v>1183</v>
      </c>
      <c r="AZ235" t="str">
        <f>IF($A235="","",IFERROR(INDEX(Company_List!$H$3:$H$207,MATCH($A235,Company_List!$A$3:$A$207,0)),"unassigned"))</f>
        <v>unassigned</v>
      </c>
      <c r="BC235">
        <f>IF($A235="","",IF(COUNTIFS($A$3:$A235,$A235,$C$3:$C235,$C235,$D$3:$D235,$D235,$G$3:$G235,$G235)=1,1,0))</f>
        <v>1</v>
      </c>
      <c r="BG235" t="s">
        <v>550</v>
      </c>
      <c r="BK235">
        <f t="shared" si="42"/>
        <v>0</v>
      </c>
      <c r="BL235" t="s">
        <v>551</v>
      </c>
      <c r="BM235">
        <v>1</v>
      </c>
      <c r="BN235" t="s">
        <v>1262</v>
      </c>
      <c r="BO235" t="s">
        <v>553</v>
      </c>
      <c r="BP235" t="s">
        <v>550</v>
      </c>
      <c r="BQ235" t="s">
        <v>550</v>
      </c>
      <c r="BS235" t="s">
        <v>554</v>
      </c>
    </row>
    <row r="236" spans="1:71" x14ac:dyDescent="0.2">
      <c r="A236" s="115" t="s">
        <v>1252</v>
      </c>
      <c r="B236" s="116" t="str">
        <f>IF(A236="","",_xlfn.XLOOKUP(A236, Company_List!$A:$A, Company_List!$B:$B, ""))</f>
        <v/>
      </c>
      <c r="C236" s="143">
        <v>2025</v>
      </c>
      <c r="D236" s="143" t="s">
        <v>569</v>
      </c>
      <c r="E236" s="98" t="s">
        <v>538</v>
      </c>
      <c r="F236" s="98" t="s">
        <v>538</v>
      </c>
      <c r="G236" s="143" t="s">
        <v>610</v>
      </c>
      <c r="H236" s="106" t="s">
        <v>540</v>
      </c>
      <c r="I236" s="145">
        <v>0.7</v>
      </c>
      <c r="J236" s="145" t="str">
        <f>IF(OR(I236="",Settings!$B$6=""),"",IF(I236&gt;Settings!$B$6,"BUY",IF(I236&lt;-Settings!$B$6,"SELL","HOLD")))</f>
        <v>BUY</v>
      </c>
      <c r="K236" s="145">
        <v>21</v>
      </c>
      <c r="L236" s="125">
        <v>46065</v>
      </c>
      <c r="M236" s="140" t="s">
        <v>1265</v>
      </c>
      <c r="N236" s="147">
        <v>2201.9456</v>
      </c>
      <c r="O236" s="140" t="s">
        <v>570</v>
      </c>
      <c r="P236" s="145">
        <v>2070.2646</v>
      </c>
      <c r="Q236" s="150">
        <f t="shared" si="33"/>
        <v>-5.9799999999999999E-2</v>
      </c>
      <c r="R236" s="106" t="str">
        <f>IF(OR(N236="",P236=""),"",IF(Q236&gt;Settings!$B$3/100,"UP",IF(Q236&lt;-Settings!$B$3/100,"DOWN","FLAT")))</f>
        <v>DOWN</v>
      </c>
      <c r="S236" s="106" t="str">
        <f t="shared" si="34"/>
        <v>NO</v>
      </c>
      <c r="T236" s="105">
        <f t="shared" si="35"/>
        <v>1</v>
      </c>
      <c r="U236" s="150">
        <f>IFERROR(IF(OR(J236="",N236="",P236=""),"",IF(T236=0,0,T236*Q236-Settings!$B$4/10000-IF(T236&lt;0,Settings!$B$5/10000,0))),"")</f>
        <v>-6.08E-2</v>
      </c>
      <c r="V236" s="7" t="s">
        <v>1266</v>
      </c>
      <c r="W236" s="21">
        <f t="shared" si="36"/>
        <v>1260</v>
      </c>
      <c r="X236" s="91" t="str">
        <f t="shared" si="37"/>
        <v>Hermès|2025|Q4</v>
      </c>
      <c r="Y236" s="91" t="str">
        <f>IFERROR(IF($X236="","",INDEX(LLM_Data_Entry!$H$3:$H$548,MATCH($X236,INDEX(LLM_Data_Entry!$A$3:$A$548&amp;"|"&amp;LLM_Data_Entry!$C$3:$C$548&amp;"|"&amp;LLM_Data_Entry!$D$3:$D$548,0),0))),"")</f>
        <v>HOLD</v>
      </c>
      <c r="Z236" s="91" t="str">
        <f>IFERROR(IF($X236="","",INDEX(LLM_Data_Entry!$R$3:$R$548,MATCH($X236,INDEX(LLM_Data_Entry!$A$3:$A$548&amp;"|"&amp;LLM_Data_Entry!$C$3:$C$548&amp;"|"&amp;LLM_Data_Entry!$D$3:$D$548,0),0))),"")</f>
        <v>NO</v>
      </c>
      <c r="AB236" t="s">
        <v>1247</v>
      </c>
      <c r="AC236" t="s">
        <v>1256</v>
      </c>
      <c r="AD236" t="s">
        <v>676</v>
      </c>
      <c r="AE236">
        <v>2098.8508000000002</v>
      </c>
      <c r="AF236" t="s">
        <v>677</v>
      </c>
      <c r="AG236">
        <v>2143.402</v>
      </c>
      <c r="AH236">
        <v>2.122647738086918E-2</v>
      </c>
      <c r="AI236" t="s">
        <v>591</v>
      </c>
      <c r="AJ236" t="s">
        <v>554</v>
      </c>
      <c r="AK236">
        <v>2.0226000000000001E-2</v>
      </c>
      <c r="AL236" t="str">
        <f>IF($A236="","",IFERROR(INDEX(Company_List!$G$3:$G$207,MATCH($A236,Company_List!$A$3:$A$207,0)),"unassigned"))</f>
        <v>unassigned</v>
      </c>
      <c r="AM236" t="s">
        <v>1267</v>
      </c>
      <c r="AO236" t="s">
        <v>593</v>
      </c>
      <c r="AP236" t="str">
        <f>IF($A236="","",IF(COUNTIFS(LLM_Data_Entry!$A$3:$A$548,$A236)&gt;0,"YES","NO"))</f>
        <v>YES</v>
      </c>
      <c r="AQ236" t="str">
        <f>IF($A236="","",IF(COUNTIFS($A$3:$A236,$A236,$C$3:$C236,$C236,$D$3:$D236,$D236)=1,"YES","NO"))</f>
        <v>YES</v>
      </c>
      <c r="AR236" t="str">
        <f>IF($A236="","",IF(AND($C236&amp;"-"&amp;$D236&gt;=Settings!$B$19,$C236&amp;"-"&amp;$D236&lt;=Settings!$B$20),"IN","OUT"))</f>
        <v>IN</v>
      </c>
      <c r="AS236" t="str">
        <f t="shared" si="38"/>
        <v>full</v>
      </c>
      <c r="AT236">
        <f t="shared" si="39"/>
        <v>-6.08E-2</v>
      </c>
      <c r="AU236">
        <f t="shared" si="40"/>
        <v>2.0226000000000001E-2</v>
      </c>
      <c r="AV236">
        <f>IF(ISNUMBER($AT236),ABS(IF(ISNUMBER($I236),$I236,0)-Settings!$B$24),"")</f>
        <v>0.7</v>
      </c>
      <c r="AW236">
        <f t="shared" si="41"/>
        <v>-4.2560000000000001E-2</v>
      </c>
      <c r="AX236">
        <f>IF(ISNUMBER($AU236),ABS(IF(ISNUMBER($I236),$I236,0)-Settings!$B$24),"")</f>
        <v>0.7</v>
      </c>
      <c r="AY236" t="s">
        <v>1183</v>
      </c>
      <c r="AZ236" t="str">
        <f>IF($A236="","",IFERROR(INDEX(Company_List!$H$3:$H$207,MATCH($A236,Company_List!$A$3:$A$207,0)),"unassigned"))</f>
        <v>unassigned</v>
      </c>
      <c r="BA236">
        <v>1</v>
      </c>
      <c r="BB236">
        <v>1</v>
      </c>
      <c r="BC236">
        <f>IF($A236="","",IF(COUNTIFS($A$3:$A236,$A236,$C$3:$C236,$C236,$D$3:$D236,$D236,$G$3:$G236,$G236)=1,1,0))</f>
        <v>1</v>
      </c>
      <c r="BD236">
        <v>21</v>
      </c>
      <c r="BG236" t="s">
        <v>550</v>
      </c>
      <c r="BJ236" t="s">
        <v>1268</v>
      </c>
      <c r="BK236">
        <f t="shared" si="42"/>
        <v>0</v>
      </c>
      <c r="BL236" t="s">
        <v>1269</v>
      </c>
      <c r="BM236">
        <v>5</v>
      </c>
      <c r="BN236" t="s">
        <v>1262</v>
      </c>
      <c r="BO236" t="s">
        <v>553</v>
      </c>
      <c r="BP236" t="s">
        <v>550</v>
      </c>
      <c r="BQ236" t="s">
        <v>550</v>
      </c>
      <c r="BS236" t="s">
        <v>554</v>
      </c>
    </row>
    <row r="237" spans="1:71" x14ac:dyDescent="0.2">
      <c r="A237" s="115" t="s">
        <v>1270</v>
      </c>
      <c r="B237" s="116" t="str">
        <f>IF(A237="","",_xlfn.XLOOKUP(A237, Company_List!$A:$A, Company_List!$B:$B, ""))</f>
        <v>DAL</v>
      </c>
      <c r="C237" s="143">
        <v>2025</v>
      </c>
      <c r="D237" s="143" t="s">
        <v>537</v>
      </c>
      <c r="E237" s="98" t="s">
        <v>1121</v>
      </c>
      <c r="F237" s="98" t="s">
        <v>1086</v>
      </c>
      <c r="G237" s="143" t="s">
        <v>610</v>
      </c>
      <c r="H237" s="106" t="s">
        <v>540</v>
      </c>
      <c r="I237" s="145">
        <v>0.2</v>
      </c>
      <c r="J237" s="145" t="str">
        <f>IF(OR(I237="",Settings!$B$6=""),"",IF(I237&gt;Settings!$B$6,"BUY",IF(I237&lt;-Settings!$B$6,"SELL","HOLD")))</f>
        <v>HOLD</v>
      </c>
      <c r="K237" s="145">
        <v>3</v>
      </c>
      <c r="L237" s="125">
        <v>45756</v>
      </c>
      <c r="M237" s="140">
        <v>45755</v>
      </c>
      <c r="N237" s="147">
        <v>35.880000000000003</v>
      </c>
      <c r="O237" s="140">
        <v>45756</v>
      </c>
      <c r="P237" s="145">
        <v>36.909999999999997</v>
      </c>
      <c r="Q237" s="150">
        <f t="shared" si="33"/>
        <v>2.87E-2</v>
      </c>
      <c r="R237" s="106" t="str">
        <f>IF(OR(N237="",P237=""),"",IF(Q237&gt;Settings!$B$3/100,"UP",IF(Q237&lt;-Settings!$B$3/100,"DOWN","FLAT")))</f>
        <v>UP</v>
      </c>
      <c r="S237" s="106" t="str">
        <f t="shared" si="34"/>
        <v>NO</v>
      </c>
      <c r="T237" s="105">
        <f t="shared" si="35"/>
        <v>0</v>
      </c>
      <c r="U237" s="150">
        <f>IFERROR(IF(OR(J237="",N237="",P237=""),"",IF(T237=0,0,T237*Q237-Settings!$B$4/10000-IF(T237&lt;0,Settings!$B$5/10000,0))),"")</f>
        <v>0</v>
      </c>
      <c r="V237" s="7" t="s">
        <v>1271</v>
      </c>
      <c r="W237" s="21">
        <f t="shared" si="36"/>
        <v>180</v>
      </c>
      <c r="X237" s="91" t="str">
        <f t="shared" si="37"/>
        <v>Delta Air Lines|2025|Q1</v>
      </c>
      <c r="Y237" s="91" t="str">
        <f>IFERROR(IF($X237="","",INDEX(LLM_Data_Entry!$H$3:$H$548,MATCH($X237,INDEX(LLM_Data_Entry!$A$3:$A$548&amp;"|"&amp;LLM_Data_Entry!$C$3:$C$548&amp;"|"&amp;LLM_Data_Entry!$D$3:$D$548,0),0))),"")</f>
        <v>SELL</v>
      </c>
      <c r="Z237" s="91" t="str">
        <f>IFERROR(IF($X237="","",INDEX(LLM_Data_Entry!$R$3:$R$548,MATCH($X237,INDEX(LLM_Data_Entry!$A$3:$A$548&amp;"|"&amp;LLM_Data_Entry!$C$3:$C$548&amp;"|"&amp;LLM_Data_Entry!$D$3:$D$548,0),0))),"")</f>
        <v>NO</v>
      </c>
      <c r="AB237" t="s">
        <v>1249</v>
      </c>
      <c r="AC237" t="s">
        <v>1272</v>
      </c>
      <c r="AD237" t="s">
        <v>1273</v>
      </c>
      <c r="AE237">
        <v>35.263500000000001</v>
      </c>
      <c r="AF237" t="s">
        <v>1274</v>
      </c>
      <c r="AG237">
        <v>36.275799999999997</v>
      </c>
      <c r="AH237">
        <v>2.870683073156623E-2</v>
      </c>
      <c r="AI237" t="s">
        <v>591</v>
      </c>
      <c r="AJ237" t="s">
        <v>546</v>
      </c>
      <c r="AK237">
        <v>0</v>
      </c>
      <c r="AL237" t="str">
        <f>IF($A237="","",IFERROR(INDEX(Company_List!$G$3:$G$207,MATCH($A237,Company_List!$A$3:$A$207,0)),"unassigned"))</f>
        <v>P3</v>
      </c>
      <c r="AM237" t="s">
        <v>1275</v>
      </c>
      <c r="AN237" t="s">
        <v>1276</v>
      </c>
      <c r="AO237" t="s">
        <v>560</v>
      </c>
      <c r="AP237" t="str">
        <f>IF($A237="","",IF(COUNTIFS(LLM_Data_Entry!$A$3:$A$548,$A237)&gt;0,"YES","NO"))</f>
        <v>YES</v>
      </c>
      <c r="AQ237" t="str">
        <f>IF($A237="","",IF(COUNTIFS($A$3:$A237,$A237,$C$3:$C237,$C237,$D$3:$D237,$D237)=1,"YES","NO"))</f>
        <v>YES</v>
      </c>
      <c r="AR237" t="str">
        <f>IF($A237="","",IF(AND($C237&amp;"-"&amp;$D237&gt;=Settings!$B$19,$C237&amp;"-"&amp;$D237&lt;=Settings!$B$20),"IN","OUT"))</f>
        <v>IN</v>
      </c>
      <c r="AS237" t="str">
        <f t="shared" si="38"/>
        <v>financials</v>
      </c>
      <c r="AT237" t="str">
        <f t="shared" si="39"/>
        <v/>
      </c>
      <c r="AU237" t="str">
        <f t="shared" si="40"/>
        <v/>
      </c>
      <c r="AV237" t="str">
        <f>IF(ISNUMBER($AT237),ABS(IF(ISNUMBER($I237),$I237,0)-Settings!$B$24),"")</f>
        <v/>
      </c>
      <c r="AW237" t="str">
        <f t="shared" si="41"/>
        <v/>
      </c>
      <c r="AX237" t="str">
        <f>IF(ISNUMBER($AU237),ABS(IF(ISNUMBER($I237),$I237,0)-Settings!$B$24),"")</f>
        <v/>
      </c>
      <c r="AY237" t="s">
        <v>549</v>
      </c>
      <c r="AZ237" t="str">
        <f>IF($A237="","",IFERROR(INDEX(Company_List!$H$3:$H$207,MATCH($A237,Company_List!$A$3:$A$207,0)),"unassigned"))</f>
        <v>Industrials</v>
      </c>
      <c r="BA237">
        <v>1</v>
      </c>
      <c r="BB237">
        <v>1</v>
      </c>
      <c r="BC237">
        <f>IF($A237="","",IF(COUNTIFS($A$3:$A237,$A237,$C$3:$C237,$C237,$D$3:$D237,$D237,$G$3:$G237,$G237)=1,1,0))</f>
        <v>1</v>
      </c>
      <c r="BD237">
        <v>3</v>
      </c>
      <c r="BG237" t="s">
        <v>550</v>
      </c>
      <c r="BJ237" t="s">
        <v>1268</v>
      </c>
      <c r="BK237">
        <f t="shared" si="42"/>
        <v>0</v>
      </c>
      <c r="BL237" t="s">
        <v>1269</v>
      </c>
      <c r="BM237">
        <v>1</v>
      </c>
      <c r="BN237" t="s">
        <v>561</v>
      </c>
      <c r="BO237" t="s">
        <v>561</v>
      </c>
      <c r="BP237" t="s">
        <v>550</v>
      </c>
      <c r="BQ237" t="s">
        <v>562</v>
      </c>
      <c r="BS237" t="s">
        <v>554</v>
      </c>
    </row>
    <row r="238" spans="1:71" x14ac:dyDescent="0.2">
      <c r="A238" s="115" t="s">
        <v>1270</v>
      </c>
      <c r="B238" s="116" t="str">
        <f>IF(A238="","",_xlfn.XLOOKUP(A238, Company_List!$A:$A, Company_List!$B:$B, ""))</f>
        <v>DAL</v>
      </c>
      <c r="C238" s="143">
        <v>2025</v>
      </c>
      <c r="D238" s="143" t="s">
        <v>555</v>
      </c>
      <c r="E238" s="98" t="s">
        <v>1121</v>
      </c>
      <c r="F238" s="98" t="s">
        <v>1090</v>
      </c>
      <c r="G238" s="143" t="s">
        <v>610</v>
      </c>
      <c r="H238" s="106" t="s">
        <v>540</v>
      </c>
      <c r="I238" s="145">
        <v>-0.3</v>
      </c>
      <c r="J238" s="145" t="str">
        <f>IF(OR(I238="",Settings!$B$6=""),"",IF(I238&gt;Settings!$B$6,"BUY",IF(I238&lt;-Settings!$B$6,"SELL","HOLD")))</f>
        <v>SELL</v>
      </c>
      <c r="K238" s="145">
        <v>10</v>
      </c>
      <c r="L238" s="125">
        <v>45848</v>
      </c>
      <c r="M238" s="140">
        <v>45847</v>
      </c>
      <c r="N238" s="147">
        <v>50.7</v>
      </c>
      <c r="O238" s="140">
        <v>45848</v>
      </c>
      <c r="P238" s="145">
        <v>56.2</v>
      </c>
      <c r="Q238" s="150">
        <f t="shared" si="33"/>
        <v>0.1085</v>
      </c>
      <c r="R238" s="106" t="str">
        <f>IF(OR(N238="",P238=""),"",IF(Q238&gt;Settings!$B$3/100,"UP",IF(Q238&lt;-Settings!$B$3/100,"DOWN","FLAT")))</f>
        <v>UP</v>
      </c>
      <c r="S238" s="106" t="str">
        <f t="shared" si="34"/>
        <v>NO</v>
      </c>
      <c r="T238" s="105">
        <f t="shared" si="35"/>
        <v>-1</v>
      </c>
      <c r="U238" s="150">
        <f>IFERROR(IF(OR(J238="",N238="",P238=""),"",IF(T238=0,0,T238*Q238-Settings!$B$4/10000-IF(T238&lt;0,Settings!$B$5/10000,0))),"")</f>
        <v>-0.1095</v>
      </c>
      <c r="V238" s="7" t="s">
        <v>1277</v>
      </c>
      <c r="W238" s="21">
        <f t="shared" si="36"/>
        <v>600</v>
      </c>
      <c r="X238" s="91" t="str">
        <f t="shared" si="37"/>
        <v>Delta Air Lines|2025|Q2</v>
      </c>
      <c r="Y238" s="91" t="str">
        <f>IFERROR(IF($X238="","",INDEX(LLM_Data_Entry!$H$3:$H$548,MATCH($X238,INDEX(LLM_Data_Entry!$A$3:$A$548&amp;"|"&amp;LLM_Data_Entry!$C$3:$C$548&amp;"|"&amp;LLM_Data_Entry!$D$3:$D$548,0),0))),"")</f>
        <v>HOLD</v>
      </c>
      <c r="Z238" s="91" t="str">
        <f>IFERROR(IF($X238="","",INDEX(LLM_Data_Entry!$R$3:$R$548,MATCH($X238,INDEX(LLM_Data_Entry!$A$3:$A$548&amp;"|"&amp;LLM_Data_Entry!$C$3:$C$548&amp;"|"&amp;LLM_Data_Entry!$D$3:$D$548,0),0))),"")</f>
        <v>NO</v>
      </c>
      <c r="AB238" t="s">
        <v>1247</v>
      </c>
      <c r="AC238" t="s">
        <v>1272</v>
      </c>
      <c r="AD238" t="s">
        <v>1278</v>
      </c>
      <c r="AE238">
        <v>49.9754</v>
      </c>
      <c r="AF238" t="s">
        <v>1279</v>
      </c>
      <c r="AG238">
        <v>55.396799999999999</v>
      </c>
      <c r="AH238">
        <v>0.1084811517633692</v>
      </c>
      <c r="AI238" t="s">
        <v>591</v>
      </c>
      <c r="AJ238" t="s">
        <v>546</v>
      </c>
      <c r="AK238">
        <v>-0.10948099999999999</v>
      </c>
      <c r="AL238" t="str">
        <f>IF($A238="","",IFERROR(INDEX(Company_List!$G$3:$G$207,MATCH($A238,Company_List!$A$3:$A$207,0)),"unassigned"))</f>
        <v>P3</v>
      </c>
      <c r="AM238" t="s">
        <v>1280</v>
      </c>
      <c r="AO238" t="s">
        <v>548</v>
      </c>
      <c r="AP238" t="str">
        <f>IF($A238="","",IF(COUNTIFS(LLM_Data_Entry!$A$3:$A$548,$A238)&gt;0,"YES","NO"))</f>
        <v>YES</v>
      </c>
      <c r="AQ238" t="str">
        <f>IF($A238="","",IF(COUNTIFS($A$3:$A238,$A238,$C$3:$C238,$C238,$D$3:$D238,$D238)=1,"YES","NO"))</f>
        <v>YES</v>
      </c>
      <c r="AR238" t="str">
        <f>IF($A238="","",IF(AND($C238&amp;"-"&amp;$D238&gt;=Settings!$B$19,$C238&amp;"-"&amp;$D238&lt;=Settings!$B$20),"IN","OUT"))</f>
        <v>IN</v>
      </c>
      <c r="AS238" t="str">
        <f t="shared" si="38"/>
        <v>guidance</v>
      </c>
      <c r="AT238">
        <f t="shared" si="39"/>
        <v>-0.1095</v>
      </c>
      <c r="AU238">
        <f t="shared" si="40"/>
        <v>-0.10948099999999999</v>
      </c>
      <c r="AV238">
        <f>IF(ISNUMBER($AT238),ABS(IF(ISNUMBER($I238),$I238,0)-Settings!$B$24),"")</f>
        <v>0.3</v>
      </c>
      <c r="AW238">
        <f t="shared" si="41"/>
        <v>-3.2849999999999997E-2</v>
      </c>
      <c r="AX238">
        <f>IF(ISNUMBER($AU238),ABS(IF(ISNUMBER($I238),$I238,0)-Settings!$B$24),"")</f>
        <v>0.3</v>
      </c>
      <c r="AY238" t="s">
        <v>549</v>
      </c>
      <c r="AZ238" t="str">
        <f>IF($A238="","",IFERROR(INDEX(Company_List!$H$3:$H$207,MATCH($A238,Company_List!$A$3:$A$207,0)),"unassigned"))</f>
        <v>Industrials</v>
      </c>
      <c r="BA238">
        <v>1</v>
      </c>
      <c r="BB238">
        <v>1</v>
      </c>
      <c r="BC238">
        <f>IF($A238="","",IF(COUNTIFS($A$3:$A238,$A238,$C$3:$C238,$C238,$D$3:$D238,$D238,$G$3:$G238,$G238)=1,1,0))</f>
        <v>1</v>
      </c>
      <c r="BD238">
        <v>10</v>
      </c>
      <c r="BG238" t="s">
        <v>550</v>
      </c>
      <c r="BJ238" t="s">
        <v>1268</v>
      </c>
      <c r="BK238">
        <f t="shared" si="42"/>
        <v>0</v>
      </c>
      <c r="BL238" t="s">
        <v>1269</v>
      </c>
      <c r="BM238">
        <v>1</v>
      </c>
      <c r="BN238" t="s">
        <v>561</v>
      </c>
      <c r="BO238" t="s">
        <v>561</v>
      </c>
      <c r="BP238" t="s">
        <v>550</v>
      </c>
      <c r="BQ238" t="s">
        <v>550</v>
      </c>
      <c r="BS238" t="s">
        <v>554</v>
      </c>
    </row>
    <row r="239" spans="1:71" x14ac:dyDescent="0.2">
      <c r="A239" s="115" t="s">
        <v>1270</v>
      </c>
      <c r="B239" s="116" t="str">
        <f>IF(A239="","",_xlfn.XLOOKUP(A239, Company_List!$A:$A, Company_List!$B:$B, ""))</f>
        <v>DAL</v>
      </c>
      <c r="C239" s="143">
        <v>2025</v>
      </c>
      <c r="D239" s="143" t="s">
        <v>563</v>
      </c>
      <c r="E239" s="98" t="s">
        <v>647</v>
      </c>
      <c r="F239" s="98" t="s">
        <v>1092</v>
      </c>
      <c r="G239" s="143" t="s">
        <v>610</v>
      </c>
      <c r="H239" s="106" t="s">
        <v>540</v>
      </c>
      <c r="I239" s="145">
        <v>-0.4</v>
      </c>
      <c r="J239" s="145" t="str">
        <f>IF(OR(I239="",Settings!$B$6=""),"",IF(I239&gt;Settings!$B$6,"BUY",IF(I239&lt;-Settings!$B$6,"SELL","HOLD")))</f>
        <v>SELL</v>
      </c>
      <c r="K239" s="145">
        <v>15</v>
      </c>
      <c r="L239" s="125">
        <v>45939</v>
      </c>
      <c r="M239" s="140">
        <v>45938</v>
      </c>
      <c r="N239" s="147">
        <v>57.12</v>
      </c>
      <c r="O239" s="140">
        <v>45939</v>
      </c>
      <c r="P239" s="145">
        <v>61.9</v>
      </c>
      <c r="Q239" s="150">
        <f t="shared" si="33"/>
        <v>8.3699999999999997E-2</v>
      </c>
      <c r="R239" s="106" t="str">
        <f>IF(OR(N239="",P239=""),"",IF(Q239&gt;Settings!$B$3/100,"UP",IF(Q239&lt;-Settings!$B$3/100,"DOWN","FLAT")))</f>
        <v>UP</v>
      </c>
      <c r="S239" s="106" t="str">
        <f t="shared" si="34"/>
        <v>NO</v>
      </c>
      <c r="T239" s="105">
        <f t="shared" si="35"/>
        <v>-1</v>
      </c>
      <c r="U239" s="150">
        <f>IFERROR(IF(OR(J239="",N239="",P239=""),"",IF(T239=0,0,T239*Q239-Settings!$B$4/10000-IF(T239&lt;0,Settings!$B$5/10000,0))),"")</f>
        <v>-8.4699999999999998E-2</v>
      </c>
      <c r="V239" s="7" t="s">
        <v>1281</v>
      </c>
      <c r="W239" s="21">
        <f t="shared" si="36"/>
        <v>900</v>
      </c>
      <c r="X239" s="91" t="str">
        <f t="shared" si="37"/>
        <v>Delta Air Lines|2025|Q3</v>
      </c>
      <c r="Y239" s="91" t="str">
        <f>IFERROR(IF($X239="","",INDEX(LLM_Data_Entry!$H$3:$H$548,MATCH($X239,INDEX(LLM_Data_Entry!$A$3:$A$548&amp;"|"&amp;LLM_Data_Entry!$C$3:$C$548&amp;"|"&amp;LLM_Data_Entry!$D$3:$D$548,0),0))),"")</f>
        <v>BUY</v>
      </c>
      <c r="Z239" s="91" t="str">
        <f>IFERROR(IF($X239="","",INDEX(LLM_Data_Entry!$R$3:$R$548,MATCH($X239,INDEX(LLM_Data_Entry!$A$3:$A$548&amp;"|"&amp;LLM_Data_Entry!$C$3:$C$548&amp;"|"&amp;LLM_Data_Entry!$D$3:$D$548,0),0))),"")</f>
        <v>YES</v>
      </c>
      <c r="AB239" t="s">
        <v>1247</v>
      </c>
      <c r="AC239" t="s">
        <v>1272</v>
      </c>
      <c r="AD239" t="s">
        <v>1282</v>
      </c>
      <c r="AE239">
        <v>56.501899999999999</v>
      </c>
      <c r="AF239" t="s">
        <v>1283</v>
      </c>
      <c r="AG239">
        <v>61.2301</v>
      </c>
      <c r="AH239">
        <v>8.3683547821846463E-2</v>
      </c>
      <c r="AI239" t="s">
        <v>591</v>
      </c>
      <c r="AJ239" t="s">
        <v>546</v>
      </c>
      <c r="AK239">
        <v>-8.4683999999999995E-2</v>
      </c>
      <c r="AL239" t="str">
        <f>IF($A239="","",IFERROR(INDEX(Company_List!$G$3:$G$207,MATCH($A239,Company_List!$A$3:$A$207,0)),"unassigned"))</f>
        <v>P3</v>
      </c>
      <c r="AM239" t="s">
        <v>1284</v>
      </c>
      <c r="AO239" t="s">
        <v>548</v>
      </c>
      <c r="AP239" t="str">
        <f>IF($A239="","",IF(COUNTIFS(LLM_Data_Entry!$A$3:$A$548,$A239)&gt;0,"YES","NO"))</f>
        <v>YES</v>
      </c>
      <c r="AQ239" t="str">
        <f>IF($A239="","",IF(COUNTIFS($A$3:$A239,$A239,$C$3:$C239,$C239,$D$3:$D239,$D239)=1,"YES","NO"))</f>
        <v>YES</v>
      </c>
      <c r="AR239" t="str">
        <f>IF($A239="","",IF(AND($C239&amp;"-"&amp;$D239&gt;=Settings!$B$19,$C239&amp;"-"&amp;$D239&lt;=Settings!$B$20),"IN","OUT"))</f>
        <v>IN</v>
      </c>
      <c r="AS239" t="str">
        <f t="shared" si="38"/>
        <v>qanda</v>
      </c>
      <c r="AT239">
        <f t="shared" si="39"/>
        <v>-8.4699999999999998E-2</v>
      </c>
      <c r="AU239">
        <f t="shared" si="40"/>
        <v>-8.4683999999999995E-2</v>
      </c>
      <c r="AV239">
        <f>IF(ISNUMBER($AT239),ABS(IF(ISNUMBER($I239),$I239,0)-Settings!$B$24),"")</f>
        <v>0.4</v>
      </c>
      <c r="AW239">
        <f t="shared" si="41"/>
        <v>-3.388E-2</v>
      </c>
      <c r="AX239">
        <f>IF(ISNUMBER($AU239),ABS(IF(ISNUMBER($I239),$I239,0)-Settings!$B$24),"")</f>
        <v>0.4</v>
      </c>
      <c r="AY239" t="s">
        <v>549</v>
      </c>
      <c r="AZ239" t="str">
        <f>IF($A239="","",IFERROR(INDEX(Company_List!$H$3:$H$207,MATCH($A239,Company_List!$A$3:$A$207,0)),"unassigned"))</f>
        <v>Industrials</v>
      </c>
      <c r="BA239">
        <v>1</v>
      </c>
      <c r="BB239">
        <v>1</v>
      </c>
      <c r="BC239">
        <f>IF($A239="","",IF(COUNTIFS($A$3:$A239,$A239,$C$3:$C239,$C239,$D$3:$D239,$D239,$G$3:$G239,$G239)=1,1,0))</f>
        <v>1</v>
      </c>
      <c r="BD239">
        <v>15</v>
      </c>
      <c r="BG239" t="s">
        <v>550</v>
      </c>
      <c r="BJ239" t="s">
        <v>1268</v>
      </c>
      <c r="BK239">
        <f t="shared" si="42"/>
        <v>0</v>
      </c>
      <c r="BL239" t="s">
        <v>1269</v>
      </c>
      <c r="BM239">
        <v>1</v>
      </c>
      <c r="BN239" t="s">
        <v>617</v>
      </c>
      <c r="BO239" t="s">
        <v>553</v>
      </c>
      <c r="BP239" t="s">
        <v>550</v>
      </c>
      <c r="BQ239" t="s">
        <v>550</v>
      </c>
      <c r="BS239" t="s">
        <v>554</v>
      </c>
    </row>
    <row r="240" spans="1:71" x14ac:dyDescent="0.2">
      <c r="A240" s="115" t="s">
        <v>1270</v>
      </c>
      <c r="B240" s="116" t="str">
        <f>IF(A240="","",_xlfn.XLOOKUP(A240, Company_List!$A:$A, Company_List!$B:$B, ""))</f>
        <v>DAL</v>
      </c>
      <c r="C240" s="143">
        <v>2025</v>
      </c>
      <c r="D240" s="143" t="s">
        <v>569</v>
      </c>
      <c r="E240" s="98" t="s">
        <v>538</v>
      </c>
      <c r="F240" s="98" t="s">
        <v>538</v>
      </c>
      <c r="G240" s="143" t="s">
        <v>610</v>
      </c>
      <c r="H240" s="106" t="s">
        <v>540</v>
      </c>
      <c r="I240" s="145">
        <v>0.5</v>
      </c>
      <c r="J240" s="145" t="str">
        <f>IF(OR(I240="",Settings!$B$6=""),"",IF(I240&gt;Settings!$B$6,"BUY",IF(I240&lt;-Settings!$B$6,"SELL","HOLD")))</f>
        <v>BUY</v>
      </c>
      <c r="K240" s="145">
        <v>25</v>
      </c>
      <c r="L240" s="125">
        <v>46035</v>
      </c>
      <c r="M240" s="140">
        <v>46034</v>
      </c>
      <c r="N240" s="147">
        <v>71.03</v>
      </c>
      <c r="O240" s="140">
        <v>46035</v>
      </c>
      <c r="P240" s="145">
        <v>68.099999999999994</v>
      </c>
      <c r="Q240" s="150">
        <f t="shared" si="33"/>
        <v>-4.1300000000000003E-2</v>
      </c>
      <c r="R240" s="106" t="str">
        <f>IF(OR(N240="",P240=""),"",IF(Q240&gt;Settings!$B$3/100,"UP",IF(Q240&lt;-Settings!$B$3/100,"DOWN","FLAT")))</f>
        <v>DOWN</v>
      </c>
      <c r="S240" s="106" t="str">
        <f t="shared" si="34"/>
        <v>NO</v>
      </c>
      <c r="T240" s="105">
        <f t="shared" si="35"/>
        <v>1</v>
      </c>
      <c r="U240" s="150">
        <f>IFERROR(IF(OR(J240="",N240="",P240=""),"",IF(T240=0,0,T240*Q240-Settings!$B$4/10000-IF(T240&lt;0,Settings!$B$5/10000,0))),"")</f>
        <v>-4.2300000000000004E-2</v>
      </c>
      <c r="V240" s="7" t="s">
        <v>1285</v>
      </c>
      <c r="W240" s="21">
        <f t="shared" si="36"/>
        <v>1500</v>
      </c>
      <c r="X240" s="91" t="str">
        <f t="shared" si="37"/>
        <v>Delta Air Lines|2025|Q4</v>
      </c>
      <c r="Y240" s="91" t="str">
        <f>IFERROR(IF($X240="","",INDEX(LLM_Data_Entry!$H$3:$H$548,MATCH($X240,INDEX(LLM_Data_Entry!$A$3:$A$548&amp;"|"&amp;LLM_Data_Entry!$C$3:$C$548&amp;"|"&amp;LLM_Data_Entry!$D$3:$D$548,0),0))),"")</f>
        <v>BUY</v>
      </c>
      <c r="Z240" s="91" t="str">
        <f>IFERROR(IF($X240="","",INDEX(LLM_Data_Entry!$R$3:$R$548,MATCH($X240,INDEX(LLM_Data_Entry!$A$3:$A$548&amp;"|"&amp;LLM_Data_Entry!$C$3:$C$548&amp;"|"&amp;LLM_Data_Entry!$D$3:$D$548,0),0))),"")</f>
        <v>NO</v>
      </c>
      <c r="AB240" t="s">
        <v>1247</v>
      </c>
      <c r="AC240" t="s">
        <v>1272</v>
      </c>
      <c r="AD240" t="s">
        <v>760</v>
      </c>
      <c r="AE240">
        <v>70.476100000000002</v>
      </c>
      <c r="AF240" t="s">
        <v>726</v>
      </c>
      <c r="AG240">
        <v>67.568899999999999</v>
      </c>
      <c r="AH240">
        <v>-4.1250153958318943E-2</v>
      </c>
      <c r="AI240" t="s">
        <v>545</v>
      </c>
      <c r="AJ240" t="s">
        <v>546</v>
      </c>
      <c r="AK240">
        <v>-4.2250000000000003E-2</v>
      </c>
      <c r="AL240" t="str">
        <f>IF($A240="","",IFERROR(INDEX(Company_List!$G$3:$G$207,MATCH($A240,Company_List!$A$3:$A$207,0)),"unassigned"))</f>
        <v>P3</v>
      </c>
      <c r="AM240" t="s">
        <v>1286</v>
      </c>
      <c r="AO240" t="s">
        <v>593</v>
      </c>
      <c r="AP240" t="str">
        <f>IF($A240="","",IF(COUNTIFS(LLM_Data_Entry!$A$3:$A$548,$A240)&gt;0,"YES","NO"))</f>
        <v>YES</v>
      </c>
      <c r="AQ240" t="str">
        <f>IF($A240="","",IF(COUNTIFS($A$3:$A240,$A240,$C$3:$C240,$C240,$D$3:$D240,$D240)=1,"YES","NO"))</f>
        <v>YES</v>
      </c>
      <c r="AR240" t="str">
        <f>IF($A240="","",IF(AND($C240&amp;"-"&amp;$D240&gt;=Settings!$B$19,$C240&amp;"-"&amp;$D240&lt;=Settings!$B$20),"IN","OUT"))</f>
        <v>IN</v>
      </c>
      <c r="AS240" t="str">
        <f t="shared" si="38"/>
        <v>full</v>
      </c>
      <c r="AT240">
        <f t="shared" si="39"/>
        <v>-4.2300000000000004E-2</v>
      </c>
      <c r="AU240">
        <f t="shared" si="40"/>
        <v>-4.2250000000000003E-2</v>
      </c>
      <c r="AV240">
        <f>IF(ISNUMBER($AT240),ABS(IF(ISNUMBER($I240),$I240,0)-Settings!$B$24),"")</f>
        <v>0.5</v>
      </c>
      <c r="AW240">
        <f t="shared" si="41"/>
        <v>-2.1150000000000002E-2</v>
      </c>
      <c r="AX240">
        <f>IF(ISNUMBER($AU240),ABS(IF(ISNUMBER($I240),$I240,0)-Settings!$B$24),"")</f>
        <v>0.5</v>
      </c>
      <c r="AY240" t="s">
        <v>549</v>
      </c>
      <c r="AZ240" t="str">
        <f>IF($A240="","",IFERROR(INDEX(Company_List!$H$3:$H$207,MATCH($A240,Company_List!$A$3:$A$207,0)),"unassigned"))</f>
        <v>Industrials</v>
      </c>
      <c r="BA240">
        <v>1</v>
      </c>
      <c r="BB240">
        <v>1</v>
      </c>
      <c r="BC240">
        <f>IF($A240="","",IF(COUNTIFS($A$3:$A240,$A240,$C$3:$C240,$C240,$D$3:$D240,$D240,$G$3:$G240,$G240)=1,1,0))</f>
        <v>1</v>
      </c>
      <c r="BD240">
        <v>25</v>
      </c>
      <c r="BG240" t="s">
        <v>550</v>
      </c>
      <c r="BJ240" t="s">
        <v>1268</v>
      </c>
      <c r="BK240">
        <f t="shared" si="42"/>
        <v>1</v>
      </c>
      <c r="BL240" t="s">
        <v>1269</v>
      </c>
      <c r="BM240">
        <v>3</v>
      </c>
      <c r="BN240" t="s">
        <v>617</v>
      </c>
      <c r="BO240" t="s">
        <v>553</v>
      </c>
      <c r="BP240" t="s">
        <v>1023</v>
      </c>
      <c r="BQ240" t="s">
        <v>550</v>
      </c>
      <c r="BS240" t="s">
        <v>554</v>
      </c>
    </row>
    <row r="241" spans="1:72" x14ac:dyDescent="0.2">
      <c r="A241" s="115" t="s">
        <v>1287</v>
      </c>
      <c r="B241" s="116" t="str">
        <f>IF(A241="","",_xlfn.XLOOKUP(A241, Company_List!$A:$A, Company_List!$B:$B, ""))</f>
        <v>WDAY</v>
      </c>
      <c r="C241" s="143">
        <v>2025</v>
      </c>
      <c r="D241" s="143" t="s">
        <v>537</v>
      </c>
      <c r="E241" s="98" t="s">
        <v>1121</v>
      </c>
      <c r="F241" s="98" t="s">
        <v>1090</v>
      </c>
      <c r="G241" s="143" t="s">
        <v>610</v>
      </c>
      <c r="H241" s="106" t="s">
        <v>540</v>
      </c>
      <c r="I241" s="145">
        <v>0.8</v>
      </c>
      <c r="J241" s="145" t="str">
        <f>IF(OR(I241="",Settings!$B$6=""),"",IF(I241&gt;Settings!$B$6,"BUY",IF(I241&lt;-Settings!$B$6,"SELL","HOLD")))</f>
        <v>BUY</v>
      </c>
      <c r="K241" s="145">
        <v>3</v>
      </c>
      <c r="L241" s="125">
        <v>45435</v>
      </c>
      <c r="M241" s="140">
        <v>45799</v>
      </c>
      <c r="N241" s="147">
        <v>272.07</v>
      </c>
      <c r="O241" s="140">
        <v>45800</v>
      </c>
      <c r="P241" s="145">
        <v>241.6</v>
      </c>
      <c r="Q241" s="150">
        <f t="shared" si="33"/>
        <v>-0.112</v>
      </c>
      <c r="R241" s="106" t="str">
        <f>IF(OR(N241="",P241=""),"",IF(Q241&gt;Settings!$B$3/100,"UP",IF(Q241&lt;-Settings!$B$3/100,"DOWN","FLAT")))</f>
        <v>DOWN</v>
      </c>
      <c r="S241" s="106" t="str">
        <f t="shared" si="34"/>
        <v>NO</v>
      </c>
      <c r="T241" s="105">
        <f t="shared" si="35"/>
        <v>1</v>
      </c>
      <c r="U241" s="150">
        <f>IFERROR(IF(OR(J241="",N241="",P241=""),"",IF(T241=0,0,T241*Q241-Settings!$B$4/10000-IF(T241&lt;0,Settings!$B$5/10000,0))),"")</f>
        <v>-0.113</v>
      </c>
      <c r="V241" s="7" t="s">
        <v>1288</v>
      </c>
      <c r="W241" s="21">
        <f t="shared" si="36"/>
        <v>180</v>
      </c>
      <c r="X241" s="91" t="str">
        <f t="shared" si="37"/>
        <v>Workday|2025|Q1</v>
      </c>
      <c r="Y241" s="91" t="str">
        <f>IFERROR(IF($X241="","",INDEX(LLM_Data_Entry!$H$3:$H$548,MATCH($X241,INDEX(LLM_Data_Entry!$A$3:$A$548&amp;"|"&amp;LLM_Data_Entry!$C$3:$C$548&amp;"|"&amp;LLM_Data_Entry!$D$3:$D$548,0),0))),"")</f>
        <v>HOLD</v>
      </c>
      <c r="Z241" s="91" t="str">
        <f>IFERROR(IF($X241="","",INDEX(LLM_Data_Entry!$R$3:$R$548,MATCH($X241,INDEX(LLM_Data_Entry!$A$3:$A$548&amp;"|"&amp;LLM_Data_Entry!$C$3:$C$548&amp;"|"&amp;LLM_Data_Entry!$D$3:$D$548,0),0))),"")</f>
        <v>NO</v>
      </c>
      <c r="AL241" t="str">
        <f>IF($A241="","",IFERROR(INDEX(Company_List!$G$3:$G$207,MATCH($A241,Company_List!$A$3:$A$207,0)),"unassigned"))</f>
        <v>P3</v>
      </c>
      <c r="AM241" t="s">
        <v>1289</v>
      </c>
      <c r="AO241" t="s">
        <v>548</v>
      </c>
      <c r="AP241" t="str">
        <f>IF($A241="","",IF(COUNTIFS(LLM_Data_Entry!$A$3:$A$548,$A241)&gt;0,"YES","NO"))</f>
        <v>YES</v>
      </c>
      <c r="AQ241" t="str">
        <f>IF($A241="","",IF(COUNTIFS($A$3:$A241,$A241,$C$3:$C241,$C241,$D$3:$D241,$D241)=1,"YES","NO"))</f>
        <v>YES</v>
      </c>
      <c r="AR241" t="str">
        <f>IF($A241="","",IF(AND($C241&amp;"-"&amp;$D241&gt;=Settings!$B$19,$C241&amp;"-"&amp;$D241&lt;=Settings!$B$20),"IN","OUT"))</f>
        <v>IN</v>
      </c>
      <c r="AS241" t="str">
        <f t="shared" si="38"/>
        <v>guidance</v>
      </c>
      <c r="AT241">
        <f t="shared" si="39"/>
        <v>-0.113</v>
      </c>
      <c r="AU241" t="str">
        <f t="shared" si="40"/>
        <v/>
      </c>
      <c r="AV241">
        <f>IF(ISNUMBER($AT241),ABS(IF(ISNUMBER($I241),$I241,0)-Settings!$B$24),"")</f>
        <v>0.8</v>
      </c>
      <c r="AW241">
        <f t="shared" si="41"/>
        <v>-9.0400000000000008E-2</v>
      </c>
      <c r="AX241" t="str">
        <f>IF(ISNUMBER($AU241),ABS(IF(ISNUMBER($I241),$I241,0)-Settings!$B$24),"")</f>
        <v/>
      </c>
      <c r="AY241" t="s">
        <v>549</v>
      </c>
      <c r="AZ241" t="str">
        <f>IF($A241="","",IFERROR(INDEX(Company_List!$H$3:$H$207,MATCH($A241,Company_List!$A$3:$A$207,0)),"unassigned"))</f>
        <v>Information Technology</v>
      </c>
      <c r="BA241">
        <v>1</v>
      </c>
      <c r="BB241">
        <v>1</v>
      </c>
      <c r="BC241">
        <f>IF($A241="","",IF(COUNTIFS($A$3:$A241,$A241,$C$3:$C241,$C241,$D$3:$D241,$D241,$G$3:$G241,$G241)=1,1,0))</f>
        <v>1</v>
      </c>
      <c r="BD241">
        <v>3</v>
      </c>
      <c r="BG241" t="s">
        <v>550</v>
      </c>
      <c r="BJ241" t="s">
        <v>1268</v>
      </c>
      <c r="BK241">
        <f t="shared" si="42"/>
        <v>0</v>
      </c>
      <c r="BL241" t="s">
        <v>1269</v>
      </c>
      <c r="BM241">
        <v>1</v>
      </c>
      <c r="BN241" t="s">
        <v>561</v>
      </c>
      <c r="BO241" t="s">
        <v>561</v>
      </c>
      <c r="BP241" t="s">
        <v>550</v>
      </c>
      <c r="BQ241" t="s">
        <v>550</v>
      </c>
      <c r="BS241" t="s">
        <v>554</v>
      </c>
    </row>
    <row r="242" spans="1:72" x14ac:dyDescent="0.2">
      <c r="A242" s="115" t="s">
        <v>1287</v>
      </c>
      <c r="B242" s="116" t="str">
        <f>IF(A242="","",_xlfn.XLOOKUP(A242, Company_List!$A:$A, Company_List!$B:$B, ""))</f>
        <v>WDAY</v>
      </c>
      <c r="C242" s="143">
        <v>2025</v>
      </c>
      <c r="D242" s="143" t="s">
        <v>555</v>
      </c>
      <c r="E242" s="98" t="s">
        <v>1121</v>
      </c>
      <c r="F242" s="98" t="s">
        <v>1086</v>
      </c>
      <c r="G242" s="143" t="s">
        <v>610</v>
      </c>
      <c r="H242" s="106" t="s">
        <v>540</v>
      </c>
      <c r="I242" s="145">
        <v>0.8</v>
      </c>
      <c r="J242" s="145" t="str">
        <f>IF(OR(I242="",Settings!$B$6=""),"",IF(I242&gt;Settings!$B$6,"BUY",IF(I242&lt;-Settings!$B$6,"SELL","HOLD")))</f>
        <v>BUY</v>
      </c>
      <c r="K242" s="145">
        <v>6</v>
      </c>
      <c r="L242" s="125">
        <v>45526</v>
      </c>
      <c r="M242" s="140">
        <v>45890</v>
      </c>
      <c r="N242" s="147">
        <v>227.58</v>
      </c>
      <c r="O242" s="140">
        <v>45891</v>
      </c>
      <c r="P242" s="145">
        <v>213.88</v>
      </c>
      <c r="Q242" s="150">
        <f t="shared" si="33"/>
        <v>-6.0199999999999997E-2</v>
      </c>
      <c r="R242" s="106" t="str">
        <f>IF(OR(N242="",P242=""),"",IF(Q242&gt;Settings!$B$3/100,"UP",IF(Q242&lt;-Settings!$B$3/100,"DOWN","FLAT")))</f>
        <v>DOWN</v>
      </c>
      <c r="S242" s="106" t="str">
        <f t="shared" si="34"/>
        <v>NO</v>
      </c>
      <c r="T242" s="105">
        <f t="shared" si="35"/>
        <v>1</v>
      </c>
      <c r="U242" s="150">
        <f>IFERROR(IF(OR(J242="",N242="",P242=""),"",IF(T242=0,0,T242*Q242-Settings!$B$4/10000-IF(T242&lt;0,Settings!$B$5/10000,0))),"")</f>
        <v>-6.1199999999999997E-2</v>
      </c>
      <c r="W242" s="21">
        <f t="shared" si="36"/>
        <v>360</v>
      </c>
      <c r="X242" s="91" t="str">
        <f t="shared" si="37"/>
        <v>Workday|2025|Q2</v>
      </c>
      <c r="Y242" s="91" t="str">
        <f>IFERROR(IF($X242="","",INDEX(LLM_Data_Entry!$H$3:$H$548,MATCH($X242,INDEX(LLM_Data_Entry!$A$3:$A$548&amp;"|"&amp;LLM_Data_Entry!$C$3:$C$548&amp;"|"&amp;LLM_Data_Entry!$D$3:$D$548,0),0))),"")</f>
        <v>BUY</v>
      </c>
      <c r="Z242" s="91" t="str">
        <f>IFERROR(IF($X242="","",INDEX(LLM_Data_Entry!$R$3:$R$548,MATCH($X242,INDEX(LLM_Data_Entry!$A$3:$A$548&amp;"|"&amp;LLM_Data_Entry!$C$3:$C$548&amp;"|"&amp;LLM_Data_Entry!$D$3:$D$548,0),0))),"")</f>
        <v>NO</v>
      </c>
      <c r="AL242" t="str">
        <f>IF($A242="","",IFERROR(INDEX(Company_List!$G$3:$G$207,MATCH($A242,Company_List!$A$3:$A$207,0)),"unassigned"))</f>
        <v>P3</v>
      </c>
      <c r="AM242" t="s">
        <v>1290</v>
      </c>
      <c r="AO242" t="s">
        <v>548</v>
      </c>
      <c r="AP242" t="str">
        <f>IF($A242="","",IF(COUNTIFS(LLM_Data_Entry!$A$3:$A$548,$A242)&gt;0,"YES","NO"))</f>
        <v>YES</v>
      </c>
      <c r="AQ242" t="str">
        <f>IF($A242="","",IF(COUNTIFS($A$3:$A242,$A242,$C$3:$C242,$C242,$D$3:$D242,$D242)=1,"YES","NO"))</f>
        <v>YES</v>
      </c>
      <c r="AR242" t="str">
        <f>IF($A242="","",IF(AND($C242&amp;"-"&amp;$D242&gt;=Settings!$B$19,$C242&amp;"-"&amp;$D242&lt;=Settings!$B$20),"IN","OUT"))</f>
        <v>IN</v>
      </c>
      <c r="AS242" t="str">
        <f t="shared" si="38"/>
        <v>financials</v>
      </c>
      <c r="AT242">
        <f t="shared" si="39"/>
        <v>-6.1199999999999997E-2</v>
      </c>
      <c r="AU242" t="str">
        <f t="shared" si="40"/>
        <v/>
      </c>
      <c r="AV242">
        <f>IF(ISNUMBER($AT242),ABS(IF(ISNUMBER($I242),$I242,0)-Settings!$B$24),"")</f>
        <v>0.8</v>
      </c>
      <c r="AW242">
        <f t="shared" si="41"/>
        <v>-4.8960000000000004E-2</v>
      </c>
      <c r="AX242" t="str">
        <f>IF(ISNUMBER($AU242),ABS(IF(ISNUMBER($I242),$I242,0)-Settings!$B$24),"")</f>
        <v/>
      </c>
      <c r="AY242" t="s">
        <v>549</v>
      </c>
      <c r="AZ242" t="str">
        <f>IF($A242="","",IFERROR(INDEX(Company_List!$H$3:$H$207,MATCH($A242,Company_List!$A$3:$A$207,0)),"unassigned"))</f>
        <v>Information Technology</v>
      </c>
      <c r="BA242">
        <v>1</v>
      </c>
      <c r="BB242">
        <v>1</v>
      </c>
      <c r="BC242">
        <f>IF($A242="","",IF(COUNTIFS($A$3:$A242,$A242,$C$3:$C242,$C242,$D$3:$D242,$D242,$G$3:$G242,$G242)=1,1,0))</f>
        <v>1</v>
      </c>
      <c r="BD242">
        <v>6</v>
      </c>
      <c r="BG242" t="s">
        <v>550</v>
      </c>
      <c r="BJ242" t="s">
        <v>1268</v>
      </c>
      <c r="BK242">
        <f t="shared" si="42"/>
        <v>1</v>
      </c>
      <c r="BL242" t="s">
        <v>1269</v>
      </c>
      <c r="BM242">
        <v>1</v>
      </c>
      <c r="BN242" t="s">
        <v>561</v>
      </c>
      <c r="BO242" t="s">
        <v>561</v>
      </c>
      <c r="BP242" t="s">
        <v>550</v>
      </c>
      <c r="BQ242" t="s">
        <v>550</v>
      </c>
      <c r="BS242" t="s">
        <v>554</v>
      </c>
    </row>
    <row r="243" spans="1:72" x14ac:dyDescent="0.2">
      <c r="A243" s="115" t="s">
        <v>1287</v>
      </c>
      <c r="B243" s="116" t="str">
        <f>IF(A243="","",_xlfn.XLOOKUP(A243, Company_List!$A:$A, Company_List!$B:$B, ""))</f>
        <v>WDAY</v>
      </c>
      <c r="C243" s="143">
        <v>2025</v>
      </c>
      <c r="D243" s="143" t="s">
        <v>563</v>
      </c>
      <c r="E243" s="98" t="s">
        <v>647</v>
      </c>
      <c r="F243" s="98" t="s">
        <v>1092</v>
      </c>
      <c r="G243" s="143" t="s">
        <v>610</v>
      </c>
      <c r="H243" s="106" t="s">
        <v>540</v>
      </c>
      <c r="I243" s="145">
        <v>0.9</v>
      </c>
      <c r="J243" s="145" t="str">
        <f>IF(OR(I243="",Settings!$B$6=""),"",IF(I243&gt;Settings!$B$6,"BUY",IF(I243&lt;-Settings!$B$6,"SELL","HOLD")))</f>
        <v>BUY</v>
      </c>
      <c r="K243" s="145">
        <v>14</v>
      </c>
      <c r="L243" s="125">
        <v>45622</v>
      </c>
      <c r="M243" s="140">
        <v>45986</v>
      </c>
      <c r="N243" s="147">
        <v>233.69</v>
      </c>
      <c r="O243" s="140">
        <v>45987</v>
      </c>
      <c r="P243" s="145">
        <v>215.34</v>
      </c>
      <c r="Q243" s="150">
        <f t="shared" si="33"/>
        <v>-7.85E-2</v>
      </c>
      <c r="R243" s="106" t="str">
        <f>IF(OR(N243="",P243=""),"",IF(Q243&gt;Settings!$B$3/100,"UP",IF(Q243&lt;-Settings!$B$3/100,"DOWN","FLAT")))</f>
        <v>DOWN</v>
      </c>
      <c r="S243" s="106" t="str">
        <f t="shared" si="34"/>
        <v>NO</v>
      </c>
      <c r="T243" s="105">
        <f t="shared" si="35"/>
        <v>1</v>
      </c>
      <c r="U243" s="150">
        <f>IFERROR(IF(OR(J243="",N243="",P243=""),"",IF(T243=0,0,T243*Q243-Settings!$B$4/10000-IF(T243&lt;0,Settings!$B$5/10000,0))),"")</f>
        <v>-7.9500000000000001E-2</v>
      </c>
      <c r="W243" s="21">
        <f t="shared" si="36"/>
        <v>840</v>
      </c>
      <c r="X243" s="91" t="str">
        <f t="shared" si="37"/>
        <v>Workday|2025|Q3</v>
      </c>
      <c r="Y243" s="91" t="str">
        <f>IFERROR(IF($X243="","",INDEX(LLM_Data_Entry!$H$3:$H$548,MATCH($X243,INDEX(LLM_Data_Entry!$A$3:$A$548&amp;"|"&amp;LLM_Data_Entry!$C$3:$C$548&amp;"|"&amp;LLM_Data_Entry!$D$3:$D$548,0),0))),"")</f>
        <v>HOLD</v>
      </c>
      <c r="Z243" s="91" t="str">
        <f>IFERROR(IF($X243="","",INDEX(LLM_Data_Entry!$R$3:$R$548,MATCH($X243,INDEX(LLM_Data_Entry!$A$3:$A$548&amp;"|"&amp;LLM_Data_Entry!$C$3:$C$548&amp;"|"&amp;LLM_Data_Entry!$D$3:$D$548,0),0))),"")</f>
        <v>NO</v>
      </c>
      <c r="AL243" t="str">
        <f>IF($A243="","",IFERROR(INDEX(Company_List!$G$3:$G$207,MATCH($A243,Company_List!$A$3:$A$207,0)),"unassigned"))</f>
        <v>P3</v>
      </c>
      <c r="AM243" t="s">
        <v>1291</v>
      </c>
      <c r="AO243" t="s">
        <v>548</v>
      </c>
      <c r="AP243" t="str">
        <f>IF($A243="","",IF(COUNTIFS(LLM_Data_Entry!$A$3:$A$548,$A243)&gt;0,"YES","NO"))</f>
        <v>YES</v>
      </c>
      <c r="AQ243" t="str">
        <f>IF($A243="","",IF(COUNTIFS($A$3:$A243,$A243,$C$3:$C243,$C243,$D$3:$D243,$D243)=1,"YES","NO"))</f>
        <v>YES</v>
      </c>
      <c r="AR243" t="str">
        <f>IF($A243="","",IF(AND($C243&amp;"-"&amp;$D243&gt;=Settings!$B$19,$C243&amp;"-"&amp;$D243&lt;=Settings!$B$20),"IN","OUT"))</f>
        <v>IN</v>
      </c>
      <c r="AS243" t="str">
        <f t="shared" si="38"/>
        <v>qanda</v>
      </c>
      <c r="AT243">
        <f t="shared" si="39"/>
        <v>-7.9500000000000001E-2</v>
      </c>
      <c r="AU243" t="str">
        <f t="shared" si="40"/>
        <v/>
      </c>
      <c r="AV243">
        <f>IF(ISNUMBER($AT243),ABS(IF(ISNUMBER($I243),$I243,0)-Settings!$B$24),"")</f>
        <v>0.9</v>
      </c>
      <c r="AW243">
        <f t="shared" si="41"/>
        <v>-7.1550000000000002E-2</v>
      </c>
      <c r="AX243" t="str">
        <f>IF(ISNUMBER($AU243),ABS(IF(ISNUMBER($I243),$I243,0)-Settings!$B$24),"")</f>
        <v/>
      </c>
      <c r="AY243" t="s">
        <v>549</v>
      </c>
      <c r="AZ243" t="str">
        <f>IF($A243="","",IFERROR(INDEX(Company_List!$H$3:$H$207,MATCH($A243,Company_List!$A$3:$A$207,0)),"unassigned"))</f>
        <v>Information Technology</v>
      </c>
      <c r="BA243">
        <v>1</v>
      </c>
      <c r="BB243">
        <v>1</v>
      </c>
      <c r="BC243">
        <f>IF($A243="","",IF(COUNTIFS($A$3:$A243,$A243,$C$3:$C243,$C243,$D$3:$D243,$D243,$G$3:$G243,$G243)=1,1,0))</f>
        <v>1</v>
      </c>
      <c r="BD243">
        <v>14</v>
      </c>
      <c r="BG243" t="s">
        <v>550</v>
      </c>
      <c r="BJ243" t="s">
        <v>1268</v>
      </c>
      <c r="BK243">
        <f t="shared" si="42"/>
        <v>0</v>
      </c>
      <c r="BL243" t="s">
        <v>1269</v>
      </c>
      <c r="BM243">
        <v>1</v>
      </c>
      <c r="BN243" t="s">
        <v>1262</v>
      </c>
      <c r="BO243" t="s">
        <v>553</v>
      </c>
      <c r="BP243" t="s">
        <v>550</v>
      </c>
      <c r="BQ243" t="s">
        <v>550</v>
      </c>
      <c r="BS243" t="s">
        <v>554</v>
      </c>
    </row>
    <row r="244" spans="1:72" x14ac:dyDescent="0.2">
      <c r="A244" s="115" t="s">
        <v>1287</v>
      </c>
      <c r="B244" s="116" t="str">
        <f>IF(A244="","",_xlfn.XLOOKUP(A244, Company_List!$A:$A, Company_List!$B:$B, ""))</f>
        <v>WDAY</v>
      </c>
      <c r="C244" s="143">
        <v>2025</v>
      </c>
      <c r="D244" s="143" t="s">
        <v>569</v>
      </c>
      <c r="E244" s="98" t="s">
        <v>538</v>
      </c>
      <c r="F244" s="98" t="s">
        <v>538</v>
      </c>
      <c r="G244" s="143" t="s">
        <v>610</v>
      </c>
      <c r="H244" s="106" t="s">
        <v>540</v>
      </c>
      <c r="I244" s="145">
        <v>0.8</v>
      </c>
      <c r="J244" s="145" t="str">
        <f>IF(OR(I244="",Settings!$B$6=""),"",IF(I244&gt;Settings!$B$6,"BUY",IF(I244&lt;-Settings!$B$6,"SELL","HOLD")))</f>
        <v>BUY</v>
      </c>
      <c r="K244" s="145">
        <v>21</v>
      </c>
      <c r="L244" s="125">
        <v>45713</v>
      </c>
      <c r="M244" s="140">
        <v>46077</v>
      </c>
      <c r="N244" s="147">
        <v>130.22999999999999</v>
      </c>
      <c r="O244" s="140">
        <v>46078</v>
      </c>
      <c r="P244" s="145">
        <v>119.56</v>
      </c>
      <c r="Q244" s="150">
        <f t="shared" si="33"/>
        <v>-8.1900000000000001E-2</v>
      </c>
      <c r="R244" s="106" t="str">
        <f>IF(OR(N244="",P244=""),"",IF(Q244&gt;Settings!$B$3/100,"UP",IF(Q244&lt;-Settings!$B$3/100,"DOWN","FLAT")))</f>
        <v>DOWN</v>
      </c>
      <c r="S244" s="106" t="str">
        <f t="shared" si="34"/>
        <v>NO</v>
      </c>
      <c r="T244" s="105">
        <f t="shared" si="35"/>
        <v>1</v>
      </c>
      <c r="U244" s="150">
        <f>IFERROR(IF(OR(J244="",N244="",P244=""),"",IF(T244=0,0,T244*Q244-Settings!$B$4/10000-IF(T244&lt;0,Settings!$B$5/10000,0))),"")</f>
        <v>-8.2900000000000001E-2</v>
      </c>
      <c r="W244" s="21">
        <f t="shared" si="36"/>
        <v>1260</v>
      </c>
      <c r="X244" s="91" t="str">
        <f t="shared" si="37"/>
        <v>Workday|2025|Q4</v>
      </c>
      <c r="Y244" s="91" t="str">
        <f>IFERROR(IF($X244="","",INDEX(LLM_Data_Entry!$H$3:$H$548,MATCH($X244,INDEX(LLM_Data_Entry!$A$3:$A$548&amp;"|"&amp;LLM_Data_Entry!$C$3:$C$548&amp;"|"&amp;LLM_Data_Entry!$D$3:$D$548,0),0))),"")</f>
        <v>HOLD</v>
      </c>
      <c r="Z244" s="91" t="str">
        <f>IFERROR(IF($X244="","",INDEX(LLM_Data_Entry!$R$3:$R$548,MATCH($X244,INDEX(LLM_Data_Entry!$A$3:$A$548&amp;"|"&amp;LLM_Data_Entry!$C$3:$C$548&amp;"|"&amp;LLM_Data_Entry!$D$3:$D$548,0),0))),"")</f>
        <v>NO</v>
      </c>
      <c r="AL244" t="str">
        <f>IF($A244="","",IFERROR(INDEX(Company_List!$G$3:$G$207,MATCH($A244,Company_List!$A$3:$A$207,0)),"unassigned"))</f>
        <v>P3</v>
      </c>
      <c r="AM244" t="s">
        <v>1292</v>
      </c>
      <c r="AO244" t="s">
        <v>593</v>
      </c>
      <c r="AP244" t="str">
        <f>IF($A244="","",IF(COUNTIFS(LLM_Data_Entry!$A$3:$A$548,$A244)&gt;0,"YES","NO"))</f>
        <v>YES</v>
      </c>
      <c r="AQ244" t="str">
        <f>IF($A244="","",IF(COUNTIFS($A$3:$A244,$A244,$C$3:$C244,$C244,$D$3:$D244,$D244)=1,"YES","NO"))</f>
        <v>YES</v>
      </c>
      <c r="AR244" t="str">
        <f>IF($A244="","",IF(AND($C244&amp;"-"&amp;$D244&gt;=Settings!$B$19,$C244&amp;"-"&amp;$D244&lt;=Settings!$B$20),"IN","OUT"))</f>
        <v>IN</v>
      </c>
      <c r="AS244" t="str">
        <f t="shared" si="38"/>
        <v>full</v>
      </c>
      <c r="AT244">
        <f t="shared" si="39"/>
        <v>-8.2900000000000001E-2</v>
      </c>
      <c r="AU244" t="str">
        <f t="shared" si="40"/>
        <v/>
      </c>
      <c r="AV244">
        <f>IF(ISNUMBER($AT244),ABS(IF(ISNUMBER($I244),$I244,0)-Settings!$B$24),"")</f>
        <v>0.8</v>
      </c>
      <c r="AW244">
        <f t="shared" si="41"/>
        <v>-6.6320000000000004E-2</v>
      </c>
      <c r="AX244" t="str">
        <f>IF(ISNUMBER($AU244),ABS(IF(ISNUMBER($I244),$I244,0)-Settings!$B$24),"")</f>
        <v/>
      </c>
      <c r="AY244" t="s">
        <v>549</v>
      </c>
      <c r="AZ244" t="str">
        <f>IF($A244="","",IFERROR(INDEX(Company_List!$H$3:$H$207,MATCH($A244,Company_List!$A$3:$A$207,0)),"unassigned"))</f>
        <v>Information Technology</v>
      </c>
      <c r="BA244">
        <v>1</v>
      </c>
      <c r="BB244">
        <v>1</v>
      </c>
      <c r="BC244">
        <f>IF($A244="","",IF(COUNTIFS($A$3:$A244,$A244,$C$3:$C244,$C244,$D$3:$D244,$D244,$G$3:$G244,$G244)=1,1,0))</f>
        <v>1</v>
      </c>
      <c r="BD244">
        <v>21</v>
      </c>
      <c r="BG244" t="s">
        <v>550</v>
      </c>
      <c r="BJ244" t="s">
        <v>1268</v>
      </c>
      <c r="BK244">
        <f t="shared" si="42"/>
        <v>0</v>
      </c>
      <c r="BL244" t="s">
        <v>1269</v>
      </c>
      <c r="BM244">
        <v>4</v>
      </c>
      <c r="BN244" t="s">
        <v>1262</v>
      </c>
      <c r="BO244" t="s">
        <v>553</v>
      </c>
      <c r="BP244" t="s">
        <v>550</v>
      </c>
      <c r="BQ244" t="s">
        <v>550</v>
      </c>
      <c r="BS244" t="s">
        <v>554</v>
      </c>
    </row>
    <row r="245" spans="1:72" x14ac:dyDescent="0.2">
      <c r="A245" s="115" t="s">
        <v>1293</v>
      </c>
      <c r="B245" s="116" t="str">
        <f>IF(A245="","",_xlfn.XLOOKUP(A245, Company_List!$A:$A, Company_List!$B:$B, ""))</f>
        <v>BKNG</v>
      </c>
      <c r="C245" s="143">
        <v>2025</v>
      </c>
      <c r="D245" s="143" t="s">
        <v>537</v>
      </c>
      <c r="E245" s="98" t="s">
        <v>1121</v>
      </c>
      <c r="F245" s="98" t="s">
        <v>1090</v>
      </c>
      <c r="G245" s="143" t="s">
        <v>610</v>
      </c>
      <c r="H245" s="106" t="s">
        <v>540</v>
      </c>
      <c r="I245" s="145">
        <v>0.3</v>
      </c>
      <c r="J245" s="145" t="str">
        <f>IF(OR(I245="",Settings!$B$6=""),"",IF(I245&gt;Settings!$B$6,"BUY",IF(I245&lt;-Settings!$B$6,"SELL","HOLD")))</f>
        <v>BUY</v>
      </c>
      <c r="K245" s="145">
        <v>4</v>
      </c>
      <c r="L245" s="125">
        <v>45776</v>
      </c>
      <c r="M245" s="140">
        <v>45776</v>
      </c>
      <c r="N245" s="147">
        <v>196.37</v>
      </c>
      <c r="O245" s="140">
        <v>45777</v>
      </c>
      <c r="P245" s="145">
        <v>189.29</v>
      </c>
      <c r="Q245" s="150">
        <f t="shared" si="33"/>
        <v>-3.61E-2</v>
      </c>
      <c r="R245" s="106" t="str">
        <f>IF(OR(N245="",P245=""),"",IF(Q245&gt;Settings!$B$3/100,"UP",IF(Q245&lt;-Settings!$B$3/100,"DOWN","FLAT")))</f>
        <v>DOWN</v>
      </c>
      <c r="S245" s="106" t="str">
        <f t="shared" si="34"/>
        <v>NO</v>
      </c>
      <c r="T245" s="105">
        <f t="shared" si="35"/>
        <v>1</v>
      </c>
      <c r="U245" s="150">
        <f>IFERROR(IF(OR(J245="",N245="",P245=""),"",IF(T245=0,0,T245*Q245-Settings!$B$4/10000-IF(T245&lt;0,Settings!$B$5/10000,0))),"")</f>
        <v>-3.7100000000000001E-2</v>
      </c>
      <c r="W245" s="21">
        <f t="shared" si="36"/>
        <v>240</v>
      </c>
      <c r="X245" s="91" t="str">
        <f t="shared" si="37"/>
        <v>Booking Holdings|2025|Q1</v>
      </c>
      <c r="Y245" s="91" t="str">
        <f>IFERROR(IF($X245="","",INDEX(LLM_Data_Entry!$H$3:$H$548,MATCH($X245,INDEX(LLM_Data_Entry!$A$3:$A$548&amp;"|"&amp;LLM_Data_Entry!$C$3:$C$548&amp;"|"&amp;LLM_Data_Entry!$D$3:$D$548,0),0))),"")</f>
        <v/>
      </c>
      <c r="Z245" s="91" t="str">
        <f>IFERROR(IF($X245="","",INDEX(LLM_Data_Entry!$R$3:$R$548,MATCH($X245,INDEX(LLM_Data_Entry!$A$3:$A$548&amp;"|"&amp;LLM_Data_Entry!$C$3:$C$548&amp;"|"&amp;LLM_Data_Entry!$D$3:$D$548,0),0))),"")</f>
        <v/>
      </c>
      <c r="AB245" t="s">
        <v>1247</v>
      </c>
      <c r="AC245" t="s">
        <v>1294</v>
      </c>
      <c r="AD245" t="s">
        <v>979</v>
      </c>
      <c r="AE245">
        <v>194.3869</v>
      </c>
      <c r="AF245" t="s">
        <v>1099</v>
      </c>
      <c r="AG245">
        <v>187.3784</v>
      </c>
      <c r="AH245">
        <v>-3.6054607626379027E-2</v>
      </c>
      <c r="AI245" t="s">
        <v>545</v>
      </c>
      <c r="AJ245" t="s">
        <v>546</v>
      </c>
      <c r="AK245">
        <v>-3.7054999999999998E-2</v>
      </c>
      <c r="AL245" t="str">
        <f>IF($A245="","",IFERROR(INDEX(Company_List!$G$3:$G$207,MATCH($A245,Company_List!$A$3:$A$207,0)),"unassigned"))</f>
        <v>both</v>
      </c>
      <c r="AM245" t="s">
        <v>1295</v>
      </c>
      <c r="AO245" t="s">
        <v>548</v>
      </c>
      <c r="AP245" t="str">
        <f>IF($A245="","",IF(COUNTIFS(LLM_Data_Entry!$A$3:$A$548,$A245)&gt;0,"YES","NO"))</f>
        <v>YES</v>
      </c>
      <c r="AQ245" t="str">
        <f>IF($A245="","",IF(COUNTIFS($A$3:$A245,$A245,$C$3:$C245,$C245,$D$3:$D245,$D245)=1,"YES","NO"))</f>
        <v>YES</v>
      </c>
      <c r="AR245" t="str">
        <f>IF($A245="","",IF(AND($C245&amp;"-"&amp;$D245&gt;=Settings!$B$19,$C245&amp;"-"&amp;$D245&lt;=Settings!$B$20),"IN","OUT"))</f>
        <v>IN</v>
      </c>
      <c r="AS245" t="str">
        <f t="shared" si="38"/>
        <v>guidance</v>
      </c>
      <c r="AT245">
        <f t="shared" si="39"/>
        <v>-3.7100000000000001E-2</v>
      </c>
      <c r="AU245">
        <f t="shared" si="40"/>
        <v>-3.7054999999999998E-2</v>
      </c>
      <c r="AV245">
        <f>IF(ISNUMBER($AT245),ABS(IF(ISNUMBER($I245),$I245,0)-Settings!$B$24),"")</f>
        <v>0.3</v>
      </c>
      <c r="AW245">
        <f t="shared" si="41"/>
        <v>-1.1129999999999999E-2</v>
      </c>
      <c r="AX245">
        <f>IF(ISNUMBER($AU245),ABS(IF(ISNUMBER($I245),$I245,0)-Settings!$B$24),"")</f>
        <v>0.3</v>
      </c>
      <c r="AY245" t="s">
        <v>549</v>
      </c>
      <c r="AZ245" t="str">
        <f>IF($A245="","",IFERROR(INDEX(Company_List!$H$3:$H$207,MATCH($A245,Company_List!$A$3:$A$207,0)),"unassigned"))</f>
        <v>Consumer Discretionary</v>
      </c>
      <c r="BA245">
        <v>1</v>
      </c>
      <c r="BB245">
        <v>1</v>
      </c>
      <c r="BC245">
        <f>IF($A245="","",IF(COUNTIFS($A$3:$A245,$A245,$C$3:$C245,$C245,$D$3:$D245,$D245,$G$3:$G245,$G245)=1,1,0))</f>
        <v>1</v>
      </c>
      <c r="BD245">
        <v>4</v>
      </c>
      <c r="BG245" t="s">
        <v>550</v>
      </c>
      <c r="BJ245" t="s">
        <v>1268</v>
      </c>
      <c r="BK245" t="str">
        <f t="shared" si="42"/>
        <v/>
      </c>
      <c r="BL245" t="s">
        <v>1269</v>
      </c>
      <c r="BM245">
        <v>1</v>
      </c>
      <c r="BN245" t="s">
        <v>617</v>
      </c>
      <c r="BO245" t="s">
        <v>553</v>
      </c>
      <c r="BP245" t="s">
        <v>550</v>
      </c>
      <c r="BQ245" t="s">
        <v>550</v>
      </c>
      <c r="BS245" t="s">
        <v>546</v>
      </c>
      <c r="BT245" t="s">
        <v>1110</v>
      </c>
    </row>
    <row r="246" spans="1:72" x14ac:dyDescent="0.2">
      <c r="A246" s="115" t="s">
        <v>1293</v>
      </c>
      <c r="B246" s="116" t="str">
        <f>IF(A246="","",_xlfn.XLOOKUP(A246, Company_List!$A:$A, Company_List!$B:$B, ""))</f>
        <v>BKNG</v>
      </c>
      <c r="C246" s="143">
        <v>2025</v>
      </c>
      <c r="D246" s="143" t="s">
        <v>555</v>
      </c>
      <c r="E246" s="98" t="s">
        <v>1121</v>
      </c>
      <c r="F246" s="98" t="s">
        <v>1086</v>
      </c>
      <c r="G246" s="143" t="s">
        <v>610</v>
      </c>
      <c r="H246" s="106" t="s">
        <v>540</v>
      </c>
      <c r="I246" s="145">
        <v>0.8</v>
      </c>
      <c r="J246" s="145" t="str">
        <f>IF(OR(I246="",Settings!$B$6=""),"",IF(I246&gt;Settings!$B$6,"BUY",IF(I246&lt;-Settings!$B$6,"SELL","HOLD")))</f>
        <v>BUY</v>
      </c>
      <c r="K246" s="145">
        <v>5</v>
      </c>
      <c r="L246" s="125">
        <v>45867</v>
      </c>
      <c r="M246" s="140">
        <v>45867</v>
      </c>
      <c r="N246" s="147">
        <v>223.63079999999999</v>
      </c>
      <c r="O246" s="140">
        <v>45868</v>
      </c>
      <c r="P246" s="145">
        <v>219.6</v>
      </c>
      <c r="Q246" s="150">
        <f t="shared" si="33"/>
        <v>-1.7999999999999999E-2</v>
      </c>
      <c r="R246" s="106" t="str">
        <f>IF(OR(N246="",P246=""),"",IF(Q246&gt;Settings!$B$3/100,"UP",IF(Q246&lt;-Settings!$B$3/100,"DOWN","FLAT")))</f>
        <v>FLAT</v>
      </c>
      <c r="S246" s="106" t="str">
        <f t="shared" si="34"/>
        <v>NO</v>
      </c>
      <c r="T246" s="105">
        <f t="shared" si="35"/>
        <v>1</v>
      </c>
      <c r="U246" s="150">
        <f>IFERROR(IF(OR(J246="",N246="",P246=""),"",IF(T246=0,0,T246*Q246-Settings!$B$4/10000-IF(T246&lt;0,Settings!$B$5/10000,0))),"")</f>
        <v>-1.9E-2</v>
      </c>
      <c r="W246" s="21">
        <f t="shared" si="36"/>
        <v>300</v>
      </c>
      <c r="X246" s="91" t="str">
        <f t="shared" si="37"/>
        <v>Booking Holdings|2025|Q2</v>
      </c>
      <c r="Y246" s="91" t="str">
        <f>IFERROR(IF($X246="","",INDEX(LLM_Data_Entry!$H$3:$H$548,MATCH($X246,INDEX(LLM_Data_Entry!$A$3:$A$548&amp;"|"&amp;LLM_Data_Entry!$C$3:$C$548&amp;"|"&amp;LLM_Data_Entry!$D$3:$D$548,0),0))),"")</f>
        <v>HOLD</v>
      </c>
      <c r="Z246" s="91" t="str">
        <f>IFERROR(IF($X246="","",INDEX(LLM_Data_Entry!$R$3:$R$548,MATCH($X246,INDEX(LLM_Data_Entry!$A$3:$A$548&amp;"|"&amp;LLM_Data_Entry!$C$3:$C$548&amp;"|"&amp;LLM_Data_Entry!$D$3:$D$548,0),0))),"")</f>
        <v>YES</v>
      </c>
      <c r="AB246" t="s">
        <v>564</v>
      </c>
      <c r="AC246" t="s">
        <v>1294</v>
      </c>
      <c r="AD246" t="s">
        <v>620</v>
      </c>
      <c r="AE246">
        <v>221.75550000000001</v>
      </c>
      <c r="AF246" t="s">
        <v>1001</v>
      </c>
      <c r="AG246">
        <v>217.7585</v>
      </c>
      <c r="AH246">
        <v>-1.8024406487645889E-2</v>
      </c>
      <c r="AI246" t="s">
        <v>579</v>
      </c>
      <c r="AJ246" t="s">
        <v>546</v>
      </c>
      <c r="AK246">
        <v>-1.9023999999999999E-2</v>
      </c>
      <c r="AL246" t="str">
        <f>IF($A246="","",IFERROR(INDEX(Company_List!$G$3:$G$207,MATCH($A246,Company_List!$A$3:$A$207,0)),"unassigned"))</f>
        <v>both</v>
      </c>
      <c r="AM246" t="s">
        <v>1296</v>
      </c>
      <c r="AO246" t="s">
        <v>548</v>
      </c>
      <c r="AP246" t="str">
        <f>IF($A246="","",IF(COUNTIFS(LLM_Data_Entry!$A$3:$A$548,$A246)&gt;0,"YES","NO"))</f>
        <v>YES</v>
      </c>
      <c r="AQ246" t="str">
        <f>IF($A246="","",IF(COUNTIFS($A$3:$A246,$A246,$C$3:$C246,$C246,$D$3:$D246,$D246)=1,"YES","NO"))</f>
        <v>YES</v>
      </c>
      <c r="AR246" t="str">
        <f>IF($A246="","",IF(AND($C246&amp;"-"&amp;$D246&gt;=Settings!$B$19,$C246&amp;"-"&amp;$D246&lt;=Settings!$B$20),"IN","OUT"))</f>
        <v>IN</v>
      </c>
      <c r="AS246" t="str">
        <f t="shared" si="38"/>
        <v>financials</v>
      </c>
      <c r="AT246">
        <f t="shared" si="39"/>
        <v>-1.9E-2</v>
      </c>
      <c r="AU246">
        <f t="shared" si="40"/>
        <v>-1.9023999999999999E-2</v>
      </c>
      <c r="AV246">
        <f>IF(ISNUMBER($AT246),ABS(IF(ISNUMBER($I246),$I246,0)-Settings!$B$24),"")</f>
        <v>0.8</v>
      </c>
      <c r="AW246">
        <f t="shared" si="41"/>
        <v>-1.52E-2</v>
      </c>
      <c r="AX246">
        <f>IF(ISNUMBER($AU246),ABS(IF(ISNUMBER($I246),$I246,0)-Settings!$B$24),"")</f>
        <v>0.8</v>
      </c>
      <c r="AY246" t="s">
        <v>549</v>
      </c>
      <c r="AZ246" t="str">
        <f>IF($A246="","",IFERROR(INDEX(Company_List!$H$3:$H$207,MATCH($A246,Company_List!$A$3:$A$207,0)),"unassigned"))</f>
        <v>Consumer Discretionary</v>
      </c>
      <c r="BA246">
        <v>1</v>
      </c>
      <c r="BB246">
        <v>1</v>
      </c>
      <c r="BC246">
        <f>IF($A246="","",IF(COUNTIFS($A$3:$A246,$A246,$C$3:$C246,$C246,$D$3:$D246,$D246,$G$3:$G246,$G246)=1,1,0))</f>
        <v>1</v>
      </c>
      <c r="BD246">
        <v>5</v>
      </c>
      <c r="BG246" t="s">
        <v>550</v>
      </c>
      <c r="BJ246" t="s">
        <v>1268</v>
      </c>
      <c r="BK246">
        <f t="shared" si="42"/>
        <v>0</v>
      </c>
      <c r="BL246" t="s">
        <v>1269</v>
      </c>
      <c r="BM246">
        <v>1</v>
      </c>
      <c r="BN246" t="s">
        <v>617</v>
      </c>
      <c r="BO246" t="s">
        <v>553</v>
      </c>
      <c r="BP246" t="s">
        <v>550</v>
      </c>
      <c r="BQ246" t="s">
        <v>550</v>
      </c>
      <c r="BS246" t="s">
        <v>554</v>
      </c>
    </row>
    <row r="247" spans="1:72" x14ac:dyDescent="0.2">
      <c r="A247" s="115" t="s">
        <v>1293</v>
      </c>
      <c r="B247" s="116" t="str">
        <f>IF(A247="","",_xlfn.XLOOKUP(A247, Company_List!$A:$A, Company_List!$B:$B, ""))</f>
        <v>BKNG</v>
      </c>
      <c r="C247" s="143">
        <v>2025</v>
      </c>
      <c r="D247" s="143" t="s">
        <v>563</v>
      </c>
      <c r="E247" s="98" t="s">
        <v>647</v>
      </c>
      <c r="F247" s="98" t="s">
        <v>1092</v>
      </c>
      <c r="G247" s="143" t="s">
        <v>610</v>
      </c>
      <c r="H247" s="106" t="s">
        <v>540</v>
      </c>
      <c r="I247" s="145">
        <v>0.6</v>
      </c>
      <c r="J247" s="145" t="str">
        <f>IF(OR(I247="",Settings!$B$6=""),"",IF(I247&gt;Settings!$B$6,"BUY",IF(I247&lt;-Settings!$B$6,"SELL","HOLD")))</f>
        <v>BUY</v>
      </c>
      <c r="K247" s="145">
        <v>15</v>
      </c>
      <c r="L247" s="125">
        <v>45958</v>
      </c>
      <c r="M247" s="140">
        <v>45958</v>
      </c>
      <c r="N247" s="147">
        <v>204.8228</v>
      </c>
      <c r="O247" s="140">
        <v>45959</v>
      </c>
      <c r="P247" s="145">
        <v>208</v>
      </c>
      <c r="Q247" s="150">
        <f t="shared" si="33"/>
        <v>1.55E-2</v>
      </c>
      <c r="R247" s="106" t="str">
        <f>IF(OR(N247="",P247=""),"",IF(Q247&gt;Settings!$B$3/100,"UP",IF(Q247&lt;-Settings!$B$3/100,"DOWN","FLAT")))</f>
        <v>FLAT</v>
      </c>
      <c r="S247" s="106" t="str">
        <f t="shared" si="34"/>
        <v>NO</v>
      </c>
      <c r="T247" s="105">
        <f t="shared" si="35"/>
        <v>1</v>
      </c>
      <c r="U247" s="150">
        <f>IFERROR(IF(OR(J247="",N247="",P247=""),"",IF(T247=0,0,T247*Q247-Settings!$B$4/10000-IF(T247&lt;0,Settings!$B$5/10000,0))),"")</f>
        <v>1.4499999999999999E-2</v>
      </c>
      <c r="W247" s="21">
        <f t="shared" si="36"/>
        <v>900</v>
      </c>
      <c r="X247" s="91" t="str">
        <f t="shared" si="37"/>
        <v>Booking Holdings|2025|Q3</v>
      </c>
      <c r="Y247" s="91" t="str">
        <f>IFERROR(IF($X247="","",INDEX(LLM_Data_Entry!$H$3:$H$548,MATCH($X247,INDEX(LLM_Data_Entry!$A$3:$A$548&amp;"|"&amp;LLM_Data_Entry!$C$3:$C$548&amp;"|"&amp;LLM_Data_Entry!$D$3:$D$548,0),0))),"")</f>
        <v>BUY</v>
      </c>
      <c r="Z247" s="91" t="str">
        <f>IFERROR(IF($X247="","",INDEX(LLM_Data_Entry!$R$3:$R$548,MATCH($X247,INDEX(LLM_Data_Entry!$A$3:$A$548&amp;"|"&amp;LLM_Data_Entry!$C$3:$C$548&amp;"|"&amp;LLM_Data_Entry!$D$3:$D$548,0),0))),"")</f>
        <v>NO</v>
      </c>
      <c r="AB247" t="s">
        <v>564</v>
      </c>
      <c r="AC247" t="s">
        <v>1294</v>
      </c>
      <c r="AD247" t="s">
        <v>625</v>
      </c>
      <c r="AE247">
        <v>203.45490000000001</v>
      </c>
      <c r="AF247" t="s">
        <v>626</v>
      </c>
      <c r="AG247">
        <v>206.6113</v>
      </c>
      <c r="AH247">
        <v>1.5513979034043911E-2</v>
      </c>
      <c r="AI247" t="s">
        <v>579</v>
      </c>
      <c r="AJ247" t="s">
        <v>546</v>
      </c>
      <c r="AK247">
        <v>1.4514000000000001E-2</v>
      </c>
      <c r="AL247" t="str">
        <f>IF($A247="","",IFERROR(INDEX(Company_List!$G$3:$G$207,MATCH($A247,Company_List!$A$3:$A$207,0)),"unassigned"))</f>
        <v>both</v>
      </c>
      <c r="AM247" t="s">
        <v>1297</v>
      </c>
      <c r="AO247" t="s">
        <v>548</v>
      </c>
      <c r="AP247" t="str">
        <f>IF($A247="","",IF(COUNTIFS(LLM_Data_Entry!$A$3:$A$548,$A247)&gt;0,"YES","NO"))</f>
        <v>YES</v>
      </c>
      <c r="AQ247" t="str">
        <f>IF($A247="","",IF(COUNTIFS($A$3:$A247,$A247,$C$3:$C247,$C247,$D$3:$D247,$D247)=1,"YES","NO"))</f>
        <v>YES</v>
      </c>
      <c r="AR247" t="str">
        <f>IF($A247="","",IF(AND($C247&amp;"-"&amp;$D247&gt;=Settings!$B$19,$C247&amp;"-"&amp;$D247&lt;=Settings!$B$20),"IN","OUT"))</f>
        <v>IN</v>
      </c>
      <c r="AS247" t="str">
        <f t="shared" si="38"/>
        <v>qanda</v>
      </c>
      <c r="AT247">
        <f t="shared" si="39"/>
        <v>1.4499999999999999E-2</v>
      </c>
      <c r="AU247">
        <f t="shared" si="40"/>
        <v>1.4514000000000001E-2</v>
      </c>
      <c r="AV247">
        <f>IF(ISNUMBER($AT247),ABS(IF(ISNUMBER($I247),$I247,0)-Settings!$B$24),"")</f>
        <v>0.6</v>
      </c>
      <c r="AW247">
        <f t="shared" si="41"/>
        <v>8.6999999999999994E-3</v>
      </c>
      <c r="AX247">
        <f>IF(ISNUMBER($AU247),ABS(IF(ISNUMBER($I247),$I247,0)-Settings!$B$24),"")</f>
        <v>0.6</v>
      </c>
      <c r="AY247" t="s">
        <v>549</v>
      </c>
      <c r="AZ247" t="str">
        <f>IF($A247="","",IFERROR(INDEX(Company_List!$H$3:$H$207,MATCH($A247,Company_List!$A$3:$A$207,0)),"unassigned"))</f>
        <v>Consumer Discretionary</v>
      </c>
      <c r="BA247">
        <v>1</v>
      </c>
      <c r="BB247">
        <v>1</v>
      </c>
      <c r="BC247">
        <f>IF($A247="","",IF(COUNTIFS($A$3:$A247,$A247,$C$3:$C247,$C247,$D$3:$D247,$D247,$G$3:$G247,$G247)=1,1,0))</f>
        <v>1</v>
      </c>
      <c r="BD247">
        <v>15</v>
      </c>
      <c r="BG247" t="s">
        <v>550</v>
      </c>
      <c r="BJ247" t="s">
        <v>1268</v>
      </c>
      <c r="BK247">
        <f t="shared" si="42"/>
        <v>1</v>
      </c>
      <c r="BL247" t="s">
        <v>1269</v>
      </c>
      <c r="BM247">
        <v>1</v>
      </c>
      <c r="BN247" t="s">
        <v>617</v>
      </c>
      <c r="BO247" t="s">
        <v>553</v>
      </c>
      <c r="BP247" t="s">
        <v>550</v>
      </c>
      <c r="BQ247" t="s">
        <v>550</v>
      </c>
      <c r="BS247" t="s">
        <v>554</v>
      </c>
    </row>
    <row r="248" spans="1:72" x14ac:dyDescent="0.2">
      <c r="A248" s="115" t="s">
        <v>1293</v>
      </c>
      <c r="B248" s="116" t="str">
        <f>IF(A248="","",_xlfn.XLOOKUP(A248, Company_List!$A:$A, Company_List!$B:$B, ""))</f>
        <v>BKNG</v>
      </c>
      <c r="C248" s="143">
        <v>2025</v>
      </c>
      <c r="D248" s="143" t="s">
        <v>569</v>
      </c>
      <c r="E248" s="98" t="s">
        <v>538</v>
      </c>
      <c r="F248" s="98" t="s">
        <v>538</v>
      </c>
      <c r="G248" s="143" t="s">
        <v>610</v>
      </c>
      <c r="H248" s="106" t="s">
        <v>540</v>
      </c>
      <c r="I248" s="145">
        <v>0.7</v>
      </c>
      <c r="J248" s="145" t="str">
        <f>IF(OR(I248="",Settings!$B$6=""),"",IF(I248&gt;Settings!$B$6,"BUY",IF(I248&lt;-Settings!$B$6,"SELL","HOLD")))</f>
        <v>BUY</v>
      </c>
      <c r="K248" s="145">
        <v>24</v>
      </c>
      <c r="L248" s="125">
        <v>46071</v>
      </c>
      <c r="M248" s="140">
        <v>46071</v>
      </c>
      <c r="N248" s="147">
        <v>170.7996</v>
      </c>
      <c r="O248" s="140">
        <v>46072</v>
      </c>
      <c r="P248" s="145">
        <v>163.55000000000001</v>
      </c>
      <c r="Q248" s="150">
        <f t="shared" si="33"/>
        <v>-4.24E-2</v>
      </c>
      <c r="R248" s="106" t="str">
        <f>IF(OR(N248="",P248=""),"",IF(Q248&gt;Settings!$B$3/100,"UP",IF(Q248&lt;-Settings!$B$3/100,"DOWN","FLAT")))</f>
        <v>DOWN</v>
      </c>
      <c r="S248" s="106" t="str">
        <f t="shared" si="34"/>
        <v>NO</v>
      </c>
      <c r="T248" s="105">
        <f t="shared" si="35"/>
        <v>1</v>
      </c>
      <c r="U248" s="150">
        <f>IFERROR(IF(OR(J248="",N248="",P248=""),"",IF(T248=0,0,T248*Q248-Settings!$B$4/10000-IF(T248&lt;0,Settings!$B$5/10000,0))),"")</f>
        <v>-4.3400000000000001E-2</v>
      </c>
      <c r="W248" s="21">
        <f t="shared" si="36"/>
        <v>1440</v>
      </c>
      <c r="X248" s="91" t="str">
        <f t="shared" si="37"/>
        <v>Booking Holdings|2025|Q4</v>
      </c>
      <c r="Y248" s="91" t="str">
        <f>IFERROR(IF($X248="","",INDEX(LLM_Data_Entry!$H$3:$H$548,MATCH($X248,INDEX(LLM_Data_Entry!$A$3:$A$548&amp;"|"&amp;LLM_Data_Entry!$C$3:$C$548&amp;"|"&amp;LLM_Data_Entry!$D$3:$D$548,0),0))),"")</f>
        <v>HOLD</v>
      </c>
      <c r="Z248" s="91" t="str">
        <f>IFERROR(IF($X248="","",INDEX(LLM_Data_Entry!$R$3:$R$548,MATCH($X248,INDEX(LLM_Data_Entry!$A$3:$A$548&amp;"|"&amp;LLM_Data_Entry!$C$3:$C$548&amp;"|"&amp;LLM_Data_Entry!$D$3:$D$548,0),0))),"")</f>
        <v>NO</v>
      </c>
      <c r="AB248" t="s">
        <v>564</v>
      </c>
      <c r="AC248" t="s">
        <v>1294</v>
      </c>
      <c r="AD248" t="s">
        <v>846</v>
      </c>
      <c r="AE248">
        <v>169.98349999999999</v>
      </c>
      <c r="AF248" t="s">
        <v>847</v>
      </c>
      <c r="AG248">
        <v>162.77330000000001</v>
      </c>
      <c r="AH248">
        <v>-4.2417065992395607E-2</v>
      </c>
      <c r="AI248" t="s">
        <v>545</v>
      </c>
      <c r="AJ248" t="s">
        <v>546</v>
      </c>
      <c r="AK248">
        <v>-4.3416999999999997E-2</v>
      </c>
      <c r="AL248" t="str">
        <f>IF($A248="","",IFERROR(INDEX(Company_List!$G$3:$G$207,MATCH($A248,Company_List!$A$3:$A$207,0)),"unassigned"))</f>
        <v>both</v>
      </c>
      <c r="AM248" t="s">
        <v>1298</v>
      </c>
      <c r="AO248" t="s">
        <v>548</v>
      </c>
      <c r="AP248" t="str">
        <f>IF($A248="","",IF(COUNTIFS(LLM_Data_Entry!$A$3:$A$548,$A248)&gt;0,"YES","NO"))</f>
        <v>YES</v>
      </c>
      <c r="AQ248" t="str">
        <f>IF($A248="","",IF(COUNTIFS($A$3:$A248,$A248,$C$3:$C248,$C248,$D$3:$D248,$D248)=1,"YES","NO"))</f>
        <v>YES</v>
      </c>
      <c r="AR248" t="str">
        <f>IF($A248="","",IF(AND($C248&amp;"-"&amp;$D248&gt;=Settings!$B$19,$C248&amp;"-"&amp;$D248&lt;=Settings!$B$20),"IN","OUT"))</f>
        <v>IN</v>
      </c>
      <c r="AS248" t="str">
        <f t="shared" si="38"/>
        <v>full</v>
      </c>
      <c r="AT248">
        <f t="shared" si="39"/>
        <v>-4.3400000000000001E-2</v>
      </c>
      <c r="AU248">
        <f t="shared" si="40"/>
        <v>-4.3416999999999997E-2</v>
      </c>
      <c r="AV248">
        <f>IF(ISNUMBER($AT248),ABS(IF(ISNUMBER($I248),$I248,0)-Settings!$B$24),"")</f>
        <v>0.7</v>
      </c>
      <c r="AW248">
        <f t="shared" si="41"/>
        <v>-3.0379999999999997E-2</v>
      </c>
      <c r="AX248">
        <f>IF(ISNUMBER($AU248),ABS(IF(ISNUMBER($I248),$I248,0)-Settings!$B$24),"")</f>
        <v>0.7</v>
      </c>
      <c r="AY248" t="s">
        <v>549</v>
      </c>
      <c r="AZ248" t="str">
        <f>IF($A248="","",IFERROR(INDEX(Company_List!$H$3:$H$207,MATCH($A248,Company_List!$A$3:$A$207,0)),"unassigned"))</f>
        <v>Consumer Discretionary</v>
      </c>
      <c r="BA248">
        <v>1</v>
      </c>
      <c r="BB248">
        <v>1</v>
      </c>
      <c r="BC248">
        <f>IF($A248="","",IF(COUNTIFS($A$3:$A248,$A248,$C$3:$C248,$C248,$D$3:$D248,$D248,$G$3:$G248,$G248)=1,1,0))</f>
        <v>1</v>
      </c>
      <c r="BD248">
        <v>24</v>
      </c>
      <c r="BG248" t="s">
        <v>550</v>
      </c>
      <c r="BJ248" t="s">
        <v>1268</v>
      </c>
      <c r="BK248">
        <f t="shared" si="42"/>
        <v>0</v>
      </c>
      <c r="BL248" t="s">
        <v>1269</v>
      </c>
      <c r="BM248">
        <v>1</v>
      </c>
      <c r="BN248" t="s">
        <v>617</v>
      </c>
      <c r="BO248" t="s">
        <v>553</v>
      </c>
      <c r="BP248" t="s">
        <v>550</v>
      </c>
      <c r="BQ248" t="s">
        <v>550</v>
      </c>
      <c r="BS248" t="s">
        <v>554</v>
      </c>
    </row>
    <row r="249" spans="1:72" x14ac:dyDescent="0.2">
      <c r="A249" s="115" t="s">
        <v>1299</v>
      </c>
      <c r="B249" s="116" t="str">
        <f>IF(A249="","",_xlfn.XLOOKUP(A249, Company_List!$A:$A, Company_List!$B:$B, ""))</f>
        <v>ALV.DE</v>
      </c>
      <c r="C249" s="143">
        <v>2025</v>
      </c>
      <c r="D249" s="143" t="s">
        <v>537</v>
      </c>
      <c r="E249" s="98" t="s">
        <v>647</v>
      </c>
      <c r="F249" s="98" t="s">
        <v>1092</v>
      </c>
      <c r="G249" s="143" t="s">
        <v>610</v>
      </c>
      <c r="H249" s="106" t="s">
        <v>540</v>
      </c>
      <c r="I249" s="145">
        <v>0.3</v>
      </c>
      <c r="J249" s="145" t="str">
        <f>IF(OR(I249="",Settings!$B$6=""),"",IF(I249&gt;Settings!$B$6,"BUY",IF(I249&lt;-Settings!$B$6,"SELL","HOLD")))</f>
        <v>BUY</v>
      </c>
      <c r="K249" s="145">
        <v>12</v>
      </c>
      <c r="L249" s="125">
        <v>45792</v>
      </c>
      <c r="M249" s="140">
        <v>45792</v>
      </c>
      <c r="N249" s="147">
        <v>348.2</v>
      </c>
      <c r="O249" s="140">
        <v>45793</v>
      </c>
      <c r="P249" s="145">
        <v>348.5</v>
      </c>
      <c r="Q249" s="150">
        <f t="shared" si="33"/>
        <v>8.9999999999999998E-4</v>
      </c>
      <c r="R249" s="106" t="str">
        <f>IF(OR(N249="",P249=""),"",IF(Q249&gt;Settings!$B$3/100,"UP",IF(Q249&lt;-Settings!$B$3/100,"DOWN","FLAT")))</f>
        <v>FLAT</v>
      </c>
      <c r="S249" s="106" t="str">
        <f t="shared" si="34"/>
        <v>NO</v>
      </c>
      <c r="T249" s="105">
        <f t="shared" si="35"/>
        <v>1</v>
      </c>
      <c r="U249" s="150">
        <f>IFERROR(IF(OR(J249="",N249="",P249=""),"",IF(T249=0,0,T249*Q249-Settings!$B$4/10000-IF(T249&lt;0,Settings!$B$5/10000,0))),"")</f>
        <v>-1.0000000000000005E-4</v>
      </c>
      <c r="W249" s="21">
        <f t="shared" si="36"/>
        <v>720</v>
      </c>
      <c r="X249" s="91" t="str">
        <f t="shared" si="37"/>
        <v>Allianz|2025|Q1</v>
      </c>
      <c r="Y249" s="91" t="str">
        <f>IFERROR(IF($X249="","",INDEX(LLM_Data_Entry!$H$3:$H$548,MATCH($X249,INDEX(LLM_Data_Entry!$A$3:$A$548&amp;"|"&amp;LLM_Data_Entry!$C$3:$C$548&amp;"|"&amp;LLM_Data_Entry!$D$3:$D$548,0),0))),"")</f>
        <v>HOLD</v>
      </c>
      <c r="Z249" s="91" t="str">
        <f>IFERROR(IF($X249="","",INDEX(LLM_Data_Entry!$R$3:$R$548,MATCH($X249,INDEX(LLM_Data_Entry!$A$3:$A$548&amp;"|"&amp;LLM_Data_Entry!$C$3:$C$548&amp;"|"&amp;LLM_Data_Entry!$D$3:$D$548,0),0))),"")</f>
        <v>YES</v>
      </c>
      <c r="AL249" t="str">
        <f>IF($A249="","",IFERROR(INDEX(Company_List!$G$3:$G$207,MATCH($A249,Company_List!$A$3:$A$207,0)),"unassigned"))</f>
        <v>P3</v>
      </c>
      <c r="AM249" t="s">
        <v>1300</v>
      </c>
      <c r="AO249" t="s">
        <v>593</v>
      </c>
      <c r="AP249" t="str">
        <f>IF($A249="","",IF(COUNTIFS(LLM_Data_Entry!$A$3:$A$548,$A249)&gt;0,"YES","NO"))</f>
        <v>YES</v>
      </c>
      <c r="AQ249" t="str">
        <f>IF($A249="","",IF(COUNTIFS($A$3:$A249,$A249,$C$3:$C249,$C249,$D$3:$D249,$D249)=1,"YES","NO"))</f>
        <v>YES</v>
      </c>
      <c r="AR249" t="str">
        <f>IF($A249="","",IF(AND($C249&amp;"-"&amp;$D249&gt;=Settings!$B$19,$C249&amp;"-"&amp;$D249&lt;=Settings!$B$20),"IN","OUT"))</f>
        <v>IN</v>
      </c>
      <c r="AS249" t="str">
        <f t="shared" si="38"/>
        <v>qanda</v>
      </c>
      <c r="AT249">
        <f t="shared" si="39"/>
        <v>-1.0000000000000005E-4</v>
      </c>
      <c r="AU249" t="str">
        <f t="shared" si="40"/>
        <v/>
      </c>
      <c r="AV249">
        <f>IF(ISNUMBER($AT249),ABS(IF(ISNUMBER($I249),$I249,0)-Settings!$B$24),"")</f>
        <v>0.3</v>
      </c>
      <c r="AW249">
        <f t="shared" si="41"/>
        <v>-3.0000000000000011E-5</v>
      </c>
      <c r="AX249" t="str">
        <f>IF(ISNUMBER($AU249),ABS(IF(ISNUMBER($I249),$I249,0)-Settings!$B$24),"")</f>
        <v/>
      </c>
      <c r="AY249" t="s">
        <v>549</v>
      </c>
      <c r="AZ249" t="str">
        <f>IF($A249="","",IFERROR(INDEX(Company_List!$H$3:$H$207,MATCH($A249,Company_List!$A$3:$A$207,0)),"unassigned"))</f>
        <v>Financials</v>
      </c>
      <c r="BC249">
        <f>IF($A249="","",IF(COUNTIFS($A$3:$A249,$A249,$C$3:$C249,$C249,$D$3:$D249,$D249,$G$3:$G249,$G249)=1,1,0))</f>
        <v>1</v>
      </c>
      <c r="BG249" t="s">
        <v>550</v>
      </c>
      <c r="BK249">
        <f t="shared" si="42"/>
        <v>0</v>
      </c>
      <c r="BL249" t="s">
        <v>551</v>
      </c>
      <c r="BM249">
        <v>6</v>
      </c>
      <c r="BN249" t="s">
        <v>1262</v>
      </c>
      <c r="BO249" t="s">
        <v>553</v>
      </c>
      <c r="BP249" t="s">
        <v>550</v>
      </c>
      <c r="BQ249" t="s">
        <v>550</v>
      </c>
      <c r="BS249" t="s">
        <v>554</v>
      </c>
    </row>
    <row r="250" spans="1:72" x14ac:dyDescent="0.2">
      <c r="A250" s="115" t="s">
        <v>1299</v>
      </c>
      <c r="B250" s="116" t="str">
        <f>IF(A250="","",_xlfn.XLOOKUP(A250, Company_List!$A:$A, Company_List!$B:$B, ""))</f>
        <v>ALV.DE</v>
      </c>
      <c r="C250" s="143">
        <v>2025</v>
      </c>
      <c r="D250" s="143" t="s">
        <v>555</v>
      </c>
      <c r="E250" s="98" t="s">
        <v>538</v>
      </c>
      <c r="F250" s="98" t="s">
        <v>538</v>
      </c>
      <c r="G250" s="143" t="s">
        <v>610</v>
      </c>
      <c r="H250" s="106" t="s">
        <v>540</v>
      </c>
      <c r="I250" s="145">
        <v>0.7</v>
      </c>
      <c r="J250" s="145" t="str">
        <f>IF(OR(I250="",Settings!$B$6=""),"",IF(I250&gt;Settings!$B$6,"BUY",IF(I250&lt;-Settings!$B$6,"SELL","HOLD")))</f>
        <v>BUY</v>
      </c>
      <c r="K250" s="145">
        <v>25</v>
      </c>
      <c r="L250" s="125">
        <v>45876</v>
      </c>
      <c r="M250" s="140">
        <v>45876</v>
      </c>
      <c r="N250" s="147">
        <v>366.9</v>
      </c>
      <c r="O250" s="140">
        <v>45877</v>
      </c>
      <c r="P250" s="145">
        <v>365</v>
      </c>
      <c r="Q250" s="150">
        <f t="shared" si="33"/>
        <v>-5.1999999999999998E-3</v>
      </c>
      <c r="R250" s="106" t="str">
        <f>IF(OR(N250="",P250=""),"",IF(Q250&gt;Settings!$B$3/100,"UP",IF(Q250&lt;-Settings!$B$3/100,"DOWN","FLAT")))</f>
        <v>FLAT</v>
      </c>
      <c r="S250" s="106" t="str">
        <f t="shared" si="34"/>
        <v>NO</v>
      </c>
      <c r="T250" s="105">
        <f t="shared" si="35"/>
        <v>1</v>
      </c>
      <c r="U250" s="150">
        <f>IFERROR(IF(OR(J250="",N250="",P250=""),"",IF(T250=0,0,T250*Q250-Settings!$B$4/10000-IF(T250&lt;0,Settings!$B$5/10000,0))),"")</f>
        <v>-6.1999999999999998E-3</v>
      </c>
      <c r="W250" s="21">
        <f t="shared" si="36"/>
        <v>1500</v>
      </c>
      <c r="X250" s="91" t="str">
        <f t="shared" si="37"/>
        <v>Allianz|2025|Q2</v>
      </c>
      <c r="Y250" s="91" t="str">
        <f>IFERROR(IF($X250="","",INDEX(LLM_Data_Entry!$H$3:$H$548,MATCH($X250,INDEX(LLM_Data_Entry!$A$3:$A$548&amp;"|"&amp;LLM_Data_Entry!$C$3:$C$548&amp;"|"&amp;LLM_Data_Entry!$D$3:$D$548,0),0))),"")</f>
        <v/>
      </c>
      <c r="Z250" s="91" t="str">
        <f>IFERROR(IF($X250="","",INDEX(LLM_Data_Entry!$R$3:$R$548,MATCH($X250,INDEX(LLM_Data_Entry!$A$3:$A$548&amp;"|"&amp;LLM_Data_Entry!$C$3:$C$548&amp;"|"&amp;LLM_Data_Entry!$D$3:$D$548,0),0))),"")</f>
        <v/>
      </c>
      <c r="AL250" t="str">
        <f>IF($A250="","",IFERROR(INDEX(Company_List!$G$3:$G$207,MATCH($A250,Company_List!$A$3:$A$207,0)),"unassigned"))</f>
        <v>P3</v>
      </c>
      <c r="AM250" t="s">
        <v>1301</v>
      </c>
      <c r="AO250" t="s">
        <v>593</v>
      </c>
      <c r="AP250" t="str">
        <f>IF($A250="","",IF(COUNTIFS(LLM_Data_Entry!$A$3:$A$548,$A250)&gt;0,"YES","NO"))</f>
        <v>YES</v>
      </c>
      <c r="AQ250" t="str">
        <f>IF($A250="","",IF(COUNTIFS($A$3:$A250,$A250,$C$3:$C250,$C250,$D$3:$D250,$D250)=1,"YES","NO"))</f>
        <v>YES</v>
      </c>
      <c r="AR250" t="str">
        <f>IF($A250="","",IF(AND($C250&amp;"-"&amp;$D250&gt;=Settings!$B$19,$C250&amp;"-"&amp;$D250&lt;=Settings!$B$20),"IN","OUT"))</f>
        <v>IN</v>
      </c>
      <c r="AS250" t="str">
        <f t="shared" si="38"/>
        <v>full</v>
      </c>
      <c r="AT250">
        <f t="shared" si="39"/>
        <v>-6.1999999999999998E-3</v>
      </c>
      <c r="AU250" t="str">
        <f t="shared" si="40"/>
        <v/>
      </c>
      <c r="AV250">
        <f>IF(ISNUMBER($AT250),ABS(IF(ISNUMBER($I250),$I250,0)-Settings!$B$24),"")</f>
        <v>0.7</v>
      </c>
      <c r="AW250">
        <f t="shared" si="41"/>
        <v>-4.3399999999999992E-3</v>
      </c>
      <c r="AX250" t="str">
        <f>IF(ISNUMBER($AU250),ABS(IF(ISNUMBER($I250),$I250,0)-Settings!$B$24),"")</f>
        <v/>
      </c>
      <c r="AY250" t="s">
        <v>549</v>
      </c>
      <c r="AZ250" t="str">
        <f>IF($A250="","",IFERROR(INDEX(Company_List!$H$3:$H$207,MATCH($A250,Company_List!$A$3:$A$207,0)),"unassigned"))</f>
        <v>Financials</v>
      </c>
      <c r="BC250">
        <f>IF($A250="","",IF(COUNTIFS($A$3:$A250,$A250,$C$3:$C250,$C250,$D$3:$D250,$D250,$G$3:$G250,$G250)=1,1,0))</f>
        <v>1</v>
      </c>
      <c r="BG250" t="s">
        <v>550</v>
      </c>
      <c r="BK250" t="str">
        <f t="shared" si="42"/>
        <v/>
      </c>
      <c r="BL250" t="s">
        <v>551</v>
      </c>
      <c r="BM250">
        <v>8</v>
      </c>
      <c r="BN250" t="s">
        <v>1262</v>
      </c>
      <c r="BO250" t="s">
        <v>553</v>
      </c>
      <c r="BP250" t="s">
        <v>550</v>
      </c>
      <c r="BQ250" t="s">
        <v>550</v>
      </c>
      <c r="BS250" t="s">
        <v>546</v>
      </c>
      <c r="BT250" t="s">
        <v>1110</v>
      </c>
    </row>
    <row r="251" spans="1:72" x14ac:dyDescent="0.2">
      <c r="A251" s="115" t="s">
        <v>1299</v>
      </c>
      <c r="B251" s="116" t="str">
        <f>IF(A251="","",_xlfn.XLOOKUP(A251, Company_List!$A:$A, Company_List!$B:$B, ""))</f>
        <v>ALV.DE</v>
      </c>
      <c r="C251" s="143">
        <v>2025</v>
      </c>
      <c r="D251" s="143" t="s">
        <v>563</v>
      </c>
      <c r="E251" s="98" t="s">
        <v>1121</v>
      </c>
      <c r="F251" s="98" t="s">
        <v>1090</v>
      </c>
      <c r="G251" s="143" t="s">
        <v>610</v>
      </c>
      <c r="H251" s="106" t="s">
        <v>540</v>
      </c>
      <c r="I251" s="145">
        <v>0.4</v>
      </c>
      <c r="J251" s="145" t="str">
        <f>IF(OR(I251="",Settings!$B$6=""),"",IF(I251&gt;Settings!$B$6,"BUY",IF(I251&lt;-Settings!$B$6,"SELL","HOLD")))</f>
        <v>BUY</v>
      </c>
      <c r="K251" s="145">
        <v>4</v>
      </c>
      <c r="L251" s="125">
        <v>45975</v>
      </c>
      <c r="M251" s="140">
        <v>45975</v>
      </c>
      <c r="N251" s="147">
        <v>367.6</v>
      </c>
      <c r="O251" s="140">
        <v>45978</v>
      </c>
      <c r="P251" s="145">
        <v>365.4</v>
      </c>
      <c r="Q251" s="150">
        <f t="shared" si="33"/>
        <v>-6.0000000000000001E-3</v>
      </c>
      <c r="R251" s="106" t="str">
        <f>IF(OR(N251="",P251=""),"",IF(Q251&gt;Settings!$B$3/100,"UP",IF(Q251&lt;-Settings!$B$3/100,"DOWN","FLAT")))</f>
        <v>FLAT</v>
      </c>
      <c r="S251" s="106" t="str">
        <f t="shared" si="34"/>
        <v>NO</v>
      </c>
      <c r="T251" s="105">
        <f t="shared" si="35"/>
        <v>1</v>
      </c>
      <c r="U251" s="150">
        <f>IFERROR(IF(OR(J251="",N251="",P251=""),"",IF(T251=0,0,T251*Q251-Settings!$B$4/10000-IF(T251&lt;0,Settings!$B$5/10000,0))),"")</f>
        <v>-7.0000000000000001E-3</v>
      </c>
      <c r="W251" s="21">
        <f t="shared" si="36"/>
        <v>240</v>
      </c>
      <c r="X251" s="91" t="str">
        <f t="shared" si="37"/>
        <v>Allianz|2025|Q3</v>
      </c>
      <c r="Y251" s="91" t="str">
        <f>IFERROR(IF($X251="","",INDEX(LLM_Data_Entry!$H$3:$H$548,MATCH($X251,INDEX(LLM_Data_Entry!$A$3:$A$548&amp;"|"&amp;LLM_Data_Entry!$C$3:$C$548&amp;"|"&amp;LLM_Data_Entry!$D$3:$D$548,0),0))),"")</f>
        <v/>
      </c>
      <c r="Z251" s="91" t="str">
        <f>IFERROR(IF($X251="","",INDEX(LLM_Data_Entry!$R$3:$R$548,MATCH($X251,INDEX(LLM_Data_Entry!$A$3:$A$548&amp;"|"&amp;LLM_Data_Entry!$C$3:$C$548&amp;"|"&amp;LLM_Data_Entry!$D$3:$D$548,0),0))),"")</f>
        <v/>
      </c>
      <c r="AL251" t="str">
        <f>IF($A251="","",IFERROR(INDEX(Company_List!$G$3:$G$207,MATCH($A251,Company_List!$A$3:$A$207,0)),"unassigned"))</f>
        <v>P3</v>
      </c>
      <c r="AM251" t="s">
        <v>1302</v>
      </c>
      <c r="AO251" t="s">
        <v>593</v>
      </c>
      <c r="AP251" t="str">
        <f>IF($A251="","",IF(COUNTIFS(LLM_Data_Entry!$A$3:$A$548,$A251)&gt;0,"YES","NO"))</f>
        <v>YES</v>
      </c>
      <c r="AQ251" t="str">
        <f>IF($A251="","",IF(COUNTIFS($A$3:$A251,$A251,$C$3:$C251,$C251,$D$3:$D251,$D251)=1,"YES","NO"))</f>
        <v>YES</v>
      </c>
      <c r="AR251" t="str">
        <f>IF($A251="","",IF(AND($C251&amp;"-"&amp;$D251&gt;=Settings!$B$19,$C251&amp;"-"&amp;$D251&lt;=Settings!$B$20),"IN","OUT"))</f>
        <v>IN</v>
      </c>
      <c r="AS251" t="str">
        <f t="shared" si="38"/>
        <v>guidance</v>
      </c>
      <c r="AT251">
        <f t="shared" si="39"/>
        <v>-7.0000000000000001E-3</v>
      </c>
      <c r="AU251" t="str">
        <f t="shared" si="40"/>
        <v/>
      </c>
      <c r="AV251">
        <f>IF(ISNUMBER($AT251),ABS(IF(ISNUMBER($I251),$I251,0)-Settings!$B$24),"")</f>
        <v>0.4</v>
      </c>
      <c r="AW251">
        <f t="shared" si="41"/>
        <v>-2.8000000000000004E-3</v>
      </c>
      <c r="AX251" t="str">
        <f>IF(ISNUMBER($AU251),ABS(IF(ISNUMBER($I251),$I251,0)-Settings!$B$24),"")</f>
        <v/>
      </c>
      <c r="AY251" t="s">
        <v>549</v>
      </c>
      <c r="AZ251" t="str">
        <f>IF($A251="","",IFERROR(INDEX(Company_List!$H$3:$H$207,MATCH($A251,Company_List!$A$3:$A$207,0)),"unassigned"))</f>
        <v>Financials</v>
      </c>
      <c r="BC251">
        <f>IF($A251="","",IF(COUNTIFS($A$3:$A251,$A251,$C$3:$C251,$C251,$D$3:$D251,$D251,$G$3:$G251,$G251)=1,1,0))</f>
        <v>1</v>
      </c>
      <c r="BG251" t="s">
        <v>550</v>
      </c>
      <c r="BK251" t="str">
        <f t="shared" si="42"/>
        <v/>
      </c>
      <c r="BL251" t="s">
        <v>551</v>
      </c>
      <c r="BM251">
        <v>6</v>
      </c>
      <c r="BN251" t="s">
        <v>1262</v>
      </c>
      <c r="BO251" t="s">
        <v>553</v>
      </c>
      <c r="BP251" t="s">
        <v>550</v>
      </c>
      <c r="BQ251" t="s">
        <v>550</v>
      </c>
      <c r="BS251" t="s">
        <v>546</v>
      </c>
      <c r="BT251" t="s">
        <v>1110</v>
      </c>
    </row>
    <row r="252" spans="1:72" x14ac:dyDescent="0.2">
      <c r="A252" s="115" t="s">
        <v>1299</v>
      </c>
      <c r="B252" s="116" t="str">
        <f>IF(A252="","",_xlfn.XLOOKUP(A252, Company_List!$A:$A, Company_List!$B:$B, ""))</f>
        <v>ALV.DE</v>
      </c>
      <c r="C252" s="143">
        <v>2025</v>
      </c>
      <c r="D252" s="143" t="s">
        <v>569</v>
      </c>
      <c r="E252" s="98" t="s">
        <v>1121</v>
      </c>
      <c r="F252" s="98" t="s">
        <v>1086</v>
      </c>
      <c r="G252" s="143" t="s">
        <v>610</v>
      </c>
      <c r="H252" s="106" t="s">
        <v>540</v>
      </c>
      <c r="I252" s="145">
        <v>0.8</v>
      </c>
      <c r="J252" s="145" t="str">
        <f>IF(OR(I252="",Settings!$B$6=""),"",IF(I252&gt;Settings!$B$6,"BUY",IF(I252&lt;-Settings!$B$6,"SELL","HOLD")))</f>
        <v>BUY</v>
      </c>
      <c r="K252" s="145">
        <v>15</v>
      </c>
      <c r="L252" s="125">
        <v>46079</v>
      </c>
      <c r="M252" s="140">
        <v>46079</v>
      </c>
      <c r="N252" s="147">
        <v>384.7</v>
      </c>
      <c r="O252" s="140">
        <v>46080</v>
      </c>
      <c r="P252" s="145">
        <v>384.5</v>
      </c>
      <c r="Q252" s="150">
        <f t="shared" si="33"/>
        <v>-5.0000000000000001E-4</v>
      </c>
      <c r="R252" s="106" t="str">
        <f>IF(OR(N252="",P252=""),"",IF(Q252&gt;Settings!$B$3/100,"UP",IF(Q252&lt;-Settings!$B$3/100,"DOWN","FLAT")))</f>
        <v>FLAT</v>
      </c>
      <c r="S252" s="106" t="str">
        <f t="shared" si="34"/>
        <v>NO</v>
      </c>
      <c r="T252" s="105">
        <f t="shared" si="35"/>
        <v>1</v>
      </c>
      <c r="U252" s="150">
        <f>IFERROR(IF(OR(J252="",N252="",P252=""),"",IF(T252=0,0,T252*Q252-Settings!$B$4/10000-IF(T252&lt;0,Settings!$B$5/10000,0))),"")</f>
        <v>-1.5E-3</v>
      </c>
      <c r="W252" s="21">
        <f t="shared" si="36"/>
        <v>900</v>
      </c>
      <c r="X252" s="91" t="str">
        <f t="shared" si="37"/>
        <v>Allianz|2025|Q4</v>
      </c>
      <c r="Y252" s="91" t="str">
        <f>IFERROR(IF($X252="","",INDEX(LLM_Data_Entry!$H$3:$H$548,MATCH($X252,INDEX(LLM_Data_Entry!$A$3:$A$548&amp;"|"&amp;LLM_Data_Entry!$C$3:$C$548&amp;"|"&amp;LLM_Data_Entry!$D$3:$D$548,0),0))),"")</f>
        <v/>
      </c>
      <c r="Z252" s="91" t="str">
        <f>IFERROR(IF($X252="","",INDEX(LLM_Data_Entry!$R$3:$R$548,MATCH($X252,INDEX(LLM_Data_Entry!$A$3:$A$548&amp;"|"&amp;LLM_Data_Entry!$C$3:$C$548&amp;"|"&amp;LLM_Data_Entry!$D$3:$D$548,0),0))),"")</f>
        <v/>
      </c>
      <c r="AL252" t="str">
        <f>IF($A252="","",IFERROR(INDEX(Company_List!$G$3:$G$207,MATCH($A252,Company_List!$A$3:$A$207,0)),"unassigned"))</f>
        <v>P3</v>
      </c>
      <c r="AM252" t="s">
        <v>1303</v>
      </c>
      <c r="AO252" t="s">
        <v>593</v>
      </c>
      <c r="AP252" t="str">
        <f>IF($A252="","",IF(COUNTIFS(LLM_Data_Entry!$A$3:$A$548,$A252)&gt;0,"YES","NO"))</f>
        <v>YES</v>
      </c>
      <c r="AQ252" t="str">
        <f>IF($A252="","",IF(COUNTIFS($A$3:$A252,$A252,$C$3:$C252,$C252,$D$3:$D252,$D252)=1,"YES","NO"))</f>
        <v>YES</v>
      </c>
      <c r="AR252" t="str">
        <f>IF($A252="","",IF(AND($C252&amp;"-"&amp;$D252&gt;=Settings!$B$19,$C252&amp;"-"&amp;$D252&lt;=Settings!$B$20),"IN","OUT"))</f>
        <v>IN</v>
      </c>
      <c r="AS252" t="str">
        <f t="shared" si="38"/>
        <v>financials</v>
      </c>
      <c r="AT252">
        <f t="shared" si="39"/>
        <v>-1.5E-3</v>
      </c>
      <c r="AU252" t="str">
        <f t="shared" si="40"/>
        <v/>
      </c>
      <c r="AV252">
        <f>IF(ISNUMBER($AT252),ABS(IF(ISNUMBER($I252),$I252,0)-Settings!$B$24),"")</f>
        <v>0.8</v>
      </c>
      <c r="AW252">
        <f t="shared" si="41"/>
        <v>-1.2000000000000001E-3</v>
      </c>
      <c r="AX252" t="str">
        <f>IF(ISNUMBER($AU252),ABS(IF(ISNUMBER($I252),$I252,0)-Settings!$B$24),"")</f>
        <v/>
      </c>
      <c r="AY252" t="s">
        <v>549</v>
      </c>
      <c r="AZ252" t="str">
        <f>IF($A252="","",IFERROR(INDEX(Company_List!$H$3:$H$207,MATCH($A252,Company_List!$A$3:$A$207,0)),"unassigned"))</f>
        <v>Financials</v>
      </c>
      <c r="BC252">
        <f>IF($A252="","",IF(COUNTIFS($A$3:$A252,$A252,$C$3:$C252,$C252,$D$3:$D252,$D252,$G$3:$G252,$G252)=1,1,0))</f>
        <v>1</v>
      </c>
      <c r="BG252" t="s">
        <v>550</v>
      </c>
      <c r="BK252" t="str">
        <f t="shared" si="42"/>
        <v/>
      </c>
      <c r="BL252" t="s">
        <v>551</v>
      </c>
      <c r="BM252">
        <v>9</v>
      </c>
      <c r="BN252" t="s">
        <v>1262</v>
      </c>
      <c r="BO252" t="s">
        <v>553</v>
      </c>
      <c r="BP252" t="s">
        <v>550</v>
      </c>
      <c r="BQ252" t="s">
        <v>550</v>
      </c>
      <c r="BS252" t="s">
        <v>546</v>
      </c>
      <c r="BT252" t="s">
        <v>1110</v>
      </c>
    </row>
    <row r="253" spans="1:72" x14ac:dyDescent="0.2">
      <c r="A253" s="115" t="s">
        <v>1304</v>
      </c>
      <c r="B253" s="116" t="str">
        <f>IF(A253="","",_xlfn.XLOOKUP(A253, Company_List!$A:$A, Company_List!$B:$B, ""))</f>
        <v>DELL</v>
      </c>
      <c r="C253" s="143">
        <v>2025</v>
      </c>
      <c r="D253" s="143" t="s">
        <v>537</v>
      </c>
      <c r="E253" s="98" t="s">
        <v>647</v>
      </c>
      <c r="F253" s="98" t="s">
        <v>1092</v>
      </c>
      <c r="G253" s="143" t="s">
        <v>610</v>
      </c>
      <c r="H253" s="106" t="s">
        <v>540</v>
      </c>
      <c r="I253" s="145">
        <v>-0.4</v>
      </c>
      <c r="J253" s="145" t="str">
        <f>IF(OR(I253="",Settings!$B$6=""),"",IF(I253&gt;Settings!$B$6,"BUY",IF(I253&lt;-Settings!$B$6,"SELL","HOLD")))</f>
        <v>SELL</v>
      </c>
      <c r="K253" s="145">
        <v>15</v>
      </c>
      <c r="L253" s="125">
        <v>45442</v>
      </c>
      <c r="M253" s="140">
        <v>45806</v>
      </c>
      <c r="N253" s="147">
        <v>113.63</v>
      </c>
      <c r="O253" s="140">
        <v>45807</v>
      </c>
      <c r="P253" s="145">
        <v>112.48</v>
      </c>
      <c r="Q253" s="150">
        <f t="shared" si="33"/>
        <v>-1.01E-2</v>
      </c>
      <c r="R253" s="106" t="str">
        <f>IF(OR(N253="",P253=""),"",IF(Q253&gt;Settings!$B$3/100,"UP",IF(Q253&lt;-Settings!$B$3/100,"DOWN","FLAT")))</f>
        <v>FLAT</v>
      </c>
      <c r="S253" s="106" t="str">
        <f t="shared" si="34"/>
        <v>NO</v>
      </c>
      <c r="T253" s="105">
        <f t="shared" si="35"/>
        <v>-1</v>
      </c>
      <c r="U253" s="150">
        <f>IFERROR(IF(OR(J253="",N253="",P253=""),"",IF(T253=0,0,T253*Q253-Settings!$B$4/10000-IF(T253&lt;0,Settings!$B$5/10000,0))),"")</f>
        <v>9.1000000000000004E-3</v>
      </c>
      <c r="W253" s="21">
        <f t="shared" si="36"/>
        <v>900</v>
      </c>
      <c r="X253" s="91" t="str">
        <f t="shared" si="37"/>
        <v>Dell|2025|Q1</v>
      </c>
      <c r="Y253" s="91" t="str">
        <f>IFERROR(IF($X253="","",INDEX(LLM_Data_Entry!$H$3:$H$548,MATCH($X253,INDEX(LLM_Data_Entry!$A$3:$A$548&amp;"|"&amp;LLM_Data_Entry!$C$3:$C$548&amp;"|"&amp;LLM_Data_Entry!$D$3:$D$548,0),0))),"")</f>
        <v>SELL</v>
      </c>
      <c r="Z253" s="91" t="str">
        <f>IFERROR(IF($X253="","",INDEX(LLM_Data_Entry!$R$3:$R$548,MATCH($X253,INDEX(LLM_Data_Entry!$A$3:$A$548&amp;"|"&amp;LLM_Data_Entry!$C$3:$C$548&amp;"|"&amp;LLM_Data_Entry!$D$3:$D$548,0),0))),"")</f>
        <v>NO</v>
      </c>
      <c r="AL253" t="str">
        <f>IF($A253="","",IFERROR(INDEX(Company_List!$G$3:$G$207,MATCH($A253,Company_List!$A$3:$A$207,0)),"unassigned"))</f>
        <v>P3</v>
      </c>
      <c r="AM253" t="s">
        <v>1305</v>
      </c>
      <c r="AO253" t="s">
        <v>593</v>
      </c>
      <c r="AP253" t="str">
        <f>IF($A253="","",IF(COUNTIFS(LLM_Data_Entry!$A$3:$A$548,$A253)&gt;0,"YES","NO"))</f>
        <v>YES</v>
      </c>
      <c r="AQ253" t="str">
        <f>IF($A253="","",IF(COUNTIFS($A$3:$A253,$A253,$C$3:$C253,$C253,$D$3:$D253,$D253)=1,"YES","NO"))</f>
        <v>YES</v>
      </c>
      <c r="AR253" t="str">
        <f>IF($A253="","",IF(AND($C253&amp;"-"&amp;$D253&gt;=Settings!$B$19,$C253&amp;"-"&amp;$D253&lt;=Settings!$B$20),"IN","OUT"))</f>
        <v>IN</v>
      </c>
      <c r="AS253" t="str">
        <f t="shared" si="38"/>
        <v>qanda</v>
      </c>
      <c r="AT253">
        <f t="shared" si="39"/>
        <v>9.1000000000000004E-3</v>
      </c>
      <c r="AU253" t="str">
        <f t="shared" si="40"/>
        <v/>
      </c>
      <c r="AV253">
        <f>IF(ISNUMBER($AT253),ABS(IF(ISNUMBER($I253),$I253,0)-Settings!$B$24),"")</f>
        <v>0.4</v>
      </c>
      <c r="AW253">
        <f t="shared" si="41"/>
        <v>3.6400000000000004E-3</v>
      </c>
      <c r="AX253" t="str">
        <f>IF(ISNUMBER($AU253),ABS(IF(ISNUMBER($I253),$I253,0)-Settings!$B$24),"")</f>
        <v/>
      </c>
      <c r="AY253" t="s">
        <v>549</v>
      </c>
      <c r="AZ253" t="str">
        <f>IF($A253="","",IFERROR(INDEX(Company_List!$H$3:$H$207,MATCH($A253,Company_List!$A$3:$A$207,0)),"unassigned"))</f>
        <v>Information Technology</v>
      </c>
      <c r="BC253">
        <f>IF($A253="","",IF(COUNTIFS($A$3:$A253,$A253,$C$3:$C253,$C253,$D$3:$D253,$D253,$G$3:$G253,$G253)=1,1,0))</f>
        <v>1</v>
      </c>
      <c r="BG253" t="s">
        <v>550</v>
      </c>
      <c r="BK253">
        <f t="shared" si="42"/>
        <v>1</v>
      </c>
      <c r="BL253" t="s">
        <v>551</v>
      </c>
      <c r="BM253">
        <v>4</v>
      </c>
      <c r="BN253" t="s">
        <v>561</v>
      </c>
      <c r="BO253" t="s">
        <v>561</v>
      </c>
      <c r="BP253" t="s">
        <v>550</v>
      </c>
      <c r="BQ253" t="s">
        <v>550</v>
      </c>
      <c r="BS253" t="s">
        <v>554</v>
      </c>
    </row>
    <row r="254" spans="1:72" x14ac:dyDescent="0.2">
      <c r="A254" s="115" t="s">
        <v>1304</v>
      </c>
      <c r="B254" s="116" t="str">
        <f>IF(A254="","",_xlfn.XLOOKUP(A254, Company_List!$A:$A, Company_List!$B:$B, ""))</f>
        <v>DELL</v>
      </c>
      <c r="C254" s="143">
        <v>2025</v>
      </c>
      <c r="D254" s="143" t="s">
        <v>555</v>
      </c>
      <c r="E254" s="98" t="s">
        <v>538</v>
      </c>
      <c r="F254" s="98" t="s">
        <v>538</v>
      </c>
      <c r="G254" s="143" t="s">
        <v>610</v>
      </c>
      <c r="H254" s="106" t="s">
        <v>540</v>
      </c>
      <c r="I254" s="145">
        <v>0.6</v>
      </c>
      <c r="J254" s="145" t="str">
        <f>IF(OR(I254="",Settings!$B$6=""),"",IF(I254&gt;Settings!$B$6,"BUY",IF(I254&lt;-Settings!$B$6,"SELL","HOLD")))</f>
        <v>BUY</v>
      </c>
      <c r="K254" s="145">
        <v>24</v>
      </c>
      <c r="L254" s="125">
        <v>45533</v>
      </c>
      <c r="M254" s="140">
        <v>45533</v>
      </c>
      <c r="N254" s="147">
        <v>110.74</v>
      </c>
      <c r="O254" s="140">
        <v>45534</v>
      </c>
      <c r="P254" s="145">
        <v>115.36</v>
      </c>
      <c r="Q254" s="150">
        <f t="shared" si="33"/>
        <v>4.1700000000000001E-2</v>
      </c>
      <c r="R254" s="106" t="str">
        <f>IF(OR(N254="",P254=""),"",IF(Q254&gt;Settings!$B$3/100,"UP",IF(Q254&lt;-Settings!$B$3/100,"DOWN","FLAT")))</f>
        <v>UP</v>
      </c>
      <c r="S254" s="106" t="str">
        <f t="shared" si="34"/>
        <v>YES</v>
      </c>
      <c r="T254" s="105">
        <f t="shared" si="35"/>
        <v>1</v>
      </c>
      <c r="U254" s="150">
        <f>IFERROR(IF(OR(J254="",N254="",P254=""),"",IF(T254=0,0,T254*Q254-Settings!$B$4/10000-IF(T254&lt;0,Settings!$B$5/10000,0))),"")</f>
        <v>4.07E-2</v>
      </c>
      <c r="W254" s="21">
        <f t="shared" si="36"/>
        <v>1440</v>
      </c>
      <c r="X254" s="91" t="str">
        <f t="shared" si="37"/>
        <v>Dell|2025|Q2</v>
      </c>
      <c r="Y254" s="91" t="str">
        <f>IFERROR(IF($X254="","",INDEX(LLM_Data_Entry!$H$3:$H$548,MATCH($X254,INDEX(LLM_Data_Entry!$A$3:$A$548&amp;"|"&amp;LLM_Data_Entry!$C$3:$C$548&amp;"|"&amp;LLM_Data_Entry!$D$3:$D$548,0),0))),"")</f>
        <v/>
      </c>
      <c r="Z254" s="91" t="str">
        <f>IFERROR(IF($X254="","",INDEX(LLM_Data_Entry!$R$3:$R$548,MATCH($X254,INDEX(LLM_Data_Entry!$A$3:$A$548&amp;"|"&amp;LLM_Data_Entry!$C$3:$C$548&amp;"|"&amp;LLM_Data_Entry!$D$3:$D$548,0),0))),"")</f>
        <v/>
      </c>
      <c r="AL254" t="str">
        <f>IF($A254="","",IFERROR(INDEX(Company_List!$G$3:$G$207,MATCH($A254,Company_List!$A$3:$A$207,0)),"unassigned"))</f>
        <v>P3</v>
      </c>
      <c r="AM254" t="s">
        <v>1306</v>
      </c>
      <c r="AO254" t="s">
        <v>593</v>
      </c>
      <c r="AP254" t="str">
        <f>IF($A254="","",IF(COUNTIFS(LLM_Data_Entry!$A$3:$A$548,$A254)&gt;0,"YES","NO"))</f>
        <v>YES</v>
      </c>
      <c r="AQ254" t="str">
        <f>IF($A254="","",IF(COUNTIFS($A$3:$A254,$A254,$C$3:$C254,$C254,$D$3:$D254,$D254)=1,"YES","NO"))</f>
        <v>YES</v>
      </c>
      <c r="AR254" t="str">
        <f>IF($A254="","",IF(AND($C254&amp;"-"&amp;$D254&gt;=Settings!$B$19,$C254&amp;"-"&amp;$D254&lt;=Settings!$B$20),"IN","OUT"))</f>
        <v>IN</v>
      </c>
      <c r="AS254" t="str">
        <f t="shared" si="38"/>
        <v>full</v>
      </c>
      <c r="AT254">
        <f t="shared" si="39"/>
        <v>4.07E-2</v>
      </c>
      <c r="AU254" t="str">
        <f t="shared" si="40"/>
        <v/>
      </c>
      <c r="AV254">
        <f>IF(ISNUMBER($AT254),ABS(IF(ISNUMBER($I254),$I254,0)-Settings!$B$24),"")</f>
        <v>0.6</v>
      </c>
      <c r="AW254">
        <f t="shared" si="41"/>
        <v>2.4420000000000001E-2</v>
      </c>
      <c r="AX254" t="str">
        <f>IF(ISNUMBER($AU254),ABS(IF(ISNUMBER($I254),$I254,0)-Settings!$B$24),"")</f>
        <v/>
      </c>
      <c r="AY254" t="s">
        <v>549</v>
      </c>
      <c r="AZ254" t="str">
        <f>IF($A254="","",IFERROR(INDEX(Company_List!$H$3:$H$207,MATCH($A254,Company_List!$A$3:$A$207,0)),"unassigned"))</f>
        <v>Information Technology</v>
      </c>
      <c r="BC254">
        <f>IF($A254="","",IF(COUNTIFS($A$3:$A254,$A254,$C$3:$C254,$C254,$D$3:$D254,$D254,$G$3:$G254,$G254)=1,1,0))</f>
        <v>1</v>
      </c>
      <c r="BG254" t="s">
        <v>550</v>
      </c>
      <c r="BK254" t="str">
        <f t="shared" si="42"/>
        <v/>
      </c>
      <c r="BL254" t="s">
        <v>551</v>
      </c>
      <c r="BM254">
        <v>4</v>
      </c>
      <c r="BN254" t="s">
        <v>561</v>
      </c>
      <c r="BO254" t="s">
        <v>561</v>
      </c>
      <c r="BP254" t="s">
        <v>550</v>
      </c>
      <c r="BQ254" t="s">
        <v>550</v>
      </c>
      <c r="BS254" t="s">
        <v>546</v>
      </c>
      <c r="BT254" t="s">
        <v>1110</v>
      </c>
    </row>
    <row r="255" spans="1:72" x14ac:dyDescent="0.2">
      <c r="A255" s="115" t="s">
        <v>1304</v>
      </c>
      <c r="B255" s="116" t="str">
        <f>IF(A255="","",_xlfn.XLOOKUP(A255, Company_List!$A:$A, Company_List!$B:$B, ""))</f>
        <v>DELL</v>
      </c>
      <c r="C255" s="143">
        <v>2025</v>
      </c>
      <c r="D255" s="143" t="s">
        <v>563</v>
      </c>
      <c r="E255" s="98" t="s">
        <v>1121</v>
      </c>
      <c r="F255" s="98" t="s">
        <v>1090</v>
      </c>
      <c r="G255" s="143" t="s">
        <v>610</v>
      </c>
      <c r="H255" s="106" t="s">
        <v>540</v>
      </c>
      <c r="I255" s="145">
        <v>0.7</v>
      </c>
      <c r="J255" s="145" t="str">
        <f>IF(OR(I255="",Settings!$B$6=""),"",IF(I255&gt;Settings!$B$6,"BUY",IF(I255&lt;-Settings!$B$6,"SELL","HOLD")))</f>
        <v>BUY</v>
      </c>
      <c r="K255" s="145">
        <v>4</v>
      </c>
      <c r="L255" s="125">
        <v>45622</v>
      </c>
      <c r="M255" s="140">
        <v>45986</v>
      </c>
      <c r="N255" s="147">
        <v>125.92</v>
      </c>
      <c r="O255" s="140">
        <v>45987</v>
      </c>
      <c r="P255" s="145">
        <v>133.58000000000001</v>
      </c>
      <c r="Q255" s="150">
        <f t="shared" si="33"/>
        <v>6.08E-2</v>
      </c>
      <c r="R255" s="106" t="str">
        <f>IF(OR(N255="",P255=""),"",IF(Q255&gt;Settings!$B$3/100,"UP",IF(Q255&lt;-Settings!$B$3/100,"DOWN","FLAT")))</f>
        <v>UP</v>
      </c>
      <c r="S255" s="106" t="str">
        <f t="shared" si="34"/>
        <v>YES</v>
      </c>
      <c r="T255" s="105">
        <f t="shared" si="35"/>
        <v>1</v>
      </c>
      <c r="U255" s="150">
        <f>IFERROR(IF(OR(J255="",N255="",P255=""),"",IF(T255=0,0,T255*Q255-Settings!$B$4/10000-IF(T255&lt;0,Settings!$B$5/10000,0))),"")</f>
        <v>5.9799999999999999E-2</v>
      </c>
      <c r="W255" s="21">
        <f t="shared" si="36"/>
        <v>240</v>
      </c>
      <c r="X255" s="91" t="str">
        <f t="shared" si="37"/>
        <v>Dell|2025|Q3</v>
      </c>
      <c r="Y255" s="91" t="str">
        <f>IFERROR(IF($X255="","",INDEX(LLM_Data_Entry!$H$3:$H$548,MATCH($X255,INDEX(LLM_Data_Entry!$A$3:$A$548&amp;"|"&amp;LLM_Data_Entry!$C$3:$C$548&amp;"|"&amp;LLM_Data_Entry!$D$3:$D$548,0),0))),"")</f>
        <v>BUY</v>
      </c>
      <c r="Z255" s="91" t="str">
        <f>IFERROR(IF($X255="","",INDEX(LLM_Data_Entry!$R$3:$R$548,MATCH($X255,INDEX(LLM_Data_Entry!$A$3:$A$548&amp;"|"&amp;LLM_Data_Entry!$C$3:$C$548&amp;"|"&amp;LLM_Data_Entry!$D$3:$D$548,0),0))),"")</f>
        <v>YES</v>
      </c>
      <c r="AL255" t="str">
        <f>IF($A255="","",IFERROR(INDEX(Company_List!$G$3:$G$207,MATCH($A255,Company_List!$A$3:$A$207,0)),"unassigned"))</f>
        <v>P3</v>
      </c>
      <c r="AM255" t="s">
        <v>1307</v>
      </c>
      <c r="AO255" t="s">
        <v>593</v>
      </c>
      <c r="AP255" t="str">
        <f>IF($A255="","",IF(COUNTIFS(LLM_Data_Entry!$A$3:$A$548,$A255)&gt;0,"YES","NO"))</f>
        <v>YES</v>
      </c>
      <c r="AQ255" t="str">
        <f>IF($A255="","",IF(COUNTIFS($A$3:$A255,$A255,$C$3:$C255,$C255,$D$3:$D255,$D255)=1,"YES","NO"))</f>
        <v>YES</v>
      </c>
      <c r="AR255" t="str">
        <f>IF($A255="","",IF(AND($C255&amp;"-"&amp;$D255&gt;=Settings!$B$19,$C255&amp;"-"&amp;$D255&lt;=Settings!$B$20),"IN","OUT"))</f>
        <v>IN</v>
      </c>
      <c r="AS255" t="str">
        <f t="shared" si="38"/>
        <v>guidance</v>
      </c>
      <c r="AT255">
        <f t="shared" si="39"/>
        <v>5.9799999999999999E-2</v>
      </c>
      <c r="AU255" t="str">
        <f t="shared" si="40"/>
        <v/>
      </c>
      <c r="AV255">
        <f>IF(ISNUMBER($AT255),ABS(IF(ISNUMBER($I255),$I255,0)-Settings!$B$24),"")</f>
        <v>0.7</v>
      </c>
      <c r="AW255">
        <f t="shared" si="41"/>
        <v>4.1859999999999994E-2</v>
      </c>
      <c r="AX255" t="str">
        <f>IF(ISNUMBER($AU255),ABS(IF(ISNUMBER($I255),$I255,0)-Settings!$B$24),"")</f>
        <v/>
      </c>
      <c r="AY255" t="s">
        <v>549</v>
      </c>
      <c r="AZ255" t="str">
        <f>IF($A255="","",IFERROR(INDEX(Company_List!$H$3:$H$207,MATCH($A255,Company_List!$A$3:$A$207,0)),"unassigned"))</f>
        <v>Information Technology</v>
      </c>
      <c r="BC255">
        <f>IF($A255="","",IF(COUNTIFS($A$3:$A255,$A255,$C$3:$C255,$C255,$D$3:$D255,$D255,$G$3:$G255,$G255)=1,1,0))</f>
        <v>1</v>
      </c>
      <c r="BG255" t="s">
        <v>550</v>
      </c>
      <c r="BK255">
        <f t="shared" si="42"/>
        <v>1</v>
      </c>
      <c r="BL255" t="s">
        <v>551</v>
      </c>
      <c r="BM255">
        <v>4</v>
      </c>
      <c r="BN255" t="s">
        <v>561</v>
      </c>
      <c r="BO255" t="s">
        <v>561</v>
      </c>
      <c r="BP255" t="s">
        <v>550</v>
      </c>
      <c r="BQ255" t="s">
        <v>550</v>
      </c>
      <c r="BS255" t="s">
        <v>554</v>
      </c>
    </row>
    <row r="256" spans="1:72" x14ac:dyDescent="0.2">
      <c r="A256" s="115" t="s">
        <v>1304</v>
      </c>
      <c r="B256" s="116" t="str">
        <f>IF(A256="","",_xlfn.XLOOKUP(A256, Company_List!$A:$A, Company_List!$B:$B, ""))</f>
        <v>DELL</v>
      </c>
      <c r="C256" s="143">
        <v>2025</v>
      </c>
      <c r="D256" s="143" t="s">
        <v>569</v>
      </c>
      <c r="E256" s="98" t="s">
        <v>1121</v>
      </c>
      <c r="F256" s="98" t="s">
        <v>1086</v>
      </c>
      <c r="G256" s="143" t="s">
        <v>610</v>
      </c>
      <c r="H256" s="106" t="s">
        <v>540</v>
      </c>
      <c r="I256" s="145">
        <v>0.5</v>
      </c>
      <c r="J256" s="145" t="str">
        <f>IF(OR(I256="",Settings!$B$6=""),"",IF(I256&gt;Settings!$B$6,"BUY",IF(I256&lt;-Settings!$B$6,"SELL","HOLD")))</f>
        <v>BUY</v>
      </c>
      <c r="K256" s="145">
        <v>12</v>
      </c>
      <c r="L256" s="125">
        <v>45715</v>
      </c>
      <c r="M256" s="140">
        <v>46079</v>
      </c>
      <c r="N256" s="147">
        <v>121.45</v>
      </c>
      <c r="O256" s="140">
        <v>46080</v>
      </c>
      <c r="P256" s="145">
        <v>137.37</v>
      </c>
      <c r="Q256" s="150">
        <f t="shared" si="33"/>
        <v>0.13109999999999999</v>
      </c>
      <c r="R256" s="106" t="str">
        <f>IF(OR(N256="",P256=""),"",IF(Q256&gt;Settings!$B$3/100,"UP",IF(Q256&lt;-Settings!$B$3/100,"DOWN","FLAT")))</f>
        <v>UP</v>
      </c>
      <c r="S256" s="106" t="str">
        <f t="shared" si="34"/>
        <v>YES</v>
      </c>
      <c r="T256" s="105">
        <f t="shared" si="35"/>
        <v>1</v>
      </c>
      <c r="U256" s="150">
        <f>IFERROR(IF(OR(J256="",N256="",P256=""),"",IF(T256=0,0,T256*Q256-Settings!$B$4/10000-IF(T256&lt;0,Settings!$B$5/10000,0))),"")</f>
        <v>0.13009999999999999</v>
      </c>
      <c r="W256" s="21">
        <f t="shared" si="36"/>
        <v>720</v>
      </c>
      <c r="X256" s="91" t="str">
        <f t="shared" si="37"/>
        <v>Dell|2025|Q4</v>
      </c>
      <c r="Y256" s="91" t="str">
        <f>IFERROR(IF($X256="","",INDEX(LLM_Data_Entry!$H$3:$H$548,MATCH($X256,INDEX(LLM_Data_Entry!$A$3:$A$548&amp;"|"&amp;LLM_Data_Entry!$C$3:$C$548&amp;"|"&amp;LLM_Data_Entry!$D$3:$D$548,0),0))),"")</f>
        <v>BUY</v>
      </c>
      <c r="Z256" s="91" t="str">
        <f>IFERROR(IF($X256="","",INDEX(LLM_Data_Entry!$R$3:$R$548,MATCH($X256,INDEX(LLM_Data_Entry!$A$3:$A$548&amp;"|"&amp;LLM_Data_Entry!$C$3:$C$548&amp;"|"&amp;LLM_Data_Entry!$D$3:$D$548,0),0))),"")</f>
        <v>YES</v>
      </c>
      <c r="AL256" t="str">
        <f>IF($A256="","",IFERROR(INDEX(Company_List!$G$3:$G$207,MATCH($A256,Company_List!$A$3:$A$207,0)),"unassigned"))</f>
        <v>P3</v>
      </c>
      <c r="AM256" t="s">
        <v>1308</v>
      </c>
      <c r="AO256" t="s">
        <v>593</v>
      </c>
      <c r="AP256" t="str">
        <f>IF($A256="","",IF(COUNTIFS(LLM_Data_Entry!$A$3:$A$548,$A256)&gt;0,"YES","NO"))</f>
        <v>YES</v>
      </c>
      <c r="AQ256" t="str">
        <f>IF($A256="","",IF(COUNTIFS($A$3:$A256,$A256,$C$3:$C256,$C256,$D$3:$D256,$D256)=1,"YES","NO"))</f>
        <v>YES</v>
      </c>
      <c r="AR256" t="str">
        <f>IF($A256="","",IF(AND($C256&amp;"-"&amp;$D256&gt;=Settings!$B$19,$C256&amp;"-"&amp;$D256&lt;=Settings!$B$20),"IN","OUT"))</f>
        <v>IN</v>
      </c>
      <c r="AS256" t="str">
        <f t="shared" si="38"/>
        <v>financials</v>
      </c>
      <c r="AT256">
        <f t="shared" si="39"/>
        <v>0.13009999999999999</v>
      </c>
      <c r="AU256" t="str">
        <f t="shared" si="40"/>
        <v/>
      </c>
      <c r="AV256">
        <f>IF(ISNUMBER($AT256),ABS(IF(ISNUMBER($I256),$I256,0)-Settings!$B$24),"")</f>
        <v>0.5</v>
      </c>
      <c r="AW256">
        <f t="shared" si="41"/>
        <v>6.5049999999999997E-2</v>
      </c>
      <c r="AX256" t="str">
        <f>IF(ISNUMBER($AU256),ABS(IF(ISNUMBER($I256),$I256,0)-Settings!$B$24),"")</f>
        <v/>
      </c>
      <c r="AY256" t="s">
        <v>549</v>
      </c>
      <c r="AZ256" t="str">
        <f>IF($A256="","",IFERROR(INDEX(Company_List!$H$3:$H$207,MATCH($A256,Company_List!$A$3:$A$207,0)),"unassigned"))</f>
        <v>Information Technology</v>
      </c>
      <c r="BC256">
        <f>IF($A256="","",IF(COUNTIFS($A$3:$A256,$A256,$C$3:$C256,$C256,$D$3:$D256,$D256,$G$3:$G256,$G256)=1,1,0))</f>
        <v>1</v>
      </c>
      <c r="BG256" t="s">
        <v>550</v>
      </c>
      <c r="BK256">
        <f t="shared" si="42"/>
        <v>1</v>
      </c>
      <c r="BL256" t="s">
        <v>551</v>
      </c>
      <c r="BM256">
        <v>3</v>
      </c>
      <c r="BN256" t="s">
        <v>561</v>
      </c>
      <c r="BO256" t="s">
        <v>561</v>
      </c>
      <c r="BP256" t="s">
        <v>550</v>
      </c>
      <c r="BQ256" t="s">
        <v>550</v>
      </c>
      <c r="BS256" t="s">
        <v>554</v>
      </c>
    </row>
    <row r="257" spans="1:72" x14ac:dyDescent="0.2">
      <c r="A257" s="115" t="s">
        <v>1309</v>
      </c>
      <c r="B257" s="116" t="str">
        <f>IF(A257="","",_xlfn.XLOOKUP(A257, Company_List!$A:$A, Company_List!$B:$B, ""))</f>
        <v>STAN.L</v>
      </c>
      <c r="C257" s="143">
        <v>2025</v>
      </c>
      <c r="D257" s="143" t="s">
        <v>537</v>
      </c>
      <c r="E257" s="98" t="s">
        <v>1121</v>
      </c>
      <c r="F257" s="98" t="s">
        <v>1090</v>
      </c>
      <c r="G257" s="143" t="s">
        <v>610</v>
      </c>
      <c r="H257" s="106" t="s">
        <v>540</v>
      </c>
      <c r="I257" s="145">
        <v>0.1</v>
      </c>
      <c r="J257" s="145" t="str">
        <f>IF(OR(I257="",Settings!$B$6=""),"",IF(I257&gt;Settings!$B$6,"BUY",IF(I257&lt;-Settings!$B$6,"SELL","HOLD")))</f>
        <v>HOLD</v>
      </c>
      <c r="K257" s="145">
        <v>4</v>
      </c>
      <c r="L257" s="125">
        <v>45779</v>
      </c>
      <c r="M257" s="140">
        <v>45778</v>
      </c>
      <c r="N257" s="147">
        <v>1097</v>
      </c>
      <c r="O257" s="140">
        <v>45779</v>
      </c>
      <c r="P257" s="145">
        <v>1130</v>
      </c>
      <c r="Q257" s="150">
        <f t="shared" si="33"/>
        <v>3.0099999999999998E-2</v>
      </c>
      <c r="R257" s="106" t="str">
        <f>IF(OR(N257="",P257=""),"",IF(Q257&gt;Settings!$B$3/100,"UP",IF(Q257&lt;-Settings!$B$3/100,"DOWN","FLAT")))</f>
        <v>UP</v>
      </c>
      <c r="S257" s="106" t="str">
        <f t="shared" si="34"/>
        <v>NO</v>
      </c>
      <c r="T257" s="105">
        <f t="shared" si="35"/>
        <v>0</v>
      </c>
      <c r="U257" s="150">
        <f>IFERROR(IF(OR(J257="",N257="",P257=""),"",IF(T257=0,0,T257*Q257-Settings!$B$4/10000-IF(T257&lt;0,Settings!$B$5/10000,0))),"")</f>
        <v>0</v>
      </c>
      <c r="W257" s="21">
        <f t="shared" si="36"/>
        <v>240</v>
      </c>
      <c r="X257" s="91" t="str">
        <f t="shared" si="37"/>
        <v>Standard Chartered|2025|Q1</v>
      </c>
      <c r="Y257" s="91" t="str">
        <f>IFERROR(IF($X257="","",INDEX(LLM_Data_Entry!$H$3:$H$548,MATCH($X257,INDEX(LLM_Data_Entry!$A$3:$A$548&amp;"|"&amp;LLM_Data_Entry!$C$3:$C$548&amp;"|"&amp;LLM_Data_Entry!$D$3:$D$548,0),0))),"")</f>
        <v>SELL</v>
      </c>
      <c r="Z257" s="91" t="str">
        <f>IFERROR(IF($X257="","",INDEX(LLM_Data_Entry!$R$3:$R$548,MATCH($X257,INDEX(LLM_Data_Entry!$A$3:$A$548&amp;"|"&amp;LLM_Data_Entry!$C$3:$C$548&amp;"|"&amp;LLM_Data_Entry!$D$3:$D$548,0),0))),"")</f>
        <v>NO</v>
      </c>
      <c r="AL257" t="str">
        <f>IF($A257="","",IFERROR(INDEX(Company_List!$G$3:$G$207,MATCH($A257,Company_List!$A$3:$A$207,0)),"unassigned"))</f>
        <v>P3</v>
      </c>
      <c r="AM257" t="s">
        <v>1310</v>
      </c>
      <c r="AO257" t="s">
        <v>593</v>
      </c>
      <c r="AP257" t="str">
        <f>IF($A257="","",IF(COUNTIFS(LLM_Data_Entry!$A$3:$A$548,$A257)&gt;0,"YES","NO"))</f>
        <v>YES</v>
      </c>
      <c r="AQ257" t="str">
        <f>IF($A257="","",IF(COUNTIFS($A$3:$A257,$A257,$C$3:$C257,$C257,$D$3:$D257,$D257)=1,"YES","NO"))</f>
        <v>YES</v>
      </c>
      <c r="AR257" t="str">
        <f>IF($A257="","",IF(AND($C257&amp;"-"&amp;$D257&gt;=Settings!$B$19,$C257&amp;"-"&amp;$D257&lt;=Settings!$B$20),"IN","OUT"))</f>
        <v>IN</v>
      </c>
      <c r="AS257" t="str">
        <f t="shared" si="38"/>
        <v>guidance</v>
      </c>
      <c r="AT257" t="str">
        <f t="shared" si="39"/>
        <v/>
      </c>
      <c r="AU257" t="str">
        <f t="shared" si="40"/>
        <v/>
      </c>
      <c r="AV257" t="str">
        <f>IF(ISNUMBER($AT257),ABS(IF(ISNUMBER($I257),$I257,0)-Settings!$B$24),"")</f>
        <v/>
      </c>
      <c r="AW257" t="str">
        <f t="shared" si="41"/>
        <v/>
      </c>
      <c r="AX257" t="str">
        <f>IF(ISNUMBER($AU257),ABS(IF(ISNUMBER($I257),$I257,0)-Settings!$B$24),"")</f>
        <v/>
      </c>
      <c r="AY257" t="s">
        <v>549</v>
      </c>
      <c r="AZ257" t="str">
        <f>IF($A257="","",IFERROR(INDEX(Company_List!$H$3:$H$207,MATCH($A257,Company_List!$A$3:$A$207,0)),"unassigned"))</f>
        <v>Financials</v>
      </c>
      <c r="BC257">
        <f>IF($A257="","",IF(COUNTIFS($A$3:$A257,$A257,$C$3:$C257,$C257,$D$3:$D257,$D257,$G$3:$G257,$G257)=1,1,0))</f>
        <v>1</v>
      </c>
      <c r="BG257" t="s">
        <v>550</v>
      </c>
      <c r="BK257">
        <f t="shared" si="42"/>
        <v>0</v>
      </c>
      <c r="BL257" t="s">
        <v>551</v>
      </c>
      <c r="BM257">
        <v>4</v>
      </c>
      <c r="BN257" t="s">
        <v>561</v>
      </c>
      <c r="BO257" t="s">
        <v>561</v>
      </c>
      <c r="BP257" t="s">
        <v>550</v>
      </c>
      <c r="BQ257" t="s">
        <v>550</v>
      </c>
      <c r="BS257" t="s">
        <v>554</v>
      </c>
    </row>
    <row r="258" spans="1:72" x14ac:dyDescent="0.2">
      <c r="A258" s="115" t="s">
        <v>1309</v>
      </c>
      <c r="B258" s="116" t="str">
        <f>IF(A258="","",_xlfn.XLOOKUP(A258, Company_List!$A:$A, Company_List!$B:$B, ""))</f>
        <v>STAN.L</v>
      </c>
      <c r="C258" s="143">
        <v>2025</v>
      </c>
      <c r="D258" s="143" t="s">
        <v>555</v>
      </c>
      <c r="E258" s="98" t="s">
        <v>1121</v>
      </c>
      <c r="F258" s="98" t="s">
        <v>1086</v>
      </c>
      <c r="G258" s="143" t="s">
        <v>610</v>
      </c>
      <c r="H258" s="106" t="s">
        <v>540</v>
      </c>
      <c r="I258" s="145">
        <v>0.5</v>
      </c>
      <c r="J258" s="145" t="str">
        <f>IF(OR(I258="",Settings!$B$6=""),"",IF(I258&gt;Settings!$B$6,"BUY",IF(I258&lt;-Settings!$B$6,"SELL","HOLD")))</f>
        <v>BUY</v>
      </c>
      <c r="K258" s="145">
        <v>9</v>
      </c>
      <c r="L258" s="125">
        <v>45869</v>
      </c>
      <c r="M258" s="140">
        <v>45868</v>
      </c>
      <c r="N258" s="147">
        <v>1370</v>
      </c>
      <c r="O258" s="140">
        <v>45869</v>
      </c>
      <c r="P258" s="145">
        <v>1382</v>
      </c>
      <c r="Q258" s="150">
        <f t="shared" ref="Q258:Q321" si="43">IF(OR(N258="",P258=""),"",ROUND((P258-N258)/N258,4))</f>
        <v>8.8000000000000005E-3</v>
      </c>
      <c r="R258" s="106" t="str">
        <f>IF(OR(N258="",P258=""),"",IF(Q258&gt;Settings!$B$3/100,"UP",IF(Q258&lt;-Settings!$B$3/100,"DOWN","FLAT")))</f>
        <v>FLAT</v>
      </c>
      <c r="S258" s="106" t="str">
        <f t="shared" si="34"/>
        <v>NO</v>
      </c>
      <c r="T258" s="105">
        <f t="shared" si="35"/>
        <v>1</v>
      </c>
      <c r="U258" s="150">
        <f>IFERROR(IF(OR(J258="",N258="",P258=""),"",IF(T258=0,0,T258*Q258-Settings!$B$4/10000-IF(T258&lt;0,Settings!$B$5/10000,0))),"")</f>
        <v>7.8000000000000005E-3</v>
      </c>
      <c r="W258" s="21">
        <f t="shared" si="36"/>
        <v>540</v>
      </c>
      <c r="X258" s="91" t="str">
        <f t="shared" si="37"/>
        <v>Standard Chartered|2025|Q2</v>
      </c>
      <c r="Y258" s="91" t="str">
        <f>IFERROR(IF($X258="","",INDEX(LLM_Data_Entry!$H$3:$H$548,MATCH($X258,INDEX(LLM_Data_Entry!$A$3:$A$548&amp;"|"&amp;LLM_Data_Entry!$C$3:$C$548&amp;"|"&amp;LLM_Data_Entry!$D$3:$D$548,0),0))),"")</f>
        <v>HOLD</v>
      </c>
      <c r="Z258" s="91" t="str">
        <f>IFERROR(IF($X258="","",INDEX(LLM_Data_Entry!$R$3:$R$548,MATCH($X258,INDEX(LLM_Data_Entry!$A$3:$A$548&amp;"|"&amp;LLM_Data_Entry!$C$3:$C$548&amp;"|"&amp;LLM_Data_Entry!$D$3:$D$548,0),0))),"")</f>
        <v>YES</v>
      </c>
      <c r="AL258" t="str">
        <f>IF($A258="","",IFERROR(INDEX(Company_List!$G$3:$G$207,MATCH($A258,Company_List!$A$3:$A$207,0)),"unassigned"))</f>
        <v>P3</v>
      </c>
      <c r="AM258" t="s">
        <v>1311</v>
      </c>
      <c r="AO258" t="s">
        <v>593</v>
      </c>
      <c r="AP258" t="str">
        <f>IF($A258="","",IF(COUNTIFS(LLM_Data_Entry!$A$3:$A$548,$A258)&gt;0,"YES","NO"))</f>
        <v>YES</v>
      </c>
      <c r="AQ258" t="str">
        <f>IF($A258="","",IF(COUNTIFS($A$3:$A258,$A258,$C$3:$C258,$C258,$D$3:$D258,$D258)=1,"YES","NO"))</f>
        <v>YES</v>
      </c>
      <c r="AR258" t="str">
        <f>IF($A258="","",IF(AND($C258&amp;"-"&amp;$D258&gt;=Settings!$B$19,$C258&amp;"-"&amp;$D258&lt;=Settings!$B$20),"IN","OUT"))</f>
        <v>IN</v>
      </c>
      <c r="AS258" t="str">
        <f t="shared" si="38"/>
        <v>financials</v>
      </c>
      <c r="AT258">
        <f t="shared" si="39"/>
        <v>7.8000000000000005E-3</v>
      </c>
      <c r="AU258" t="str">
        <f t="shared" si="40"/>
        <v/>
      </c>
      <c r="AV258">
        <f>IF(ISNUMBER($AT258),ABS(IF(ISNUMBER($I258),$I258,0)-Settings!$B$24),"")</f>
        <v>0.5</v>
      </c>
      <c r="AW258">
        <f t="shared" si="41"/>
        <v>3.9000000000000003E-3</v>
      </c>
      <c r="AX258" t="str">
        <f>IF(ISNUMBER($AU258),ABS(IF(ISNUMBER($I258),$I258,0)-Settings!$B$24),"")</f>
        <v/>
      </c>
      <c r="AY258" t="s">
        <v>549</v>
      </c>
      <c r="AZ258" t="str">
        <f>IF($A258="","",IFERROR(INDEX(Company_List!$H$3:$H$207,MATCH($A258,Company_List!$A$3:$A$207,0)),"unassigned"))</f>
        <v>Financials</v>
      </c>
      <c r="BC258">
        <f>IF($A258="","",IF(COUNTIFS($A$3:$A258,$A258,$C$3:$C258,$C258,$D$3:$D258,$D258,$G$3:$G258,$G258)=1,1,0))</f>
        <v>1</v>
      </c>
      <c r="BG258" t="s">
        <v>550</v>
      </c>
      <c r="BK258">
        <f t="shared" si="42"/>
        <v>0</v>
      </c>
      <c r="BL258" t="s">
        <v>551</v>
      </c>
      <c r="BM258">
        <v>6</v>
      </c>
      <c r="BN258" t="s">
        <v>561</v>
      </c>
      <c r="BO258" t="s">
        <v>561</v>
      </c>
      <c r="BP258" t="s">
        <v>550</v>
      </c>
      <c r="BQ258" t="s">
        <v>550</v>
      </c>
      <c r="BS258" t="s">
        <v>554</v>
      </c>
    </row>
    <row r="259" spans="1:72" x14ac:dyDescent="0.2">
      <c r="A259" s="115" t="s">
        <v>1309</v>
      </c>
      <c r="B259" s="116" t="str">
        <f>IF(A259="","",_xlfn.XLOOKUP(A259, Company_List!$A:$A, Company_List!$B:$B, ""))</f>
        <v>STAN.L</v>
      </c>
      <c r="C259" s="143">
        <v>2025</v>
      </c>
      <c r="D259" s="143" t="s">
        <v>563</v>
      </c>
      <c r="E259" s="98" t="s">
        <v>538</v>
      </c>
      <c r="F259" s="98" t="s">
        <v>538</v>
      </c>
      <c r="G259" s="143" t="s">
        <v>610</v>
      </c>
      <c r="H259" s="106" t="s">
        <v>540</v>
      </c>
      <c r="I259" s="145">
        <v>0.7</v>
      </c>
      <c r="J259" s="145" t="str">
        <f>IF(OR(I259="",Settings!$B$6=""),"",IF(I259&gt;Settings!$B$6,"BUY",IF(I259&lt;-Settings!$B$6,"SELL","HOLD")))</f>
        <v>BUY</v>
      </c>
      <c r="K259" s="145">
        <v>24</v>
      </c>
      <c r="L259" s="125">
        <v>45960</v>
      </c>
      <c r="M259" s="140">
        <v>45959</v>
      </c>
      <c r="N259" s="147">
        <v>1516</v>
      </c>
      <c r="O259" s="140">
        <v>45960</v>
      </c>
      <c r="P259" s="145">
        <v>1545</v>
      </c>
      <c r="Q259" s="150">
        <f t="shared" si="43"/>
        <v>1.9099999999999999E-2</v>
      </c>
      <c r="R259" s="106" t="str">
        <f>IF(OR(N259="",P259=""),"",IF(Q259&gt;Settings!$B$3/100,"UP",IF(Q259&lt;-Settings!$B$3/100,"DOWN","FLAT")))</f>
        <v>FLAT</v>
      </c>
      <c r="S259" s="106" t="str">
        <f t="shared" ref="S259:S322" si="44">IF(OR(N259="",P259="",J259=""),"",IF(OR(AND(J259="BUY",R259="UP"),AND(J259="SELL",R259="DOWN"),AND(J259="HOLD",R259="FLAT")),"YES","NO"))</f>
        <v>NO</v>
      </c>
      <c r="T259" s="105">
        <f t="shared" ref="T259:T322" si="45">IF(J259="","",IF(J259="BUY",1,IF(J259="SELL",-1,0)))</f>
        <v>1</v>
      </c>
      <c r="U259" s="150">
        <f>IFERROR(IF(OR(J259="",N259="",P259=""),"",IF(T259=0,0,T259*Q259-Settings!$B$4/10000-IF(T259&lt;0,Settings!$B$5/10000,0))),"")</f>
        <v>1.8099999999999998E-2</v>
      </c>
      <c r="W259" s="21">
        <f t="shared" ref="W259:W322" si="46">IF($K259="","",$K259*60)</f>
        <v>1440</v>
      </c>
      <c r="X259" s="91" t="str">
        <f t="shared" ref="X259:X322" si="47">IF($A259="","",$A259&amp;"|"&amp;$C259&amp;"|"&amp;$D259)</f>
        <v>Standard Chartered|2025|Q3</v>
      </c>
      <c r="Y259" s="91" t="str">
        <f>IFERROR(IF($X259="","",INDEX(LLM_Data_Entry!$H$3:$H$548,MATCH($X259,INDEX(LLM_Data_Entry!$A$3:$A$548&amp;"|"&amp;LLM_Data_Entry!$C$3:$C$548&amp;"|"&amp;LLM_Data_Entry!$D$3:$D$548,0),0))),"")</f>
        <v>BUY</v>
      </c>
      <c r="Z259" s="91" t="str">
        <f>IFERROR(IF($X259="","",INDEX(LLM_Data_Entry!$R$3:$R$548,MATCH($X259,INDEX(LLM_Data_Entry!$A$3:$A$548&amp;"|"&amp;LLM_Data_Entry!$C$3:$C$548&amp;"|"&amp;LLM_Data_Entry!$D$3:$D$548,0),0))),"")</f>
        <v>NO</v>
      </c>
      <c r="AL259" t="str">
        <f>IF($A259="","",IFERROR(INDEX(Company_List!$G$3:$G$207,MATCH($A259,Company_List!$A$3:$A$207,0)),"unassigned"))</f>
        <v>P3</v>
      </c>
      <c r="AM259" t="s">
        <v>1312</v>
      </c>
      <c r="AO259" t="s">
        <v>593</v>
      </c>
      <c r="AP259" t="str">
        <f>IF($A259="","",IF(COUNTIFS(LLM_Data_Entry!$A$3:$A$548,$A259)&gt;0,"YES","NO"))</f>
        <v>YES</v>
      </c>
      <c r="AQ259" t="str">
        <f>IF($A259="","",IF(COUNTIFS($A$3:$A259,$A259,$C$3:$C259,$C259,$D$3:$D259,$D259)=1,"YES","NO"))</f>
        <v>YES</v>
      </c>
      <c r="AR259" t="str">
        <f>IF($A259="","",IF(AND($C259&amp;"-"&amp;$D259&gt;=Settings!$B$19,$C259&amp;"-"&amp;$D259&lt;=Settings!$B$20),"IN","OUT"))</f>
        <v>IN</v>
      </c>
      <c r="AS259" t="str">
        <f t="shared" ref="AS259:AS322" si="48">IF($A259="","",IF($F259="Financial Results","financials",IF($F259="Outlook/Guidance","guidance",IF($F259="Transcript Q&amp;A","qanda",IF($F259="","unrecorded",IF($E259="All","full",IF($E259="","unrecorded",LOWER($E259)&amp;" only")))))))</f>
        <v>full</v>
      </c>
      <c r="AT259">
        <f t="shared" ref="AT259:AT322" si="49">IF(AND(OR($J259="BUY",$J259="SELL"),ISNUMBER($U259)),$U259,"")</f>
        <v>1.8099999999999998E-2</v>
      </c>
      <c r="AU259" t="str">
        <f t="shared" ref="AU259:AU322" si="50">IF(AND(OR($J259="BUY",$J259="SELL"),ISNUMBER($AK259)),$AK259,"")</f>
        <v/>
      </c>
      <c r="AV259">
        <f>IF(ISNUMBER($AT259),ABS(IF(ISNUMBER($I259),$I259,0)-Settings!$B$24),"")</f>
        <v>0.7</v>
      </c>
      <c r="AW259">
        <f t="shared" ref="AW259:AW322" si="51">IF(ISNUMBER($AV259),$AV259*$AT259,"")</f>
        <v>1.2669999999999997E-2</v>
      </c>
      <c r="AX259" t="str">
        <f>IF(ISNUMBER($AU259),ABS(IF(ISNUMBER($I259),$I259,0)-Settings!$B$24),"")</f>
        <v/>
      </c>
      <c r="AY259" t="s">
        <v>549</v>
      </c>
      <c r="AZ259" t="str">
        <f>IF($A259="","",IFERROR(INDEX(Company_List!$H$3:$H$207,MATCH($A259,Company_List!$A$3:$A$207,0)),"unassigned"))</f>
        <v>Financials</v>
      </c>
      <c r="BC259">
        <f>IF($A259="","",IF(COUNTIFS($A$3:$A259,$A259,$C$3:$C259,$C259,$D$3:$D259,$D259,$G$3:$G259,$G259)=1,1,0))</f>
        <v>1</v>
      </c>
      <c r="BG259" t="s">
        <v>550</v>
      </c>
      <c r="BK259">
        <f t="shared" ref="BK259:BK322" si="52">IF(OR($H259&lt;&gt;"Human",$S259="",$J259="",$Y259="",$Z259=""),"",IF(EXACT(UPPER($J259),UPPER($Y259)),1,0))</f>
        <v>1</v>
      </c>
      <c r="BL259" t="s">
        <v>551</v>
      </c>
      <c r="BM259">
        <v>4</v>
      </c>
      <c r="BN259" t="s">
        <v>561</v>
      </c>
      <c r="BO259" t="s">
        <v>561</v>
      </c>
      <c r="BP259" t="s">
        <v>550</v>
      </c>
      <c r="BQ259" t="s">
        <v>550</v>
      </c>
      <c r="BS259" t="s">
        <v>554</v>
      </c>
    </row>
    <row r="260" spans="1:72" x14ac:dyDescent="0.2">
      <c r="A260" s="115" t="s">
        <v>1309</v>
      </c>
      <c r="B260" s="116" t="str">
        <f>IF(A260="","",_xlfn.XLOOKUP(A260, Company_List!$A:$A, Company_List!$B:$B, ""))</f>
        <v>STAN.L</v>
      </c>
      <c r="C260" s="143">
        <v>2025</v>
      </c>
      <c r="D260" s="143" t="s">
        <v>569</v>
      </c>
      <c r="E260" s="98" t="s">
        <v>647</v>
      </c>
      <c r="F260" s="98" t="s">
        <v>1092</v>
      </c>
      <c r="G260" s="143" t="s">
        <v>610</v>
      </c>
      <c r="H260" s="106" t="s">
        <v>540</v>
      </c>
      <c r="I260" s="145">
        <v>-0.2</v>
      </c>
      <c r="J260" s="145" t="str">
        <f>IF(OR(I260="",Settings!$B$6=""),"",IF(I260&gt;Settings!$B$6,"BUY",IF(I260&lt;-Settings!$B$6,"SELL","HOLD")))</f>
        <v>HOLD</v>
      </c>
      <c r="K260" s="145">
        <v>15</v>
      </c>
      <c r="L260" s="125">
        <v>46079</v>
      </c>
      <c r="M260" s="140">
        <v>46073</v>
      </c>
      <c r="N260" s="147">
        <v>1802</v>
      </c>
      <c r="O260" s="140">
        <v>46076</v>
      </c>
      <c r="P260" s="145">
        <v>1811.5</v>
      </c>
      <c r="Q260" s="150">
        <f t="shared" si="43"/>
        <v>5.3E-3</v>
      </c>
      <c r="R260" s="106" t="str">
        <f>IF(OR(N260="",P260=""),"",IF(Q260&gt;Settings!$B$3/100,"UP",IF(Q260&lt;-Settings!$B$3/100,"DOWN","FLAT")))</f>
        <v>FLAT</v>
      </c>
      <c r="S260" s="106" t="str">
        <f t="shared" si="44"/>
        <v>YES</v>
      </c>
      <c r="T260" s="105">
        <f t="shared" si="45"/>
        <v>0</v>
      </c>
      <c r="U260" s="150">
        <f>IFERROR(IF(OR(J260="",N260="",P260=""),"",IF(T260=0,0,T260*Q260-Settings!$B$4/10000-IF(T260&lt;0,Settings!$B$5/10000,0))),"")</f>
        <v>0</v>
      </c>
      <c r="W260" s="21">
        <f t="shared" si="46"/>
        <v>900</v>
      </c>
      <c r="X260" s="91" t="str">
        <f t="shared" si="47"/>
        <v>Standard Chartered|2025|Q4</v>
      </c>
      <c r="Y260" s="91" t="str">
        <f>IFERROR(IF($X260="","",INDEX(LLM_Data_Entry!$H$3:$H$548,MATCH($X260,INDEX(LLM_Data_Entry!$A$3:$A$548&amp;"|"&amp;LLM_Data_Entry!$C$3:$C$548&amp;"|"&amp;LLM_Data_Entry!$D$3:$D$548,0),0))),"")</f>
        <v>HOLD</v>
      </c>
      <c r="Z260" s="91" t="str">
        <f>IFERROR(IF($X260="","",INDEX(LLM_Data_Entry!$R$3:$R$548,MATCH($X260,INDEX(LLM_Data_Entry!$A$3:$A$548&amp;"|"&amp;LLM_Data_Entry!$C$3:$C$548&amp;"|"&amp;LLM_Data_Entry!$D$3:$D$548,0),0))),"")</f>
        <v>YES</v>
      </c>
      <c r="AL260" t="str">
        <f>IF($A260="","",IFERROR(INDEX(Company_List!$G$3:$G$207,MATCH($A260,Company_List!$A$3:$A$207,0)),"unassigned"))</f>
        <v>P3</v>
      </c>
      <c r="AM260" t="s">
        <v>1313</v>
      </c>
      <c r="AO260" t="s">
        <v>593</v>
      </c>
      <c r="AP260" t="str">
        <f>IF($A260="","",IF(COUNTIFS(LLM_Data_Entry!$A$3:$A$548,$A260)&gt;0,"YES","NO"))</f>
        <v>YES</v>
      </c>
      <c r="AQ260" t="str">
        <f>IF($A260="","",IF(COUNTIFS($A$3:$A260,$A260,$C$3:$C260,$C260,$D$3:$D260,$D260)=1,"YES","NO"))</f>
        <v>YES</v>
      </c>
      <c r="AR260" t="str">
        <f>IF($A260="","",IF(AND($C260&amp;"-"&amp;$D260&gt;=Settings!$B$19,$C260&amp;"-"&amp;$D260&lt;=Settings!$B$20),"IN","OUT"))</f>
        <v>IN</v>
      </c>
      <c r="AS260" t="str">
        <f t="shared" si="48"/>
        <v>qanda</v>
      </c>
      <c r="AT260" t="str">
        <f t="shared" si="49"/>
        <v/>
      </c>
      <c r="AU260" t="str">
        <f t="shared" si="50"/>
        <v/>
      </c>
      <c r="AV260" t="str">
        <f>IF(ISNUMBER($AT260),ABS(IF(ISNUMBER($I260),$I260,0)-Settings!$B$24),"")</f>
        <v/>
      </c>
      <c r="AW260" t="str">
        <f t="shared" si="51"/>
        <v/>
      </c>
      <c r="AX260" t="str">
        <f>IF(ISNUMBER($AU260),ABS(IF(ISNUMBER($I260),$I260,0)-Settings!$B$24),"")</f>
        <v/>
      </c>
      <c r="AY260" t="s">
        <v>549</v>
      </c>
      <c r="AZ260" t="str">
        <f>IF($A260="","",IFERROR(INDEX(Company_List!$H$3:$H$207,MATCH($A260,Company_List!$A$3:$A$207,0)),"unassigned"))</f>
        <v>Financials</v>
      </c>
      <c r="BC260">
        <f>IF($A260="","",IF(COUNTIFS($A$3:$A260,$A260,$C$3:$C260,$C260,$D$3:$D260,$D260,$G$3:$G260,$G260)=1,1,0))</f>
        <v>1</v>
      </c>
      <c r="BG260" t="s">
        <v>550</v>
      </c>
      <c r="BK260">
        <f t="shared" si="52"/>
        <v>1</v>
      </c>
      <c r="BL260" t="s">
        <v>551</v>
      </c>
      <c r="BM260">
        <v>8</v>
      </c>
      <c r="BN260" t="s">
        <v>561</v>
      </c>
      <c r="BO260" t="s">
        <v>561</v>
      </c>
      <c r="BP260" t="s">
        <v>550</v>
      </c>
      <c r="BQ260" t="s">
        <v>550</v>
      </c>
      <c r="BS260" t="s">
        <v>554</v>
      </c>
    </row>
    <row r="261" spans="1:72" x14ac:dyDescent="0.2">
      <c r="A261" s="115" t="s">
        <v>1314</v>
      </c>
      <c r="B261" s="116" t="str">
        <f>IF(A261="","",_xlfn.XLOOKUP(A261, Company_List!$A:$A, Company_List!$B:$B, ""))</f>
        <v>PLTR</v>
      </c>
      <c r="C261" s="143">
        <v>2025</v>
      </c>
      <c r="D261" s="143" t="s">
        <v>537</v>
      </c>
      <c r="E261" s="98" t="s">
        <v>1121</v>
      </c>
      <c r="F261" s="98" t="s">
        <v>1090</v>
      </c>
      <c r="G261" s="143" t="s">
        <v>610</v>
      </c>
      <c r="H261" s="106" t="s">
        <v>540</v>
      </c>
      <c r="I261" s="145">
        <v>0.5</v>
      </c>
      <c r="J261" s="145" t="str">
        <f>IF(OR(I261="",Settings!$B$6=""),"",IF(I261&gt;Settings!$B$6,"BUY",IF(I261&lt;-Settings!$B$6,"SELL","HOLD")))</f>
        <v>BUY</v>
      </c>
      <c r="K261" s="145">
        <v>3</v>
      </c>
      <c r="L261" s="125">
        <v>45782</v>
      </c>
      <c r="M261" s="140">
        <v>45782</v>
      </c>
      <c r="N261" s="147">
        <v>123.77</v>
      </c>
      <c r="O261" s="140">
        <v>45783</v>
      </c>
      <c r="P261" s="145">
        <v>112.71</v>
      </c>
      <c r="Q261" s="150">
        <f t="shared" si="43"/>
        <v>-8.9399999999999993E-2</v>
      </c>
      <c r="R261" s="106" t="str">
        <f>IF(OR(N261="",P261=""),"",IF(Q261&gt;Settings!$B$3/100,"UP",IF(Q261&lt;-Settings!$B$3/100,"DOWN","FLAT")))</f>
        <v>DOWN</v>
      </c>
      <c r="S261" s="106" t="str">
        <f t="shared" si="44"/>
        <v>NO</v>
      </c>
      <c r="T261" s="105">
        <f t="shared" si="45"/>
        <v>1</v>
      </c>
      <c r="U261" s="150">
        <f>IFERROR(IF(OR(J261="",N261="",P261=""),"",IF(T261=0,0,T261*Q261-Settings!$B$4/10000-IF(T261&lt;0,Settings!$B$5/10000,0))),"")</f>
        <v>-9.0399999999999994E-2</v>
      </c>
      <c r="W261" s="21">
        <f t="shared" si="46"/>
        <v>180</v>
      </c>
      <c r="X261" s="91" t="str">
        <f t="shared" si="47"/>
        <v>Palantir|2025|Q1</v>
      </c>
      <c r="Y261" s="91" t="str">
        <f>IFERROR(IF($X261="","",INDEX(LLM_Data_Entry!$H$3:$H$548,MATCH($X261,INDEX(LLM_Data_Entry!$A$3:$A$548&amp;"|"&amp;LLM_Data_Entry!$C$3:$C$548&amp;"|"&amp;LLM_Data_Entry!$D$3:$D$548,0),0))),"")</f>
        <v>HOLD</v>
      </c>
      <c r="Z261" s="91" t="str">
        <f>IFERROR(IF($X261="","",INDEX(LLM_Data_Entry!$R$3:$R$548,MATCH($X261,INDEX(LLM_Data_Entry!$A$3:$A$548&amp;"|"&amp;LLM_Data_Entry!$C$3:$C$548&amp;"|"&amp;LLM_Data_Entry!$D$3:$D$548,0),0))),"")</f>
        <v>NO</v>
      </c>
      <c r="AL261" t="str">
        <f>IF($A261="","",IFERROR(INDEX(Company_List!$G$3:$G$207,MATCH($A261,Company_List!$A$3:$A$207,0)),"unassigned"))</f>
        <v>P3</v>
      </c>
      <c r="AM261" t="s">
        <v>1315</v>
      </c>
      <c r="AO261" t="s">
        <v>593</v>
      </c>
      <c r="AP261" t="str">
        <f>IF($A261="","",IF(COUNTIFS(LLM_Data_Entry!$A$3:$A$548,$A261)&gt;0,"YES","NO"))</f>
        <v>YES</v>
      </c>
      <c r="AQ261" t="str">
        <f>IF($A261="","",IF(COUNTIFS($A$3:$A261,$A261,$C$3:$C261,$C261,$D$3:$D261,$D261)=1,"YES","NO"))</f>
        <v>YES</v>
      </c>
      <c r="AR261" t="str">
        <f>IF($A261="","",IF(AND($C261&amp;"-"&amp;$D261&gt;=Settings!$B$19,$C261&amp;"-"&amp;$D261&lt;=Settings!$B$20),"IN","OUT"))</f>
        <v>IN</v>
      </c>
      <c r="AS261" t="str">
        <f t="shared" si="48"/>
        <v>guidance</v>
      </c>
      <c r="AT261">
        <f t="shared" si="49"/>
        <v>-9.0399999999999994E-2</v>
      </c>
      <c r="AU261" t="str">
        <f t="shared" si="50"/>
        <v/>
      </c>
      <c r="AV261">
        <f>IF(ISNUMBER($AT261),ABS(IF(ISNUMBER($I261),$I261,0)-Settings!$B$24),"")</f>
        <v>0.5</v>
      </c>
      <c r="AW261">
        <f t="shared" si="51"/>
        <v>-4.5199999999999997E-2</v>
      </c>
      <c r="AX261" t="str">
        <f>IF(ISNUMBER($AU261),ABS(IF(ISNUMBER($I261),$I261,0)-Settings!$B$24),"")</f>
        <v/>
      </c>
      <c r="AY261" t="s">
        <v>549</v>
      </c>
      <c r="AZ261" t="str">
        <f>IF($A261="","",IFERROR(INDEX(Company_List!$H$3:$H$207,MATCH($A261,Company_List!$A$3:$A$207,0)),"unassigned"))</f>
        <v>Information Technology</v>
      </c>
      <c r="BC261">
        <f>IF($A261="","",IF(COUNTIFS($A$3:$A261,$A261,$C$3:$C261,$C261,$D$3:$D261,$D261,$G$3:$G261,$G261)=1,1,0))</f>
        <v>1</v>
      </c>
      <c r="BG261" t="s">
        <v>550</v>
      </c>
      <c r="BK261">
        <f t="shared" si="52"/>
        <v>0</v>
      </c>
      <c r="BL261" t="s">
        <v>551</v>
      </c>
      <c r="BM261">
        <v>3</v>
      </c>
      <c r="BN261" t="s">
        <v>1262</v>
      </c>
      <c r="BO261" t="s">
        <v>553</v>
      </c>
      <c r="BP261" t="s">
        <v>550</v>
      </c>
      <c r="BQ261" t="s">
        <v>550</v>
      </c>
      <c r="BS261" t="s">
        <v>554</v>
      </c>
    </row>
    <row r="262" spans="1:72" x14ac:dyDescent="0.2">
      <c r="A262" s="115" t="s">
        <v>1314</v>
      </c>
      <c r="B262" s="116" t="str">
        <f>IF(A262="","",_xlfn.XLOOKUP(A262, Company_List!$A:$A, Company_List!$B:$B, ""))</f>
        <v>PLTR</v>
      </c>
      <c r="C262" s="143">
        <v>2025</v>
      </c>
      <c r="D262" s="143" t="s">
        <v>555</v>
      </c>
      <c r="E262" s="98" t="s">
        <v>1121</v>
      </c>
      <c r="F262" s="98" t="s">
        <v>1086</v>
      </c>
      <c r="G262" s="143" t="s">
        <v>610</v>
      </c>
      <c r="H262" s="106" t="s">
        <v>540</v>
      </c>
      <c r="I262" s="145">
        <v>0.9</v>
      </c>
      <c r="J262" s="145" t="str">
        <f>IF(OR(I262="",Settings!$B$6=""),"",IF(I262&gt;Settings!$B$6,"BUY",IF(I262&lt;-Settings!$B$6,"SELL","HOLD")))</f>
        <v>BUY</v>
      </c>
      <c r="K262" s="145">
        <v>10</v>
      </c>
      <c r="L262" s="125">
        <v>45873</v>
      </c>
      <c r="M262" s="140">
        <v>45873</v>
      </c>
      <c r="N262" s="147">
        <v>160.66</v>
      </c>
      <c r="O262" s="140">
        <v>45874</v>
      </c>
      <c r="P262" s="145">
        <v>171.81</v>
      </c>
      <c r="Q262" s="150">
        <f t="shared" si="43"/>
        <v>6.9400000000000003E-2</v>
      </c>
      <c r="R262" s="106" t="str">
        <f>IF(OR(N262="",P262=""),"",IF(Q262&gt;Settings!$B$3/100,"UP",IF(Q262&lt;-Settings!$B$3/100,"DOWN","FLAT")))</f>
        <v>UP</v>
      </c>
      <c r="S262" s="106" t="str">
        <f t="shared" si="44"/>
        <v>YES</v>
      </c>
      <c r="T262" s="105">
        <f t="shared" si="45"/>
        <v>1</v>
      </c>
      <c r="U262" s="150">
        <f>IFERROR(IF(OR(J262="",N262="",P262=""),"",IF(T262=0,0,T262*Q262-Settings!$B$4/10000-IF(T262&lt;0,Settings!$B$5/10000,0))),"")</f>
        <v>6.8400000000000002E-2</v>
      </c>
      <c r="W262" s="21">
        <f t="shared" si="46"/>
        <v>600</v>
      </c>
      <c r="X262" s="91" t="str">
        <f t="shared" si="47"/>
        <v>Palantir|2025|Q2</v>
      </c>
      <c r="Y262" s="91" t="str">
        <f>IFERROR(IF($X262="","",INDEX(LLM_Data_Entry!$H$3:$H$548,MATCH($X262,INDEX(LLM_Data_Entry!$A$3:$A$548&amp;"|"&amp;LLM_Data_Entry!$C$3:$C$548&amp;"|"&amp;LLM_Data_Entry!$D$3:$D$548,0),0))),"")</f>
        <v>BUY</v>
      </c>
      <c r="Z262" s="91" t="str">
        <f>IFERROR(IF($X262="","",INDEX(LLM_Data_Entry!$R$3:$R$548,MATCH($X262,INDEX(LLM_Data_Entry!$A$3:$A$548&amp;"|"&amp;LLM_Data_Entry!$C$3:$C$548&amp;"|"&amp;LLM_Data_Entry!$D$3:$D$548,0),0))),"")</f>
        <v>YES</v>
      </c>
      <c r="AL262" t="str">
        <f>IF($A262="","",IFERROR(INDEX(Company_List!$G$3:$G$207,MATCH($A262,Company_List!$A$3:$A$207,0)),"unassigned"))</f>
        <v>P3</v>
      </c>
      <c r="AM262" t="s">
        <v>1316</v>
      </c>
      <c r="AO262" t="s">
        <v>593</v>
      </c>
      <c r="AP262" t="str">
        <f>IF($A262="","",IF(COUNTIFS(LLM_Data_Entry!$A$3:$A$548,$A262)&gt;0,"YES","NO"))</f>
        <v>YES</v>
      </c>
      <c r="AQ262" t="str">
        <f>IF($A262="","",IF(COUNTIFS($A$3:$A262,$A262,$C$3:$C262,$C262,$D$3:$D262,$D262)=1,"YES","NO"))</f>
        <v>YES</v>
      </c>
      <c r="AR262" t="str">
        <f>IF($A262="","",IF(AND($C262&amp;"-"&amp;$D262&gt;=Settings!$B$19,$C262&amp;"-"&amp;$D262&lt;=Settings!$B$20),"IN","OUT"))</f>
        <v>IN</v>
      </c>
      <c r="AS262" t="str">
        <f t="shared" si="48"/>
        <v>financials</v>
      </c>
      <c r="AT262">
        <f t="shared" si="49"/>
        <v>6.8400000000000002E-2</v>
      </c>
      <c r="AU262" t="str">
        <f t="shared" si="50"/>
        <v/>
      </c>
      <c r="AV262">
        <f>IF(ISNUMBER($AT262),ABS(IF(ISNUMBER($I262),$I262,0)-Settings!$B$24),"")</f>
        <v>0.9</v>
      </c>
      <c r="AW262">
        <f t="shared" si="51"/>
        <v>6.1560000000000004E-2</v>
      </c>
      <c r="AX262" t="str">
        <f>IF(ISNUMBER($AU262),ABS(IF(ISNUMBER($I262),$I262,0)-Settings!$B$24),"")</f>
        <v/>
      </c>
      <c r="AY262" t="s">
        <v>549</v>
      </c>
      <c r="AZ262" t="str">
        <f>IF($A262="","",IFERROR(INDEX(Company_List!$H$3:$H$207,MATCH($A262,Company_List!$A$3:$A$207,0)),"unassigned"))</f>
        <v>Information Technology</v>
      </c>
      <c r="BC262">
        <f>IF($A262="","",IF(COUNTIFS($A$3:$A262,$A262,$C$3:$C262,$C262,$D$3:$D262,$D262,$G$3:$G262,$G262)=1,1,0))</f>
        <v>1</v>
      </c>
      <c r="BG262" t="s">
        <v>550</v>
      </c>
      <c r="BK262">
        <f t="shared" si="52"/>
        <v>1</v>
      </c>
      <c r="BL262" t="s">
        <v>551</v>
      </c>
      <c r="BM262">
        <v>3</v>
      </c>
      <c r="BN262" t="s">
        <v>1262</v>
      </c>
      <c r="BO262" t="s">
        <v>553</v>
      </c>
      <c r="BP262" t="s">
        <v>550</v>
      </c>
      <c r="BQ262" t="s">
        <v>550</v>
      </c>
      <c r="BS262" t="s">
        <v>554</v>
      </c>
    </row>
    <row r="263" spans="1:72" x14ac:dyDescent="0.2">
      <c r="A263" s="115" t="s">
        <v>1314</v>
      </c>
      <c r="B263" s="116" t="str">
        <f>IF(A263="","",_xlfn.XLOOKUP(A263, Company_List!$A:$A, Company_List!$B:$B, ""))</f>
        <v>PLTR</v>
      </c>
      <c r="C263" s="143">
        <v>2025</v>
      </c>
      <c r="D263" s="143" t="s">
        <v>563</v>
      </c>
      <c r="E263" s="98" t="s">
        <v>538</v>
      </c>
      <c r="F263" s="98" t="s">
        <v>538</v>
      </c>
      <c r="G263" s="143" t="s">
        <v>610</v>
      </c>
      <c r="H263" s="106" t="s">
        <v>540</v>
      </c>
      <c r="I263" s="145">
        <v>0.9</v>
      </c>
      <c r="J263" s="145" t="str">
        <f>IF(OR(I263="",Settings!$B$6=""),"",IF(I263&gt;Settings!$B$6,"BUY",IF(I263&lt;-Settings!$B$6,"SELL","HOLD")))</f>
        <v>BUY</v>
      </c>
      <c r="K263" s="145">
        <v>21</v>
      </c>
      <c r="L263" s="125">
        <v>45964</v>
      </c>
      <c r="M263" s="140">
        <v>45964</v>
      </c>
      <c r="N263" s="147">
        <v>207.18</v>
      </c>
      <c r="O263" s="140">
        <v>45965</v>
      </c>
      <c r="P263" s="145">
        <v>192.07</v>
      </c>
      <c r="Q263" s="150">
        <f t="shared" si="43"/>
        <v>-7.2900000000000006E-2</v>
      </c>
      <c r="R263" s="106" t="str">
        <f>IF(OR(N263="",P263=""),"",IF(Q263&gt;Settings!$B$3/100,"UP",IF(Q263&lt;-Settings!$B$3/100,"DOWN","FLAT")))</f>
        <v>DOWN</v>
      </c>
      <c r="S263" s="106" t="str">
        <f t="shared" si="44"/>
        <v>NO</v>
      </c>
      <c r="T263" s="105">
        <f t="shared" si="45"/>
        <v>1</v>
      </c>
      <c r="U263" s="150">
        <f>IFERROR(IF(OR(J263="",N263="",P263=""),"",IF(T263=0,0,T263*Q263-Settings!$B$4/10000-IF(T263&lt;0,Settings!$B$5/10000,0))),"")</f>
        <v>-7.3900000000000007E-2</v>
      </c>
      <c r="W263" s="21">
        <f t="shared" si="46"/>
        <v>1260</v>
      </c>
      <c r="X263" s="91" t="str">
        <f t="shared" si="47"/>
        <v>Palantir|2025|Q3</v>
      </c>
      <c r="Y263" s="91" t="str">
        <f>IFERROR(IF($X263="","",INDEX(LLM_Data_Entry!$H$3:$H$548,MATCH($X263,INDEX(LLM_Data_Entry!$A$3:$A$548&amp;"|"&amp;LLM_Data_Entry!$C$3:$C$548&amp;"|"&amp;LLM_Data_Entry!$D$3:$D$548,0),0))),"")</f>
        <v>BUY</v>
      </c>
      <c r="Z263" s="91" t="str">
        <f>IFERROR(IF($X263="","",INDEX(LLM_Data_Entry!$R$3:$R$548,MATCH($X263,INDEX(LLM_Data_Entry!$A$3:$A$548&amp;"|"&amp;LLM_Data_Entry!$C$3:$C$548&amp;"|"&amp;LLM_Data_Entry!$D$3:$D$548,0),0))),"")</f>
        <v>NO</v>
      </c>
      <c r="AL263" t="str">
        <f>IF($A263="","",IFERROR(INDEX(Company_List!$G$3:$G$207,MATCH($A263,Company_List!$A$3:$A$207,0)),"unassigned"))</f>
        <v>P3</v>
      </c>
      <c r="AM263" t="s">
        <v>1317</v>
      </c>
      <c r="AO263" t="s">
        <v>593</v>
      </c>
      <c r="AP263" t="str">
        <f>IF($A263="","",IF(COUNTIFS(LLM_Data_Entry!$A$3:$A$548,$A263)&gt;0,"YES","NO"))</f>
        <v>YES</v>
      </c>
      <c r="AQ263" t="str">
        <f>IF($A263="","",IF(COUNTIFS($A$3:$A263,$A263,$C$3:$C263,$C263,$D$3:$D263,$D263)=1,"YES","NO"))</f>
        <v>YES</v>
      </c>
      <c r="AR263" t="str">
        <f>IF($A263="","",IF(AND($C263&amp;"-"&amp;$D263&gt;=Settings!$B$19,$C263&amp;"-"&amp;$D263&lt;=Settings!$B$20),"IN","OUT"))</f>
        <v>IN</v>
      </c>
      <c r="AS263" t="str">
        <f t="shared" si="48"/>
        <v>full</v>
      </c>
      <c r="AT263">
        <f t="shared" si="49"/>
        <v>-7.3900000000000007E-2</v>
      </c>
      <c r="AU263" t="str">
        <f t="shared" si="50"/>
        <v/>
      </c>
      <c r="AV263">
        <f>IF(ISNUMBER($AT263),ABS(IF(ISNUMBER($I263),$I263,0)-Settings!$B$24),"")</f>
        <v>0.9</v>
      </c>
      <c r="AW263">
        <f t="shared" si="51"/>
        <v>-6.6510000000000014E-2</v>
      </c>
      <c r="AX263" t="str">
        <f>IF(ISNUMBER($AU263),ABS(IF(ISNUMBER($I263),$I263,0)-Settings!$B$24),"")</f>
        <v/>
      </c>
      <c r="AY263" t="s">
        <v>549</v>
      </c>
      <c r="AZ263" t="str">
        <f>IF($A263="","",IFERROR(INDEX(Company_List!$H$3:$H$207,MATCH($A263,Company_List!$A$3:$A$207,0)),"unassigned"))</f>
        <v>Information Technology</v>
      </c>
      <c r="BC263">
        <f>IF($A263="","",IF(COUNTIFS($A$3:$A263,$A263,$C$3:$C263,$C263,$D$3:$D263,$D263,$G$3:$G263,$G263)=1,1,0))</f>
        <v>1</v>
      </c>
      <c r="BG263" t="s">
        <v>550</v>
      </c>
      <c r="BK263">
        <f t="shared" si="52"/>
        <v>1</v>
      </c>
      <c r="BL263" t="s">
        <v>551</v>
      </c>
      <c r="BM263">
        <v>3</v>
      </c>
      <c r="BN263" t="s">
        <v>1262</v>
      </c>
      <c r="BO263" t="s">
        <v>553</v>
      </c>
      <c r="BP263" t="s">
        <v>550</v>
      </c>
      <c r="BQ263" t="s">
        <v>550</v>
      </c>
      <c r="BS263" t="s">
        <v>554</v>
      </c>
    </row>
    <row r="264" spans="1:72" x14ac:dyDescent="0.2">
      <c r="A264" s="115" t="s">
        <v>1314</v>
      </c>
      <c r="B264" s="116" t="str">
        <f>IF(A264="","",_xlfn.XLOOKUP(A264, Company_List!$A:$A, Company_List!$B:$B, ""))</f>
        <v>PLTR</v>
      </c>
      <c r="C264" s="143">
        <v>2025</v>
      </c>
      <c r="D264" s="143" t="s">
        <v>569</v>
      </c>
      <c r="E264" s="98" t="s">
        <v>647</v>
      </c>
      <c r="F264" s="98" t="s">
        <v>1092</v>
      </c>
      <c r="G264" s="143" t="s">
        <v>610</v>
      </c>
      <c r="H264" s="106" t="s">
        <v>540</v>
      </c>
      <c r="I264" s="145">
        <v>0.5</v>
      </c>
      <c r="J264" s="145" t="str">
        <f>IF(OR(I264="",Settings!$B$6=""),"",IF(I264&gt;Settings!$B$6,"BUY",IF(I264&lt;-Settings!$B$6,"SELL","HOLD")))</f>
        <v>BUY</v>
      </c>
      <c r="K264" s="145">
        <v>15</v>
      </c>
      <c r="L264" s="125">
        <v>46055</v>
      </c>
      <c r="M264" s="140">
        <v>46055</v>
      </c>
      <c r="N264" s="147">
        <v>147.76</v>
      </c>
      <c r="O264" s="140">
        <v>46056</v>
      </c>
      <c r="P264" s="145">
        <v>165.05</v>
      </c>
      <c r="Q264" s="150">
        <f t="shared" si="43"/>
        <v>0.11700000000000001</v>
      </c>
      <c r="R264" s="106" t="str">
        <f>IF(OR(N264="",P264=""),"",IF(Q264&gt;Settings!$B$3/100,"UP",IF(Q264&lt;-Settings!$B$3/100,"DOWN","FLAT")))</f>
        <v>UP</v>
      </c>
      <c r="S264" s="106" t="str">
        <f t="shared" si="44"/>
        <v>YES</v>
      </c>
      <c r="T264" s="105">
        <f t="shared" si="45"/>
        <v>1</v>
      </c>
      <c r="U264" s="150">
        <f>IFERROR(IF(OR(J264="",N264="",P264=""),"",IF(T264=0,0,T264*Q264-Settings!$B$4/10000-IF(T264&lt;0,Settings!$B$5/10000,0))),"")</f>
        <v>0.11600000000000001</v>
      </c>
      <c r="W264" s="21">
        <f t="shared" si="46"/>
        <v>900</v>
      </c>
      <c r="X264" s="91" t="str">
        <f t="shared" si="47"/>
        <v>Palantir|2025|Q4</v>
      </c>
      <c r="Y264" s="91" t="str">
        <f>IFERROR(IF($X264="","",INDEX(LLM_Data_Entry!$H$3:$H$548,MATCH($X264,INDEX(LLM_Data_Entry!$A$3:$A$548&amp;"|"&amp;LLM_Data_Entry!$C$3:$C$548&amp;"|"&amp;LLM_Data_Entry!$D$3:$D$548,0),0))),"")</f>
        <v>BUY</v>
      </c>
      <c r="Z264" s="91" t="str">
        <f>IFERROR(IF($X264="","",INDEX(LLM_Data_Entry!$R$3:$R$548,MATCH($X264,INDEX(LLM_Data_Entry!$A$3:$A$548&amp;"|"&amp;LLM_Data_Entry!$C$3:$C$548&amp;"|"&amp;LLM_Data_Entry!$D$3:$D$548,0),0))),"")</f>
        <v>YES</v>
      </c>
      <c r="AL264" t="str">
        <f>IF($A264="","",IFERROR(INDEX(Company_List!$G$3:$G$207,MATCH($A264,Company_List!$A$3:$A$207,0)),"unassigned"))</f>
        <v>P3</v>
      </c>
      <c r="AM264" t="s">
        <v>1318</v>
      </c>
      <c r="AO264" t="s">
        <v>593</v>
      </c>
      <c r="AP264" t="str">
        <f>IF($A264="","",IF(COUNTIFS(LLM_Data_Entry!$A$3:$A$548,$A264)&gt;0,"YES","NO"))</f>
        <v>YES</v>
      </c>
      <c r="AQ264" t="str">
        <f>IF($A264="","",IF(COUNTIFS($A$3:$A264,$A264,$C$3:$C264,$C264,$D$3:$D264,$D264)=1,"YES","NO"))</f>
        <v>YES</v>
      </c>
      <c r="AR264" t="str">
        <f>IF($A264="","",IF(AND($C264&amp;"-"&amp;$D264&gt;=Settings!$B$19,$C264&amp;"-"&amp;$D264&lt;=Settings!$B$20),"IN","OUT"))</f>
        <v>IN</v>
      </c>
      <c r="AS264" t="str">
        <f t="shared" si="48"/>
        <v>qanda</v>
      </c>
      <c r="AT264">
        <f t="shared" si="49"/>
        <v>0.11600000000000001</v>
      </c>
      <c r="AU264" t="str">
        <f t="shared" si="50"/>
        <v/>
      </c>
      <c r="AV264">
        <f>IF(ISNUMBER($AT264),ABS(IF(ISNUMBER($I264),$I264,0)-Settings!$B$24),"")</f>
        <v>0.5</v>
      </c>
      <c r="AW264">
        <f t="shared" si="51"/>
        <v>5.8000000000000003E-2</v>
      </c>
      <c r="AX264" t="str">
        <f>IF(ISNUMBER($AU264),ABS(IF(ISNUMBER($I264),$I264,0)-Settings!$B$24),"")</f>
        <v/>
      </c>
      <c r="AY264" t="s">
        <v>549</v>
      </c>
      <c r="AZ264" t="str">
        <f>IF($A264="","",IFERROR(INDEX(Company_List!$H$3:$H$207,MATCH($A264,Company_List!$A$3:$A$207,0)),"unassigned"))</f>
        <v>Information Technology</v>
      </c>
      <c r="BC264">
        <f>IF($A264="","",IF(COUNTIFS($A$3:$A264,$A264,$C$3:$C264,$C264,$D$3:$D264,$D264,$G$3:$G264,$G264)=1,1,0))</f>
        <v>1</v>
      </c>
      <c r="BG264" t="s">
        <v>550</v>
      </c>
      <c r="BK264">
        <f t="shared" si="52"/>
        <v>1</v>
      </c>
      <c r="BL264" t="s">
        <v>551</v>
      </c>
      <c r="BM264">
        <v>4</v>
      </c>
      <c r="BN264" t="s">
        <v>1262</v>
      </c>
      <c r="BO264" t="s">
        <v>553</v>
      </c>
      <c r="BP264" t="s">
        <v>1023</v>
      </c>
      <c r="BQ264" t="s">
        <v>550</v>
      </c>
      <c r="BS264" t="s">
        <v>554</v>
      </c>
    </row>
    <row r="265" spans="1:72" x14ac:dyDescent="0.2">
      <c r="A265" s="115" t="s">
        <v>1319</v>
      </c>
      <c r="B265" s="116" t="str">
        <f>IF(A265="","",_xlfn.XLOOKUP(A265, Company_List!$A:$A, Company_List!$B:$B, ""))</f>
        <v>MET</v>
      </c>
      <c r="C265" s="143">
        <v>2025</v>
      </c>
      <c r="D265" s="143" t="s">
        <v>537</v>
      </c>
      <c r="E265" s="98" t="s">
        <v>538</v>
      </c>
      <c r="F265" s="98" t="s">
        <v>538</v>
      </c>
      <c r="G265" s="143" t="s">
        <v>575</v>
      </c>
      <c r="H265" s="106" t="s">
        <v>540</v>
      </c>
      <c r="I265" s="145">
        <v>0.3</v>
      </c>
      <c r="J265" s="145" t="str">
        <f>IF(OR(I265="",Settings!$B$6=""),"",IF(I265&gt;Settings!$B$6,"BUY",IF(I265&lt;-Settings!$B$6,"SELL","HOLD")))</f>
        <v>BUY</v>
      </c>
      <c r="K265" s="145">
        <v>25</v>
      </c>
      <c r="L265" s="125">
        <v>45777</v>
      </c>
      <c r="M265" s="140">
        <v>45777</v>
      </c>
      <c r="N265" s="147">
        <v>75.37</v>
      </c>
      <c r="O265" s="140">
        <v>45778</v>
      </c>
      <c r="P265" s="145">
        <v>76.36</v>
      </c>
      <c r="Q265" s="150">
        <f t="shared" si="43"/>
        <v>1.3100000000000001E-2</v>
      </c>
      <c r="R265" s="106" t="str">
        <f>IF(OR(N265="",P265=""),"",IF(Q265&gt;Settings!$B$3/100,"UP",IF(Q265&lt;-Settings!$B$3/100,"DOWN","FLAT")))</f>
        <v>FLAT</v>
      </c>
      <c r="S265" s="106" t="str">
        <f t="shared" si="44"/>
        <v>NO</v>
      </c>
      <c r="T265" s="105">
        <f t="shared" si="45"/>
        <v>1</v>
      </c>
      <c r="U265" s="150">
        <f>IFERROR(IF(OR(J265="",N265="",P265=""),"",IF(T265=0,0,T265*Q265-Settings!$B$4/10000-IF(T265&lt;0,Settings!$B$5/10000,0))),"")</f>
        <v>1.21E-2</v>
      </c>
      <c r="W265" s="21">
        <f t="shared" si="46"/>
        <v>1500</v>
      </c>
      <c r="X265" s="91" t="str">
        <f t="shared" si="47"/>
        <v>MetLife|2025|Q1</v>
      </c>
      <c r="Y265" s="91" t="str">
        <f>IFERROR(IF($X265="","",INDEX(LLM_Data_Entry!$H$3:$H$548,MATCH($X265,INDEX(LLM_Data_Entry!$A$3:$A$548&amp;"|"&amp;LLM_Data_Entry!$C$3:$C$548&amp;"|"&amp;LLM_Data_Entry!$D$3:$D$548,0),0))),"")</f>
        <v/>
      </c>
      <c r="Z265" s="91" t="str">
        <f>IFERROR(IF($X265="","",INDEX(LLM_Data_Entry!$R$3:$R$548,MATCH($X265,INDEX(LLM_Data_Entry!$A$3:$A$548&amp;"|"&amp;LLM_Data_Entry!$C$3:$C$548&amp;"|"&amp;LLM_Data_Entry!$D$3:$D$548,0),0))),"")</f>
        <v/>
      </c>
      <c r="AB265" t="s">
        <v>636</v>
      </c>
      <c r="AC265" t="s">
        <v>1320</v>
      </c>
      <c r="AD265" t="s">
        <v>1099</v>
      </c>
      <c r="AE265">
        <v>72.188299999999998</v>
      </c>
      <c r="AF265" t="s">
        <v>1124</v>
      </c>
      <c r="AG265">
        <v>73.136499999999998</v>
      </c>
      <c r="AH265">
        <v>1.313519273474064E-2</v>
      </c>
      <c r="AI265" t="s">
        <v>579</v>
      </c>
      <c r="AJ265" t="s">
        <v>546</v>
      </c>
      <c r="AK265">
        <v>1.2135E-2</v>
      </c>
      <c r="AL265" t="str">
        <f>IF($A265="","",IFERROR(INDEX(Company_List!$G$3:$G$207,MATCH($A265,Company_List!$A$3:$A$207,0)),"unassigned"))</f>
        <v>P2</v>
      </c>
      <c r="AM265" t="s">
        <v>1321</v>
      </c>
      <c r="AN265" t="s">
        <v>1322</v>
      </c>
      <c r="AO265" t="s">
        <v>754</v>
      </c>
      <c r="AP265" t="str">
        <f>IF($A265="","",IF(COUNTIFS(LLM_Data_Entry!$A$3:$A$548,$A265)&gt;0,"YES","NO"))</f>
        <v>YES</v>
      </c>
      <c r="AQ265" t="str">
        <f>IF($A265="","",IF(COUNTIFS($A$3:$A265,$A265,$C$3:$C265,$C265,$D$3:$D265,$D265)=1,"YES","NO"))</f>
        <v>YES</v>
      </c>
      <c r="AR265" t="str">
        <f>IF($A265="","",IF(AND($C265&amp;"-"&amp;$D265&gt;=Settings!$B$19,$C265&amp;"-"&amp;$D265&lt;=Settings!$B$20),"IN","OUT"))</f>
        <v>IN</v>
      </c>
      <c r="AS265" t="str">
        <f t="shared" si="48"/>
        <v>full</v>
      </c>
      <c r="AT265">
        <f t="shared" si="49"/>
        <v>1.21E-2</v>
      </c>
      <c r="AU265">
        <f t="shared" si="50"/>
        <v>1.2135E-2</v>
      </c>
      <c r="AV265">
        <f>IF(ISNUMBER($AT265),ABS(IF(ISNUMBER($I265),$I265,0)-Settings!$B$24),"")</f>
        <v>0.3</v>
      </c>
      <c r="AW265">
        <f t="shared" si="51"/>
        <v>3.6299999999999995E-3</v>
      </c>
      <c r="AX265">
        <f>IF(ISNUMBER($AU265),ABS(IF(ISNUMBER($I265),$I265,0)-Settings!$B$24),"")</f>
        <v>0.3</v>
      </c>
      <c r="AY265" t="s">
        <v>549</v>
      </c>
      <c r="AZ265" t="str">
        <f>IF($A265="","",IFERROR(INDEX(Company_List!$H$3:$H$207,MATCH($A265,Company_List!$A$3:$A$207,0)),"unassigned"))</f>
        <v>Financials</v>
      </c>
      <c r="BC265">
        <f>IF($A265="","",IF(COUNTIFS($A$3:$A265,$A265,$C$3:$C265,$C265,$D$3:$D265,$D265,$G$3:$G265,$G265)=1,1,0))</f>
        <v>1</v>
      </c>
      <c r="BG265" t="s">
        <v>550</v>
      </c>
      <c r="BK265" t="str">
        <f t="shared" si="52"/>
        <v/>
      </c>
      <c r="BL265" t="s">
        <v>551</v>
      </c>
      <c r="BM265">
        <v>3</v>
      </c>
      <c r="BN265" t="s">
        <v>882</v>
      </c>
      <c r="BO265" t="s">
        <v>596</v>
      </c>
      <c r="BP265" t="s">
        <v>550</v>
      </c>
      <c r="BQ265" t="s">
        <v>562</v>
      </c>
      <c r="BS265" t="s">
        <v>546</v>
      </c>
      <c r="BT265" t="s">
        <v>1110</v>
      </c>
    </row>
    <row r="266" spans="1:72" x14ac:dyDescent="0.2">
      <c r="A266" s="115" t="s">
        <v>1319</v>
      </c>
      <c r="B266" s="116" t="str">
        <f>IF(A266="","",_xlfn.XLOOKUP(A266, Company_List!$A:$A, Company_List!$B:$B, ""))</f>
        <v>MET</v>
      </c>
      <c r="C266" s="143">
        <v>2025</v>
      </c>
      <c r="D266" s="143" t="s">
        <v>555</v>
      </c>
      <c r="E266" s="98" t="s">
        <v>538</v>
      </c>
      <c r="F266" s="98" t="s">
        <v>538</v>
      </c>
      <c r="G266" s="143" t="s">
        <v>575</v>
      </c>
      <c r="H266" s="106" t="s">
        <v>540</v>
      </c>
      <c r="I266" s="145">
        <v>-0.2</v>
      </c>
      <c r="J266" s="145" t="str">
        <f>IF(OR(I266="",Settings!$B$6=""),"",IF(I266&gt;Settings!$B$6,"BUY",IF(I266&lt;-Settings!$B$6,"SELL","HOLD")))</f>
        <v>HOLD</v>
      </c>
      <c r="K266" s="145">
        <v>23</v>
      </c>
      <c r="L266" s="125">
        <v>45875</v>
      </c>
      <c r="M266" s="140">
        <v>45875</v>
      </c>
      <c r="N266" s="147">
        <v>75.95</v>
      </c>
      <c r="O266" s="140">
        <v>45876</v>
      </c>
      <c r="P266" s="145">
        <v>72.099999999999994</v>
      </c>
      <c r="Q266" s="150">
        <f t="shared" si="43"/>
        <v>-5.0700000000000002E-2</v>
      </c>
      <c r="R266" s="106" t="str">
        <f>IF(OR(N266="",P266=""),"",IF(Q266&gt;Settings!$B$3/100,"UP",IF(Q266&lt;-Settings!$B$3/100,"DOWN","FLAT")))</f>
        <v>DOWN</v>
      </c>
      <c r="S266" s="106" t="str">
        <f t="shared" si="44"/>
        <v>NO</v>
      </c>
      <c r="T266" s="105">
        <f t="shared" si="45"/>
        <v>0</v>
      </c>
      <c r="U266" s="150">
        <f>IFERROR(IF(OR(J266="",N266="",P266=""),"",IF(T266=0,0,T266*Q266-Settings!$B$4/10000-IF(T266&lt;0,Settings!$B$5/10000,0))),"")</f>
        <v>0</v>
      </c>
      <c r="W266" s="21">
        <f t="shared" si="46"/>
        <v>1380</v>
      </c>
      <c r="X266" s="91" t="str">
        <f t="shared" si="47"/>
        <v>MetLife|2025|Q2</v>
      </c>
      <c r="Y266" s="91" t="str">
        <f>IFERROR(IF($X266="","",INDEX(LLM_Data_Entry!$H$3:$H$548,MATCH($X266,INDEX(LLM_Data_Entry!$A$3:$A$548&amp;"|"&amp;LLM_Data_Entry!$C$3:$C$548&amp;"|"&amp;LLM_Data_Entry!$D$3:$D$548,0),0))),"")</f>
        <v>SELL</v>
      </c>
      <c r="Z266" s="91" t="str">
        <f>IFERROR(IF($X266="","",INDEX(LLM_Data_Entry!$R$3:$R$548,MATCH($X266,INDEX(LLM_Data_Entry!$A$3:$A$548&amp;"|"&amp;LLM_Data_Entry!$C$3:$C$548&amp;"|"&amp;LLM_Data_Entry!$D$3:$D$548,0),0))),"")</f>
        <v>YES</v>
      </c>
      <c r="AB266" t="s">
        <v>835</v>
      </c>
      <c r="AC266" t="s">
        <v>1320</v>
      </c>
      <c r="AD266" t="s">
        <v>642</v>
      </c>
      <c r="AE266">
        <v>73.841999999999999</v>
      </c>
      <c r="AF266" t="s">
        <v>742</v>
      </c>
      <c r="AG266">
        <v>70.0989</v>
      </c>
      <c r="AH266">
        <v>-5.0691395459266098E-2</v>
      </c>
      <c r="AI266" t="s">
        <v>545</v>
      </c>
      <c r="AJ266" t="s">
        <v>546</v>
      </c>
      <c r="AK266">
        <v>0</v>
      </c>
      <c r="AL266" t="str">
        <f>IF($A266="","",IFERROR(INDEX(Company_List!$G$3:$G$207,MATCH($A266,Company_List!$A$3:$A$207,0)),"unassigned"))</f>
        <v>P2</v>
      </c>
      <c r="AM266" t="s">
        <v>1323</v>
      </c>
      <c r="AN266" t="s">
        <v>1324</v>
      </c>
      <c r="AO266" t="s">
        <v>754</v>
      </c>
      <c r="AP266" t="str">
        <f>IF($A266="","",IF(COUNTIFS(LLM_Data_Entry!$A$3:$A$548,$A266)&gt;0,"YES","NO"))</f>
        <v>YES</v>
      </c>
      <c r="AQ266" t="str">
        <f>IF($A266="","",IF(COUNTIFS($A$3:$A266,$A266,$C$3:$C266,$C266,$D$3:$D266,$D266)=1,"YES","NO"))</f>
        <v>YES</v>
      </c>
      <c r="AR266" t="str">
        <f>IF($A266="","",IF(AND($C266&amp;"-"&amp;$D266&gt;=Settings!$B$19,$C266&amp;"-"&amp;$D266&lt;=Settings!$B$20),"IN","OUT"))</f>
        <v>IN</v>
      </c>
      <c r="AS266" t="str">
        <f t="shared" si="48"/>
        <v>full</v>
      </c>
      <c r="AT266" t="str">
        <f t="shared" si="49"/>
        <v/>
      </c>
      <c r="AU266" t="str">
        <f t="shared" si="50"/>
        <v/>
      </c>
      <c r="AV266" t="str">
        <f>IF(ISNUMBER($AT266),ABS(IF(ISNUMBER($I266),$I266,0)-Settings!$B$24),"")</f>
        <v/>
      </c>
      <c r="AW266" t="str">
        <f t="shared" si="51"/>
        <v/>
      </c>
      <c r="AX266" t="str">
        <f>IF(ISNUMBER($AU266),ABS(IF(ISNUMBER($I266),$I266,0)-Settings!$B$24),"")</f>
        <v/>
      </c>
      <c r="AY266" t="s">
        <v>549</v>
      </c>
      <c r="AZ266" t="str">
        <f>IF($A266="","",IFERROR(INDEX(Company_List!$H$3:$H$207,MATCH($A266,Company_List!$A$3:$A$207,0)),"unassigned"))</f>
        <v>Financials</v>
      </c>
      <c r="BC266">
        <f>IF($A266="","",IF(COUNTIFS($A$3:$A266,$A266,$C$3:$C266,$C266,$D$3:$D266,$D266,$G$3:$G266,$G266)=1,1,0))</f>
        <v>1</v>
      </c>
      <c r="BG266" t="s">
        <v>550</v>
      </c>
      <c r="BK266">
        <f t="shared" si="52"/>
        <v>0</v>
      </c>
      <c r="BL266" t="s">
        <v>551</v>
      </c>
      <c r="BM266">
        <v>3</v>
      </c>
      <c r="BN266" t="s">
        <v>882</v>
      </c>
      <c r="BO266" t="s">
        <v>596</v>
      </c>
      <c r="BP266" t="s">
        <v>550</v>
      </c>
      <c r="BQ266" t="s">
        <v>562</v>
      </c>
      <c r="BS266" t="s">
        <v>554</v>
      </c>
    </row>
    <row r="267" spans="1:72" x14ac:dyDescent="0.2">
      <c r="A267" s="115" t="s">
        <v>1319</v>
      </c>
      <c r="B267" s="116" t="str">
        <f>IF(A267="","",_xlfn.XLOOKUP(A267, Company_List!$A:$A, Company_List!$B:$B, ""))</f>
        <v>MET</v>
      </c>
      <c r="C267" s="143">
        <v>2025</v>
      </c>
      <c r="D267" s="143" t="s">
        <v>563</v>
      </c>
      <c r="E267" s="98" t="s">
        <v>538</v>
      </c>
      <c r="F267" s="98" t="s">
        <v>538</v>
      </c>
      <c r="G267" s="143" t="s">
        <v>575</v>
      </c>
      <c r="H267" s="106" t="s">
        <v>540</v>
      </c>
      <c r="I267" s="145">
        <v>0.5</v>
      </c>
      <c r="J267" s="145" t="str">
        <f>IF(OR(I267="",Settings!$B$6=""),"",IF(I267&gt;Settings!$B$6,"BUY",IF(I267&lt;-Settings!$B$6,"SELL","HOLD")))</f>
        <v>BUY</v>
      </c>
      <c r="K267" s="145">
        <v>20</v>
      </c>
      <c r="L267" s="125">
        <v>45966</v>
      </c>
      <c r="M267" s="140">
        <v>45966</v>
      </c>
      <c r="N267" s="147">
        <v>78.680000000000007</v>
      </c>
      <c r="O267" s="140">
        <v>45967</v>
      </c>
      <c r="P267" s="145">
        <v>79.5</v>
      </c>
      <c r="Q267" s="150">
        <f t="shared" si="43"/>
        <v>1.04E-2</v>
      </c>
      <c r="R267" s="106" t="str">
        <f>IF(OR(N267="",P267=""),"",IF(Q267&gt;Settings!$B$3/100,"UP",IF(Q267&lt;-Settings!$B$3/100,"DOWN","FLAT")))</f>
        <v>FLAT</v>
      </c>
      <c r="S267" s="106" t="str">
        <f t="shared" si="44"/>
        <v>NO</v>
      </c>
      <c r="T267" s="105">
        <f t="shared" si="45"/>
        <v>1</v>
      </c>
      <c r="U267" s="150">
        <f>IFERROR(IF(OR(J267="",N267="",P267=""),"",IF(T267=0,0,T267*Q267-Settings!$B$4/10000-IF(T267&lt;0,Settings!$B$5/10000,0))),"")</f>
        <v>9.3999999999999986E-3</v>
      </c>
      <c r="W267" s="21">
        <f t="shared" si="46"/>
        <v>1200</v>
      </c>
      <c r="X267" s="91" t="str">
        <f t="shared" si="47"/>
        <v>MetLife|2025|Q3</v>
      </c>
      <c r="Y267" s="91" t="str">
        <f>IFERROR(IF($X267="","",INDEX(LLM_Data_Entry!$H$3:$H$548,MATCH($X267,INDEX(LLM_Data_Entry!$A$3:$A$548&amp;"|"&amp;LLM_Data_Entry!$C$3:$C$548&amp;"|"&amp;LLM_Data_Entry!$D$3:$D$548,0),0))),"")</f>
        <v>BUY</v>
      </c>
      <c r="Z267" s="91" t="str">
        <f>IFERROR(IF($X267="","",INDEX(LLM_Data_Entry!$R$3:$R$548,MATCH($X267,INDEX(LLM_Data_Entry!$A$3:$A$548&amp;"|"&amp;LLM_Data_Entry!$C$3:$C$548&amp;"|"&amp;LLM_Data_Entry!$D$3:$D$548,0),0))),"")</f>
        <v>NO</v>
      </c>
      <c r="AB267" t="s">
        <v>835</v>
      </c>
      <c r="AC267" t="s">
        <v>1320</v>
      </c>
      <c r="AD267" t="s">
        <v>872</v>
      </c>
      <c r="AE267">
        <v>77.0488</v>
      </c>
      <c r="AF267" t="s">
        <v>744</v>
      </c>
      <c r="AG267">
        <v>77.851799999999997</v>
      </c>
      <c r="AH267">
        <v>1.042193452526113E-2</v>
      </c>
      <c r="AI267" t="s">
        <v>579</v>
      </c>
      <c r="AJ267" t="s">
        <v>546</v>
      </c>
      <c r="AK267">
        <v>9.4219999999999998E-3</v>
      </c>
      <c r="AL267" t="str">
        <f>IF($A267="","",IFERROR(INDEX(Company_List!$G$3:$G$207,MATCH($A267,Company_List!$A$3:$A$207,0)),"unassigned"))</f>
        <v>P2</v>
      </c>
      <c r="AM267" t="s">
        <v>1325</v>
      </c>
      <c r="AN267" t="s">
        <v>1326</v>
      </c>
      <c r="AO267" t="s">
        <v>754</v>
      </c>
      <c r="AP267" t="str">
        <f>IF($A267="","",IF(COUNTIFS(LLM_Data_Entry!$A$3:$A$548,$A267)&gt;0,"YES","NO"))</f>
        <v>YES</v>
      </c>
      <c r="AQ267" t="str">
        <f>IF($A267="","",IF(COUNTIFS($A$3:$A267,$A267,$C$3:$C267,$C267,$D$3:$D267,$D267)=1,"YES","NO"))</f>
        <v>YES</v>
      </c>
      <c r="AR267" t="str">
        <f>IF($A267="","",IF(AND($C267&amp;"-"&amp;$D267&gt;=Settings!$B$19,$C267&amp;"-"&amp;$D267&lt;=Settings!$B$20),"IN","OUT"))</f>
        <v>IN</v>
      </c>
      <c r="AS267" t="str">
        <f t="shared" si="48"/>
        <v>full</v>
      </c>
      <c r="AT267">
        <f t="shared" si="49"/>
        <v>9.3999999999999986E-3</v>
      </c>
      <c r="AU267">
        <f t="shared" si="50"/>
        <v>9.4219999999999998E-3</v>
      </c>
      <c r="AV267">
        <f>IF(ISNUMBER($AT267),ABS(IF(ISNUMBER($I267),$I267,0)-Settings!$B$24),"")</f>
        <v>0.5</v>
      </c>
      <c r="AW267">
        <f t="shared" si="51"/>
        <v>4.6999999999999993E-3</v>
      </c>
      <c r="AX267">
        <f>IF(ISNUMBER($AU267),ABS(IF(ISNUMBER($I267),$I267,0)-Settings!$B$24),"")</f>
        <v>0.5</v>
      </c>
      <c r="AY267" t="s">
        <v>549</v>
      </c>
      <c r="AZ267" t="str">
        <f>IF($A267="","",IFERROR(INDEX(Company_List!$H$3:$H$207,MATCH($A267,Company_List!$A$3:$A$207,0)),"unassigned"))</f>
        <v>Financials</v>
      </c>
      <c r="BC267">
        <f>IF($A267="","",IF(COUNTIFS($A$3:$A267,$A267,$C$3:$C267,$C267,$D$3:$D267,$D267,$G$3:$G267,$G267)=1,1,0))</f>
        <v>1</v>
      </c>
      <c r="BG267" t="s">
        <v>550</v>
      </c>
      <c r="BK267">
        <f t="shared" si="52"/>
        <v>1</v>
      </c>
      <c r="BL267" t="s">
        <v>551</v>
      </c>
      <c r="BM267">
        <v>3</v>
      </c>
      <c r="BN267" t="s">
        <v>561</v>
      </c>
      <c r="BO267" t="s">
        <v>561</v>
      </c>
      <c r="BP267" t="s">
        <v>550</v>
      </c>
      <c r="BQ267" t="s">
        <v>562</v>
      </c>
      <c r="BS267" t="s">
        <v>554</v>
      </c>
    </row>
    <row r="268" spans="1:72" x14ac:dyDescent="0.2">
      <c r="A268" s="115" t="s">
        <v>1319</v>
      </c>
      <c r="B268" s="116" t="str">
        <f>IF(A268="","",_xlfn.XLOOKUP(A268, Company_List!$A:$A, Company_List!$B:$B, ""))</f>
        <v>MET</v>
      </c>
      <c r="C268" s="143">
        <v>2025</v>
      </c>
      <c r="D268" s="143" t="s">
        <v>569</v>
      </c>
      <c r="E268" s="98" t="s">
        <v>538</v>
      </c>
      <c r="F268" s="98" t="s">
        <v>538</v>
      </c>
      <c r="G268" s="143" t="s">
        <v>575</v>
      </c>
      <c r="H268" s="106" t="s">
        <v>540</v>
      </c>
      <c r="I268" s="145">
        <v>0.5</v>
      </c>
      <c r="J268" s="145" t="str">
        <f>IF(OR(I268="",Settings!$B$6=""),"",IF(I268&gt;Settings!$B$6,"BUY",IF(I268&lt;-Settings!$B$6,"SELL","HOLD")))</f>
        <v>BUY</v>
      </c>
      <c r="K268" s="145">
        <v>19</v>
      </c>
      <c r="L268" s="125">
        <v>46057</v>
      </c>
      <c r="M268" s="140">
        <v>46057</v>
      </c>
      <c r="N268" s="147">
        <v>78.010000000000005</v>
      </c>
      <c r="O268" s="140">
        <v>46058</v>
      </c>
      <c r="P268" s="145">
        <v>79.5</v>
      </c>
      <c r="Q268" s="150">
        <f t="shared" si="43"/>
        <v>1.9099999999999999E-2</v>
      </c>
      <c r="R268" s="106" t="str">
        <f>IF(OR(N268="",P268=""),"",IF(Q268&gt;Settings!$B$3/100,"UP",IF(Q268&lt;-Settings!$B$3/100,"DOWN","FLAT")))</f>
        <v>FLAT</v>
      </c>
      <c r="S268" s="106" t="str">
        <f t="shared" si="44"/>
        <v>NO</v>
      </c>
      <c r="T268" s="105">
        <f t="shared" si="45"/>
        <v>1</v>
      </c>
      <c r="U268" s="150">
        <f>IFERROR(IF(OR(J268="",N268="",P268=""),"",IF(T268=0,0,T268*Q268-Settings!$B$4/10000-IF(T268&lt;0,Settings!$B$5/10000,0))),"")</f>
        <v>1.8099999999999998E-2</v>
      </c>
      <c r="W268" s="21">
        <f t="shared" si="46"/>
        <v>1140</v>
      </c>
      <c r="X268" s="91" t="str">
        <f t="shared" si="47"/>
        <v>MetLife|2025|Q4</v>
      </c>
      <c r="Y268" s="91" t="str">
        <f>IFERROR(IF($X268="","",INDEX(LLM_Data_Entry!$H$3:$H$548,MATCH($X268,INDEX(LLM_Data_Entry!$A$3:$A$548&amp;"|"&amp;LLM_Data_Entry!$C$3:$C$548&amp;"|"&amp;LLM_Data_Entry!$D$3:$D$548,0),0))),"")</f>
        <v>BUY</v>
      </c>
      <c r="Z268" s="91" t="str">
        <f>IFERROR(IF($X268="","",INDEX(LLM_Data_Entry!$R$3:$R$548,MATCH($X268,INDEX(LLM_Data_Entry!$A$3:$A$548&amp;"|"&amp;LLM_Data_Entry!$C$3:$C$548&amp;"|"&amp;LLM_Data_Entry!$D$3:$D$548,0),0))),"")</f>
        <v>NO</v>
      </c>
      <c r="AB268" t="s">
        <v>835</v>
      </c>
      <c r="AC268" t="s">
        <v>1320</v>
      </c>
      <c r="AD268" t="s">
        <v>737</v>
      </c>
      <c r="AE268">
        <v>76.940100000000001</v>
      </c>
      <c r="AF268" t="s">
        <v>664</v>
      </c>
      <c r="AG268">
        <v>78.409700000000001</v>
      </c>
      <c r="AH268">
        <v>1.9100114896775652E-2</v>
      </c>
      <c r="AI268" t="s">
        <v>579</v>
      </c>
      <c r="AJ268" t="s">
        <v>546</v>
      </c>
      <c r="AK268">
        <v>1.8100000000000002E-2</v>
      </c>
      <c r="AL268" t="str">
        <f>IF($A268="","",IFERROR(INDEX(Company_List!$G$3:$G$207,MATCH($A268,Company_List!$A$3:$A$207,0)),"unassigned"))</f>
        <v>P2</v>
      </c>
      <c r="AM268" t="s">
        <v>1327</v>
      </c>
      <c r="AN268" t="s">
        <v>1328</v>
      </c>
      <c r="AO268" t="s">
        <v>754</v>
      </c>
      <c r="AP268" t="str">
        <f>IF($A268="","",IF(COUNTIFS(LLM_Data_Entry!$A$3:$A$548,$A268)&gt;0,"YES","NO"))</f>
        <v>YES</v>
      </c>
      <c r="AQ268" t="str">
        <f>IF($A268="","",IF(COUNTIFS($A$3:$A268,$A268,$C$3:$C268,$C268,$D$3:$D268,$D268)=1,"YES","NO"))</f>
        <v>YES</v>
      </c>
      <c r="AR268" t="str">
        <f>IF($A268="","",IF(AND($C268&amp;"-"&amp;$D268&gt;=Settings!$B$19,$C268&amp;"-"&amp;$D268&lt;=Settings!$B$20),"IN","OUT"))</f>
        <v>IN</v>
      </c>
      <c r="AS268" t="str">
        <f t="shared" si="48"/>
        <v>full</v>
      </c>
      <c r="AT268">
        <f t="shared" si="49"/>
        <v>1.8099999999999998E-2</v>
      </c>
      <c r="AU268">
        <f t="shared" si="50"/>
        <v>1.8100000000000002E-2</v>
      </c>
      <c r="AV268">
        <f>IF(ISNUMBER($AT268),ABS(IF(ISNUMBER($I268),$I268,0)-Settings!$B$24),"")</f>
        <v>0.5</v>
      </c>
      <c r="AW268">
        <f t="shared" si="51"/>
        <v>9.049999999999999E-3</v>
      </c>
      <c r="AX268">
        <f>IF(ISNUMBER($AU268),ABS(IF(ISNUMBER($I268),$I268,0)-Settings!$B$24),"")</f>
        <v>0.5</v>
      </c>
      <c r="AY268" t="s">
        <v>549</v>
      </c>
      <c r="AZ268" t="str">
        <f>IF($A268="","",IFERROR(INDEX(Company_List!$H$3:$H$207,MATCH($A268,Company_List!$A$3:$A$207,0)),"unassigned"))</f>
        <v>Financials</v>
      </c>
      <c r="BC268">
        <f>IF($A268="","",IF(COUNTIFS($A$3:$A268,$A268,$C$3:$C268,$C268,$D$3:$D268,$D268,$G$3:$G268,$G268)=1,1,0))</f>
        <v>1</v>
      </c>
      <c r="BG268" t="s">
        <v>550</v>
      </c>
      <c r="BK268">
        <f t="shared" si="52"/>
        <v>1</v>
      </c>
      <c r="BL268" t="s">
        <v>551</v>
      </c>
      <c r="BM268">
        <v>3</v>
      </c>
      <c r="BN268" t="s">
        <v>882</v>
      </c>
      <c r="BO268" t="s">
        <v>596</v>
      </c>
      <c r="BP268" t="s">
        <v>550</v>
      </c>
      <c r="BQ268" t="s">
        <v>562</v>
      </c>
      <c r="BS268" t="s">
        <v>554</v>
      </c>
    </row>
    <row r="269" spans="1:72" x14ac:dyDescent="0.2">
      <c r="A269" s="115" t="s">
        <v>1319</v>
      </c>
      <c r="B269" s="116" t="str">
        <f>IF(A269="","",_xlfn.XLOOKUP(A269, Company_List!$A:$A, Company_List!$B:$B, ""))</f>
        <v>MET</v>
      </c>
      <c r="C269" s="143">
        <v>2026</v>
      </c>
      <c r="D269" s="143" t="s">
        <v>537</v>
      </c>
      <c r="E269" s="98" t="s">
        <v>538</v>
      </c>
      <c r="F269" s="98" t="s">
        <v>538</v>
      </c>
      <c r="G269" s="143" t="s">
        <v>575</v>
      </c>
      <c r="H269" s="106" t="s">
        <v>540</v>
      </c>
      <c r="I269" s="145">
        <v>0.5</v>
      </c>
      <c r="J269" s="145" t="str">
        <f>IF(OR(I269="",Settings!$B$6=""),"",IF(I269&gt;Settings!$B$6,"BUY",IF(I269&lt;-Settings!$B$6,"SELL","HOLD")))</f>
        <v>BUY</v>
      </c>
      <c r="K269" s="145">
        <v>25</v>
      </c>
      <c r="L269" s="125">
        <v>46148</v>
      </c>
      <c r="M269" s="140">
        <v>46148</v>
      </c>
      <c r="N269" s="147">
        <v>80.16</v>
      </c>
      <c r="O269" s="140">
        <v>46149</v>
      </c>
      <c r="P269" s="145">
        <v>80.56</v>
      </c>
      <c r="Q269" s="150">
        <f t="shared" si="43"/>
        <v>5.0000000000000001E-3</v>
      </c>
      <c r="R269" s="106" t="str">
        <f>IF(OR(N269="",P269=""),"",IF(Q269&gt;Settings!$B$3/100,"UP",IF(Q269&lt;-Settings!$B$3/100,"DOWN","FLAT")))</f>
        <v>FLAT</v>
      </c>
      <c r="S269" s="106" t="str">
        <f t="shared" si="44"/>
        <v>NO</v>
      </c>
      <c r="T269" s="105">
        <f t="shared" si="45"/>
        <v>1</v>
      </c>
      <c r="U269" s="150">
        <f>IFERROR(IF(OR(J269="",N269="",P269=""),"",IF(T269=0,0,T269*Q269-Settings!$B$4/10000-IF(T269&lt;0,Settings!$B$5/10000,0))),"")</f>
        <v>4.0000000000000001E-3</v>
      </c>
      <c r="W269" s="21">
        <f t="shared" si="46"/>
        <v>1500</v>
      </c>
      <c r="X269" s="91" t="str">
        <f t="shared" si="47"/>
        <v>MetLife|2026|Q1</v>
      </c>
      <c r="Y269" s="91" t="str">
        <f>IFERROR(IF($X269="","",INDEX(LLM_Data_Entry!$H$3:$H$548,MATCH($X269,INDEX(LLM_Data_Entry!$A$3:$A$548&amp;"|"&amp;LLM_Data_Entry!$C$3:$C$548&amp;"|"&amp;LLM_Data_Entry!$D$3:$D$548,0),0))),"")</f>
        <v>HOLD</v>
      </c>
      <c r="Z269" s="91" t="str">
        <f>IFERROR(IF($X269="","",INDEX(LLM_Data_Entry!$R$3:$R$548,MATCH($X269,INDEX(LLM_Data_Entry!$A$3:$A$548&amp;"|"&amp;LLM_Data_Entry!$C$3:$C$548&amp;"|"&amp;LLM_Data_Entry!$D$3:$D$548,0),0))),"")</f>
        <v>YES</v>
      </c>
      <c r="AB269" t="s">
        <v>636</v>
      </c>
      <c r="AC269" t="s">
        <v>1320</v>
      </c>
      <c r="AD269" t="s">
        <v>680</v>
      </c>
      <c r="AE269">
        <v>79.060599999999994</v>
      </c>
      <c r="AF269" t="s">
        <v>681</v>
      </c>
      <c r="AG269">
        <v>79.455100000000002</v>
      </c>
      <c r="AH269">
        <v>4.9899571814848147E-3</v>
      </c>
      <c r="AI269" t="s">
        <v>579</v>
      </c>
      <c r="AJ269" t="s">
        <v>546</v>
      </c>
      <c r="AK269">
        <v>3.9899999999999996E-3</v>
      </c>
      <c r="AL269" t="str">
        <f>IF($A269="","",IFERROR(INDEX(Company_List!$G$3:$G$207,MATCH($A269,Company_List!$A$3:$A$207,0)),"unassigned"))</f>
        <v>P2</v>
      </c>
      <c r="AM269" t="s">
        <v>1329</v>
      </c>
      <c r="AN269" t="s">
        <v>1330</v>
      </c>
      <c r="AO269" t="s">
        <v>754</v>
      </c>
      <c r="AP269" t="str">
        <f>IF($A269="","",IF(COUNTIFS(LLM_Data_Entry!$A$3:$A$548,$A269)&gt;0,"YES","NO"))</f>
        <v>YES</v>
      </c>
      <c r="AQ269" t="str">
        <f>IF($A269="","",IF(COUNTIFS($A$3:$A269,$A269,$C$3:$C269,$C269,$D$3:$D269,$D269)=1,"YES","NO"))</f>
        <v>YES</v>
      </c>
      <c r="AR269" t="str">
        <f>IF($A269="","",IF(AND($C269&amp;"-"&amp;$D269&gt;=Settings!$B$19,$C269&amp;"-"&amp;$D269&lt;=Settings!$B$20),"IN","OUT"))</f>
        <v>IN</v>
      </c>
      <c r="AS269" t="str">
        <f t="shared" si="48"/>
        <v>full</v>
      </c>
      <c r="AT269">
        <f t="shared" si="49"/>
        <v>4.0000000000000001E-3</v>
      </c>
      <c r="AU269">
        <f t="shared" si="50"/>
        <v>3.9899999999999996E-3</v>
      </c>
      <c r="AV269">
        <f>IF(ISNUMBER($AT269),ABS(IF(ISNUMBER($I269),$I269,0)-Settings!$B$24),"")</f>
        <v>0.5</v>
      </c>
      <c r="AW269">
        <f t="shared" si="51"/>
        <v>2E-3</v>
      </c>
      <c r="AX269">
        <f>IF(ISNUMBER($AU269),ABS(IF(ISNUMBER($I269),$I269,0)-Settings!$B$24),"")</f>
        <v>0.5</v>
      </c>
      <c r="AY269" t="s">
        <v>549</v>
      </c>
      <c r="AZ269" t="str">
        <f>IF($A269="","",IFERROR(INDEX(Company_List!$H$3:$H$207,MATCH($A269,Company_List!$A$3:$A$207,0)),"unassigned"))</f>
        <v>Financials</v>
      </c>
      <c r="BC269">
        <f>IF($A269="","",IF(COUNTIFS($A$3:$A269,$A269,$C$3:$C269,$C269,$D$3:$D269,$D269,$G$3:$G269,$G269)=1,1,0))</f>
        <v>1</v>
      </c>
      <c r="BG269" t="s">
        <v>550</v>
      </c>
      <c r="BK269">
        <f t="shared" si="52"/>
        <v>0</v>
      </c>
      <c r="BL269" t="s">
        <v>551</v>
      </c>
      <c r="BM269">
        <v>3</v>
      </c>
      <c r="BN269" t="s">
        <v>882</v>
      </c>
      <c r="BO269" t="s">
        <v>596</v>
      </c>
      <c r="BP269" t="s">
        <v>550</v>
      </c>
      <c r="BQ269" t="s">
        <v>562</v>
      </c>
      <c r="BS269" t="s">
        <v>554</v>
      </c>
    </row>
    <row r="270" spans="1:72" x14ac:dyDescent="0.2">
      <c r="A270" s="115" t="s">
        <v>1319</v>
      </c>
      <c r="B270" s="116" t="str">
        <f>IF(A270="","",_xlfn.XLOOKUP(A270, Company_List!$A:$A, Company_List!$B:$B, ""))</f>
        <v>MET</v>
      </c>
      <c r="C270" s="143">
        <v>2023</v>
      </c>
      <c r="D270" s="143" t="s">
        <v>537</v>
      </c>
      <c r="E270" s="98" t="s">
        <v>538</v>
      </c>
      <c r="F270" s="98" t="s">
        <v>538</v>
      </c>
      <c r="G270" s="143" t="s">
        <v>575</v>
      </c>
      <c r="H270" s="106" t="s">
        <v>540</v>
      </c>
      <c r="I270" s="145">
        <v>-0.4</v>
      </c>
      <c r="J270" s="145" t="str">
        <f>IF(OR(I270="",Settings!$B$6=""),"",IF(I270&gt;Settings!$B$6,"BUY",IF(I270&lt;-Settings!$B$6,"SELL","HOLD")))</f>
        <v>SELL</v>
      </c>
      <c r="K270" s="145">
        <v>31</v>
      </c>
      <c r="L270" s="125">
        <v>45049</v>
      </c>
      <c r="M270" s="140">
        <v>45049</v>
      </c>
      <c r="N270" s="147">
        <v>58.71</v>
      </c>
      <c r="O270" s="140">
        <v>45050</v>
      </c>
      <c r="P270" s="145">
        <v>58.06</v>
      </c>
      <c r="Q270" s="150">
        <f t="shared" si="43"/>
        <v>-1.11E-2</v>
      </c>
      <c r="R270" s="106" t="str">
        <f>IF(OR(N270="",P270=""),"",IF(Q270&gt;Settings!$B$3/100,"UP",IF(Q270&lt;-Settings!$B$3/100,"DOWN","FLAT")))</f>
        <v>FLAT</v>
      </c>
      <c r="S270" s="106" t="str">
        <f t="shared" si="44"/>
        <v>NO</v>
      </c>
      <c r="T270" s="105">
        <f t="shared" si="45"/>
        <v>-1</v>
      </c>
      <c r="U270" s="150">
        <f>IFERROR(IF(OR(J270="",N270="",P270=""),"",IF(T270=0,0,T270*Q270-Settings!$B$4/10000-IF(T270&lt;0,Settings!$B$5/10000,0))),"")</f>
        <v>1.0100000000000001E-2</v>
      </c>
      <c r="W270" s="21">
        <f t="shared" si="46"/>
        <v>1860</v>
      </c>
      <c r="X270" s="91" t="str">
        <f t="shared" si="47"/>
        <v>MetLife|2023|Q1</v>
      </c>
      <c r="Y270" s="91" t="str">
        <f>IFERROR(IF($X270="","",INDEX(LLM_Data_Entry!$H$3:$H$548,MATCH($X270,INDEX(LLM_Data_Entry!$A$3:$A$548&amp;"|"&amp;LLM_Data_Entry!$C$3:$C$548&amp;"|"&amp;LLM_Data_Entry!$D$3:$D$548,0),0))),"")</f>
        <v/>
      </c>
      <c r="Z270" s="91" t="str">
        <f>IFERROR(IF($X270="","",INDEX(LLM_Data_Entry!$R$3:$R$548,MATCH($X270,INDEX(LLM_Data_Entry!$A$3:$A$548&amp;"|"&amp;LLM_Data_Entry!$C$3:$C$548&amp;"|"&amp;LLM_Data_Entry!$D$3:$D$548,0),0))),"")</f>
        <v/>
      </c>
      <c r="AB270" t="s">
        <v>835</v>
      </c>
      <c r="AC270" t="s">
        <v>1320</v>
      </c>
      <c r="AD270" t="s">
        <v>1331</v>
      </c>
      <c r="AE270">
        <v>52.768900000000002</v>
      </c>
      <c r="AF270" t="s">
        <v>1332</v>
      </c>
      <c r="AG270">
        <v>52.184600000000003</v>
      </c>
      <c r="AH270">
        <v>-1.107133200033667E-2</v>
      </c>
      <c r="AI270" t="s">
        <v>579</v>
      </c>
      <c r="AJ270" t="s">
        <v>546</v>
      </c>
      <c r="AK270">
        <v>1.0071E-2</v>
      </c>
      <c r="AL270" t="str">
        <f>IF($A270="","",IFERROR(INDEX(Company_List!$G$3:$G$207,MATCH($A270,Company_List!$A$3:$A$207,0)),"unassigned"))</f>
        <v>P2</v>
      </c>
      <c r="AM270" t="s">
        <v>1333</v>
      </c>
      <c r="AN270" t="s">
        <v>1334</v>
      </c>
      <c r="AO270" t="s">
        <v>754</v>
      </c>
      <c r="AP270" t="str">
        <f>IF($A270="","",IF(COUNTIFS(LLM_Data_Entry!$A$3:$A$548,$A270)&gt;0,"YES","NO"))</f>
        <v>YES</v>
      </c>
      <c r="AQ270" t="str">
        <f>IF($A270="","",IF(COUNTIFS($A$3:$A270,$A270,$C$3:$C270,$C270,$D$3:$D270,$D270)=1,"YES","NO"))</f>
        <v>YES</v>
      </c>
      <c r="AR270" t="str">
        <f>IF($A270="","",IF(AND($C270&amp;"-"&amp;$D270&gt;=Settings!$B$19,$C270&amp;"-"&amp;$D270&lt;=Settings!$B$20),"IN","OUT"))</f>
        <v>IN</v>
      </c>
      <c r="AS270" t="str">
        <f t="shared" si="48"/>
        <v>full</v>
      </c>
      <c r="AT270">
        <f t="shared" si="49"/>
        <v>1.0100000000000001E-2</v>
      </c>
      <c r="AU270">
        <f t="shared" si="50"/>
        <v>1.0071E-2</v>
      </c>
      <c r="AV270">
        <f>IF(ISNUMBER($AT270),ABS(IF(ISNUMBER($I270),$I270,0)-Settings!$B$24),"")</f>
        <v>0.4</v>
      </c>
      <c r="AW270">
        <f t="shared" si="51"/>
        <v>4.0400000000000011E-3</v>
      </c>
      <c r="AX270">
        <f>IF(ISNUMBER($AU270),ABS(IF(ISNUMBER($I270),$I270,0)-Settings!$B$24),"")</f>
        <v>0.4</v>
      </c>
      <c r="AY270" t="s">
        <v>549</v>
      </c>
      <c r="AZ270" t="str">
        <f>IF($A270="","",IFERROR(INDEX(Company_List!$H$3:$H$207,MATCH($A270,Company_List!$A$3:$A$207,0)),"unassigned"))</f>
        <v>Financials</v>
      </c>
      <c r="BC270">
        <f>IF($A270="","",IF(COUNTIFS($A$3:$A270,$A270,$C$3:$C270,$C270,$D$3:$D270,$D270,$G$3:$G270,$G270)=1,1,0))</f>
        <v>1</v>
      </c>
      <c r="BG270" t="s">
        <v>550</v>
      </c>
      <c r="BK270" t="str">
        <f t="shared" si="52"/>
        <v/>
      </c>
      <c r="BL270" t="s">
        <v>551</v>
      </c>
      <c r="BM270">
        <v>3</v>
      </c>
      <c r="BN270" t="s">
        <v>561</v>
      </c>
      <c r="BO270" t="s">
        <v>561</v>
      </c>
      <c r="BP270" t="s">
        <v>550</v>
      </c>
      <c r="BQ270" t="s">
        <v>562</v>
      </c>
      <c r="BS270" t="s">
        <v>546</v>
      </c>
      <c r="BT270" t="s">
        <v>1110</v>
      </c>
    </row>
    <row r="271" spans="1:72" x14ac:dyDescent="0.2">
      <c r="A271" s="115" t="s">
        <v>1319</v>
      </c>
      <c r="B271" s="116" t="str">
        <f>IF(A271="","",_xlfn.XLOOKUP(A271, Company_List!$A:$A, Company_List!$B:$B, ""))</f>
        <v>MET</v>
      </c>
      <c r="C271" s="143">
        <v>2023</v>
      </c>
      <c r="D271" s="143" t="s">
        <v>555</v>
      </c>
      <c r="E271" s="98" t="s">
        <v>538</v>
      </c>
      <c r="F271" s="98" t="s">
        <v>538</v>
      </c>
      <c r="G271" s="143" t="s">
        <v>575</v>
      </c>
      <c r="H271" s="106" t="s">
        <v>540</v>
      </c>
      <c r="I271" s="145">
        <v>0.1</v>
      </c>
      <c r="J271" s="145" t="str">
        <f>IF(OR(I271="",Settings!$B$6=""),"",IF(I271&gt;Settings!$B$6,"BUY",IF(I271&lt;-Settings!$B$6,"SELL","HOLD")))</f>
        <v>HOLD</v>
      </c>
      <c r="K271" s="145">
        <v>32</v>
      </c>
      <c r="L271" s="125">
        <v>45140</v>
      </c>
      <c r="M271" s="140">
        <v>45140</v>
      </c>
      <c r="N271" s="147">
        <v>62.75</v>
      </c>
      <c r="O271" s="140">
        <v>45141</v>
      </c>
      <c r="P271" s="145">
        <v>63.53</v>
      </c>
      <c r="Q271" s="150">
        <f t="shared" si="43"/>
        <v>1.24E-2</v>
      </c>
      <c r="R271" s="106" t="str">
        <f>IF(OR(N271="",P271=""),"",IF(Q271&gt;Settings!$B$3/100,"UP",IF(Q271&lt;-Settings!$B$3/100,"DOWN","FLAT")))</f>
        <v>FLAT</v>
      </c>
      <c r="S271" s="106" t="str">
        <f t="shared" si="44"/>
        <v>YES</v>
      </c>
      <c r="T271" s="105">
        <f t="shared" si="45"/>
        <v>0</v>
      </c>
      <c r="U271" s="150">
        <f>IFERROR(IF(OR(J271="",N271="",P271=""),"",IF(T271=0,0,T271*Q271-Settings!$B$4/10000-IF(T271&lt;0,Settings!$B$5/10000,0))),"")</f>
        <v>0</v>
      </c>
      <c r="W271" s="21">
        <f t="shared" si="46"/>
        <v>1920</v>
      </c>
      <c r="X271" s="91" t="str">
        <f t="shared" si="47"/>
        <v>MetLife|2023|Q2</v>
      </c>
      <c r="Y271" s="91" t="str">
        <f>IFERROR(IF($X271="","",INDEX(LLM_Data_Entry!$H$3:$H$548,MATCH($X271,INDEX(LLM_Data_Entry!$A$3:$A$548&amp;"|"&amp;LLM_Data_Entry!$C$3:$C$548&amp;"|"&amp;LLM_Data_Entry!$D$3:$D$548,0),0))),"")</f>
        <v/>
      </c>
      <c r="Z271" s="91" t="str">
        <f>IFERROR(IF($X271="","",INDEX(LLM_Data_Entry!$R$3:$R$548,MATCH($X271,INDEX(LLM_Data_Entry!$A$3:$A$548&amp;"|"&amp;LLM_Data_Entry!$C$3:$C$548&amp;"|"&amp;LLM_Data_Entry!$D$3:$D$548,0),0))),"")</f>
        <v/>
      </c>
      <c r="AB271" t="s">
        <v>835</v>
      </c>
      <c r="AC271" t="s">
        <v>1320</v>
      </c>
      <c r="AD271" t="s">
        <v>1335</v>
      </c>
      <c r="AE271">
        <v>56.941699999999997</v>
      </c>
      <c r="AF271" t="s">
        <v>1336</v>
      </c>
      <c r="AG271">
        <v>57.649500000000003</v>
      </c>
      <c r="AH271">
        <v>1.24302520056473E-2</v>
      </c>
      <c r="AI271" t="s">
        <v>579</v>
      </c>
      <c r="AJ271" t="s">
        <v>554</v>
      </c>
      <c r="AK271">
        <v>0</v>
      </c>
      <c r="AL271" t="str">
        <f>IF($A271="","",IFERROR(INDEX(Company_List!$G$3:$G$207,MATCH($A271,Company_List!$A$3:$A$207,0)),"unassigned"))</f>
        <v>P2</v>
      </c>
      <c r="AM271" t="s">
        <v>1337</v>
      </c>
      <c r="AN271" t="s">
        <v>1338</v>
      </c>
      <c r="AO271" t="s">
        <v>754</v>
      </c>
      <c r="AP271" t="str">
        <f>IF($A271="","",IF(COUNTIFS(LLM_Data_Entry!$A$3:$A$548,$A271)&gt;0,"YES","NO"))</f>
        <v>YES</v>
      </c>
      <c r="AQ271" t="str">
        <f>IF($A271="","",IF(COUNTIFS($A$3:$A271,$A271,$C$3:$C271,$C271,$D$3:$D271,$D271)=1,"YES","NO"))</f>
        <v>YES</v>
      </c>
      <c r="AR271" t="str">
        <f>IF($A271="","",IF(AND($C271&amp;"-"&amp;$D271&gt;=Settings!$B$19,$C271&amp;"-"&amp;$D271&lt;=Settings!$B$20),"IN","OUT"))</f>
        <v>IN</v>
      </c>
      <c r="AS271" t="str">
        <f t="shared" si="48"/>
        <v>full</v>
      </c>
      <c r="AT271" t="str">
        <f t="shared" si="49"/>
        <v/>
      </c>
      <c r="AU271" t="str">
        <f t="shared" si="50"/>
        <v/>
      </c>
      <c r="AV271" t="str">
        <f>IF(ISNUMBER($AT271),ABS(IF(ISNUMBER($I271),$I271,0)-Settings!$B$24),"")</f>
        <v/>
      </c>
      <c r="AW271" t="str">
        <f t="shared" si="51"/>
        <v/>
      </c>
      <c r="AX271" t="str">
        <f>IF(ISNUMBER($AU271),ABS(IF(ISNUMBER($I271),$I271,0)-Settings!$B$24),"")</f>
        <v/>
      </c>
      <c r="AY271" t="s">
        <v>549</v>
      </c>
      <c r="AZ271" t="str">
        <f>IF($A271="","",IFERROR(INDEX(Company_List!$H$3:$H$207,MATCH($A271,Company_List!$A$3:$A$207,0)),"unassigned"))</f>
        <v>Financials</v>
      </c>
      <c r="BC271">
        <f>IF($A271="","",IF(COUNTIFS($A$3:$A271,$A271,$C$3:$C271,$C271,$D$3:$D271,$D271,$G$3:$G271,$G271)=1,1,0))</f>
        <v>1</v>
      </c>
      <c r="BG271" t="s">
        <v>550</v>
      </c>
      <c r="BK271" t="str">
        <f t="shared" si="52"/>
        <v/>
      </c>
      <c r="BL271" t="s">
        <v>551</v>
      </c>
      <c r="BM271">
        <v>3</v>
      </c>
      <c r="BN271" t="s">
        <v>882</v>
      </c>
      <c r="BO271" t="s">
        <v>596</v>
      </c>
      <c r="BP271" t="s">
        <v>550</v>
      </c>
      <c r="BQ271" t="s">
        <v>562</v>
      </c>
      <c r="BS271" t="s">
        <v>546</v>
      </c>
      <c r="BT271" t="s">
        <v>1110</v>
      </c>
    </row>
    <row r="272" spans="1:72" x14ac:dyDescent="0.2">
      <c r="A272" s="115" t="s">
        <v>1319</v>
      </c>
      <c r="B272" s="116" t="str">
        <f>IF(A272="","",_xlfn.XLOOKUP(A272, Company_List!$A:$A, Company_List!$B:$B, ""))</f>
        <v>MET</v>
      </c>
      <c r="C272" s="143">
        <v>2023</v>
      </c>
      <c r="D272" s="143" t="s">
        <v>563</v>
      </c>
      <c r="E272" s="98" t="s">
        <v>538</v>
      </c>
      <c r="F272" s="98" t="s">
        <v>538</v>
      </c>
      <c r="G272" s="143" t="s">
        <v>575</v>
      </c>
      <c r="H272" s="106" t="s">
        <v>540</v>
      </c>
      <c r="I272" s="145">
        <v>0.4</v>
      </c>
      <c r="J272" s="145" t="str">
        <f>IF(OR(I272="",Settings!$B$6=""),"",IF(I272&gt;Settings!$B$6,"BUY",IF(I272&lt;-Settings!$B$6,"SELL","HOLD")))</f>
        <v>BUY</v>
      </c>
      <c r="K272" s="145">
        <v>21</v>
      </c>
      <c r="L272" s="125">
        <v>45231</v>
      </c>
      <c r="M272" s="140">
        <v>45231</v>
      </c>
      <c r="N272" s="147">
        <v>59.98</v>
      </c>
      <c r="O272" s="140">
        <v>45232</v>
      </c>
      <c r="P272" s="145">
        <v>59.99</v>
      </c>
      <c r="Q272" s="150">
        <f t="shared" si="43"/>
        <v>2.0000000000000001E-4</v>
      </c>
      <c r="R272" s="106" t="str">
        <f>IF(OR(N272="",P272=""),"",IF(Q272&gt;Settings!$B$3/100,"UP",IF(Q272&lt;-Settings!$B$3/100,"DOWN","FLAT")))</f>
        <v>FLAT</v>
      </c>
      <c r="S272" s="106" t="str">
        <f t="shared" si="44"/>
        <v>NO</v>
      </c>
      <c r="T272" s="105">
        <f t="shared" si="45"/>
        <v>1</v>
      </c>
      <c r="U272" s="150">
        <f>IFERROR(IF(OR(J272="",N272="",P272=""),"",IF(T272=0,0,T272*Q272-Settings!$B$4/10000-IF(T272&lt;0,Settings!$B$5/10000,0))),"")</f>
        <v>-8.0000000000000004E-4</v>
      </c>
      <c r="W272" s="21">
        <f t="shared" si="46"/>
        <v>1260</v>
      </c>
      <c r="X272" s="91" t="str">
        <f t="shared" si="47"/>
        <v>MetLife|2023|Q3</v>
      </c>
      <c r="Y272" s="91" t="str">
        <f>IFERROR(IF($X272="","",INDEX(LLM_Data_Entry!$H$3:$H$548,MATCH($X272,INDEX(LLM_Data_Entry!$A$3:$A$548&amp;"|"&amp;LLM_Data_Entry!$C$3:$C$548&amp;"|"&amp;LLM_Data_Entry!$D$3:$D$548,0),0))),"")</f>
        <v/>
      </c>
      <c r="Z272" s="91" t="str">
        <f>IFERROR(IF($X272="","",INDEX(LLM_Data_Entry!$R$3:$R$548,MATCH($X272,INDEX(LLM_Data_Entry!$A$3:$A$548&amp;"|"&amp;LLM_Data_Entry!$C$3:$C$548&amp;"|"&amp;LLM_Data_Entry!$D$3:$D$548,0),0))),"")</f>
        <v/>
      </c>
      <c r="AB272" t="s">
        <v>835</v>
      </c>
      <c r="AC272" t="s">
        <v>1320</v>
      </c>
      <c r="AD272" t="s">
        <v>1339</v>
      </c>
      <c r="AE272">
        <v>54.877299999999998</v>
      </c>
      <c r="AF272" t="s">
        <v>1340</v>
      </c>
      <c r="AG272">
        <v>54.886499999999998</v>
      </c>
      <c r="AH272">
        <v>1.6677432233249391E-4</v>
      </c>
      <c r="AI272" t="s">
        <v>579</v>
      </c>
      <c r="AJ272" t="s">
        <v>546</v>
      </c>
      <c r="AK272">
        <v>-8.3299999999999997E-4</v>
      </c>
      <c r="AL272" t="str">
        <f>IF($A272="","",IFERROR(INDEX(Company_List!$G$3:$G$207,MATCH($A272,Company_List!$A$3:$A$207,0)),"unassigned"))</f>
        <v>P2</v>
      </c>
      <c r="AM272" t="s">
        <v>1341</v>
      </c>
      <c r="AN272" t="s">
        <v>1342</v>
      </c>
      <c r="AO272" t="s">
        <v>754</v>
      </c>
      <c r="AP272" t="str">
        <f>IF($A272="","",IF(COUNTIFS(LLM_Data_Entry!$A$3:$A$548,$A272)&gt;0,"YES","NO"))</f>
        <v>YES</v>
      </c>
      <c r="AQ272" t="str">
        <f>IF($A272="","",IF(COUNTIFS($A$3:$A272,$A272,$C$3:$C272,$C272,$D$3:$D272,$D272)=1,"YES","NO"))</f>
        <v>YES</v>
      </c>
      <c r="AR272" t="str">
        <f>IF($A272="","",IF(AND($C272&amp;"-"&amp;$D272&gt;=Settings!$B$19,$C272&amp;"-"&amp;$D272&lt;=Settings!$B$20),"IN","OUT"))</f>
        <v>IN</v>
      </c>
      <c r="AS272" t="str">
        <f t="shared" si="48"/>
        <v>full</v>
      </c>
      <c r="AT272">
        <f t="shared" si="49"/>
        <v>-8.0000000000000004E-4</v>
      </c>
      <c r="AU272">
        <f t="shared" si="50"/>
        <v>-8.3299999999999997E-4</v>
      </c>
      <c r="AV272">
        <f>IF(ISNUMBER($AT272),ABS(IF(ISNUMBER($I272),$I272,0)-Settings!$B$24),"")</f>
        <v>0.4</v>
      </c>
      <c r="AW272">
        <f t="shared" si="51"/>
        <v>-3.2000000000000003E-4</v>
      </c>
      <c r="AX272">
        <f>IF(ISNUMBER($AU272),ABS(IF(ISNUMBER($I272),$I272,0)-Settings!$B$24),"")</f>
        <v>0.4</v>
      </c>
      <c r="AY272" t="s">
        <v>549</v>
      </c>
      <c r="AZ272" t="str">
        <f>IF($A272="","",IFERROR(INDEX(Company_List!$H$3:$H$207,MATCH($A272,Company_List!$A$3:$A$207,0)),"unassigned"))</f>
        <v>Financials</v>
      </c>
      <c r="BC272">
        <f>IF($A272="","",IF(COUNTIFS($A$3:$A272,$A272,$C$3:$C272,$C272,$D$3:$D272,$D272,$G$3:$G272,$G272)=1,1,0))</f>
        <v>1</v>
      </c>
      <c r="BG272" t="s">
        <v>550</v>
      </c>
      <c r="BK272" t="str">
        <f t="shared" si="52"/>
        <v/>
      </c>
      <c r="BL272" t="s">
        <v>551</v>
      </c>
      <c r="BM272">
        <v>3</v>
      </c>
      <c r="BN272" t="s">
        <v>882</v>
      </c>
      <c r="BO272" t="s">
        <v>596</v>
      </c>
      <c r="BP272" t="s">
        <v>550</v>
      </c>
      <c r="BQ272" t="s">
        <v>562</v>
      </c>
      <c r="BS272" t="s">
        <v>546</v>
      </c>
      <c r="BT272" t="s">
        <v>1110</v>
      </c>
    </row>
    <row r="273" spans="1:72" x14ac:dyDescent="0.2">
      <c r="A273" s="115" t="s">
        <v>1319</v>
      </c>
      <c r="B273" s="116" t="str">
        <f>IF(A273="","",_xlfn.XLOOKUP(A273, Company_List!$A:$A, Company_List!$B:$B, ""))</f>
        <v>MET</v>
      </c>
      <c r="C273" s="143">
        <v>2023</v>
      </c>
      <c r="D273" s="143" t="s">
        <v>569</v>
      </c>
      <c r="E273" s="98" t="s">
        <v>538</v>
      </c>
      <c r="F273" s="98" t="s">
        <v>538</v>
      </c>
      <c r="G273" s="143" t="s">
        <v>575</v>
      </c>
      <c r="H273" s="106" t="s">
        <v>540</v>
      </c>
      <c r="I273" s="145">
        <v>0.3</v>
      </c>
      <c r="J273" s="145" t="str">
        <f>IF(OR(I273="",Settings!$B$6=""),"",IF(I273&gt;Settings!$B$6,"BUY",IF(I273&lt;-Settings!$B$6,"SELL","HOLD")))</f>
        <v>BUY</v>
      </c>
      <c r="K273" s="145">
        <v>39</v>
      </c>
      <c r="L273" s="125">
        <v>45322</v>
      </c>
      <c r="M273" s="140">
        <v>45322</v>
      </c>
      <c r="N273" s="147">
        <v>69.319999999999993</v>
      </c>
      <c r="O273" s="140">
        <v>45323</v>
      </c>
      <c r="P273" s="145">
        <v>66.150000000000006</v>
      </c>
      <c r="Q273" s="150">
        <f t="shared" si="43"/>
        <v>-4.5699999999999998E-2</v>
      </c>
      <c r="R273" s="106" t="str">
        <f>IF(OR(N273="",P273=""),"",IF(Q273&gt;Settings!$B$3/100,"UP",IF(Q273&lt;-Settings!$B$3/100,"DOWN","FLAT")))</f>
        <v>DOWN</v>
      </c>
      <c r="S273" s="106" t="str">
        <f t="shared" si="44"/>
        <v>NO</v>
      </c>
      <c r="T273" s="105">
        <f t="shared" si="45"/>
        <v>1</v>
      </c>
      <c r="U273" s="150">
        <f>IFERROR(IF(OR(J273="",N273="",P273=""),"",IF(T273=0,0,T273*Q273-Settings!$B$4/10000-IF(T273&lt;0,Settings!$B$5/10000,0))),"")</f>
        <v>-4.6699999999999998E-2</v>
      </c>
      <c r="W273" s="21">
        <f t="shared" si="46"/>
        <v>2340</v>
      </c>
      <c r="X273" s="91" t="str">
        <f t="shared" si="47"/>
        <v>MetLife|2023|Q4</v>
      </c>
      <c r="Y273" s="91" t="str">
        <f>IFERROR(IF($X273="","",INDEX(LLM_Data_Entry!$H$3:$H$548,MATCH($X273,INDEX(LLM_Data_Entry!$A$3:$A$548&amp;"|"&amp;LLM_Data_Entry!$C$3:$C$548&amp;"|"&amp;LLM_Data_Entry!$D$3:$D$548,0),0))),"")</f>
        <v/>
      </c>
      <c r="Z273" s="91" t="str">
        <f>IFERROR(IF($X273="","",INDEX(LLM_Data_Entry!$R$3:$R$548,MATCH($X273,INDEX(LLM_Data_Entry!$A$3:$A$548&amp;"|"&amp;LLM_Data_Entry!$C$3:$C$548&amp;"|"&amp;LLM_Data_Entry!$D$3:$D$548,0),0))),"")</f>
        <v/>
      </c>
      <c r="AB273" t="s">
        <v>835</v>
      </c>
      <c r="AC273" t="s">
        <v>1320</v>
      </c>
      <c r="AD273" t="s">
        <v>1343</v>
      </c>
      <c r="AE273">
        <v>63.976700000000001</v>
      </c>
      <c r="AF273" t="s">
        <v>1344</v>
      </c>
      <c r="AG273">
        <v>61.051099999999998</v>
      </c>
      <c r="AH273">
        <v>-4.5730102557826023E-2</v>
      </c>
      <c r="AI273" t="s">
        <v>545</v>
      </c>
      <c r="AJ273" t="s">
        <v>546</v>
      </c>
      <c r="AK273">
        <v>-4.6730000000000001E-2</v>
      </c>
      <c r="AL273" t="str">
        <f>IF($A273="","",IFERROR(INDEX(Company_List!$G$3:$G$207,MATCH($A273,Company_List!$A$3:$A$207,0)),"unassigned"))</f>
        <v>P2</v>
      </c>
      <c r="AM273" t="s">
        <v>1345</v>
      </c>
      <c r="AN273" t="s">
        <v>1346</v>
      </c>
      <c r="AO273" t="s">
        <v>754</v>
      </c>
      <c r="AP273" t="str">
        <f>IF($A273="","",IF(COUNTIFS(LLM_Data_Entry!$A$3:$A$548,$A273)&gt;0,"YES","NO"))</f>
        <v>YES</v>
      </c>
      <c r="AQ273" t="str">
        <f>IF($A273="","",IF(COUNTIFS($A$3:$A273,$A273,$C$3:$C273,$C273,$D$3:$D273,$D273)=1,"YES","NO"))</f>
        <v>YES</v>
      </c>
      <c r="AR273" t="str">
        <f>IF($A273="","",IF(AND($C273&amp;"-"&amp;$D273&gt;=Settings!$B$19,$C273&amp;"-"&amp;$D273&lt;=Settings!$B$20),"IN","OUT"))</f>
        <v>IN</v>
      </c>
      <c r="AS273" t="str">
        <f t="shared" si="48"/>
        <v>full</v>
      </c>
      <c r="AT273">
        <f t="shared" si="49"/>
        <v>-4.6699999999999998E-2</v>
      </c>
      <c r="AU273">
        <f t="shared" si="50"/>
        <v>-4.6730000000000001E-2</v>
      </c>
      <c r="AV273">
        <f>IF(ISNUMBER($AT273),ABS(IF(ISNUMBER($I273),$I273,0)-Settings!$B$24),"")</f>
        <v>0.3</v>
      </c>
      <c r="AW273">
        <f t="shared" si="51"/>
        <v>-1.401E-2</v>
      </c>
      <c r="AX273">
        <f>IF(ISNUMBER($AU273),ABS(IF(ISNUMBER($I273),$I273,0)-Settings!$B$24),"")</f>
        <v>0.3</v>
      </c>
      <c r="AY273" t="s">
        <v>549</v>
      </c>
      <c r="AZ273" t="str">
        <f>IF($A273="","",IFERROR(INDEX(Company_List!$H$3:$H$207,MATCH($A273,Company_List!$A$3:$A$207,0)),"unassigned"))</f>
        <v>Financials</v>
      </c>
      <c r="BC273">
        <f>IF($A273="","",IF(COUNTIFS($A$3:$A273,$A273,$C$3:$C273,$C273,$D$3:$D273,$D273,$G$3:$G273,$G273)=1,1,0))</f>
        <v>1</v>
      </c>
      <c r="BG273" t="s">
        <v>550</v>
      </c>
      <c r="BK273" t="str">
        <f t="shared" si="52"/>
        <v/>
      </c>
      <c r="BL273" t="s">
        <v>551</v>
      </c>
      <c r="BM273">
        <v>3</v>
      </c>
      <c r="BN273" t="s">
        <v>882</v>
      </c>
      <c r="BO273" t="s">
        <v>596</v>
      </c>
      <c r="BP273" t="s">
        <v>550</v>
      </c>
      <c r="BQ273" t="s">
        <v>562</v>
      </c>
      <c r="BS273" t="s">
        <v>546</v>
      </c>
      <c r="BT273" t="s">
        <v>1110</v>
      </c>
    </row>
    <row r="274" spans="1:72" x14ac:dyDescent="0.2">
      <c r="A274" s="115" t="s">
        <v>1319</v>
      </c>
      <c r="B274" s="116" t="str">
        <f>IF(A274="","",_xlfn.XLOOKUP(A274, Company_List!$A:$A, Company_List!$B:$B, ""))</f>
        <v>MET</v>
      </c>
      <c r="C274" s="143">
        <v>2024</v>
      </c>
      <c r="D274" s="143" t="s">
        <v>537</v>
      </c>
      <c r="E274" s="98" t="s">
        <v>538</v>
      </c>
      <c r="F274" s="98" t="s">
        <v>538</v>
      </c>
      <c r="G274" s="143" t="s">
        <v>575</v>
      </c>
      <c r="H274" s="106" t="s">
        <v>540</v>
      </c>
      <c r="I274" s="145">
        <v>0.1</v>
      </c>
      <c r="J274" s="145" t="str">
        <f>IF(OR(I274="",Settings!$B$6=""),"",IF(I274&gt;Settings!$B$6,"BUY",IF(I274&lt;-Settings!$B$6,"SELL","HOLD")))</f>
        <v>HOLD</v>
      </c>
      <c r="K274" s="145">
        <v>24</v>
      </c>
      <c r="L274" s="125">
        <v>45413</v>
      </c>
      <c r="M274" s="140">
        <v>45413</v>
      </c>
      <c r="N274" s="147">
        <v>71.88</v>
      </c>
      <c r="O274" s="140">
        <v>45414</v>
      </c>
      <c r="P274" s="145">
        <v>72.400000000000006</v>
      </c>
      <c r="Q274" s="150">
        <f t="shared" si="43"/>
        <v>7.1999999999999998E-3</v>
      </c>
      <c r="R274" s="106" t="str">
        <f>IF(OR(N274="",P274=""),"",IF(Q274&gt;Settings!$B$3/100,"UP",IF(Q274&lt;-Settings!$B$3/100,"DOWN","FLAT")))</f>
        <v>FLAT</v>
      </c>
      <c r="S274" s="106" t="str">
        <f t="shared" si="44"/>
        <v>YES</v>
      </c>
      <c r="T274" s="105">
        <f t="shared" si="45"/>
        <v>0</v>
      </c>
      <c r="U274" s="150">
        <f>IFERROR(IF(OR(J274="",N274="",P274=""),"",IF(T274=0,0,T274*Q274-Settings!$B$4/10000-IF(T274&lt;0,Settings!$B$5/10000,0))),"")</f>
        <v>0</v>
      </c>
      <c r="W274" s="21">
        <f t="shared" si="46"/>
        <v>1440</v>
      </c>
      <c r="X274" s="91" t="str">
        <f t="shared" si="47"/>
        <v>MetLife|2024|Q1</v>
      </c>
      <c r="Y274" s="91" t="str">
        <f>IFERROR(IF($X274="","",INDEX(LLM_Data_Entry!$H$3:$H$548,MATCH($X274,INDEX(LLM_Data_Entry!$A$3:$A$548&amp;"|"&amp;LLM_Data_Entry!$C$3:$C$548&amp;"|"&amp;LLM_Data_Entry!$D$3:$D$548,0),0))),"")</f>
        <v/>
      </c>
      <c r="Z274" s="91" t="str">
        <f>IFERROR(IF($X274="","",INDEX(LLM_Data_Entry!$R$3:$R$548,MATCH($X274,INDEX(LLM_Data_Entry!$A$3:$A$548&amp;"|"&amp;LLM_Data_Entry!$C$3:$C$548&amp;"|"&amp;LLM_Data_Entry!$D$3:$D$548,0),0))),"")</f>
        <v/>
      </c>
      <c r="AB274" t="s">
        <v>835</v>
      </c>
      <c r="AC274" t="s">
        <v>1320</v>
      </c>
      <c r="AD274" t="s">
        <v>1347</v>
      </c>
      <c r="AE274">
        <v>66.866600000000005</v>
      </c>
      <c r="AF274" t="s">
        <v>1348</v>
      </c>
      <c r="AG274">
        <v>67.350399999999993</v>
      </c>
      <c r="AH274">
        <v>7.2346199601899452E-3</v>
      </c>
      <c r="AI274" t="s">
        <v>579</v>
      </c>
      <c r="AJ274" t="s">
        <v>554</v>
      </c>
      <c r="AK274">
        <v>0</v>
      </c>
      <c r="AL274" t="str">
        <f>IF($A274="","",IFERROR(INDEX(Company_List!$G$3:$G$207,MATCH($A274,Company_List!$A$3:$A$207,0)),"unassigned"))</f>
        <v>P2</v>
      </c>
      <c r="AM274" t="s">
        <v>1349</v>
      </c>
      <c r="AN274" t="s">
        <v>1350</v>
      </c>
      <c r="AO274" t="s">
        <v>754</v>
      </c>
      <c r="AP274" t="str">
        <f>IF($A274="","",IF(COUNTIFS(LLM_Data_Entry!$A$3:$A$548,$A274)&gt;0,"YES","NO"))</f>
        <v>YES</v>
      </c>
      <c r="AQ274" t="str">
        <f>IF($A274="","",IF(COUNTIFS($A$3:$A274,$A274,$C$3:$C274,$C274,$D$3:$D274,$D274)=1,"YES","NO"))</f>
        <v>YES</v>
      </c>
      <c r="AR274" t="str">
        <f>IF($A274="","",IF(AND($C274&amp;"-"&amp;$D274&gt;=Settings!$B$19,$C274&amp;"-"&amp;$D274&lt;=Settings!$B$20),"IN","OUT"))</f>
        <v>IN</v>
      </c>
      <c r="AS274" t="str">
        <f t="shared" si="48"/>
        <v>full</v>
      </c>
      <c r="AT274" t="str">
        <f t="shared" si="49"/>
        <v/>
      </c>
      <c r="AU274" t="str">
        <f t="shared" si="50"/>
        <v/>
      </c>
      <c r="AV274" t="str">
        <f>IF(ISNUMBER($AT274),ABS(IF(ISNUMBER($I274),$I274,0)-Settings!$B$24),"")</f>
        <v/>
      </c>
      <c r="AW274" t="str">
        <f t="shared" si="51"/>
        <v/>
      </c>
      <c r="AX274" t="str">
        <f>IF(ISNUMBER($AU274),ABS(IF(ISNUMBER($I274),$I274,0)-Settings!$B$24),"")</f>
        <v/>
      </c>
      <c r="AY274" t="s">
        <v>549</v>
      </c>
      <c r="AZ274" t="str">
        <f>IF($A274="","",IFERROR(INDEX(Company_List!$H$3:$H$207,MATCH($A274,Company_List!$A$3:$A$207,0)),"unassigned"))</f>
        <v>Financials</v>
      </c>
      <c r="BC274">
        <f>IF($A274="","",IF(COUNTIFS($A$3:$A274,$A274,$C$3:$C274,$C274,$D$3:$D274,$D274,$G$3:$G274,$G274)=1,1,0))</f>
        <v>1</v>
      </c>
      <c r="BG274" t="s">
        <v>550</v>
      </c>
      <c r="BK274" t="str">
        <f t="shared" si="52"/>
        <v/>
      </c>
      <c r="BL274" t="s">
        <v>551</v>
      </c>
      <c r="BM274">
        <v>3</v>
      </c>
      <c r="BN274" t="s">
        <v>882</v>
      </c>
      <c r="BO274" t="s">
        <v>596</v>
      </c>
      <c r="BP274" t="s">
        <v>550</v>
      </c>
      <c r="BQ274" t="s">
        <v>562</v>
      </c>
      <c r="BS274" t="s">
        <v>546</v>
      </c>
      <c r="BT274" t="s">
        <v>1110</v>
      </c>
    </row>
    <row r="275" spans="1:72" x14ac:dyDescent="0.2">
      <c r="A275" s="115" t="s">
        <v>1319</v>
      </c>
      <c r="B275" s="116" t="str">
        <f>IF(A275="","",_xlfn.XLOOKUP(A275, Company_List!$A:$A, Company_List!$B:$B, ""))</f>
        <v>MET</v>
      </c>
      <c r="C275" s="143">
        <v>2024</v>
      </c>
      <c r="D275" s="143" t="s">
        <v>555</v>
      </c>
      <c r="E275" s="98" t="s">
        <v>538</v>
      </c>
      <c r="F275" s="98" t="s">
        <v>538</v>
      </c>
      <c r="G275" s="143" t="s">
        <v>575</v>
      </c>
      <c r="H275" s="106" t="s">
        <v>540</v>
      </c>
      <c r="I275" s="145">
        <v>0.5</v>
      </c>
      <c r="J275" s="145" t="str">
        <f>IF(OR(I275="",Settings!$B$6=""),"",IF(I275&gt;Settings!$B$6,"BUY",IF(I275&lt;-Settings!$B$6,"SELL","HOLD")))</f>
        <v>BUY</v>
      </c>
      <c r="K275" s="145">
        <v>20</v>
      </c>
      <c r="L275" s="125">
        <v>45504</v>
      </c>
      <c r="M275" s="140">
        <v>45504</v>
      </c>
      <c r="N275" s="147">
        <v>76.849999999999994</v>
      </c>
      <c r="O275" s="140">
        <v>45505</v>
      </c>
      <c r="P275" s="145">
        <v>78.61</v>
      </c>
      <c r="Q275" s="150">
        <f t="shared" si="43"/>
        <v>2.29E-2</v>
      </c>
      <c r="R275" s="106" t="str">
        <f>IF(OR(N275="",P275=""),"",IF(Q275&gt;Settings!$B$3/100,"UP",IF(Q275&lt;-Settings!$B$3/100,"DOWN","FLAT")))</f>
        <v>UP</v>
      </c>
      <c r="S275" s="106" t="str">
        <f t="shared" si="44"/>
        <v>YES</v>
      </c>
      <c r="T275" s="105">
        <f t="shared" si="45"/>
        <v>1</v>
      </c>
      <c r="U275" s="150">
        <f>IFERROR(IF(OR(J275="",N275="",P275=""),"",IF(T275=0,0,T275*Q275-Settings!$B$4/10000-IF(T275&lt;0,Settings!$B$5/10000,0))),"")</f>
        <v>2.1899999999999999E-2</v>
      </c>
      <c r="W275" s="21">
        <f t="shared" si="46"/>
        <v>1200</v>
      </c>
      <c r="X275" s="91" t="str">
        <f t="shared" si="47"/>
        <v>MetLife|2024|Q2</v>
      </c>
      <c r="Y275" s="91" t="str">
        <f>IFERROR(IF($X275="","",INDEX(LLM_Data_Entry!$H$3:$H$548,MATCH($X275,INDEX(LLM_Data_Entry!$A$3:$A$548&amp;"|"&amp;LLM_Data_Entry!$C$3:$C$548&amp;"|"&amp;LLM_Data_Entry!$D$3:$D$548,0),0))),"")</f>
        <v>HOLD</v>
      </c>
      <c r="Z275" s="91" t="str">
        <f>IFERROR(IF($X275="","",INDEX(LLM_Data_Entry!$R$3:$R$548,MATCH($X275,INDEX(LLM_Data_Entry!$A$3:$A$548&amp;"|"&amp;LLM_Data_Entry!$C$3:$C$548&amp;"|"&amp;LLM_Data_Entry!$D$3:$D$548,0),0))),"")</f>
        <v>NO</v>
      </c>
      <c r="AB275" t="s">
        <v>835</v>
      </c>
      <c r="AC275" t="s">
        <v>1320</v>
      </c>
      <c r="AD275" t="s">
        <v>1351</v>
      </c>
      <c r="AE275">
        <v>72.046800000000005</v>
      </c>
      <c r="AF275" t="s">
        <v>1352</v>
      </c>
      <c r="AG275">
        <v>73.696799999999996</v>
      </c>
      <c r="AH275">
        <v>2.2901934507853151E-2</v>
      </c>
      <c r="AI275" t="s">
        <v>591</v>
      </c>
      <c r="AJ275" t="s">
        <v>554</v>
      </c>
      <c r="AK275">
        <v>2.1902000000000001E-2</v>
      </c>
      <c r="AL275" t="str">
        <f>IF($A275="","",IFERROR(INDEX(Company_List!$G$3:$G$207,MATCH($A275,Company_List!$A$3:$A$207,0)),"unassigned"))</f>
        <v>P2</v>
      </c>
      <c r="AM275" t="s">
        <v>1353</v>
      </c>
      <c r="AN275" t="s">
        <v>1354</v>
      </c>
      <c r="AO275" t="s">
        <v>754</v>
      </c>
      <c r="AP275" t="str">
        <f>IF($A275="","",IF(COUNTIFS(LLM_Data_Entry!$A$3:$A$548,$A275)&gt;0,"YES","NO"))</f>
        <v>YES</v>
      </c>
      <c r="AQ275" t="str">
        <f>IF($A275="","",IF(COUNTIFS($A$3:$A275,$A275,$C$3:$C275,$C275,$D$3:$D275,$D275)=1,"YES","NO"))</f>
        <v>YES</v>
      </c>
      <c r="AR275" t="str">
        <f>IF($A275="","",IF(AND($C275&amp;"-"&amp;$D275&gt;=Settings!$B$19,$C275&amp;"-"&amp;$D275&lt;=Settings!$B$20),"IN","OUT"))</f>
        <v>IN</v>
      </c>
      <c r="AS275" t="str">
        <f t="shared" si="48"/>
        <v>full</v>
      </c>
      <c r="AT275">
        <f t="shared" si="49"/>
        <v>2.1899999999999999E-2</v>
      </c>
      <c r="AU275">
        <f t="shared" si="50"/>
        <v>2.1902000000000001E-2</v>
      </c>
      <c r="AV275">
        <f>IF(ISNUMBER($AT275),ABS(IF(ISNUMBER($I275),$I275,0)-Settings!$B$24),"")</f>
        <v>0.5</v>
      </c>
      <c r="AW275">
        <f t="shared" si="51"/>
        <v>1.095E-2</v>
      </c>
      <c r="AX275">
        <f>IF(ISNUMBER($AU275),ABS(IF(ISNUMBER($I275),$I275,0)-Settings!$B$24),"")</f>
        <v>0.5</v>
      </c>
      <c r="AY275" t="s">
        <v>549</v>
      </c>
      <c r="AZ275" t="str">
        <f>IF($A275="","",IFERROR(INDEX(Company_List!$H$3:$H$207,MATCH($A275,Company_List!$A$3:$A$207,0)),"unassigned"))</f>
        <v>Financials</v>
      </c>
      <c r="BC275">
        <f>IF($A275="","",IF(COUNTIFS($A$3:$A275,$A275,$C$3:$C275,$C275,$D$3:$D275,$D275,$G$3:$G275,$G275)=1,1,0))</f>
        <v>1</v>
      </c>
      <c r="BG275" t="s">
        <v>550</v>
      </c>
      <c r="BK275">
        <f t="shared" si="52"/>
        <v>0</v>
      </c>
      <c r="BL275" t="s">
        <v>551</v>
      </c>
      <c r="BM275">
        <v>3</v>
      </c>
      <c r="BN275" t="s">
        <v>561</v>
      </c>
      <c r="BO275" t="s">
        <v>561</v>
      </c>
      <c r="BP275" t="s">
        <v>550</v>
      </c>
      <c r="BQ275" t="s">
        <v>562</v>
      </c>
      <c r="BS275" t="s">
        <v>554</v>
      </c>
    </row>
    <row r="276" spans="1:72" x14ac:dyDescent="0.2">
      <c r="A276" s="115" t="s">
        <v>1319</v>
      </c>
      <c r="B276" s="116" t="str">
        <f>IF(A276="","",_xlfn.XLOOKUP(A276, Company_List!$A:$A, Company_List!$B:$B, ""))</f>
        <v>MET</v>
      </c>
      <c r="C276" s="143">
        <v>2024</v>
      </c>
      <c r="D276" s="143" t="s">
        <v>563</v>
      </c>
      <c r="E276" s="98" t="s">
        <v>538</v>
      </c>
      <c r="F276" s="98" t="s">
        <v>538</v>
      </c>
      <c r="G276" s="143" t="s">
        <v>575</v>
      </c>
      <c r="H276" s="106" t="s">
        <v>540</v>
      </c>
      <c r="I276" s="145">
        <v>-0.2</v>
      </c>
      <c r="J276" s="145" t="str">
        <f>IF(OR(I276="",Settings!$B$6=""),"",IF(I276&gt;Settings!$B$6,"BUY",IF(I276&lt;-Settings!$B$6,"SELL","HOLD")))</f>
        <v>HOLD</v>
      </c>
      <c r="K276" s="145">
        <v>23</v>
      </c>
      <c r="L276" s="125">
        <v>45595</v>
      </c>
      <c r="M276" s="140">
        <v>45595</v>
      </c>
      <c r="N276" s="147">
        <v>83.18</v>
      </c>
      <c r="O276" s="140">
        <v>45596</v>
      </c>
      <c r="P276" s="145">
        <v>76.569999999999993</v>
      </c>
      <c r="Q276" s="150">
        <f t="shared" si="43"/>
        <v>-7.9500000000000001E-2</v>
      </c>
      <c r="R276" s="106" t="str">
        <f>IF(OR(N276="",P276=""),"",IF(Q276&gt;Settings!$B$3/100,"UP",IF(Q276&lt;-Settings!$B$3/100,"DOWN","FLAT")))</f>
        <v>DOWN</v>
      </c>
      <c r="S276" s="106" t="str">
        <f t="shared" si="44"/>
        <v>NO</v>
      </c>
      <c r="T276" s="105">
        <f t="shared" si="45"/>
        <v>0</v>
      </c>
      <c r="U276" s="150">
        <f>IFERROR(IF(OR(J276="",N276="",P276=""),"",IF(T276=0,0,T276*Q276-Settings!$B$4/10000-IF(T276&lt;0,Settings!$B$5/10000,0))),"")</f>
        <v>0</v>
      </c>
      <c r="W276" s="21">
        <f t="shared" si="46"/>
        <v>1380</v>
      </c>
      <c r="X276" s="91" t="str">
        <f t="shared" si="47"/>
        <v>MetLife|2024|Q3</v>
      </c>
      <c r="Y276" s="91" t="str">
        <f>IFERROR(IF($X276="","",INDEX(LLM_Data_Entry!$H$3:$H$548,MATCH($X276,INDEX(LLM_Data_Entry!$A$3:$A$548&amp;"|"&amp;LLM_Data_Entry!$C$3:$C$548&amp;"|"&amp;LLM_Data_Entry!$D$3:$D$548,0),0))),"")</f>
        <v>SELL</v>
      </c>
      <c r="Z276" s="91" t="str">
        <f>IFERROR(IF($X276="","",INDEX(LLM_Data_Entry!$R$3:$R$548,MATCH($X276,INDEX(LLM_Data_Entry!$A$3:$A$548&amp;"|"&amp;LLM_Data_Entry!$C$3:$C$548&amp;"|"&amp;LLM_Data_Entry!$D$3:$D$548,0),0))),"")</f>
        <v>YES</v>
      </c>
      <c r="AB276" t="s">
        <v>835</v>
      </c>
      <c r="AC276" t="s">
        <v>1320</v>
      </c>
      <c r="AD276" t="s">
        <v>989</v>
      </c>
      <c r="AE276">
        <v>78.611599999999996</v>
      </c>
      <c r="AF276" t="s">
        <v>990</v>
      </c>
      <c r="AG276">
        <v>72.364599999999996</v>
      </c>
      <c r="AH276">
        <v>-7.9466244524365071E-2</v>
      </c>
      <c r="AI276" t="s">
        <v>545</v>
      </c>
      <c r="AJ276" t="s">
        <v>546</v>
      </c>
      <c r="AK276">
        <v>0</v>
      </c>
      <c r="AL276" t="str">
        <f>IF($A276="","",IFERROR(INDEX(Company_List!$G$3:$G$207,MATCH($A276,Company_List!$A$3:$A$207,0)),"unassigned"))</f>
        <v>P2</v>
      </c>
      <c r="AM276" t="s">
        <v>1355</v>
      </c>
      <c r="AN276" t="s">
        <v>1356</v>
      </c>
      <c r="AO276" t="s">
        <v>754</v>
      </c>
      <c r="AP276" t="str">
        <f>IF($A276="","",IF(COUNTIFS(LLM_Data_Entry!$A$3:$A$548,$A276)&gt;0,"YES","NO"))</f>
        <v>YES</v>
      </c>
      <c r="AQ276" t="str">
        <f>IF($A276="","",IF(COUNTIFS($A$3:$A276,$A276,$C$3:$C276,$C276,$D$3:$D276,$D276)=1,"YES","NO"))</f>
        <v>YES</v>
      </c>
      <c r="AR276" t="str">
        <f>IF($A276="","",IF(AND($C276&amp;"-"&amp;$D276&gt;=Settings!$B$19,$C276&amp;"-"&amp;$D276&lt;=Settings!$B$20),"IN","OUT"))</f>
        <v>IN</v>
      </c>
      <c r="AS276" t="str">
        <f t="shared" si="48"/>
        <v>full</v>
      </c>
      <c r="AT276" t="str">
        <f t="shared" si="49"/>
        <v/>
      </c>
      <c r="AU276" t="str">
        <f t="shared" si="50"/>
        <v/>
      </c>
      <c r="AV276" t="str">
        <f>IF(ISNUMBER($AT276),ABS(IF(ISNUMBER($I276),$I276,0)-Settings!$B$24),"")</f>
        <v/>
      </c>
      <c r="AW276" t="str">
        <f t="shared" si="51"/>
        <v/>
      </c>
      <c r="AX276" t="str">
        <f>IF(ISNUMBER($AU276),ABS(IF(ISNUMBER($I276),$I276,0)-Settings!$B$24),"")</f>
        <v/>
      </c>
      <c r="AY276" t="s">
        <v>549</v>
      </c>
      <c r="AZ276" t="str">
        <f>IF($A276="","",IFERROR(INDEX(Company_List!$H$3:$H$207,MATCH($A276,Company_List!$A$3:$A$207,0)),"unassigned"))</f>
        <v>Financials</v>
      </c>
      <c r="BC276">
        <f>IF($A276="","",IF(COUNTIFS($A$3:$A276,$A276,$C$3:$C276,$C276,$D$3:$D276,$D276,$G$3:$G276,$G276)=1,1,0))</f>
        <v>1</v>
      </c>
      <c r="BG276" t="s">
        <v>550</v>
      </c>
      <c r="BK276">
        <f t="shared" si="52"/>
        <v>0</v>
      </c>
      <c r="BL276" t="s">
        <v>551</v>
      </c>
      <c r="BM276">
        <v>3</v>
      </c>
      <c r="BN276" t="s">
        <v>882</v>
      </c>
      <c r="BO276" t="s">
        <v>596</v>
      </c>
      <c r="BP276" t="s">
        <v>550</v>
      </c>
      <c r="BQ276" t="s">
        <v>562</v>
      </c>
      <c r="BS276" t="s">
        <v>554</v>
      </c>
    </row>
    <row r="277" spans="1:72" x14ac:dyDescent="0.2">
      <c r="A277" s="115" t="s">
        <v>1319</v>
      </c>
      <c r="B277" s="116" t="str">
        <f>IF(A277="","",_xlfn.XLOOKUP(A277, Company_List!$A:$A, Company_List!$B:$B, ""))</f>
        <v>MET</v>
      </c>
      <c r="C277" s="143">
        <v>2024</v>
      </c>
      <c r="D277" s="143" t="s">
        <v>569</v>
      </c>
      <c r="E277" s="98" t="s">
        <v>538</v>
      </c>
      <c r="F277" s="98" t="s">
        <v>538</v>
      </c>
      <c r="G277" s="143" t="s">
        <v>575</v>
      </c>
      <c r="H277" s="106" t="s">
        <v>540</v>
      </c>
      <c r="I277" s="145">
        <v>0.1</v>
      </c>
      <c r="J277" s="145" t="str">
        <f>IF(OR(I277="",Settings!$B$6=""),"",IF(I277&gt;Settings!$B$6,"BUY",IF(I277&lt;-Settings!$B$6,"SELL","HOLD")))</f>
        <v>HOLD</v>
      </c>
      <c r="K277" s="145">
        <v>22</v>
      </c>
      <c r="L277" s="125">
        <v>45693</v>
      </c>
      <c r="M277" s="140">
        <v>45693</v>
      </c>
      <c r="N277" s="147">
        <v>85</v>
      </c>
      <c r="O277" s="140">
        <v>45694</v>
      </c>
      <c r="P277" s="145">
        <v>83.26</v>
      </c>
      <c r="Q277" s="150">
        <f t="shared" si="43"/>
        <v>-2.0500000000000001E-2</v>
      </c>
      <c r="R277" s="106" t="str">
        <f>IF(OR(N277="",P277=""),"",IF(Q277&gt;Settings!$B$3/100,"UP",IF(Q277&lt;-Settings!$B$3/100,"DOWN","FLAT")))</f>
        <v>DOWN</v>
      </c>
      <c r="S277" s="106" t="str">
        <f t="shared" si="44"/>
        <v>NO</v>
      </c>
      <c r="T277" s="105">
        <f t="shared" si="45"/>
        <v>0</v>
      </c>
      <c r="U277" s="150">
        <f>IFERROR(IF(OR(J277="",N277="",P277=""),"",IF(T277=0,0,T277*Q277-Settings!$B$4/10000-IF(T277&lt;0,Settings!$B$5/10000,0))),"")</f>
        <v>0</v>
      </c>
      <c r="W277" s="21">
        <f t="shared" si="46"/>
        <v>1320</v>
      </c>
      <c r="X277" s="91" t="str">
        <f t="shared" si="47"/>
        <v>MetLife|2024|Q4</v>
      </c>
      <c r="Y277" s="91" t="str">
        <f>IFERROR(IF($X277="","",INDEX(LLM_Data_Entry!$H$3:$H$548,MATCH($X277,INDEX(LLM_Data_Entry!$A$3:$A$548&amp;"|"&amp;LLM_Data_Entry!$C$3:$C$548&amp;"|"&amp;LLM_Data_Entry!$D$3:$D$548,0),0))),"")</f>
        <v/>
      </c>
      <c r="Z277" s="91" t="str">
        <f>IFERROR(IF($X277="","",INDEX(LLM_Data_Entry!$R$3:$R$548,MATCH($X277,INDEX(LLM_Data_Entry!$A$3:$A$548&amp;"|"&amp;LLM_Data_Entry!$C$3:$C$548&amp;"|"&amp;LLM_Data_Entry!$D$3:$D$548,0),0))),"")</f>
        <v/>
      </c>
      <c r="AB277" t="s">
        <v>835</v>
      </c>
      <c r="AC277" t="s">
        <v>1320</v>
      </c>
      <c r="AD277" t="s">
        <v>639</v>
      </c>
      <c r="AE277">
        <v>81.411799999999999</v>
      </c>
      <c r="AF277" t="s">
        <v>866</v>
      </c>
      <c r="AG277">
        <v>79.745199999999997</v>
      </c>
      <c r="AH277">
        <v>-2.0470661363746701E-2</v>
      </c>
      <c r="AI277" t="s">
        <v>545</v>
      </c>
      <c r="AJ277" t="s">
        <v>546</v>
      </c>
      <c r="AK277">
        <v>0</v>
      </c>
      <c r="AL277" t="str">
        <f>IF($A277="","",IFERROR(INDEX(Company_List!$G$3:$G$207,MATCH($A277,Company_List!$A$3:$A$207,0)),"unassigned"))</f>
        <v>P2</v>
      </c>
      <c r="AM277" t="s">
        <v>1357</v>
      </c>
      <c r="AN277" t="s">
        <v>1358</v>
      </c>
      <c r="AO277" t="s">
        <v>754</v>
      </c>
      <c r="AP277" t="str">
        <f>IF($A277="","",IF(COUNTIFS(LLM_Data_Entry!$A$3:$A$548,$A277)&gt;0,"YES","NO"))</f>
        <v>YES</v>
      </c>
      <c r="AQ277" t="str">
        <f>IF($A277="","",IF(COUNTIFS($A$3:$A277,$A277,$C$3:$C277,$C277,$D$3:$D277,$D277)=1,"YES","NO"))</f>
        <v>YES</v>
      </c>
      <c r="AR277" t="str">
        <f>IF($A277="","",IF(AND($C277&amp;"-"&amp;$D277&gt;=Settings!$B$19,$C277&amp;"-"&amp;$D277&lt;=Settings!$B$20),"IN","OUT"))</f>
        <v>IN</v>
      </c>
      <c r="AS277" t="str">
        <f t="shared" si="48"/>
        <v>full</v>
      </c>
      <c r="AT277" t="str">
        <f t="shared" si="49"/>
        <v/>
      </c>
      <c r="AU277" t="str">
        <f t="shared" si="50"/>
        <v/>
      </c>
      <c r="AV277" t="str">
        <f>IF(ISNUMBER($AT277),ABS(IF(ISNUMBER($I277),$I277,0)-Settings!$B$24),"")</f>
        <v/>
      </c>
      <c r="AW277" t="str">
        <f t="shared" si="51"/>
        <v/>
      </c>
      <c r="AX277" t="str">
        <f>IF(ISNUMBER($AU277),ABS(IF(ISNUMBER($I277),$I277,0)-Settings!$B$24),"")</f>
        <v/>
      </c>
      <c r="AY277" t="s">
        <v>549</v>
      </c>
      <c r="AZ277" t="str">
        <f>IF($A277="","",IFERROR(INDEX(Company_List!$H$3:$H$207,MATCH($A277,Company_List!$A$3:$A$207,0)),"unassigned"))</f>
        <v>Financials</v>
      </c>
      <c r="BC277">
        <f>IF($A277="","",IF(COUNTIFS($A$3:$A277,$A277,$C$3:$C277,$C277,$D$3:$D277,$D277,$G$3:$G277,$G277)=1,1,0))</f>
        <v>1</v>
      </c>
      <c r="BG277" t="s">
        <v>550</v>
      </c>
      <c r="BK277" t="str">
        <f t="shared" si="52"/>
        <v/>
      </c>
      <c r="BL277" t="s">
        <v>551</v>
      </c>
      <c r="BM277">
        <v>3</v>
      </c>
      <c r="BN277" t="s">
        <v>882</v>
      </c>
      <c r="BO277" t="s">
        <v>596</v>
      </c>
      <c r="BP277" t="s">
        <v>550</v>
      </c>
      <c r="BQ277" t="s">
        <v>562</v>
      </c>
      <c r="BS277" t="s">
        <v>546</v>
      </c>
      <c r="BT277" t="s">
        <v>1110</v>
      </c>
    </row>
    <row r="278" spans="1:72" x14ac:dyDescent="0.2">
      <c r="A278" s="97" t="s">
        <v>1359</v>
      </c>
      <c r="B278" s="116" t="str">
        <f>IF(A278="","",_xlfn.XLOOKUP(A278, Company_List!$A:$A, Company_List!$B:$B, ""))</f>
        <v>GIS</v>
      </c>
      <c r="C278" s="143">
        <v>2026</v>
      </c>
      <c r="D278" s="143" t="s">
        <v>555</v>
      </c>
      <c r="E278" s="98" t="s">
        <v>647</v>
      </c>
      <c r="F278" s="98" t="s">
        <v>1092</v>
      </c>
      <c r="G278" s="143" t="s">
        <v>574</v>
      </c>
      <c r="H278" s="106" t="s">
        <v>540</v>
      </c>
      <c r="I278" s="145">
        <v>0.3</v>
      </c>
      <c r="J278" s="145" t="str">
        <f>IF(OR(I278="",Settings!$B$6=""),"",IF(I278&gt;Settings!$B$6,"BUY",IF(I278&lt;-Settings!$B$6,"SELL","HOLD")))</f>
        <v>BUY</v>
      </c>
      <c r="K278" s="145">
        <v>45</v>
      </c>
      <c r="L278" s="126">
        <v>46008</v>
      </c>
      <c r="M278" s="126">
        <v>46007</v>
      </c>
      <c r="N278" s="147">
        <v>47.02</v>
      </c>
      <c r="O278" s="126">
        <v>46008</v>
      </c>
      <c r="P278" s="145">
        <v>48</v>
      </c>
      <c r="Q278" s="150">
        <f t="shared" si="43"/>
        <v>2.0799999999999999E-2</v>
      </c>
      <c r="R278" s="106" t="str">
        <f>IF(OR(N278="",P278=""),"",IF(Q278&gt;Settings!$B$3/100,"UP",IF(Q278&lt;-Settings!$B$3/100,"DOWN","FLAT")))</f>
        <v>UP</v>
      </c>
      <c r="S278" s="106" t="str">
        <f t="shared" si="44"/>
        <v>YES</v>
      </c>
      <c r="T278" s="105">
        <f t="shared" si="45"/>
        <v>1</v>
      </c>
      <c r="U278" s="150">
        <f>IFERROR(IF(OR(J278="",N278="",P278=""),"",IF(T278=0,0,T278*Q278-Settings!$B$4/10000-IF(T278&lt;0,Settings!$B$5/10000,0))),"")</f>
        <v>1.9799999999999998E-2</v>
      </c>
      <c r="V278" s="7" t="s">
        <v>1360</v>
      </c>
      <c r="W278" s="21">
        <f t="shared" si="46"/>
        <v>2700</v>
      </c>
      <c r="X278" s="91" t="str">
        <f t="shared" si="47"/>
        <v>General Mills|2026|Q2</v>
      </c>
      <c r="Y278" s="91" t="str">
        <f>IFERROR(IF($X278="","",INDEX(LLM_Data_Entry!$H$3:$H$548,MATCH($X278,INDEX(LLM_Data_Entry!$A$3:$A$548&amp;"|"&amp;LLM_Data_Entry!$C$3:$C$548&amp;"|"&amp;LLM_Data_Entry!$D$3:$D$548,0),0))),"")</f>
        <v>HOLD</v>
      </c>
      <c r="Z278" s="91" t="str">
        <f>IFERROR(IF($X278="","",INDEX(LLM_Data_Entry!$R$3:$R$548,MATCH($X278,INDEX(LLM_Data_Entry!$A$3:$A$548&amp;"|"&amp;LLM_Data_Entry!$C$3:$C$548&amp;"|"&amp;LLM_Data_Entry!$D$3:$D$548,0),0))),"")</f>
        <v>NO</v>
      </c>
      <c r="AB278" t="s">
        <v>636</v>
      </c>
      <c r="AC278" t="s">
        <v>1361</v>
      </c>
      <c r="AD278" t="s">
        <v>1362</v>
      </c>
      <c r="AE278">
        <v>44.8215</v>
      </c>
      <c r="AF278" t="s">
        <v>1363</v>
      </c>
      <c r="AG278">
        <v>45.755600000000001</v>
      </c>
      <c r="AH278">
        <v>2.0842071045116709E-2</v>
      </c>
      <c r="AI278" t="s">
        <v>591</v>
      </c>
      <c r="AJ278" t="s">
        <v>554</v>
      </c>
      <c r="AK278">
        <v>1.9841999999999999E-2</v>
      </c>
      <c r="AL278" t="str">
        <f>IF($A278="","",IFERROR(INDEX(Company_List!$G$3:$G$207,MATCH($A278,Company_List!$A$3:$A$207,0)),"unassigned"))</f>
        <v>P3</v>
      </c>
      <c r="AM278" t="s">
        <v>1364</v>
      </c>
      <c r="AO278" t="s">
        <v>548</v>
      </c>
      <c r="AP278" t="str">
        <f>IF($A278="","",IF(COUNTIFS(LLM_Data_Entry!$A$3:$A$548,$A278)&gt;0,"YES","NO"))</f>
        <v>YES</v>
      </c>
      <c r="AQ278" t="str">
        <f>IF($A278="","",IF(COUNTIFS($A$3:$A278,$A278,$C$3:$C278,$C278,$D$3:$D278,$D278)=1,"YES","NO"))</f>
        <v>YES</v>
      </c>
      <c r="AR278" t="str">
        <f>IF($A278="","",IF(AND($C278&amp;"-"&amp;$D278&gt;=Settings!$B$19,$C278&amp;"-"&amp;$D278&lt;=Settings!$B$20),"IN","OUT"))</f>
        <v>IN</v>
      </c>
      <c r="AS278" t="str">
        <f t="shared" si="48"/>
        <v>qanda</v>
      </c>
      <c r="AT278">
        <f t="shared" si="49"/>
        <v>1.9799999999999998E-2</v>
      </c>
      <c r="AU278">
        <f t="shared" si="50"/>
        <v>1.9841999999999999E-2</v>
      </c>
      <c r="AV278">
        <f>IF(ISNUMBER($AT278),ABS(IF(ISNUMBER($I278),$I278,0)-Settings!$B$24),"")</f>
        <v>0.3</v>
      </c>
      <c r="AW278">
        <f t="shared" si="51"/>
        <v>5.9399999999999991E-3</v>
      </c>
      <c r="AX278">
        <f>IF(ISNUMBER($AU278),ABS(IF(ISNUMBER($I278),$I278,0)-Settings!$B$24),"")</f>
        <v>0.3</v>
      </c>
      <c r="AY278" t="s">
        <v>549</v>
      </c>
      <c r="AZ278" t="str">
        <f>IF($A278="","",IFERROR(INDEX(Company_List!$H$3:$H$207,MATCH($A278,Company_List!$A$3:$A$207,0)),"unassigned"))</f>
        <v>Consumer Staples</v>
      </c>
      <c r="BC278">
        <f>IF($A278="","",IF(COUNTIFS($A$3:$A278,$A278,$C$3:$C278,$C278,$D$3:$D278,$D278,$G$3:$G278,$G278)=1,1,0))</f>
        <v>1</v>
      </c>
      <c r="BG278" t="s">
        <v>550</v>
      </c>
      <c r="BK278">
        <f t="shared" si="52"/>
        <v>0</v>
      </c>
      <c r="BL278" t="s">
        <v>551</v>
      </c>
      <c r="BM278">
        <v>1</v>
      </c>
      <c r="BN278" t="s">
        <v>595</v>
      </c>
      <c r="BO278" t="s">
        <v>596</v>
      </c>
      <c r="BP278" t="s">
        <v>550</v>
      </c>
      <c r="BQ278" t="s">
        <v>550</v>
      </c>
      <c r="BS278" t="s">
        <v>554</v>
      </c>
    </row>
    <row r="279" spans="1:72" x14ac:dyDescent="0.2">
      <c r="A279" s="97" t="s">
        <v>1359</v>
      </c>
      <c r="B279" s="116" t="str">
        <f>IF(A279="","",_xlfn.XLOOKUP(A279, Company_List!$A:$A, Company_List!$B:$B, ""))</f>
        <v>GIS</v>
      </c>
      <c r="C279" s="143">
        <v>2026</v>
      </c>
      <c r="D279" s="143" t="s">
        <v>563</v>
      </c>
      <c r="E279" s="98" t="s">
        <v>1121</v>
      </c>
      <c r="F279" s="98" t="s">
        <v>538</v>
      </c>
      <c r="G279" s="143" t="s">
        <v>574</v>
      </c>
      <c r="H279" s="106" t="s">
        <v>540</v>
      </c>
      <c r="I279" s="145">
        <v>-0.5</v>
      </c>
      <c r="J279" s="145" t="str">
        <f>IF(OR(I279="",Settings!$B$6=""),"",IF(I279&gt;Settings!$B$6,"BUY",IF(I279&lt;-Settings!$B$6,"SELL","HOLD")))</f>
        <v>SELL</v>
      </c>
      <c r="K279" s="145">
        <v>15</v>
      </c>
      <c r="L279" s="126">
        <v>46099</v>
      </c>
      <c r="M279" s="126">
        <v>46098</v>
      </c>
      <c r="N279" s="147">
        <v>38.74</v>
      </c>
      <c r="O279" s="126">
        <v>46099</v>
      </c>
      <c r="P279" s="145">
        <v>38.65</v>
      </c>
      <c r="Q279" s="150">
        <f t="shared" si="43"/>
        <v>-2.3E-3</v>
      </c>
      <c r="R279" s="106" t="str">
        <f>IF(OR(N279="",P279=""),"",IF(Q279&gt;Settings!$B$3/100,"UP",IF(Q279&lt;-Settings!$B$3/100,"DOWN","FLAT")))</f>
        <v>FLAT</v>
      </c>
      <c r="S279" s="106" t="str">
        <f t="shared" si="44"/>
        <v>NO</v>
      </c>
      <c r="T279" s="105">
        <f t="shared" si="45"/>
        <v>-1</v>
      </c>
      <c r="U279" s="150">
        <f>IFERROR(IF(OR(J279="",N279="",P279=""),"",IF(T279=0,0,T279*Q279-Settings!$B$4/10000-IF(T279&lt;0,Settings!$B$5/10000,0))),"")</f>
        <v>1.2999999999999999E-3</v>
      </c>
      <c r="V279" s="7" t="s">
        <v>1365</v>
      </c>
      <c r="W279" s="21">
        <f t="shared" si="46"/>
        <v>900</v>
      </c>
      <c r="X279" s="91" t="str">
        <f t="shared" si="47"/>
        <v>General Mills|2026|Q3</v>
      </c>
      <c r="Y279" s="91" t="str">
        <f>IFERROR(IF($X279="","",INDEX(LLM_Data_Entry!$H$3:$H$548,MATCH($X279,INDEX(LLM_Data_Entry!$A$3:$A$548&amp;"|"&amp;LLM_Data_Entry!$C$3:$C$548&amp;"|"&amp;LLM_Data_Entry!$D$3:$D$548,0),0))),"")</f>
        <v>SELL</v>
      </c>
      <c r="Z279" s="91" t="str">
        <f>IFERROR(IF($X279="","",INDEX(LLM_Data_Entry!$R$3:$R$548,MATCH($X279,INDEX(LLM_Data_Entry!$A$3:$A$548&amp;"|"&amp;LLM_Data_Entry!$C$3:$C$548&amp;"|"&amp;LLM_Data_Entry!$D$3:$D$548,0),0))),"")</f>
        <v>NO</v>
      </c>
      <c r="AB279" t="s">
        <v>636</v>
      </c>
      <c r="AC279" t="s">
        <v>1361</v>
      </c>
      <c r="AD279" t="s">
        <v>822</v>
      </c>
      <c r="AE279">
        <v>37.448700000000002</v>
      </c>
      <c r="AF279" t="s">
        <v>823</v>
      </c>
      <c r="AG279">
        <v>37.361699999999999</v>
      </c>
      <c r="AH279">
        <v>-2.3231893866268202E-3</v>
      </c>
      <c r="AI279" t="s">
        <v>579</v>
      </c>
      <c r="AJ279" t="s">
        <v>546</v>
      </c>
      <c r="AK279">
        <v>1.323E-3</v>
      </c>
      <c r="AL279" t="str">
        <f>IF($A279="","",IFERROR(INDEX(Company_List!$G$3:$G$207,MATCH($A279,Company_List!$A$3:$A$207,0)),"unassigned"))</f>
        <v>P3</v>
      </c>
      <c r="AM279" t="s">
        <v>1366</v>
      </c>
      <c r="AO279" t="s">
        <v>548</v>
      </c>
      <c r="AP279" t="str">
        <f>IF($A279="","",IF(COUNTIFS(LLM_Data_Entry!$A$3:$A$548,$A279)&gt;0,"YES","NO"))</f>
        <v>YES</v>
      </c>
      <c r="AQ279" t="str">
        <f>IF($A279="","",IF(COUNTIFS($A$3:$A279,$A279,$C$3:$C279,$C279,$D$3:$D279,$D279)=1,"YES","NO"))</f>
        <v>YES</v>
      </c>
      <c r="AR279" t="str">
        <f>IF($A279="","",IF(AND($C279&amp;"-"&amp;$D279&gt;=Settings!$B$19,$C279&amp;"-"&amp;$D279&lt;=Settings!$B$20),"IN","OUT"))</f>
        <v>IN</v>
      </c>
      <c r="AS279" t="str">
        <f t="shared" si="48"/>
        <v>press release document only</v>
      </c>
      <c r="AT279">
        <f t="shared" si="49"/>
        <v>1.2999999999999999E-3</v>
      </c>
      <c r="AU279">
        <f t="shared" si="50"/>
        <v>1.323E-3</v>
      </c>
      <c r="AV279">
        <f>IF(ISNUMBER($AT279),ABS(IF(ISNUMBER($I279),$I279,0)-Settings!$B$24),"")</f>
        <v>0.5</v>
      </c>
      <c r="AW279">
        <f t="shared" si="51"/>
        <v>6.4999999999999997E-4</v>
      </c>
      <c r="AX279">
        <f>IF(ISNUMBER($AU279),ABS(IF(ISNUMBER($I279),$I279,0)-Settings!$B$24),"")</f>
        <v>0.5</v>
      </c>
      <c r="AY279" t="s">
        <v>549</v>
      </c>
      <c r="AZ279" t="str">
        <f>IF($A279="","",IFERROR(INDEX(Company_List!$H$3:$H$207,MATCH($A279,Company_List!$A$3:$A$207,0)),"unassigned"))</f>
        <v>Consumer Staples</v>
      </c>
      <c r="BC279">
        <f>IF($A279="","",IF(COUNTIFS($A$3:$A279,$A279,$C$3:$C279,$C279,$D$3:$D279,$D279,$G$3:$G279,$G279)=1,1,0))</f>
        <v>1</v>
      </c>
      <c r="BG279" t="s">
        <v>550</v>
      </c>
      <c r="BK279">
        <f t="shared" si="52"/>
        <v>1</v>
      </c>
      <c r="BL279" t="s">
        <v>551</v>
      </c>
      <c r="BM279">
        <v>1</v>
      </c>
      <c r="BN279" t="s">
        <v>561</v>
      </c>
      <c r="BO279" t="s">
        <v>561</v>
      </c>
      <c r="BP279" t="s">
        <v>550</v>
      </c>
      <c r="BQ279" t="s">
        <v>550</v>
      </c>
      <c r="BS279" t="s">
        <v>554</v>
      </c>
    </row>
    <row r="280" spans="1:72" x14ac:dyDescent="0.2">
      <c r="A280" s="97" t="s">
        <v>1359</v>
      </c>
      <c r="B280" s="116" t="str">
        <f>IF(A280="","",_xlfn.XLOOKUP(A280, Company_List!$A:$A, Company_List!$B:$B, ""))</f>
        <v>GIS</v>
      </c>
      <c r="C280" s="143">
        <v>2026</v>
      </c>
      <c r="D280" s="143" t="s">
        <v>569</v>
      </c>
      <c r="E280" s="98" t="s">
        <v>647</v>
      </c>
      <c r="F280" s="98" t="s">
        <v>1086</v>
      </c>
      <c r="G280" s="143" t="s">
        <v>574</v>
      </c>
      <c r="H280" s="106" t="s">
        <v>540</v>
      </c>
      <c r="I280" s="145">
        <v>-0.1</v>
      </c>
      <c r="J280" s="145" t="str">
        <f>IF(OR(I280="",Settings!$B$6=""),"",IF(I280&gt;Settings!$B$6,"BUY",IF(I280&lt;-Settings!$B$6,"SELL","HOLD")))</f>
        <v>HOLD</v>
      </c>
      <c r="K280" s="145">
        <v>13</v>
      </c>
      <c r="L280" s="126">
        <v>46204</v>
      </c>
      <c r="M280" s="126">
        <v>46203</v>
      </c>
      <c r="N280" s="147">
        <v>34.799999999999997</v>
      </c>
      <c r="O280" s="126">
        <v>46204</v>
      </c>
      <c r="P280" s="145">
        <v>37.72</v>
      </c>
      <c r="Q280" s="150">
        <f t="shared" si="43"/>
        <v>8.3900000000000002E-2</v>
      </c>
      <c r="R280" s="106" t="str">
        <f>IF(OR(N280="",P280=""),"",IF(Q280&gt;Settings!$B$3/100,"UP",IF(Q280&lt;-Settings!$B$3/100,"DOWN","FLAT")))</f>
        <v>UP</v>
      </c>
      <c r="S280" s="106" t="str">
        <f t="shared" si="44"/>
        <v>NO</v>
      </c>
      <c r="T280" s="105">
        <f t="shared" si="45"/>
        <v>0</v>
      </c>
      <c r="U280" s="150">
        <f>IFERROR(IF(OR(J280="",N280="",P280=""),"",IF(T280=0,0,T280*Q280-Settings!$B$4/10000-IF(T280&lt;0,Settings!$B$5/10000,0))),"")</f>
        <v>0</v>
      </c>
      <c r="V280" s="7" t="s">
        <v>1367</v>
      </c>
      <c r="W280" s="21">
        <f t="shared" si="46"/>
        <v>780</v>
      </c>
      <c r="X280" s="91" t="str">
        <f t="shared" si="47"/>
        <v>General Mills|2026|Q4</v>
      </c>
      <c r="Y280" s="91" t="str">
        <f>IFERROR(IF($X280="","",INDEX(LLM_Data_Entry!$H$3:$H$548,MATCH($X280,INDEX(LLM_Data_Entry!$A$3:$A$548&amp;"|"&amp;LLM_Data_Entry!$C$3:$C$548&amp;"|"&amp;LLM_Data_Entry!$D$3:$D$548,0),0))),"")</f>
        <v>SELL</v>
      </c>
      <c r="Z280" s="91" t="str">
        <f>IFERROR(IF($X280="","",INDEX(LLM_Data_Entry!$R$3:$R$548,MATCH($X280,INDEX(LLM_Data_Entry!$A$3:$A$548&amp;"|"&amp;LLM_Data_Entry!$C$3:$C$548&amp;"|"&amp;LLM_Data_Entry!$D$3:$D$548,0),0))),"")</f>
        <v>NO</v>
      </c>
      <c r="AB280" t="s">
        <v>636</v>
      </c>
      <c r="AC280" t="s">
        <v>1361</v>
      </c>
      <c r="AD280" t="s">
        <v>1368</v>
      </c>
      <c r="AE280">
        <v>34.207900000000002</v>
      </c>
      <c r="AF280" t="s">
        <v>1369</v>
      </c>
      <c r="AG280">
        <v>37.078200000000002</v>
      </c>
      <c r="AH280">
        <v>8.3908059788293785E-2</v>
      </c>
      <c r="AI280" t="s">
        <v>591</v>
      </c>
      <c r="AJ280" t="s">
        <v>546</v>
      </c>
      <c r="AK280">
        <v>0</v>
      </c>
      <c r="AL280" t="str">
        <f>IF($A280="","",IFERROR(INDEX(Company_List!$G$3:$G$207,MATCH($A280,Company_List!$A$3:$A$207,0)),"unassigned"))</f>
        <v>P3</v>
      </c>
      <c r="AM280" t="s">
        <v>1370</v>
      </c>
      <c r="AO280" t="s">
        <v>548</v>
      </c>
      <c r="AP280" t="str">
        <f>IF($A280="","",IF(COUNTIFS(LLM_Data_Entry!$A$3:$A$548,$A280)&gt;0,"YES","NO"))</f>
        <v>YES</v>
      </c>
      <c r="AQ280" t="str">
        <f>IF($A280="","",IF(COUNTIFS($A$3:$A280,$A280,$C$3:$C280,$C280,$D$3:$D280,$D280)=1,"YES","NO"))</f>
        <v>YES</v>
      </c>
      <c r="AR280" t="str">
        <f>IF($A280="","",IF(AND($C280&amp;"-"&amp;$D280&gt;=Settings!$B$19,$C280&amp;"-"&amp;$D280&lt;=Settings!$B$20),"IN","OUT"))</f>
        <v>IN</v>
      </c>
      <c r="AS280" t="str">
        <f t="shared" si="48"/>
        <v>financials</v>
      </c>
      <c r="AT280" t="str">
        <f t="shared" si="49"/>
        <v/>
      </c>
      <c r="AU280" t="str">
        <f t="shared" si="50"/>
        <v/>
      </c>
      <c r="AV280" t="str">
        <f>IF(ISNUMBER($AT280),ABS(IF(ISNUMBER($I280),$I280,0)-Settings!$B$24),"")</f>
        <v/>
      </c>
      <c r="AW280" t="str">
        <f t="shared" si="51"/>
        <v/>
      </c>
      <c r="AX280" t="str">
        <f>IF(ISNUMBER($AU280),ABS(IF(ISNUMBER($I280),$I280,0)-Settings!$B$24),"")</f>
        <v/>
      </c>
      <c r="AY280" t="s">
        <v>549</v>
      </c>
      <c r="AZ280" t="str">
        <f>IF($A280="","",IFERROR(INDEX(Company_List!$H$3:$H$207,MATCH($A280,Company_List!$A$3:$A$207,0)),"unassigned"))</f>
        <v>Consumer Staples</v>
      </c>
      <c r="BC280">
        <f>IF($A280="","",IF(COUNTIFS($A$3:$A280,$A280,$C$3:$C280,$C280,$D$3:$D280,$D280,$G$3:$G280,$G280)=1,1,0))</f>
        <v>1</v>
      </c>
      <c r="BG280" t="s">
        <v>550</v>
      </c>
      <c r="BK280">
        <f t="shared" si="52"/>
        <v>0</v>
      </c>
      <c r="BL280" t="s">
        <v>551</v>
      </c>
      <c r="BM280">
        <v>1</v>
      </c>
      <c r="BN280" t="s">
        <v>595</v>
      </c>
      <c r="BO280" t="s">
        <v>596</v>
      </c>
      <c r="BP280" t="s">
        <v>550</v>
      </c>
      <c r="BQ280" t="s">
        <v>550</v>
      </c>
      <c r="BS280" t="s">
        <v>554</v>
      </c>
    </row>
    <row r="281" spans="1:72" x14ac:dyDescent="0.2">
      <c r="A281" s="97" t="s">
        <v>1371</v>
      </c>
      <c r="B281" s="116" t="str">
        <f>IF(A281="","",_xlfn.XLOOKUP(A281, Company_List!$A:$A, Company_List!$B:$B, ""))</f>
        <v>SIE.DE</v>
      </c>
      <c r="C281" s="143">
        <v>2025</v>
      </c>
      <c r="D281" s="143" t="s">
        <v>569</v>
      </c>
      <c r="E281" s="144" t="s">
        <v>1121</v>
      </c>
      <c r="F281" s="144" t="s">
        <v>538</v>
      </c>
      <c r="G281" s="143" t="s">
        <v>574</v>
      </c>
      <c r="H281" s="106" t="s">
        <v>540</v>
      </c>
      <c r="I281" s="145">
        <v>-0.5</v>
      </c>
      <c r="J281" s="145" t="str">
        <f>IF(OR(I281="",Settings!$B$6=""),"",IF(I281&gt;Settings!$B$6,"BUY",IF(I281&lt;-Settings!$B$6,"SELL","HOLD")))</f>
        <v>SELL</v>
      </c>
      <c r="K281" s="145">
        <v>25</v>
      </c>
      <c r="L281" s="123">
        <v>45974</v>
      </c>
      <c r="M281" s="123">
        <v>45973</v>
      </c>
      <c r="N281" s="147">
        <v>250.4</v>
      </c>
      <c r="O281" s="123">
        <v>45974</v>
      </c>
      <c r="P281" s="145">
        <v>243.55</v>
      </c>
      <c r="Q281" s="151">
        <f t="shared" si="43"/>
        <v>-2.7400000000000001E-2</v>
      </c>
      <c r="R281" s="118" t="str">
        <f>IF(OR(N281="",P281=""),"",IF(Q281&gt;Settings!$B$3/100,"UP",IF(Q281&lt;-Settings!$B$3/100,"DOWN","FLAT")))</f>
        <v>DOWN</v>
      </c>
      <c r="S281" s="118" t="str">
        <f t="shared" si="44"/>
        <v>YES</v>
      </c>
      <c r="T281" s="119">
        <f t="shared" si="45"/>
        <v>-1</v>
      </c>
      <c r="U281" s="150">
        <f>IFERROR(IF(OR(J281="",N281="",P281=""),"",IF(T281=0,0,T281*Q281-Settings!$B$4/10000-IF(T281&lt;0,Settings!$B$5/10000,0))),"")</f>
        <v>2.64E-2</v>
      </c>
      <c r="V281" s="7" t="s">
        <v>1372</v>
      </c>
      <c r="W281" s="21">
        <f t="shared" si="46"/>
        <v>1500</v>
      </c>
      <c r="X281" s="91" t="str">
        <f t="shared" si="47"/>
        <v>Siemens|2025|Q4</v>
      </c>
      <c r="Y281" s="91" t="str">
        <f>IFERROR(IF($X281="","",INDEX(LLM_Data_Entry!$H$3:$H$548,MATCH($X281,INDEX(LLM_Data_Entry!$A$3:$A$548&amp;"|"&amp;LLM_Data_Entry!$C$3:$C$548&amp;"|"&amp;LLM_Data_Entry!$D$3:$D$548,0),0))),"")</f>
        <v>BUY</v>
      </c>
      <c r="Z281" s="91" t="str">
        <f>IFERROR(IF($X281="","",INDEX(LLM_Data_Entry!$R$3:$R$548,MATCH($X281,INDEX(LLM_Data_Entry!$A$3:$A$548&amp;"|"&amp;LLM_Data_Entry!$C$3:$C$548&amp;"|"&amp;LLM_Data_Entry!$D$3:$D$548,0),0))),"")</f>
        <v>NO</v>
      </c>
      <c r="AB281" t="s">
        <v>636</v>
      </c>
      <c r="AC281" t="s">
        <v>1373</v>
      </c>
      <c r="AD281" t="s">
        <v>644</v>
      </c>
      <c r="AE281">
        <v>245.1874</v>
      </c>
      <c r="AF281" t="s">
        <v>645</v>
      </c>
      <c r="AG281">
        <v>238.48</v>
      </c>
      <c r="AH281">
        <v>-2.735618576686381E-2</v>
      </c>
      <c r="AI281" t="s">
        <v>545</v>
      </c>
      <c r="AJ281" t="s">
        <v>554</v>
      </c>
      <c r="AK281">
        <v>2.6356000000000001E-2</v>
      </c>
      <c r="AL281" t="str">
        <f>IF($A281="","",IFERROR(INDEX(Company_List!$G$3:$G$207,MATCH($A281,Company_List!$A$3:$A$207,0)),"unassigned"))</f>
        <v>P3</v>
      </c>
      <c r="AM281" t="s">
        <v>1374</v>
      </c>
      <c r="AO281" t="s">
        <v>548</v>
      </c>
      <c r="AP281" t="str">
        <f>IF($A281="","",IF(COUNTIFS(LLM_Data_Entry!$A$3:$A$548,$A281)&gt;0,"YES","NO"))</f>
        <v>YES</v>
      </c>
      <c r="AQ281" t="str">
        <f>IF($A281="","",IF(COUNTIFS($A$3:$A281,$A281,$C$3:$C281,$C281,$D$3:$D281,$D281)=1,"YES","NO"))</f>
        <v>YES</v>
      </c>
      <c r="AR281" t="str">
        <f>IF($A281="","",IF(AND($C281&amp;"-"&amp;$D281&gt;=Settings!$B$19,$C281&amp;"-"&amp;$D281&lt;=Settings!$B$20),"IN","OUT"))</f>
        <v>IN</v>
      </c>
      <c r="AS281" t="str">
        <f t="shared" si="48"/>
        <v>press release document only</v>
      </c>
      <c r="AT281">
        <f t="shared" si="49"/>
        <v>2.64E-2</v>
      </c>
      <c r="AU281">
        <f t="shared" si="50"/>
        <v>2.6356000000000001E-2</v>
      </c>
      <c r="AV281">
        <f>IF(ISNUMBER($AT281),ABS(IF(ISNUMBER($I281),$I281,0)-Settings!$B$24),"")</f>
        <v>0.5</v>
      </c>
      <c r="AW281">
        <f t="shared" si="51"/>
        <v>1.32E-2</v>
      </c>
      <c r="AX281">
        <f>IF(ISNUMBER($AU281),ABS(IF(ISNUMBER($I281),$I281,0)-Settings!$B$24),"")</f>
        <v>0.5</v>
      </c>
      <c r="AY281" t="s">
        <v>549</v>
      </c>
      <c r="AZ281" t="str">
        <f>IF($A281="","",IFERROR(INDEX(Company_List!$H$3:$H$207,MATCH($A281,Company_List!$A$3:$A$207,0)),"unassigned"))</f>
        <v>Industrials</v>
      </c>
      <c r="BC281">
        <f>IF($A281="","",IF(COUNTIFS($A$3:$A281,$A281,$C$3:$C281,$C281,$D$3:$D281,$D281,$G$3:$G281,$G281)=1,1,0))</f>
        <v>1</v>
      </c>
      <c r="BG281" t="s">
        <v>550</v>
      </c>
      <c r="BK281">
        <f t="shared" si="52"/>
        <v>0</v>
      </c>
      <c r="BL281" t="s">
        <v>551</v>
      </c>
      <c r="BM281">
        <v>1</v>
      </c>
      <c r="BN281" t="s">
        <v>561</v>
      </c>
      <c r="BO281" t="s">
        <v>561</v>
      </c>
      <c r="BP281" t="s">
        <v>550</v>
      </c>
      <c r="BQ281" t="s">
        <v>550</v>
      </c>
      <c r="BS281" t="s">
        <v>554</v>
      </c>
    </row>
    <row r="282" spans="1:72" x14ac:dyDescent="0.2">
      <c r="A282" s="97" t="s">
        <v>1371</v>
      </c>
      <c r="B282" s="116" t="str">
        <f>IF(A282="","",_xlfn.XLOOKUP(A282, Company_List!$A:$A, Company_List!$B:$B, ""))</f>
        <v>SIE.DE</v>
      </c>
      <c r="C282" s="143">
        <v>2026</v>
      </c>
      <c r="D282" s="143" t="s">
        <v>537</v>
      </c>
      <c r="E282" s="144" t="s">
        <v>1121</v>
      </c>
      <c r="F282" s="144" t="s">
        <v>538</v>
      </c>
      <c r="G282" s="143" t="s">
        <v>574</v>
      </c>
      <c r="H282" s="106" t="s">
        <v>540</v>
      </c>
      <c r="I282" s="145">
        <v>0.2</v>
      </c>
      <c r="J282" s="145" t="str">
        <f>IF(OR(I282="",Settings!$B$6=""),"",IF(I282&gt;Settings!$B$6,"BUY",IF(I282&lt;-Settings!$B$6,"SELL","HOLD")))</f>
        <v>HOLD</v>
      </c>
      <c r="K282" s="145">
        <v>28</v>
      </c>
      <c r="L282" s="123">
        <v>46065</v>
      </c>
      <c r="M282" s="123">
        <v>46064</v>
      </c>
      <c r="N282" s="147">
        <v>256.25</v>
      </c>
      <c r="O282" s="123">
        <v>46065</v>
      </c>
      <c r="P282" s="145">
        <v>271.60000000000002</v>
      </c>
      <c r="Q282" s="151">
        <f t="shared" si="43"/>
        <v>5.9900000000000002E-2</v>
      </c>
      <c r="R282" s="118" t="str">
        <f>IF(OR(N282="",P282=""),"",IF(Q282&gt;Settings!$B$3/100,"UP",IF(Q282&lt;-Settings!$B$3/100,"DOWN","FLAT")))</f>
        <v>UP</v>
      </c>
      <c r="S282" s="118" t="str">
        <f t="shared" si="44"/>
        <v>NO</v>
      </c>
      <c r="T282" s="119">
        <f t="shared" si="45"/>
        <v>0</v>
      </c>
      <c r="U282" s="150">
        <f>IFERROR(IF(OR(J282="",N282="",P282=""),"",IF(T282=0,0,T282*Q282-Settings!$B$4/10000-IF(T282&lt;0,Settings!$B$5/10000,0))),"")</f>
        <v>0</v>
      </c>
      <c r="V282" s="7" t="s">
        <v>1375</v>
      </c>
      <c r="W282" s="21">
        <f t="shared" si="46"/>
        <v>1680</v>
      </c>
      <c r="X282" s="91" t="str">
        <f t="shared" si="47"/>
        <v>Siemens|2026|Q1</v>
      </c>
      <c r="Y282" s="91" t="str">
        <f>IFERROR(IF($X282="","",INDEX(LLM_Data_Entry!$H$3:$H$548,MATCH($X282,INDEX(LLM_Data_Entry!$A$3:$A$548&amp;"|"&amp;LLM_Data_Entry!$C$3:$C$548&amp;"|"&amp;LLM_Data_Entry!$D$3:$D$548,0),0))),"")</f>
        <v>BUY</v>
      </c>
      <c r="Z282" s="91" t="str">
        <f>IFERROR(IF($X282="","",INDEX(LLM_Data_Entry!$R$3:$R$548,MATCH($X282,INDEX(LLM_Data_Entry!$A$3:$A$548&amp;"|"&amp;LLM_Data_Entry!$C$3:$C$548&amp;"|"&amp;LLM_Data_Entry!$D$3:$D$548,0),0))),"")</f>
        <v>YES</v>
      </c>
      <c r="AB282" t="s">
        <v>636</v>
      </c>
      <c r="AC282" t="s">
        <v>1373</v>
      </c>
      <c r="AD282" t="s">
        <v>676</v>
      </c>
      <c r="AE282">
        <v>250.91560000000001</v>
      </c>
      <c r="AF282" t="s">
        <v>677</v>
      </c>
      <c r="AG282">
        <v>265.9461</v>
      </c>
      <c r="AH282">
        <v>5.9902474326606378E-2</v>
      </c>
      <c r="AI282" t="s">
        <v>591</v>
      </c>
      <c r="AJ282" t="s">
        <v>546</v>
      </c>
      <c r="AK282">
        <v>0</v>
      </c>
      <c r="AL282" t="str">
        <f>IF($A282="","",IFERROR(INDEX(Company_List!$G$3:$G$207,MATCH($A282,Company_List!$A$3:$A$207,0)),"unassigned"))</f>
        <v>P3</v>
      </c>
      <c r="AM282" t="s">
        <v>1376</v>
      </c>
      <c r="AO282" t="s">
        <v>548</v>
      </c>
      <c r="AP282" t="str">
        <f>IF($A282="","",IF(COUNTIFS(LLM_Data_Entry!$A$3:$A$548,$A282)&gt;0,"YES","NO"))</f>
        <v>YES</v>
      </c>
      <c r="AQ282" t="str">
        <f>IF($A282="","",IF(COUNTIFS($A$3:$A282,$A282,$C$3:$C282,$C282,$D$3:$D282,$D282)=1,"YES","NO"))</f>
        <v>YES</v>
      </c>
      <c r="AR282" t="str">
        <f>IF($A282="","",IF(AND($C282&amp;"-"&amp;$D282&gt;=Settings!$B$19,$C282&amp;"-"&amp;$D282&lt;=Settings!$B$20),"IN","OUT"))</f>
        <v>IN</v>
      </c>
      <c r="AS282" t="str">
        <f t="shared" si="48"/>
        <v>press release document only</v>
      </c>
      <c r="AT282" t="str">
        <f t="shared" si="49"/>
        <v/>
      </c>
      <c r="AU282" t="str">
        <f t="shared" si="50"/>
        <v/>
      </c>
      <c r="AV282" t="str">
        <f>IF(ISNUMBER($AT282),ABS(IF(ISNUMBER($I282),$I282,0)-Settings!$B$24),"")</f>
        <v/>
      </c>
      <c r="AW282" t="str">
        <f t="shared" si="51"/>
        <v/>
      </c>
      <c r="AX282" t="str">
        <f>IF(ISNUMBER($AU282),ABS(IF(ISNUMBER($I282),$I282,0)-Settings!$B$24),"")</f>
        <v/>
      </c>
      <c r="AY282" t="s">
        <v>549</v>
      </c>
      <c r="AZ282" t="str">
        <f>IF($A282="","",IFERROR(INDEX(Company_List!$H$3:$H$207,MATCH($A282,Company_List!$A$3:$A$207,0)),"unassigned"))</f>
        <v>Industrials</v>
      </c>
      <c r="BC282">
        <f>IF($A282="","",IF(COUNTIFS($A$3:$A282,$A282,$C$3:$C282,$C282,$D$3:$D282,$D282,$G$3:$G282,$G282)=1,1,0))</f>
        <v>1</v>
      </c>
      <c r="BG282" t="s">
        <v>550</v>
      </c>
      <c r="BK282">
        <f t="shared" si="52"/>
        <v>0</v>
      </c>
      <c r="BL282" t="s">
        <v>551</v>
      </c>
      <c r="BM282">
        <v>1</v>
      </c>
      <c r="BN282" t="s">
        <v>561</v>
      </c>
      <c r="BO282" t="s">
        <v>561</v>
      </c>
      <c r="BP282" t="s">
        <v>550</v>
      </c>
      <c r="BQ282" t="s">
        <v>550</v>
      </c>
      <c r="BS282" t="s">
        <v>554</v>
      </c>
    </row>
    <row r="283" spans="1:72" x14ac:dyDescent="0.2">
      <c r="A283" s="97" t="s">
        <v>1371</v>
      </c>
      <c r="B283" s="116" t="str">
        <f>IF(A283="","",_xlfn.XLOOKUP(A283, Company_List!$A:$A, Company_List!$B:$B, ""))</f>
        <v>SIE.DE</v>
      </c>
      <c r="C283" s="143">
        <v>2026</v>
      </c>
      <c r="D283" s="143" t="s">
        <v>555</v>
      </c>
      <c r="E283" s="144" t="s">
        <v>1121</v>
      </c>
      <c r="F283" s="144" t="s">
        <v>538</v>
      </c>
      <c r="G283" s="143" t="s">
        <v>574</v>
      </c>
      <c r="H283" s="106" t="s">
        <v>540</v>
      </c>
      <c r="I283" s="145">
        <v>0.1</v>
      </c>
      <c r="J283" s="145" t="str">
        <f>IF(OR(I283="",Settings!$B$6=""),"",IF(I283&gt;Settings!$B$6,"BUY",IF(I283&lt;-Settings!$B$6,"SELL","HOLD")))</f>
        <v>HOLD</v>
      </c>
      <c r="K283" s="145">
        <v>23</v>
      </c>
      <c r="L283" s="123">
        <v>46155</v>
      </c>
      <c r="M283" s="123">
        <v>46154</v>
      </c>
      <c r="N283" s="147">
        <v>264.60000000000002</v>
      </c>
      <c r="O283" s="123">
        <v>46155</v>
      </c>
      <c r="P283" s="145">
        <v>267.14999999999998</v>
      </c>
      <c r="Q283" s="151">
        <f t="shared" si="43"/>
        <v>9.5999999999999992E-3</v>
      </c>
      <c r="R283" s="118" t="str">
        <f>IF(OR(N283="",P283=""),"",IF(Q283&gt;Settings!$B$3/100,"UP",IF(Q283&lt;-Settings!$B$3/100,"DOWN","FLAT")))</f>
        <v>FLAT</v>
      </c>
      <c r="S283" s="118" t="str">
        <f t="shared" si="44"/>
        <v>YES</v>
      </c>
      <c r="T283" s="119">
        <f t="shared" si="45"/>
        <v>0</v>
      </c>
      <c r="U283" s="150">
        <f>IFERROR(IF(OR(J283="",N283="",P283=""),"",IF(T283=0,0,T283*Q283-Settings!$B$4/10000-IF(T283&lt;0,Settings!$B$5/10000,0))),"")</f>
        <v>0</v>
      </c>
      <c r="V283" s="7" t="s">
        <v>1377</v>
      </c>
      <c r="W283" s="21">
        <f t="shared" si="46"/>
        <v>1380</v>
      </c>
      <c r="X283" s="91" t="str">
        <f t="shared" si="47"/>
        <v>Siemens|2026|Q2</v>
      </c>
      <c r="Y283" s="91" t="str">
        <f>IFERROR(IF($X283="","",INDEX(LLM_Data_Entry!$H$3:$H$548,MATCH($X283,INDEX(LLM_Data_Entry!$A$3:$A$548&amp;"|"&amp;LLM_Data_Entry!$C$3:$C$548&amp;"|"&amp;LLM_Data_Entry!$D$3:$D$548,0),0))),"")</f>
        <v>HOLD</v>
      </c>
      <c r="Z283" s="91" t="str">
        <f>IFERROR(IF($X283="","",INDEX(LLM_Data_Entry!$R$3:$R$548,MATCH($X283,INDEX(LLM_Data_Entry!$A$3:$A$548&amp;"|"&amp;LLM_Data_Entry!$C$3:$C$548&amp;"|"&amp;LLM_Data_Entry!$D$3:$D$548,0),0))),"")</f>
        <v>YES</v>
      </c>
      <c r="AB283" t="s">
        <v>636</v>
      </c>
      <c r="AC283" t="s">
        <v>1373</v>
      </c>
      <c r="AD283" t="s">
        <v>1378</v>
      </c>
      <c r="AE283">
        <v>264.60000000000002</v>
      </c>
      <c r="AF283" t="s">
        <v>1379</v>
      </c>
      <c r="AG283">
        <v>267.14999999999998</v>
      </c>
      <c r="AH283">
        <v>9.6371426386134881E-3</v>
      </c>
      <c r="AI283" t="s">
        <v>579</v>
      </c>
      <c r="AJ283" t="s">
        <v>554</v>
      </c>
      <c r="AK283">
        <v>0</v>
      </c>
      <c r="AL283" t="str">
        <f>IF($A283="","",IFERROR(INDEX(Company_List!$G$3:$G$207,MATCH($A283,Company_List!$A$3:$A$207,0)),"unassigned"))</f>
        <v>P3</v>
      </c>
      <c r="AM283" t="s">
        <v>1380</v>
      </c>
      <c r="AO283" t="s">
        <v>548</v>
      </c>
      <c r="AP283" t="str">
        <f>IF($A283="","",IF(COUNTIFS(LLM_Data_Entry!$A$3:$A$548,$A283)&gt;0,"YES","NO"))</f>
        <v>YES</v>
      </c>
      <c r="AQ283" t="str">
        <f>IF($A283="","",IF(COUNTIFS($A$3:$A283,$A283,$C$3:$C283,$C283,$D$3:$D283,$D283)=1,"YES","NO"))</f>
        <v>YES</v>
      </c>
      <c r="AR283" t="str">
        <f>IF($A283="","",IF(AND($C283&amp;"-"&amp;$D283&gt;=Settings!$B$19,$C283&amp;"-"&amp;$D283&lt;=Settings!$B$20),"IN","OUT"))</f>
        <v>IN</v>
      </c>
      <c r="AS283" t="str">
        <f t="shared" si="48"/>
        <v>press release document only</v>
      </c>
      <c r="AT283" t="str">
        <f t="shared" si="49"/>
        <v/>
      </c>
      <c r="AU283" t="str">
        <f t="shared" si="50"/>
        <v/>
      </c>
      <c r="AV283" t="str">
        <f>IF(ISNUMBER($AT283),ABS(IF(ISNUMBER($I283),$I283,0)-Settings!$B$24),"")</f>
        <v/>
      </c>
      <c r="AW283" t="str">
        <f t="shared" si="51"/>
        <v/>
      </c>
      <c r="AX283" t="str">
        <f>IF(ISNUMBER($AU283),ABS(IF(ISNUMBER($I283),$I283,0)-Settings!$B$24),"")</f>
        <v/>
      </c>
      <c r="AY283" t="s">
        <v>549</v>
      </c>
      <c r="AZ283" t="str">
        <f>IF($A283="","",IFERROR(INDEX(Company_List!$H$3:$H$207,MATCH($A283,Company_List!$A$3:$A$207,0)),"unassigned"))</f>
        <v>Industrials</v>
      </c>
      <c r="BC283">
        <f>IF($A283="","",IF(COUNTIFS($A$3:$A283,$A283,$C$3:$C283,$C283,$D$3:$D283,$D283,$G$3:$G283,$G283)=1,1,0))</f>
        <v>1</v>
      </c>
      <c r="BG283" t="s">
        <v>550</v>
      </c>
      <c r="BK283">
        <f t="shared" si="52"/>
        <v>1</v>
      </c>
      <c r="BL283" t="s">
        <v>551</v>
      </c>
      <c r="BM283">
        <v>1</v>
      </c>
      <c r="BN283" t="s">
        <v>561</v>
      </c>
      <c r="BO283" t="s">
        <v>561</v>
      </c>
      <c r="BP283" t="s">
        <v>550</v>
      </c>
      <c r="BQ283" t="s">
        <v>550</v>
      </c>
      <c r="BS283" t="s">
        <v>554</v>
      </c>
    </row>
    <row r="284" spans="1:72" x14ac:dyDescent="0.2">
      <c r="A284" s="97" t="s">
        <v>1381</v>
      </c>
      <c r="B284" s="116" t="str">
        <f>IF(A284="","",_xlfn.XLOOKUP(A284, Company_List!$A:$A, Company_List!$B:$B, ""))</f>
        <v>COST</v>
      </c>
      <c r="C284" s="143">
        <v>2026</v>
      </c>
      <c r="D284" s="143" t="s">
        <v>537</v>
      </c>
      <c r="E284" s="144" t="s">
        <v>538</v>
      </c>
      <c r="F284" s="144" t="s">
        <v>538</v>
      </c>
      <c r="G284" s="143" t="s">
        <v>574</v>
      </c>
      <c r="H284" s="106" t="s">
        <v>540</v>
      </c>
      <c r="I284" s="145">
        <v>0.4</v>
      </c>
      <c r="J284" s="145" t="str">
        <f>IF(OR(I284="",Settings!$B$6=""),"",IF(I284&gt;Settings!$B$6,"BUY",IF(I284&lt;-Settings!$B$6,"SELL","HOLD")))</f>
        <v>BUY</v>
      </c>
      <c r="K284" s="145">
        <v>40</v>
      </c>
      <c r="L284" s="123">
        <v>46002</v>
      </c>
      <c r="M284" s="123" t="s">
        <v>1382</v>
      </c>
      <c r="N284" s="147">
        <v>904.26900000000001</v>
      </c>
      <c r="O284" s="123" t="s">
        <v>1383</v>
      </c>
      <c r="P284" s="145">
        <v>901.04319999999996</v>
      </c>
      <c r="Q284" s="151">
        <f t="shared" si="43"/>
        <v>-3.5999999999999999E-3</v>
      </c>
      <c r="R284" s="118" t="str">
        <f>IF(OR(N284="",P284=""),"",IF(Q284&gt;Settings!$B$3/100,"UP",IF(Q284&lt;-Settings!$B$3/100,"DOWN","FLAT")))</f>
        <v>FLAT</v>
      </c>
      <c r="S284" s="118" t="str">
        <f t="shared" si="44"/>
        <v>NO</v>
      </c>
      <c r="T284" s="119">
        <f t="shared" si="45"/>
        <v>1</v>
      </c>
      <c r="U284" s="150">
        <f>IFERROR(IF(OR(J284="",N284="",P284=""),"",IF(T284=0,0,T284*Q284-Settings!$B$4/10000-IF(T284&lt;0,Settings!$B$5/10000,0))),"")</f>
        <v>-4.5999999999999999E-3</v>
      </c>
      <c r="V284" s="7" t="s">
        <v>1384</v>
      </c>
      <c r="W284" s="21">
        <f t="shared" si="46"/>
        <v>2400</v>
      </c>
      <c r="X284" s="91" t="str">
        <f t="shared" si="47"/>
        <v>Costco|2026|Q1</v>
      </c>
      <c r="Y284" s="91" t="str">
        <f>IFERROR(IF($X284="","",INDEX(LLM_Data_Entry!$H$3:$H$548,MATCH($X284,INDEX(LLM_Data_Entry!$A$3:$A$548&amp;"|"&amp;LLM_Data_Entry!$C$3:$C$548&amp;"|"&amp;LLM_Data_Entry!$D$3:$D$548,0),0))),"")</f>
        <v>HOLD</v>
      </c>
      <c r="Z284" s="91">
        <f>IFERROR(IF($X284="","",INDEX(LLM_Data_Entry!$R$3:$R$548,MATCH($X284,INDEX(LLM_Data_Entry!$A$3:$A$548&amp;"|"&amp;LLM_Data_Entry!$C$3:$C$548&amp;"|"&amp;LLM_Data_Entry!$D$3:$D$548,0),0))),"")</f>
        <v>0</v>
      </c>
      <c r="AB284" t="s">
        <v>564</v>
      </c>
      <c r="AC284" t="s">
        <v>1385</v>
      </c>
      <c r="AD284" t="s">
        <v>818</v>
      </c>
      <c r="AE284">
        <v>880.59339999999997</v>
      </c>
      <c r="AF284" t="s">
        <v>819</v>
      </c>
      <c r="AG284">
        <v>879.41869999999994</v>
      </c>
      <c r="AH284">
        <v>-1.334090039663578E-3</v>
      </c>
      <c r="AI284" t="s">
        <v>579</v>
      </c>
      <c r="AJ284" t="s">
        <v>546</v>
      </c>
      <c r="AK284">
        <v>-2.3340000000000001E-3</v>
      </c>
      <c r="AL284" t="str">
        <f>IF($A284="","",IFERROR(INDEX(Company_List!$G$3:$G$207,MATCH($A284,Company_List!$A$3:$A$207,0)),"unassigned"))</f>
        <v>both</v>
      </c>
      <c r="AM284" t="s">
        <v>1386</v>
      </c>
      <c r="AO284" t="s">
        <v>593</v>
      </c>
      <c r="AP284" t="str">
        <f>IF($A284="","",IF(COUNTIFS(LLM_Data_Entry!$A$3:$A$548,$A284)&gt;0,"YES","NO"))</f>
        <v>YES</v>
      </c>
      <c r="AQ284" t="str">
        <f>IF($A284="","",IF(COUNTIFS($A$3:$A284,$A284,$C$3:$C284,$C284,$D$3:$D284,$D284)=1,"YES","NO"))</f>
        <v>YES</v>
      </c>
      <c r="AR284" t="str">
        <f>IF($A284="","",IF(AND($C284&amp;"-"&amp;$D284&gt;=Settings!$B$19,$C284&amp;"-"&amp;$D284&lt;=Settings!$B$20),"IN","OUT"))</f>
        <v>IN</v>
      </c>
      <c r="AS284" t="str">
        <f t="shared" si="48"/>
        <v>full</v>
      </c>
      <c r="AT284">
        <f t="shared" si="49"/>
        <v>-4.5999999999999999E-3</v>
      </c>
      <c r="AU284">
        <f t="shared" si="50"/>
        <v>-2.3340000000000001E-3</v>
      </c>
      <c r="AV284">
        <f>IF(ISNUMBER($AT284),ABS(IF(ISNUMBER($I284),$I284,0)-Settings!$B$24),"")</f>
        <v>0.4</v>
      </c>
      <c r="AW284">
        <f t="shared" si="51"/>
        <v>-1.8400000000000001E-3</v>
      </c>
      <c r="AX284">
        <f>IF(ISNUMBER($AU284),ABS(IF(ISNUMBER($I284),$I284,0)-Settings!$B$24),"")</f>
        <v>0.4</v>
      </c>
      <c r="AY284" t="s">
        <v>1183</v>
      </c>
      <c r="AZ284" t="str">
        <f>IF($A284="","",IFERROR(INDEX(Company_List!$H$3:$H$207,MATCH($A284,Company_List!$A$3:$A$207,0)),"unassigned"))</f>
        <v>Consumer Staples</v>
      </c>
      <c r="BC284">
        <f>IF($A284="","",IF(COUNTIFS($A$3:$A284,$A284,$C$3:$C284,$C284,$D$3:$D284,$D284,$G$3:$G284,$G284)=1,1,0))</f>
        <v>1</v>
      </c>
      <c r="BG284" t="s">
        <v>550</v>
      </c>
      <c r="BK284">
        <f t="shared" si="52"/>
        <v>0</v>
      </c>
      <c r="BL284" t="s">
        <v>551</v>
      </c>
      <c r="BM284">
        <v>2</v>
      </c>
      <c r="BN284" t="s">
        <v>595</v>
      </c>
      <c r="BO284" t="s">
        <v>596</v>
      </c>
      <c r="BP284" t="s">
        <v>550</v>
      </c>
      <c r="BQ284" t="s">
        <v>550</v>
      </c>
      <c r="BS284" t="s">
        <v>554</v>
      </c>
    </row>
    <row r="285" spans="1:72" x14ac:dyDescent="0.2">
      <c r="A285" s="97" t="s">
        <v>1381</v>
      </c>
      <c r="B285" s="116" t="str">
        <f>IF(A285="","",_xlfn.XLOOKUP(A285, Company_List!$A:$A, Company_List!$B:$B, ""))</f>
        <v>COST</v>
      </c>
      <c r="C285" s="143">
        <v>2026</v>
      </c>
      <c r="D285" s="143" t="s">
        <v>555</v>
      </c>
      <c r="E285" s="144" t="s">
        <v>538</v>
      </c>
      <c r="F285" s="144" t="s">
        <v>538</v>
      </c>
      <c r="G285" s="143" t="s">
        <v>574</v>
      </c>
      <c r="H285" s="106" t="s">
        <v>540</v>
      </c>
      <c r="I285" s="145">
        <v>0.3</v>
      </c>
      <c r="J285" s="145" t="str">
        <f>IF(OR(I285="",Settings!$B$6=""),"",IF(I285&gt;Settings!$B$6,"BUY",IF(I285&lt;-Settings!$B$6,"SELL","HOLD")))</f>
        <v>BUY</v>
      </c>
      <c r="K285" s="145">
        <v>46</v>
      </c>
      <c r="L285" s="123">
        <v>46086</v>
      </c>
      <c r="M285" s="123" t="s">
        <v>846</v>
      </c>
      <c r="N285" s="147">
        <v>993.05790000000002</v>
      </c>
      <c r="O285" s="123" t="s">
        <v>847</v>
      </c>
      <c r="P285" s="145">
        <v>989.29930000000002</v>
      </c>
      <c r="Q285" s="151">
        <f t="shared" si="43"/>
        <v>-3.8E-3</v>
      </c>
      <c r="R285" s="118" t="str">
        <f>IF(OR(N285="",P285=""),"",IF(Q285&gt;Settings!$B$3/100,"UP",IF(Q285&lt;-Settings!$B$3/100,"DOWN","FLAT")))</f>
        <v>FLAT</v>
      </c>
      <c r="S285" s="118" t="str">
        <f t="shared" si="44"/>
        <v>NO</v>
      </c>
      <c r="T285" s="119">
        <f t="shared" si="45"/>
        <v>1</v>
      </c>
      <c r="U285" s="150">
        <f>IFERROR(IF(OR(J285="",N285="",P285=""),"",IF(T285=0,0,T285*Q285-Settings!$B$4/10000-IF(T285&lt;0,Settings!$B$5/10000,0))),"")</f>
        <v>-4.8000000000000004E-3</v>
      </c>
      <c r="V285" s="7" t="s">
        <v>1387</v>
      </c>
      <c r="W285" s="21">
        <f t="shared" si="46"/>
        <v>2760</v>
      </c>
      <c r="X285" s="91" t="str">
        <f t="shared" si="47"/>
        <v>Costco|2026|Q2</v>
      </c>
      <c r="Y285" s="91" t="str">
        <f>IFERROR(IF($X285="","",INDEX(LLM_Data_Entry!$H$3:$H$548,MATCH($X285,INDEX(LLM_Data_Entry!$A$3:$A$548&amp;"|"&amp;LLM_Data_Entry!$C$3:$C$548&amp;"|"&amp;LLM_Data_Entry!$D$3:$D$548,0),0))),"")</f>
        <v>HOLD</v>
      </c>
      <c r="Z285" s="91">
        <f>IFERROR(IF($X285="","",INDEX(LLM_Data_Entry!$R$3:$R$548,MATCH($X285,INDEX(LLM_Data_Entry!$A$3:$A$548&amp;"|"&amp;LLM_Data_Entry!$C$3:$C$548&amp;"|"&amp;LLM_Data_Entry!$D$3:$D$548,0),0))),"")</f>
        <v>0</v>
      </c>
      <c r="AB285" t="s">
        <v>564</v>
      </c>
      <c r="AC285" t="s">
        <v>1385</v>
      </c>
      <c r="AD285" t="s">
        <v>1388</v>
      </c>
      <c r="AE285">
        <v>979.58889999999997</v>
      </c>
      <c r="AF285" t="s">
        <v>1389</v>
      </c>
      <c r="AG285">
        <v>964.0761</v>
      </c>
      <c r="AH285">
        <v>-1.5836081677945119E-2</v>
      </c>
      <c r="AI285" t="s">
        <v>579</v>
      </c>
      <c r="AJ285" t="s">
        <v>546</v>
      </c>
      <c r="AK285">
        <v>-1.6836E-2</v>
      </c>
      <c r="AL285" t="str">
        <f>IF($A285="","",IFERROR(INDEX(Company_List!$G$3:$G$207,MATCH($A285,Company_List!$A$3:$A$207,0)),"unassigned"))</f>
        <v>both</v>
      </c>
      <c r="AM285" t="s">
        <v>1390</v>
      </c>
      <c r="AN285" t="s">
        <v>1391</v>
      </c>
      <c r="AO285" t="s">
        <v>560</v>
      </c>
      <c r="AP285" t="str">
        <f>IF($A285="","",IF(COUNTIFS(LLM_Data_Entry!$A$3:$A$548,$A285)&gt;0,"YES","NO"))</f>
        <v>YES</v>
      </c>
      <c r="AQ285" t="str">
        <f>IF($A285="","",IF(COUNTIFS($A$3:$A285,$A285,$C$3:$C285,$C285,$D$3:$D285,$D285)=1,"YES","NO"))</f>
        <v>YES</v>
      </c>
      <c r="AR285" t="str">
        <f>IF($A285="","",IF(AND($C285&amp;"-"&amp;$D285&gt;=Settings!$B$19,$C285&amp;"-"&amp;$D285&lt;=Settings!$B$20),"IN","OUT"))</f>
        <v>IN</v>
      </c>
      <c r="AS285" t="str">
        <f t="shared" si="48"/>
        <v>full</v>
      </c>
      <c r="AT285">
        <f t="shared" si="49"/>
        <v>-4.8000000000000004E-3</v>
      </c>
      <c r="AU285">
        <f t="shared" si="50"/>
        <v>-1.6836E-2</v>
      </c>
      <c r="AV285">
        <f>IF(ISNUMBER($AT285),ABS(IF(ISNUMBER($I285),$I285,0)-Settings!$B$24),"")</f>
        <v>0.3</v>
      </c>
      <c r="AW285">
        <f t="shared" si="51"/>
        <v>-1.4400000000000001E-3</v>
      </c>
      <c r="AX285">
        <f>IF(ISNUMBER($AU285),ABS(IF(ISNUMBER($I285),$I285,0)-Settings!$B$24),"")</f>
        <v>0.3</v>
      </c>
      <c r="AY285" t="s">
        <v>1183</v>
      </c>
      <c r="AZ285" t="str">
        <f>IF($A285="","",IFERROR(INDEX(Company_List!$H$3:$H$207,MATCH($A285,Company_List!$A$3:$A$207,0)),"unassigned"))</f>
        <v>Consumer Staples</v>
      </c>
      <c r="BC285">
        <f>IF($A285="","",IF(COUNTIFS($A$3:$A285,$A285,$C$3:$C285,$C285,$D$3:$D285,$D285,$G$3:$G285,$G285)=1,1,0))</f>
        <v>1</v>
      </c>
      <c r="BG285" t="s">
        <v>550</v>
      </c>
      <c r="BK285">
        <f t="shared" si="52"/>
        <v>0</v>
      </c>
      <c r="BL285" t="s">
        <v>551</v>
      </c>
      <c r="BM285">
        <v>1</v>
      </c>
      <c r="BN285" t="s">
        <v>561</v>
      </c>
      <c r="BO285" t="s">
        <v>561</v>
      </c>
      <c r="BP285" t="s">
        <v>550</v>
      </c>
      <c r="BQ285" t="s">
        <v>562</v>
      </c>
      <c r="BS285" t="s">
        <v>554</v>
      </c>
    </row>
    <row r="286" spans="1:72" x14ac:dyDescent="0.2">
      <c r="A286" s="97" t="s">
        <v>1381</v>
      </c>
      <c r="B286" s="116" t="str">
        <f>IF(A286="","",_xlfn.XLOOKUP(A286, Company_List!$A:$A, Company_List!$B:$B, ""))</f>
        <v>COST</v>
      </c>
      <c r="C286" s="143">
        <v>2026</v>
      </c>
      <c r="D286" s="143" t="s">
        <v>563</v>
      </c>
      <c r="E286" s="144" t="s">
        <v>538</v>
      </c>
      <c r="F286" s="144" t="s">
        <v>538</v>
      </c>
      <c r="G286" s="143" t="s">
        <v>574</v>
      </c>
      <c r="H286" s="106" t="s">
        <v>540</v>
      </c>
      <c r="I286" s="145">
        <v>0.5</v>
      </c>
      <c r="J286" s="145" t="str">
        <f>IF(OR(I286="",Settings!$B$6=""),"",IF(I286&gt;Settings!$B$6,"BUY",IF(I286&lt;-Settings!$B$6,"SELL","HOLD")))</f>
        <v>BUY</v>
      </c>
      <c r="K286" s="145">
        <v>50</v>
      </c>
      <c r="L286" s="123">
        <v>46170</v>
      </c>
      <c r="M286" s="123" t="s">
        <v>1379</v>
      </c>
      <c r="N286" s="147">
        <v>1031.4401</v>
      </c>
      <c r="O286" s="123" t="s">
        <v>1392</v>
      </c>
      <c r="P286" s="145">
        <v>1033.3071</v>
      </c>
      <c r="Q286" s="151">
        <f t="shared" si="43"/>
        <v>1.8E-3</v>
      </c>
      <c r="R286" s="118" t="str">
        <f>IF(OR(N286="",P286=""),"",IF(Q286&gt;Settings!$B$3/100,"UP",IF(Q286&lt;-Settings!$B$3/100,"DOWN","FLAT")))</f>
        <v>FLAT</v>
      </c>
      <c r="S286" s="118" t="str">
        <f t="shared" si="44"/>
        <v>NO</v>
      </c>
      <c r="T286" s="119">
        <f t="shared" si="45"/>
        <v>1</v>
      </c>
      <c r="U286" s="150">
        <f>IFERROR(IF(OR(J286="",N286="",P286=""),"",IF(T286=0,0,T286*Q286-Settings!$B$4/10000-IF(T286&lt;0,Settings!$B$5/10000,0))),"")</f>
        <v>7.9999999999999993E-4</v>
      </c>
      <c r="V286" s="7" t="s">
        <v>1393</v>
      </c>
      <c r="W286" s="21">
        <f t="shared" si="46"/>
        <v>3000</v>
      </c>
      <c r="X286" s="91" t="str">
        <f t="shared" si="47"/>
        <v>Costco|2026|Q3</v>
      </c>
      <c r="Y286" s="91" t="str">
        <f>IFERROR(IF($X286="","",INDEX(LLM_Data_Entry!$H$3:$H$548,MATCH($X286,INDEX(LLM_Data_Entry!$A$3:$A$548&amp;"|"&amp;LLM_Data_Entry!$C$3:$C$548&amp;"|"&amp;LLM_Data_Entry!$D$3:$D$548,0),0))),"")</f>
        <v>HOLD</v>
      </c>
      <c r="Z286" s="91">
        <f>IFERROR(IF($X286="","",INDEX(LLM_Data_Entry!$R$3:$R$548,MATCH($X286,INDEX(LLM_Data_Entry!$A$3:$A$548&amp;"|"&amp;LLM_Data_Entry!$C$3:$C$548&amp;"|"&amp;LLM_Data_Entry!$D$3:$D$548,0),0))),"")</f>
        <v>0</v>
      </c>
      <c r="AB286" t="s">
        <v>807</v>
      </c>
      <c r="AC286" t="s">
        <v>1385</v>
      </c>
      <c r="AD286" t="s">
        <v>1394</v>
      </c>
      <c r="AE286">
        <v>993.62019999999995</v>
      </c>
      <c r="AF286" t="s">
        <v>1395</v>
      </c>
      <c r="AG286">
        <v>985.00390000000004</v>
      </c>
      <c r="AH286">
        <v>-8.6716399549251633E-3</v>
      </c>
      <c r="AI286" t="s">
        <v>579</v>
      </c>
      <c r="AJ286" t="s">
        <v>546</v>
      </c>
      <c r="AK286">
        <v>-9.672E-3</v>
      </c>
      <c r="AL286" t="str">
        <f>IF($A286="","",IFERROR(INDEX(Company_List!$G$3:$G$207,MATCH($A286,Company_List!$A$3:$A$207,0)),"unassigned"))</f>
        <v>both</v>
      </c>
      <c r="AM286" t="s">
        <v>1396</v>
      </c>
      <c r="AO286" t="s">
        <v>548</v>
      </c>
      <c r="AP286" t="str">
        <f>IF($A286="","",IF(COUNTIFS(LLM_Data_Entry!$A$3:$A$548,$A286)&gt;0,"YES","NO"))</f>
        <v>YES</v>
      </c>
      <c r="AQ286" t="str">
        <f>IF($A286="","",IF(COUNTIFS($A$3:$A286,$A286,$C$3:$C286,$C286,$D$3:$D286,$D286)=1,"YES","NO"))</f>
        <v>YES</v>
      </c>
      <c r="AR286" t="str">
        <f>IF($A286="","",IF(AND($C286&amp;"-"&amp;$D286&gt;=Settings!$B$19,$C286&amp;"-"&amp;$D286&lt;=Settings!$B$20),"IN","OUT"))</f>
        <v>IN</v>
      </c>
      <c r="AS286" t="str">
        <f t="shared" si="48"/>
        <v>full</v>
      </c>
      <c r="AT286">
        <f t="shared" si="49"/>
        <v>7.9999999999999993E-4</v>
      </c>
      <c r="AU286">
        <f t="shared" si="50"/>
        <v>-9.672E-3</v>
      </c>
      <c r="AV286">
        <f>IF(ISNUMBER($AT286),ABS(IF(ISNUMBER($I286),$I286,0)-Settings!$B$24),"")</f>
        <v>0.5</v>
      </c>
      <c r="AW286">
        <f t="shared" si="51"/>
        <v>3.9999999999999996E-4</v>
      </c>
      <c r="AX286">
        <f>IF(ISNUMBER($AU286),ABS(IF(ISNUMBER($I286),$I286,0)-Settings!$B$24),"")</f>
        <v>0.5</v>
      </c>
      <c r="AY286" t="s">
        <v>1183</v>
      </c>
      <c r="AZ286" t="str">
        <f>IF($A286="","",IFERROR(INDEX(Company_List!$H$3:$H$207,MATCH($A286,Company_List!$A$3:$A$207,0)),"unassigned"))</f>
        <v>Consumer Staples</v>
      </c>
      <c r="BC286">
        <f>IF($A286="","",IF(COUNTIFS($A$3:$A286,$A286,$C$3:$C286,$C286,$D$3:$D286,$D286,$G$3:$G286,$G286)=1,1,0))</f>
        <v>1</v>
      </c>
      <c r="BG286" t="s">
        <v>550</v>
      </c>
      <c r="BK286">
        <f t="shared" si="52"/>
        <v>0</v>
      </c>
      <c r="BL286" t="s">
        <v>551</v>
      </c>
      <c r="BM286">
        <v>1</v>
      </c>
      <c r="BN286" t="s">
        <v>595</v>
      </c>
      <c r="BO286" t="s">
        <v>596</v>
      </c>
      <c r="BP286" t="s">
        <v>550</v>
      </c>
      <c r="BQ286" t="s">
        <v>550</v>
      </c>
      <c r="BS286" t="s">
        <v>554</v>
      </c>
    </row>
    <row r="287" spans="1:72" x14ac:dyDescent="0.2">
      <c r="A287" s="97" t="s">
        <v>1397</v>
      </c>
      <c r="B287" s="116" t="str">
        <f>IF(A287="","",_xlfn.XLOOKUP(A287, Company_List!$A:$A, Company_List!$B:$B, ""))</f>
        <v>SHOP</v>
      </c>
      <c r="C287" s="143">
        <v>2025</v>
      </c>
      <c r="D287" s="143" t="s">
        <v>563</v>
      </c>
      <c r="E287" s="144" t="s">
        <v>538</v>
      </c>
      <c r="F287" s="144" t="s">
        <v>538</v>
      </c>
      <c r="G287" s="143" t="s">
        <v>574</v>
      </c>
      <c r="H287" s="106" t="s">
        <v>540</v>
      </c>
      <c r="I287" s="145">
        <v>0.4</v>
      </c>
      <c r="J287" s="145" t="str">
        <f>IF(OR(I287="",Settings!$B$6=""),"",IF(I287&gt;Settings!$B$6,"BUY",IF(I287&lt;-Settings!$B$6,"SELL","HOLD")))</f>
        <v>BUY</v>
      </c>
      <c r="K287" s="145">
        <v>45</v>
      </c>
      <c r="L287" s="123">
        <v>45965</v>
      </c>
      <c r="M287" s="123" t="s">
        <v>1042</v>
      </c>
      <c r="N287" s="147">
        <v>164.71</v>
      </c>
      <c r="O287" s="123" t="s">
        <v>565</v>
      </c>
      <c r="P287" s="145">
        <v>164.79</v>
      </c>
      <c r="Q287" s="151">
        <f t="shared" si="43"/>
        <v>5.0000000000000001E-4</v>
      </c>
      <c r="R287" s="118" t="str">
        <f>IF(OR(N287="",P287=""),"",IF(Q287&gt;Settings!$B$3/100,"UP",IF(Q287&lt;-Settings!$B$3/100,"DOWN","FLAT")))</f>
        <v>FLAT</v>
      </c>
      <c r="S287" s="118" t="str">
        <f t="shared" si="44"/>
        <v>NO</v>
      </c>
      <c r="T287" s="119">
        <f t="shared" si="45"/>
        <v>1</v>
      </c>
      <c r="U287" s="150">
        <f>IFERROR(IF(OR(J287="",N287="",P287=""),"",IF(T287=0,0,T287*Q287-Settings!$B$4/10000-IF(T287&lt;0,Settings!$B$5/10000,0))),"")</f>
        <v>-5.0000000000000001E-4</v>
      </c>
      <c r="V287" s="7" t="s">
        <v>1398</v>
      </c>
      <c r="W287" s="21">
        <f t="shared" si="46"/>
        <v>2700</v>
      </c>
      <c r="X287" s="91" t="str">
        <f t="shared" si="47"/>
        <v>Shopify|2025|Q3</v>
      </c>
      <c r="Y287" s="91" t="str">
        <f>IFERROR(IF($X287="","",INDEX(LLM_Data_Entry!$H$3:$H$548,MATCH($X287,INDEX(LLM_Data_Entry!$A$3:$A$548&amp;"|"&amp;LLM_Data_Entry!$C$3:$C$548&amp;"|"&amp;LLM_Data_Entry!$D$3:$D$548,0),0))),"")</f>
        <v>BUY</v>
      </c>
      <c r="Z287" s="91">
        <f>IFERROR(IF($X287="","",INDEX(LLM_Data_Entry!$R$3:$R$548,MATCH($X287,INDEX(LLM_Data_Entry!$A$3:$A$548&amp;"|"&amp;LLM_Data_Entry!$C$3:$C$548&amp;"|"&amp;LLM_Data_Entry!$D$3:$D$548,0),0))),"")</f>
        <v>0</v>
      </c>
      <c r="AB287" t="s">
        <v>636</v>
      </c>
      <c r="AC287" t="s">
        <v>1399</v>
      </c>
      <c r="AD287" t="s">
        <v>1204</v>
      </c>
      <c r="AE287">
        <v>172.94</v>
      </c>
      <c r="AF287" t="s">
        <v>1031</v>
      </c>
      <c r="AG287">
        <v>163.065</v>
      </c>
      <c r="AH287">
        <v>-5.7100727916031831E-2</v>
      </c>
      <c r="AI287" t="s">
        <v>545</v>
      </c>
      <c r="AJ287" t="s">
        <v>546</v>
      </c>
      <c r="AK287">
        <v>-5.8101E-2</v>
      </c>
      <c r="AL287" t="str">
        <f>IF($A287="","",IFERROR(INDEX(Company_List!$G$3:$G$207,MATCH($A287,Company_List!$A$3:$A$207,0)),"unassigned"))</f>
        <v>P3</v>
      </c>
      <c r="AM287" t="s">
        <v>1400</v>
      </c>
      <c r="AO287" t="s">
        <v>593</v>
      </c>
      <c r="AP287" t="str">
        <f>IF($A287="","",IF(COUNTIFS(LLM_Data_Entry!$A$3:$A$548,$A287)&gt;0,"YES","NO"))</f>
        <v>YES</v>
      </c>
      <c r="AQ287" t="str">
        <f>IF($A287="","",IF(COUNTIFS($A$3:$A287,$A287,$C$3:$C287,$C287,$D$3:$D287,$D287)=1,"YES","NO"))</f>
        <v>YES</v>
      </c>
      <c r="AR287" t="str">
        <f>IF($A287="","",IF(AND($C287&amp;"-"&amp;$D287&gt;=Settings!$B$19,$C287&amp;"-"&amp;$D287&lt;=Settings!$B$20),"IN","OUT"))</f>
        <v>IN</v>
      </c>
      <c r="AS287" t="str">
        <f t="shared" si="48"/>
        <v>full</v>
      </c>
      <c r="AT287">
        <f t="shared" si="49"/>
        <v>-5.0000000000000001E-4</v>
      </c>
      <c r="AU287">
        <f t="shared" si="50"/>
        <v>-5.8101E-2</v>
      </c>
      <c r="AV287">
        <f>IF(ISNUMBER($AT287),ABS(IF(ISNUMBER($I287),$I287,0)-Settings!$B$24),"")</f>
        <v>0.4</v>
      </c>
      <c r="AW287">
        <f t="shared" si="51"/>
        <v>-2.0000000000000001E-4</v>
      </c>
      <c r="AX287">
        <f>IF(ISNUMBER($AU287),ABS(IF(ISNUMBER($I287),$I287,0)-Settings!$B$24),"")</f>
        <v>0.4</v>
      </c>
      <c r="AY287" t="s">
        <v>1183</v>
      </c>
      <c r="AZ287" t="str">
        <f>IF($A287="","",IFERROR(INDEX(Company_List!$H$3:$H$207,MATCH($A287,Company_List!$A$3:$A$207,0)),"unassigned"))</f>
        <v>Information Technology</v>
      </c>
      <c r="BC287">
        <f>IF($A287="","",IF(COUNTIFS($A$3:$A287,$A287,$C$3:$C287,$C287,$D$3:$D287,$D287,$G$3:$G287,$G287)=1,1,0))</f>
        <v>1</v>
      </c>
      <c r="BG287" t="s">
        <v>550</v>
      </c>
      <c r="BK287">
        <f t="shared" si="52"/>
        <v>1</v>
      </c>
      <c r="BL287" t="s">
        <v>551</v>
      </c>
      <c r="BM287">
        <v>3</v>
      </c>
      <c r="BN287" t="s">
        <v>561</v>
      </c>
      <c r="BO287" t="s">
        <v>561</v>
      </c>
      <c r="BP287" t="s">
        <v>550</v>
      </c>
      <c r="BQ287" t="s">
        <v>550</v>
      </c>
      <c r="BS287" t="s">
        <v>554</v>
      </c>
    </row>
    <row r="288" spans="1:72" x14ac:dyDescent="0.2">
      <c r="A288" s="97" t="s">
        <v>1397</v>
      </c>
      <c r="B288" s="116" t="str">
        <f>IF(A288="","",_xlfn.XLOOKUP(A288, Company_List!$A:$A, Company_List!$B:$B, ""))</f>
        <v>SHOP</v>
      </c>
      <c r="C288" s="143">
        <v>2025</v>
      </c>
      <c r="D288" s="143" t="s">
        <v>569</v>
      </c>
      <c r="E288" s="144" t="s">
        <v>538</v>
      </c>
      <c r="F288" s="144" t="s">
        <v>538</v>
      </c>
      <c r="G288" s="143" t="s">
        <v>574</v>
      </c>
      <c r="H288" s="106" t="s">
        <v>540</v>
      </c>
      <c r="I288" s="145">
        <v>0.5</v>
      </c>
      <c r="J288" s="145" t="str">
        <f>IF(OR(I288="",Settings!$B$6=""),"",IF(I288&gt;Settings!$B$6,"BUY",IF(I288&lt;-Settings!$B$6,"SELL","HOLD")))</f>
        <v>BUY</v>
      </c>
      <c r="K288" s="145">
        <v>43</v>
      </c>
      <c r="L288" s="123">
        <v>46064</v>
      </c>
      <c r="M288" s="123" t="s">
        <v>632</v>
      </c>
      <c r="N288" s="147">
        <v>137.5</v>
      </c>
      <c r="O288" s="123" t="s">
        <v>776</v>
      </c>
      <c r="P288" s="145">
        <v>138.715</v>
      </c>
      <c r="Q288" s="151">
        <f t="shared" si="43"/>
        <v>8.8000000000000005E-3</v>
      </c>
      <c r="R288" s="118" t="str">
        <f>IF(OR(N288="",P288=""),"",IF(Q288&gt;Settings!$B$3/100,"UP",IF(Q288&lt;-Settings!$B$3/100,"DOWN","FLAT")))</f>
        <v>FLAT</v>
      </c>
      <c r="S288" s="118" t="str">
        <f t="shared" si="44"/>
        <v>NO</v>
      </c>
      <c r="T288" s="119">
        <f t="shared" si="45"/>
        <v>1</v>
      </c>
      <c r="U288" s="150">
        <f>IFERROR(IF(OR(J288="",N288="",P288=""),"",IF(T288=0,0,T288*Q288-Settings!$B$4/10000-IF(T288&lt;0,Settings!$B$5/10000,0))),"")</f>
        <v>7.8000000000000005E-3</v>
      </c>
      <c r="V288" s="7" t="s">
        <v>1401</v>
      </c>
      <c r="W288" s="21">
        <f t="shared" si="46"/>
        <v>2580</v>
      </c>
      <c r="X288" s="91" t="str">
        <f t="shared" si="47"/>
        <v>Shopify|2025|Q4</v>
      </c>
      <c r="Y288" s="91" t="str">
        <f>IFERROR(IF($X288="","",INDEX(LLM_Data_Entry!$H$3:$H$548,MATCH($X288,INDEX(LLM_Data_Entry!$A$3:$A$548&amp;"|"&amp;LLM_Data_Entry!$C$3:$C$548&amp;"|"&amp;LLM_Data_Entry!$D$3:$D$548,0),0))),"")</f>
        <v>BUY</v>
      </c>
      <c r="Z288" s="91">
        <f>IFERROR(IF($X288="","",INDEX(LLM_Data_Entry!$R$3:$R$548,MATCH($X288,INDEX(LLM_Data_Entry!$A$3:$A$548&amp;"|"&amp;LLM_Data_Entry!$C$3:$C$548&amp;"|"&amp;LLM_Data_Entry!$D$3:$D$548,0),0))),"")</f>
        <v>0</v>
      </c>
      <c r="AB288" t="s">
        <v>636</v>
      </c>
      <c r="AC288" t="s">
        <v>1399</v>
      </c>
      <c r="AD288" t="s">
        <v>705</v>
      </c>
      <c r="AE288">
        <v>127.24</v>
      </c>
      <c r="AF288" t="s">
        <v>676</v>
      </c>
      <c r="AG288">
        <v>138.9</v>
      </c>
      <c r="AH288">
        <v>9.1637819736526502E-2</v>
      </c>
      <c r="AI288" t="s">
        <v>591</v>
      </c>
      <c r="AJ288" t="s">
        <v>554</v>
      </c>
      <c r="AK288">
        <v>9.0637999999999996E-2</v>
      </c>
      <c r="AL288" t="str">
        <f>IF($A288="","",IFERROR(INDEX(Company_List!$G$3:$G$207,MATCH($A288,Company_List!$A$3:$A$207,0)),"unassigned"))</f>
        <v>P3</v>
      </c>
      <c r="AM288" t="s">
        <v>1402</v>
      </c>
      <c r="AO288" t="s">
        <v>593</v>
      </c>
      <c r="AP288" t="str">
        <f>IF($A288="","",IF(COUNTIFS(LLM_Data_Entry!$A$3:$A$548,$A288)&gt;0,"YES","NO"))</f>
        <v>YES</v>
      </c>
      <c r="AQ288" t="str">
        <f>IF($A288="","",IF(COUNTIFS($A$3:$A288,$A288,$C$3:$C288,$C288,$D$3:$D288,$D288)=1,"YES","NO"))</f>
        <v>YES</v>
      </c>
      <c r="AR288" t="str">
        <f>IF($A288="","",IF(AND($C288&amp;"-"&amp;$D288&gt;=Settings!$B$19,$C288&amp;"-"&amp;$D288&lt;=Settings!$B$20),"IN","OUT"))</f>
        <v>IN</v>
      </c>
      <c r="AS288" t="str">
        <f t="shared" si="48"/>
        <v>full</v>
      </c>
      <c r="AT288">
        <f t="shared" si="49"/>
        <v>7.8000000000000005E-3</v>
      </c>
      <c r="AU288">
        <f t="shared" si="50"/>
        <v>9.0637999999999996E-2</v>
      </c>
      <c r="AV288">
        <f>IF(ISNUMBER($AT288),ABS(IF(ISNUMBER($I288),$I288,0)-Settings!$B$24),"")</f>
        <v>0.5</v>
      </c>
      <c r="AW288">
        <f t="shared" si="51"/>
        <v>3.9000000000000003E-3</v>
      </c>
      <c r="AX288">
        <f>IF(ISNUMBER($AU288),ABS(IF(ISNUMBER($I288),$I288,0)-Settings!$B$24),"")</f>
        <v>0.5</v>
      </c>
      <c r="AY288" t="s">
        <v>1183</v>
      </c>
      <c r="AZ288" t="str">
        <f>IF($A288="","",IFERROR(INDEX(Company_List!$H$3:$H$207,MATCH($A288,Company_List!$A$3:$A$207,0)),"unassigned"))</f>
        <v>Information Technology</v>
      </c>
      <c r="BC288">
        <f>IF($A288="","",IF(COUNTIFS($A$3:$A288,$A288,$C$3:$C288,$C288,$D$3:$D288,$D288,$G$3:$G288,$G288)=1,1,0))</f>
        <v>1</v>
      </c>
      <c r="BG288" t="s">
        <v>550</v>
      </c>
      <c r="BK288">
        <f t="shared" si="52"/>
        <v>1</v>
      </c>
      <c r="BL288" t="s">
        <v>551</v>
      </c>
      <c r="BM288">
        <v>2</v>
      </c>
      <c r="BN288" t="s">
        <v>595</v>
      </c>
      <c r="BO288" t="s">
        <v>596</v>
      </c>
      <c r="BP288" t="s">
        <v>550</v>
      </c>
      <c r="BQ288" t="s">
        <v>550</v>
      </c>
      <c r="BS288" t="s">
        <v>554</v>
      </c>
    </row>
    <row r="289" spans="1:71" x14ac:dyDescent="0.2">
      <c r="A289" s="97" t="s">
        <v>1397</v>
      </c>
      <c r="B289" s="116" t="str">
        <f>IF(A289="","",_xlfn.XLOOKUP(A289, Company_List!$A:$A, Company_List!$B:$B, ""))</f>
        <v>SHOP</v>
      </c>
      <c r="C289" s="143">
        <v>2026</v>
      </c>
      <c r="D289" s="143" t="s">
        <v>537</v>
      </c>
      <c r="E289" s="144" t="s">
        <v>538</v>
      </c>
      <c r="F289" s="144" t="s">
        <v>538</v>
      </c>
      <c r="G289" s="143" t="s">
        <v>574</v>
      </c>
      <c r="H289" s="106" t="s">
        <v>540</v>
      </c>
      <c r="I289" s="145">
        <v>0.5</v>
      </c>
      <c r="J289" s="145" t="str">
        <f>IF(OR(I289="",Settings!$B$6=""),"",IF(I289&gt;Settings!$B$6,"BUY",IF(I289&lt;-Settings!$B$6,"SELL","HOLD")))</f>
        <v>BUY</v>
      </c>
      <c r="K289" s="145">
        <v>50</v>
      </c>
      <c r="L289" s="123">
        <v>46147</v>
      </c>
      <c r="M289" s="123" t="s">
        <v>1403</v>
      </c>
      <c r="N289" s="147">
        <v>135.13999999999999</v>
      </c>
      <c r="O289" s="123" t="s">
        <v>1404</v>
      </c>
      <c r="P289" s="145">
        <v>135.215</v>
      </c>
      <c r="Q289" s="151">
        <f t="shared" si="43"/>
        <v>5.9999999999999995E-4</v>
      </c>
      <c r="R289" s="118" t="str">
        <f>IF(OR(N289="",P289=""),"",IF(Q289&gt;Settings!$B$3/100,"UP",IF(Q289&lt;-Settings!$B$3/100,"DOWN","FLAT")))</f>
        <v>FLAT</v>
      </c>
      <c r="S289" s="118" t="str">
        <f t="shared" si="44"/>
        <v>NO</v>
      </c>
      <c r="T289" s="119">
        <f t="shared" si="45"/>
        <v>1</v>
      </c>
      <c r="U289" s="150">
        <f>IFERROR(IF(OR(J289="",N289="",P289=""),"",IF(T289=0,0,T289*Q289-Settings!$B$4/10000-IF(T289&lt;0,Settings!$B$5/10000,0))),"")</f>
        <v>-4.0000000000000007E-4</v>
      </c>
      <c r="V289" s="7" t="s">
        <v>1405</v>
      </c>
      <c r="W289" s="21">
        <f t="shared" si="46"/>
        <v>3000</v>
      </c>
      <c r="X289" s="91" t="str">
        <f t="shared" si="47"/>
        <v>Shopify|2026|Q1</v>
      </c>
      <c r="Y289" s="91" t="str">
        <f>IFERROR(IF($X289="","",INDEX(LLM_Data_Entry!$H$3:$H$548,MATCH($X289,INDEX(LLM_Data_Entry!$A$3:$A$548&amp;"|"&amp;LLM_Data_Entry!$C$3:$C$548&amp;"|"&amp;LLM_Data_Entry!$D$3:$D$548,0),0))),"")</f>
        <v>HOLD</v>
      </c>
      <c r="Z289" s="91">
        <f>IFERROR(IF($X289="","",INDEX(LLM_Data_Entry!$R$3:$R$548,MATCH($X289,INDEX(LLM_Data_Entry!$A$3:$A$548&amp;"|"&amp;LLM_Data_Entry!$C$3:$C$548&amp;"|"&amp;LLM_Data_Entry!$D$3:$D$548,0),0))),"")</f>
        <v>0</v>
      </c>
      <c r="AB289" t="s">
        <v>636</v>
      </c>
      <c r="AC289" t="s">
        <v>1399</v>
      </c>
      <c r="AD289" t="s">
        <v>985</v>
      </c>
      <c r="AE289">
        <v>127.55</v>
      </c>
      <c r="AF289" t="s">
        <v>731</v>
      </c>
      <c r="AG289">
        <v>116.05</v>
      </c>
      <c r="AH289">
        <v>-9.0160719165173209E-2</v>
      </c>
      <c r="AI289" t="s">
        <v>545</v>
      </c>
      <c r="AJ289" t="s">
        <v>546</v>
      </c>
      <c r="AK289">
        <v>-9.1161000000000006E-2</v>
      </c>
      <c r="AL289" t="str">
        <f>IF($A289="","",IFERROR(INDEX(Company_List!$G$3:$G$207,MATCH($A289,Company_List!$A$3:$A$207,0)),"unassigned"))</f>
        <v>P3</v>
      </c>
      <c r="AM289" t="s">
        <v>1406</v>
      </c>
      <c r="AO289" t="s">
        <v>548</v>
      </c>
      <c r="AP289" t="str">
        <f>IF($A289="","",IF(COUNTIFS(LLM_Data_Entry!$A$3:$A$548,$A289)&gt;0,"YES","NO"))</f>
        <v>YES</v>
      </c>
      <c r="AQ289" t="str">
        <f>IF($A289="","",IF(COUNTIFS($A$3:$A289,$A289,$C$3:$C289,$C289,$D$3:$D289,$D289)=1,"YES","NO"))</f>
        <v>YES</v>
      </c>
      <c r="AR289" t="str">
        <f>IF($A289="","",IF(AND($C289&amp;"-"&amp;$D289&gt;=Settings!$B$19,$C289&amp;"-"&amp;$D289&lt;=Settings!$B$20),"IN","OUT"))</f>
        <v>IN</v>
      </c>
      <c r="AS289" t="str">
        <f t="shared" si="48"/>
        <v>full</v>
      </c>
      <c r="AT289">
        <f t="shared" si="49"/>
        <v>-4.0000000000000007E-4</v>
      </c>
      <c r="AU289">
        <f t="shared" si="50"/>
        <v>-9.1161000000000006E-2</v>
      </c>
      <c r="AV289">
        <f>IF(ISNUMBER($AT289),ABS(IF(ISNUMBER($I289),$I289,0)-Settings!$B$24),"")</f>
        <v>0.5</v>
      </c>
      <c r="AW289">
        <f t="shared" si="51"/>
        <v>-2.0000000000000004E-4</v>
      </c>
      <c r="AX289">
        <f>IF(ISNUMBER($AU289),ABS(IF(ISNUMBER($I289),$I289,0)-Settings!$B$24),"")</f>
        <v>0.5</v>
      </c>
      <c r="AY289" t="s">
        <v>1183</v>
      </c>
      <c r="AZ289" t="str">
        <f>IF($A289="","",IFERROR(INDEX(Company_List!$H$3:$H$207,MATCH($A289,Company_List!$A$3:$A$207,0)),"unassigned"))</f>
        <v>Information Technology</v>
      </c>
      <c r="BC289">
        <f>IF($A289="","",IF(COUNTIFS($A$3:$A289,$A289,$C$3:$C289,$C289,$D$3:$D289,$D289,$G$3:$G289,$G289)=1,1,0))</f>
        <v>1</v>
      </c>
      <c r="BG289" t="s">
        <v>550</v>
      </c>
      <c r="BK289">
        <f t="shared" si="52"/>
        <v>0</v>
      </c>
      <c r="BL289" t="s">
        <v>551</v>
      </c>
      <c r="BM289">
        <v>1</v>
      </c>
      <c r="BN289" t="s">
        <v>595</v>
      </c>
      <c r="BO289" t="s">
        <v>596</v>
      </c>
      <c r="BP289" t="s">
        <v>550</v>
      </c>
      <c r="BQ289" t="s">
        <v>550</v>
      </c>
      <c r="BS289" t="s">
        <v>554</v>
      </c>
    </row>
    <row r="290" spans="1:71" x14ac:dyDescent="0.2">
      <c r="A290" s="97" t="s">
        <v>1407</v>
      </c>
      <c r="B290" s="116" t="str">
        <f>IF(A290="","",_xlfn.XLOOKUP(A290, Company_List!$A:$A, Company_List!$B:$B, ""))</f>
        <v>SONY</v>
      </c>
      <c r="C290" s="143">
        <v>2025</v>
      </c>
      <c r="D290" s="143" t="s">
        <v>555</v>
      </c>
      <c r="E290" s="144" t="s">
        <v>538</v>
      </c>
      <c r="F290" s="144" t="s">
        <v>538</v>
      </c>
      <c r="G290" s="143" t="s">
        <v>574</v>
      </c>
      <c r="H290" s="106" t="s">
        <v>540</v>
      </c>
      <c r="I290" s="145">
        <v>0.1</v>
      </c>
      <c r="J290" s="145" t="str">
        <f>IF(OR(I290="",Settings!$B$6=""),"",IF(I290&gt;Settings!$B$6,"BUY",IF(I290&lt;-Settings!$B$6,"SELL","HOLD")))</f>
        <v>HOLD</v>
      </c>
      <c r="K290" s="145">
        <v>37</v>
      </c>
      <c r="L290" s="123">
        <v>45972</v>
      </c>
      <c r="M290" s="123" t="s">
        <v>1188</v>
      </c>
      <c r="N290" s="147">
        <v>28.9</v>
      </c>
      <c r="O290" s="123" t="s">
        <v>1042</v>
      </c>
      <c r="P290" s="145">
        <v>29.34</v>
      </c>
      <c r="Q290" s="151">
        <f t="shared" si="43"/>
        <v>1.52E-2</v>
      </c>
      <c r="R290" s="118" t="str">
        <f>IF(OR(N290="",P290=""),"",IF(Q290&gt;Settings!$B$3/100,"UP",IF(Q290&lt;-Settings!$B$3/100,"DOWN","FLAT")))</f>
        <v>FLAT</v>
      </c>
      <c r="S290" s="118" t="str">
        <f t="shared" si="44"/>
        <v>YES</v>
      </c>
      <c r="T290" s="119">
        <f t="shared" si="45"/>
        <v>0</v>
      </c>
      <c r="U290" s="150">
        <f>IFERROR(IF(OR(J290="",N290="",P290=""),"",IF(T290=0,0,T290*Q290-Settings!$B$4/10000-IF(T290&lt;0,Settings!$B$5/10000,0))),"")</f>
        <v>0</v>
      </c>
      <c r="V290" s="7" t="s">
        <v>1408</v>
      </c>
      <c r="W290" s="21">
        <f t="shared" si="46"/>
        <v>2220</v>
      </c>
      <c r="X290" s="91" t="str">
        <f t="shared" si="47"/>
        <v>Sony|2025|Q2</v>
      </c>
      <c r="Y290" s="91" t="str">
        <f>IFERROR(IF($X290="","",INDEX(LLM_Data_Entry!$H$3:$H$548,MATCH($X290,INDEX(LLM_Data_Entry!$A$3:$A$548&amp;"|"&amp;LLM_Data_Entry!$C$3:$C$548&amp;"|"&amp;LLM_Data_Entry!$D$3:$D$548,0),0))),"")</f>
        <v>BUY</v>
      </c>
      <c r="Z290" s="91">
        <f>IFERROR(IF($X290="","",INDEX(LLM_Data_Entry!$R$3:$R$548,MATCH($X290,INDEX(LLM_Data_Entry!$A$3:$A$548&amp;"|"&amp;LLM_Data_Entry!$C$3:$C$548&amp;"|"&amp;LLM_Data_Entry!$D$3:$D$548,0),0))),"")</f>
        <v>0</v>
      </c>
      <c r="AB290" t="s">
        <v>864</v>
      </c>
      <c r="AC290" t="s">
        <v>1409</v>
      </c>
      <c r="AD290" t="s">
        <v>1410</v>
      </c>
      <c r="AE290">
        <v>4502.3936000000003</v>
      </c>
      <c r="AF290" t="s">
        <v>644</v>
      </c>
      <c r="AG290">
        <v>4625.9102000000003</v>
      </c>
      <c r="AH290">
        <v>2.7433548060467841E-2</v>
      </c>
      <c r="AI290" t="s">
        <v>591</v>
      </c>
      <c r="AJ290" t="s">
        <v>546</v>
      </c>
      <c r="AK290">
        <v>0</v>
      </c>
      <c r="AL290" t="str">
        <f>IF($A290="","",IFERROR(INDEX(Company_List!$G$3:$G$207,MATCH($A290,Company_List!$A$3:$A$207,0)),"unassigned"))</f>
        <v>P3</v>
      </c>
      <c r="AM290" t="s">
        <v>1411</v>
      </c>
      <c r="AN290" t="s">
        <v>1412</v>
      </c>
      <c r="AO290" t="s">
        <v>560</v>
      </c>
      <c r="AP290" t="str">
        <f>IF($A290="","",IF(COUNTIFS(LLM_Data_Entry!$A$3:$A$548,$A290)&gt;0,"YES","NO"))</f>
        <v>YES</v>
      </c>
      <c r="AQ290" t="str">
        <f>IF($A290="","",IF(COUNTIFS($A$3:$A290,$A290,$C$3:$C290,$C290,$D$3:$D290,$D290)=1,"YES","NO"))</f>
        <v>YES</v>
      </c>
      <c r="AR290" t="str">
        <f>IF($A290="","",IF(AND($C290&amp;"-"&amp;$D290&gt;=Settings!$B$19,$C290&amp;"-"&amp;$D290&lt;=Settings!$B$20),"IN","OUT"))</f>
        <v>IN</v>
      </c>
      <c r="AS290" t="str">
        <f t="shared" si="48"/>
        <v>full</v>
      </c>
      <c r="AT290" t="str">
        <f t="shared" si="49"/>
        <v/>
      </c>
      <c r="AU290" t="str">
        <f t="shared" si="50"/>
        <v/>
      </c>
      <c r="AV290" t="str">
        <f>IF(ISNUMBER($AT290),ABS(IF(ISNUMBER($I290),$I290,0)-Settings!$B$24),"")</f>
        <v/>
      </c>
      <c r="AW290" t="str">
        <f t="shared" si="51"/>
        <v/>
      </c>
      <c r="AX290" t="str">
        <f>IF(ISNUMBER($AU290),ABS(IF(ISNUMBER($I290),$I290,0)-Settings!$B$24),"")</f>
        <v/>
      </c>
      <c r="AY290" t="s">
        <v>1183</v>
      </c>
      <c r="AZ290" t="str">
        <f>IF($A290="","",IFERROR(INDEX(Company_List!$H$3:$H$207,MATCH($A290,Company_List!$A$3:$A$207,0)),"unassigned"))</f>
        <v>Consumer Discretionary</v>
      </c>
      <c r="BC290">
        <f>IF($A290="","",IF(COUNTIFS($A$3:$A290,$A290,$C$3:$C290,$C290,$D$3:$D290,$D290,$G$3:$G290,$G290)=1,1,0))</f>
        <v>1</v>
      </c>
      <c r="BG290" t="s">
        <v>550</v>
      </c>
      <c r="BK290">
        <f t="shared" si="52"/>
        <v>0</v>
      </c>
      <c r="BL290" t="s">
        <v>551</v>
      </c>
      <c r="BM290">
        <v>1</v>
      </c>
      <c r="BN290" t="s">
        <v>561</v>
      </c>
      <c r="BO290" t="s">
        <v>561</v>
      </c>
      <c r="BP290" t="s">
        <v>550</v>
      </c>
      <c r="BQ290" t="s">
        <v>562</v>
      </c>
      <c r="BS290" t="s">
        <v>554</v>
      </c>
    </row>
    <row r="291" spans="1:71" x14ac:dyDescent="0.2">
      <c r="A291" s="97" t="s">
        <v>1407</v>
      </c>
      <c r="B291" s="116" t="str">
        <f>IF(A291="","",_xlfn.XLOOKUP(A291, Company_List!$A:$A, Company_List!$B:$B, ""))</f>
        <v>SONY</v>
      </c>
      <c r="C291" s="143">
        <v>2025</v>
      </c>
      <c r="D291" s="143" t="s">
        <v>563</v>
      </c>
      <c r="E291" s="144" t="s">
        <v>538</v>
      </c>
      <c r="F291" s="144" t="s">
        <v>538</v>
      </c>
      <c r="G291" s="143" t="s">
        <v>574</v>
      </c>
      <c r="H291" s="106" t="s">
        <v>540</v>
      </c>
      <c r="I291" s="145">
        <v>0.2</v>
      </c>
      <c r="J291" s="145" t="str">
        <f>IF(OR(I291="",Settings!$B$6=""),"",IF(I291&gt;Settings!$B$6,"BUY",IF(I291&lt;-Settings!$B$6,"SELL","HOLD")))</f>
        <v>HOLD</v>
      </c>
      <c r="K291" s="145">
        <v>30</v>
      </c>
      <c r="L291" s="123">
        <v>46058</v>
      </c>
      <c r="M291" s="123" t="s">
        <v>570</v>
      </c>
      <c r="N291" s="147">
        <v>23.72</v>
      </c>
      <c r="O291" s="123" t="s">
        <v>571</v>
      </c>
      <c r="P291" s="145">
        <v>23.5</v>
      </c>
      <c r="Q291" s="151">
        <f t="shared" si="43"/>
        <v>-9.2999999999999992E-3</v>
      </c>
      <c r="R291" s="118" t="str">
        <f>IF(OR(N291="",P291=""),"",IF(Q291&gt;Settings!$B$3/100,"UP",IF(Q291&lt;-Settings!$B$3/100,"DOWN","FLAT")))</f>
        <v>FLAT</v>
      </c>
      <c r="S291" s="118" t="str">
        <f t="shared" si="44"/>
        <v>YES</v>
      </c>
      <c r="T291" s="119">
        <f t="shared" si="45"/>
        <v>0</v>
      </c>
      <c r="U291" s="150">
        <f>IFERROR(IF(OR(J291="",N291="",P291=""),"",IF(T291=0,0,T291*Q291-Settings!$B$4/10000-IF(T291&lt;0,Settings!$B$5/10000,0))),"")</f>
        <v>0</v>
      </c>
      <c r="V291" s="7" t="s">
        <v>1413</v>
      </c>
      <c r="W291" s="21">
        <f t="shared" si="46"/>
        <v>1800</v>
      </c>
      <c r="X291" s="91" t="str">
        <f t="shared" si="47"/>
        <v>Sony|2025|Q3</v>
      </c>
      <c r="Y291" s="91" t="str">
        <f>IFERROR(IF($X291="","",INDEX(LLM_Data_Entry!$H$3:$H$548,MATCH($X291,INDEX(LLM_Data_Entry!$A$3:$A$548&amp;"|"&amp;LLM_Data_Entry!$C$3:$C$548&amp;"|"&amp;LLM_Data_Entry!$D$3:$D$548,0),0))),"")</f>
        <v>BUY</v>
      </c>
      <c r="Z291" s="91">
        <f>IFERROR(IF($X291="","",INDEX(LLM_Data_Entry!$R$3:$R$548,MATCH($X291,INDEX(LLM_Data_Entry!$A$3:$A$548&amp;"|"&amp;LLM_Data_Entry!$C$3:$C$548&amp;"|"&amp;LLM_Data_Entry!$D$3:$D$548,0),0))),"")</f>
        <v>0</v>
      </c>
      <c r="AB291" t="s">
        <v>864</v>
      </c>
      <c r="AC291" t="s">
        <v>1409</v>
      </c>
      <c r="AD291" t="s">
        <v>664</v>
      </c>
      <c r="AE291">
        <v>3334.9585000000002</v>
      </c>
      <c r="AF291" t="s">
        <v>665</v>
      </c>
      <c r="AG291">
        <v>3404.6860000000001</v>
      </c>
      <c r="AH291">
        <v>2.0908067196671189E-2</v>
      </c>
      <c r="AI291" t="s">
        <v>591</v>
      </c>
      <c r="AJ291" t="s">
        <v>546</v>
      </c>
      <c r="AK291">
        <v>0</v>
      </c>
      <c r="AL291" t="str">
        <f>IF($A291="","",IFERROR(INDEX(Company_List!$G$3:$G$207,MATCH($A291,Company_List!$A$3:$A$207,0)),"unassigned"))</f>
        <v>P3</v>
      </c>
      <c r="AM291" t="s">
        <v>1414</v>
      </c>
      <c r="AN291" t="s">
        <v>1415</v>
      </c>
      <c r="AO291" t="s">
        <v>560</v>
      </c>
      <c r="AP291" t="str">
        <f>IF($A291="","",IF(COUNTIFS(LLM_Data_Entry!$A$3:$A$548,$A291)&gt;0,"YES","NO"))</f>
        <v>YES</v>
      </c>
      <c r="AQ291" t="str">
        <f>IF($A291="","",IF(COUNTIFS($A$3:$A291,$A291,$C$3:$C291,$C291,$D$3:$D291,$D291)=1,"YES","NO"))</f>
        <v>YES</v>
      </c>
      <c r="AR291" t="str">
        <f>IF($A291="","",IF(AND($C291&amp;"-"&amp;$D291&gt;=Settings!$B$19,$C291&amp;"-"&amp;$D291&lt;=Settings!$B$20),"IN","OUT"))</f>
        <v>IN</v>
      </c>
      <c r="AS291" t="str">
        <f t="shared" si="48"/>
        <v>full</v>
      </c>
      <c r="AT291" t="str">
        <f t="shared" si="49"/>
        <v/>
      </c>
      <c r="AU291" t="str">
        <f t="shared" si="50"/>
        <v/>
      </c>
      <c r="AV291" t="str">
        <f>IF(ISNUMBER($AT291),ABS(IF(ISNUMBER($I291),$I291,0)-Settings!$B$24),"")</f>
        <v/>
      </c>
      <c r="AW291" t="str">
        <f t="shared" si="51"/>
        <v/>
      </c>
      <c r="AX291" t="str">
        <f>IF(ISNUMBER($AU291),ABS(IF(ISNUMBER($I291),$I291,0)-Settings!$B$24),"")</f>
        <v/>
      </c>
      <c r="AY291" t="s">
        <v>1183</v>
      </c>
      <c r="AZ291" t="str">
        <f>IF($A291="","",IFERROR(INDEX(Company_List!$H$3:$H$207,MATCH($A291,Company_List!$A$3:$A$207,0)),"unassigned"))</f>
        <v>Consumer Discretionary</v>
      </c>
      <c r="BC291">
        <f>IF($A291="","",IF(COUNTIFS($A$3:$A291,$A291,$C$3:$C291,$C291,$D$3:$D291,$D291,$G$3:$G291,$G291)=1,1,0))</f>
        <v>1</v>
      </c>
      <c r="BG291" t="s">
        <v>550</v>
      </c>
      <c r="BK291">
        <f t="shared" si="52"/>
        <v>0</v>
      </c>
      <c r="BL291" t="s">
        <v>551</v>
      </c>
      <c r="BM291">
        <v>1</v>
      </c>
      <c r="BN291" t="s">
        <v>561</v>
      </c>
      <c r="BO291" t="s">
        <v>561</v>
      </c>
      <c r="BP291" t="s">
        <v>550</v>
      </c>
      <c r="BQ291" t="s">
        <v>562</v>
      </c>
      <c r="BS291" t="s">
        <v>554</v>
      </c>
    </row>
    <row r="292" spans="1:71" x14ac:dyDescent="0.2">
      <c r="A292" s="97" t="s">
        <v>1407</v>
      </c>
      <c r="B292" s="116" t="str">
        <f>IF(A292="","",_xlfn.XLOOKUP(A292, Company_List!$A:$A, Company_List!$B:$B, ""))</f>
        <v>SONY</v>
      </c>
      <c r="C292" s="143">
        <v>2026</v>
      </c>
      <c r="D292" s="143" t="s">
        <v>537</v>
      </c>
      <c r="E292" s="144" t="s">
        <v>538</v>
      </c>
      <c r="F292" s="144" t="s">
        <v>538</v>
      </c>
      <c r="G292" s="143" t="s">
        <v>574</v>
      </c>
      <c r="H292" s="106" t="s">
        <v>540</v>
      </c>
      <c r="I292" s="145">
        <v>0.3</v>
      </c>
      <c r="J292" s="145" t="str">
        <f>IF(OR(I292="",Settings!$B$6=""),"",IF(I292&gt;Settings!$B$6,"BUY",IF(I292&lt;-Settings!$B$6,"SELL","HOLD")))</f>
        <v>BUY</v>
      </c>
      <c r="K292" s="145">
        <v>44</v>
      </c>
      <c r="L292" s="123">
        <v>46234</v>
      </c>
      <c r="M292" s="123" t="s">
        <v>1178</v>
      </c>
      <c r="N292" s="147">
        <v>21.12</v>
      </c>
      <c r="O292" s="123" t="s">
        <v>1416</v>
      </c>
      <c r="P292" s="145">
        <v>21.33</v>
      </c>
      <c r="Q292" s="151">
        <f t="shared" si="43"/>
        <v>9.9000000000000008E-3</v>
      </c>
      <c r="R292" s="118" t="str">
        <f>IF(OR(N292="",P292=""),"",IF(Q292&gt;Settings!$B$3/100,"UP",IF(Q292&lt;-Settings!$B$3/100,"DOWN","FLAT")))</f>
        <v>FLAT</v>
      </c>
      <c r="S292" s="118" t="str">
        <f t="shared" si="44"/>
        <v>NO</v>
      </c>
      <c r="T292" s="119">
        <f t="shared" si="45"/>
        <v>1</v>
      </c>
      <c r="U292" s="150">
        <f>IFERROR(IF(OR(J292="",N292="",P292=""),"",IF(T292=0,0,T292*Q292-Settings!$B$4/10000-IF(T292&lt;0,Settings!$B$5/10000,0))),"")</f>
        <v>8.9000000000000017E-3</v>
      </c>
      <c r="V292" s="7" t="s">
        <v>1417</v>
      </c>
      <c r="W292" s="21">
        <f t="shared" si="46"/>
        <v>2640</v>
      </c>
      <c r="X292" s="91" t="str">
        <f t="shared" si="47"/>
        <v>Sony|2026|Q1</v>
      </c>
      <c r="Y292" s="91" t="str">
        <f>IFERROR(IF($X292="","",INDEX(LLM_Data_Entry!$H$3:$H$548,MATCH($X292,INDEX(LLM_Data_Entry!$A$3:$A$548&amp;"|"&amp;LLM_Data_Entry!$C$3:$C$548&amp;"|"&amp;LLM_Data_Entry!$D$3:$D$548,0),0))),"")</f>
        <v>HOLD</v>
      </c>
      <c r="Z292" s="91">
        <f>IFERROR(IF($X292="","",INDEX(LLM_Data_Entry!$R$3:$R$548,MATCH($X292,INDEX(LLM_Data_Entry!$A$3:$A$548&amp;"|"&amp;LLM_Data_Entry!$C$3:$C$548&amp;"|"&amp;LLM_Data_Entry!$D$3:$D$548,0),0))),"")</f>
        <v>0</v>
      </c>
      <c r="AB292" t="s">
        <v>864</v>
      </c>
      <c r="AC292" t="s">
        <v>1409</v>
      </c>
      <c r="AD292" t="s">
        <v>1181</v>
      </c>
      <c r="AE292">
        <v>3787</v>
      </c>
      <c r="AF292" t="s">
        <v>1418</v>
      </c>
      <c r="AG292">
        <v>3598</v>
      </c>
      <c r="AH292">
        <v>-4.9907578558225509E-2</v>
      </c>
      <c r="AI292" t="s">
        <v>545</v>
      </c>
      <c r="AJ292" t="s">
        <v>546</v>
      </c>
      <c r="AK292">
        <v>-5.0908000000000002E-2</v>
      </c>
      <c r="AL292" t="str">
        <f>IF($A292="","",IFERROR(INDEX(Company_List!$G$3:$G$207,MATCH($A292,Company_List!$A$3:$A$207,0)),"unassigned"))</f>
        <v>P3</v>
      </c>
      <c r="AM292" t="s">
        <v>1419</v>
      </c>
      <c r="AN292" t="s">
        <v>1420</v>
      </c>
      <c r="AO292" t="s">
        <v>560</v>
      </c>
      <c r="AP292" t="str">
        <f>IF($A292="","",IF(COUNTIFS(LLM_Data_Entry!$A$3:$A$548,$A292)&gt;0,"YES","NO"))</f>
        <v>YES</v>
      </c>
      <c r="AQ292" t="str">
        <f>IF($A292="","",IF(COUNTIFS($A$3:$A292,$A292,$C$3:$C292,$C292,$D$3:$D292,$D292)=1,"YES","NO"))</f>
        <v>YES</v>
      </c>
      <c r="AR292" t="str">
        <f>IF($A292="","",IF(AND($C292&amp;"-"&amp;$D292&gt;=Settings!$B$19,$C292&amp;"-"&amp;$D292&lt;=Settings!$B$20),"IN","OUT"))</f>
        <v>IN</v>
      </c>
      <c r="AS292" t="str">
        <f t="shared" si="48"/>
        <v>full</v>
      </c>
      <c r="AT292">
        <f t="shared" si="49"/>
        <v>8.9000000000000017E-3</v>
      </c>
      <c r="AU292">
        <f t="shared" si="50"/>
        <v>-5.0908000000000002E-2</v>
      </c>
      <c r="AV292">
        <f>IF(ISNUMBER($AT292),ABS(IF(ISNUMBER($I292),$I292,0)-Settings!$B$24),"")</f>
        <v>0.3</v>
      </c>
      <c r="AW292">
        <f t="shared" si="51"/>
        <v>2.6700000000000005E-3</v>
      </c>
      <c r="AX292">
        <f>IF(ISNUMBER($AU292),ABS(IF(ISNUMBER($I292),$I292,0)-Settings!$B$24),"")</f>
        <v>0.3</v>
      </c>
      <c r="AY292" t="s">
        <v>1183</v>
      </c>
      <c r="AZ292" t="str">
        <f>IF($A292="","",IFERROR(INDEX(Company_List!$H$3:$H$207,MATCH($A292,Company_List!$A$3:$A$207,0)),"unassigned"))</f>
        <v>Consumer Discretionary</v>
      </c>
      <c r="BC292">
        <f>IF($A292="","",IF(COUNTIFS($A$3:$A292,$A292,$C$3:$C292,$C292,$D$3:$D292,$D292,$G$3:$G292,$G292)=1,1,0))</f>
        <v>1</v>
      </c>
      <c r="BG292" t="s">
        <v>550</v>
      </c>
      <c r="BK292">
        <f t="shared" si="52"/>
        <v>0</v>
      </c>
      <c r="BL292" t="s">
        <v>551</v>
      </c>
      <c r="BM292">
        <v>1</v>
      </c>
      <c r="BN292" t="s">
        <v>561</v>
      </c>
      <c r="BO292" t="s">
        <v>561</v>
      </c>
      <c r="BP292" t="s">
        <v>550</v>
      </c>
      <c r="BQ292" t="s">
        <v>562</v>
      </c>
      <c r="BS292" t="s">
        <v>554</v>
      </c>
    </row>
    <row r="293" spans="1:71" x14ac:dyDescent="0.2">
      <c r="A293" s="97" t="s">
        <v>1421</v>
      </c>
      <c r="B293" s="116" t="str">
        <f>IF(A293="","",_xlfn.XLOOKUP(A293, Company_List!$A:$A, Company_List!$B:$B, ""))</f>
        <v/>
      </c>
      <c r="C293" s="143">
        <v>2024</v>
      </c>
      <c r="D293" s="143" t="s">
        <v>563</v>
      </c>
      <c r="E293" s="144" t="s">
        <v>538</v>
      </c>
      <c r="F293" s="144" t="s">
        <v>538</v>
      </c>
      <c r="G293" s="143" t="s">
        <v>574</v>
      </c>
      <c r="H293" s="106" t="s">
        <v>540</v>
      </c>
      <c r="I293" s="145">
        <v>0.3</v>
      </c>
      <c r="J293" s="145" t="str">
        <f>IF(OR(I293="",Settings!$B$6=""),"",IF(I293&gt;Settings!$B$6,"BUY",IF(I293&lt;-Settings!$B$6,"SELL","HOLD")))</f>
        <v>BUY</v>
      </c>
      <c r="K293" s="145">
        <v>40</v>
      </c>
      <c r="L293" s="123">
        <v>45582</v>
      </c>
      <c r="M293" s="123" t="s">
        <v>1221</v>
      </c>
      <c r="N293" s="147">
        <v>95.646600000000007</v>
      </c>
      <c r="O293" s="123" t="s">
        <v>1222</v>
      </c>
      <c r="P293" s="145">
        <v>95.544300000000007</v>
      </c>
      <c r="Q293" s="151">
        <f t="shared" si="43"/>
        <v>-1.1000000000000001E-3</v>
      </c>
      <c r="R293" s="118" t="str">
        <f>IF(OR(N293="",P293=""),"",IF(Q293&gt;Settings!$B$3/100,"UP",IF(Q293&lt;-Settings!$B$3/100,"DOWN","FLAT")))</f>
        <v>FLAT</v>
      </c>
      <c r="S293" s="118" t="str">
        <f t="shared" si="44"/>
        <v>NO</v>
      </c>
      <c r="T293" s="119">
        <f t="shared" si="45"/>
        <v>1</v>
      </c>
      <c r="U293" s="150">
        <f>IFERROR(IF(OR(J293="",N293="",P293=""),"",IF(T293=0,0,T293*Q293-Settings!$B$4/10000-IF(T293&lt;0,Settings!$B$5/10000,0))),"")</f>
        <v>-2.1000000000000003E-3</v>
      </c>
      <c r="V293" s="7" t="s">
        <v>1422</v>
      </c>
      <c r="W293" s="21">
        <f t="shared" si="46"/>
        <v>2400</v>
      </c>
      <c r="X293" s="91" t="str">
        <f t="shared" si="47"/>
        <v>Nestlé|2024|Q3</v>
      </c>
      <c r="Y293" s="91" t="str">
        <f>IFERROR(IF($X293="","",INDEX(LLM_Data_Entry!$H$3:$H$548,MATCH($X293,INDEX(LLM_Data_Entry!$A$3:$A$548&amp;"|"&amp;LLM_Data_Entry!$C$3:$C$548&amp;"|"&amp;LLM_Data_Entry!$D$3:$D$548,0),0))),"")</f>
        <v>SELL</v>
      </c>
      <c r="Z293" s="91">
        <f>IFERROR(IF($X293="","",INDEX(LLM_Data_Entry!$R$3:$R$548,MATCH($X293,INDEX(LLM_Data_Entry!$A$3:$A$548&amp;"|"&amp;LLM_Data_Entry!$C$3:$C$548&amp;"|"&amp;LLM_Data_Entry!$D$3:$D$548,0),0))),"")</f>
        <v>0</v>
      </c>
      <c r="AB293" t="s">
        <v>636</v>
      </c>
      <c r="AC293" t="s">
        <v>1423</v>
      </c>
      <c r="AD293" t="s">
        <v>1424</v>
      </c>
      <c r="AE293">
        <v>77.795500000000004</v>
      </c>
      <c r="AF293" t="s">
        <v>1425</v>
      </c>
      <c r="AG293">
        <v>76.793899999999994</v>
      </c>
      <c r="AH293">
        <v>-1.287544267777568E-2</v>
      </c>
      <c r="AI293" t="s">
        <v>579</v>
      </c>
      <c r="AJ293" t="s">
        <v>546</v>
      </c>
      <c r="AK293">
        <v>-1.3875E-2</v>
      </c>
      <c r="AL293" t="str">
        <f>IF($A293="","",IFERROR(INDEX(Company_List!$G$3:$G$207,MATCH($A293,Company_List!$A$3:$A$207,0)),"unassigned"))</f>
        <v>unassigned</v>
      </c>
      <c r="AM293" t="s">
        <v>1426</v>
      </c>
      <c r="AO293" t="s">
        <v>593</v>
      </c>
      <c r="AP293" t="str">
        <f>IF($A293="","",IF(COUNTIFS(LLM_Data_Entry!$A$3:$A$548,$A293)&gt;0,"YES","NO"))</f>
        <v>YES</v>
      </c>
      <c r="AQ293" t="str">
        <f>IF($A293="","",IF(COUNTIFS($A$3:$A293,$A293,$C$3:$C293,$C293,$D$3:$D293,$D293)=1,"YES","NO"))</f>
        <v>YES</v>
      </c>
      <c r="AR293" t="str">
        <f>IF($A293="","",IF(AND($C293&amp;"-"&amp;$D293&gt;=Settings!$B$19,$C293&amp;"-"&amp;$D293&lt;=Settings!$B$20),"IN","OUT"))</f>
        <v>IN</v>
      </c>
      <c r="AS293" t="str">
        <f t="shared" si="48"/>
        <v>full</v>
      </c>
      <c r="AT293">
        <f t="shared" si="49"/>
        <v>-2.1000000000000003E-3</v>
      </c>
      <c r="AU293">
        <f t="shared" si="50"/>
        <v>-1.3875E-2</v>
      </c>
      <c r="AV293">
        <f>IF(ISNUMBER($AT293),ABS(IF(ISNUMBER($I293),$I293,0)-Settings!$B$24),"")</f>
        <v>0.3</v>
      </c>
      <c r="AW293">
        <f t="shared" si="51"/>
        <v>-6.3000000000000003E-4</v>
      </c>
      <c r="AX293">
        <f>IF(ISNUMBER($AU293),ABS(IF(ISNUMBER($I293),$I293,0)-Settings!$B$24),"")</f>
        <v>0.3</v>
      </c>
      <c r="AY293" t="s">
        <v>1183</v>
      </c>
      <c r="AZ293" t="str">
        <f>IF($A293="","",IFERROR(INDEX(Company_List!$H$3:$H$207,MATCH($A293,Company_List!$A$3:$A$207,0)),"unassigned"))</f>
        <v>unassigned</v>
      </c>
      <c r="BC293">
        <f>IF($A293="","",IF(COUNTIFS($A$3:$A293,$A293,$C$3:$C293,$C293,$D$3:$D293,$D293,$G$3:$G293,$G293)=1,1,0))</f>
        <v>1</v>
      </c>
      <c r="BG293" t="s">
        <v>550</v>
      </c>
      <c r="BK293">
        <f t="shared" si="52"/>
        <v>0</v>
      </c>
      <c r="BL293" t="s">
        <v>551</v>
      </c>
      <c r="BM293">
        <v>2</v>
      </c>
      <c r="BN293" t="s">
        <v>561</v>
      </c>
      <c r="BO293" t="s">
        <v>561</v>
      </c>
      <c r="BP293" t="s">
        <v>550</v>
      </c>
      <c r="BQ293" t="s">
        <v>550</v>
      </c>
      <c r="BS293" t="s">
        <v>554</v>
      </c>
    </row>
    <row r="294" spans="1:71" x14ac:dyDescent="0.2">
      <c r="A294" s="97" t="s">
        <v>1421</v>
      </c>
      <c r="B294" s="116" t="str">
        <f>IF(A294="","",_xlfn.XLOOKUP(A294, Company_List!$A:$A, Company_List!$B:$B, ""))</f>
        <v/>
      </c>
      <c r="C294" s="143">
        <v>2026</v>
      </c>
      <c r="D294" s="143" t="s">
        <v>537</v>
      </c>
      <c r="E294" s="144" t="s">
        <v>538</v>
      </c>
      <c r="F294" s="144" t="s">
        <v>538</v>
      </c>
      <c r="G294" s="143" t="s">
        <v>574</v>
      </c>
      <c r="H294" s="106" t="s">
        <v>540</v>
      </c>
      <c r="I294" s="145">
        <v>0.2</v>
      </c>
      <c r="J294" s="145" t="str">
        <f>IF(OR(I294="",Settings!$B$6=""),"",IF(I294&gt;Settings!$B$6,"BUY",IF(I294&lt;-Settings!$B$6,"SELL","HOLD")))</f>
        <v>HOLD</v>
      </c>
      <c r="K294" s="145">
        <v>38</v>
      </c>
      <c r="L294" s="123">
        <v>46135</v>
      </c>
      <c r="M294" s="123" t="s">
        <v>570</v>
      </c>
      <c r="N294" s="147">
        <v>89.909899999999993</v>
      </c>
      <c r="O294" s="123" t="s">
        <v>571</v>
      </c>
      <c r="P294" s="145">
        <v>89.410499999999999</v>
      </c>
      <c r="Q294" s="151">
        <f t="shared" si="43"/>
        <v>-5.5999999999999999E-3</v>
      </c>
      <c r="R294" s="118" t="str">
        <f>IF(OR(N294="",P294=""),"",IF(Q294&gt;Settings!$B$3/100,"UP",IF(Q294&lt;-Settings!$B$3/100,"DOWN","FLAT")))</f>
        <v>FLAT</v>
      </c>
      <c r="S294" s="118" t="str">
        <f t="shared" si="44"/>
        <v>YES</v>
      </c>
      <c r="T294" s="119">
        <f t="shared" si="45"/>
        <v>0</v>
      </c>
      <c r="U294" s="150">
        <f>IFERROR(IF(OR(J294="",N294="",P294=""),"",IF(T294=0,0,T294*Q294-Settings!$B$4/10000-IF(T294&lt;0,Settings!$B$5/10000,0))),"")</f>
        <v>0</v>
      </c>
      <c r="V294" s="7" t="s">
        <v>1427</v>
      </c>
      <c r="W294" s="21">
        <f t="shared" si="46"/>
        <v>2280</v>
      </c>
      <c r="X294" s="91" t="str">
        <f t="shared" si="47"/>
        <v>Nestlé|2026|Q1</v>
      </c>
      <c r="Y294" s="91" t="str">
        <f>IFERROR(IF($X294="","",INDEX(LLM_Data_Entry!$H$3:$H$548,MATCH($X294,INDEX(LLM_Data_Entry!$A$3:$A$548&amp;"|"&amp;LLM_Data_Entry!$C$3:$C$548&amp;"|"&amp;LLM_Data_Entry!$D$3:$D$548,0),0))),"")</f>
        <v>HOLD</v>
      </c>
      <c r="Z294" s="91">
        <f>IFERROR(IF($X294="","",INDEX(LLM_Data_Entry!$R$3:$R$548,MATCH($X294,INDEX(LLM_Data_Entry!$A$3:$A$548&amp;"|"&amp;LLM_Data_Entry!$C$3:$C$548&amp;"|"&amp;LLM_Data_Entry!$D$3:$D$548,0),0))),"")</f>
        <v>0</v>
      </c>
      <c r="AB294" t="s">
        <v>636</v>
      </c>
      <c r="AC294" t="s">
        <v>1423</v>
      </c>
      <c r="AD294" t="s">
        <v>779</v>
      </c>
      <c r="AE294">
        <v>75.540000000000006</v>
      </c>
      <c r="AF294" t="s">
        <v>780</v>
      </c>
      <c r="AG294">
        <v>79.55</v>
      </c>
      <c r="AH294">
        <v>5.3084484338304407E-2</v>
      </c>
      <c r="AI294" t="s">
        <v>591</v>
      </c>
      <c r="AJ294" t="s">
        <v>546</v>
      </c>
      <c r="AK294">
        <v>0</v>
      </c>
      <c r="AL294" t="str">
        <f>IF($A294="","",IFERROR(INDEX(Company_List!$G$3:$G$207,MATCH($A294,Company_List!$A$3:$A$207,0)),"unassigned"))</f>
        <v>unassigned</v>
      </c>
      <c r="AM294" t="s">
        <v>1428</v>
      </c>
      <c r="AO294" t="s">
        <v>593</v>
      </c>
      <c r="AP294" t="str">
        <f>IF($A294="","",IF(COUNTIFS(LLM_Data_Entry!$A$3:$A$548,$A294)&gt;0,"YES","NO"))</f>
        <v>YES</v>
      </c>
      <c r="AQ294" t="str">
        <f>IF($A294="","",IF(COUNTIFS($A$3:$A294,$A294,$C$3:$C294,$C294,$D$3:$D294,$D294)=1,"YES","NO"))</f>
        <v>YES</v>
      </c>
      <c r="AR294" t="str">
        <f>IF($A294="","",IF(AND($C294&amp;"-"&amp;$D294&gt;=Settings!$B$19,$C294&amp;"-"&amp;$D294&lt;=Settings!$B$20),"IN","OUT"))</f>
        <v>IN</v>
      </c>
      <c r="AS294" t="str">
        <f t="shared" si="48"/>
        <v>full</v>
      </c>
      <c r="AT294" t="str">
        <f t="shared" si="49"/>
        <v/>
      </c>
      <c r="AU294" t="str">
        <f t="shared" si="50"/>
        <v/>
      </c>
      <c r="AV294" t="str">
        <f>IF(ISNUMBER($AT294),ABS(IF(ISNUMBER($I294),$I294,0)-Settings!$B$24),"")</f>
        <v/>
      </c>
      <c r="AW294" t="str">
        <f t="shared" si="51"/>
        <v/>
      </c>
      <c r="AX294" t="str">
        <f>IF(ISNUMBER($AU294),ABS(IF(ISNUMBER($I294),$I294,0)-Settings!$B$24),"")</f>
        <v/>
      </c>
      <c r="AY294" t="s">
        <v>1183</v>
      </c>
      <c r="AZ294" t="str">
        <f>IF($A294="","",IFERROR(INDEX(Company_List!$H$3:$H$207,MATCH($A294,Company_List!$A$3:$A$207,0)),"unassigned"))</f>
        <v>unassigned</v>
      </c>
      <c r="BC294">
        <f>IF($A294="","",IF(COUNTIFS($A$3:$A294,$A294,$C$3:$C294,$C294,$D$3:$D294,$D294,$G$3:$G294,$G294)=1,1,0))</f>
        <v>1</v>
      </c>
      <c r="BG294" t="s">
        <v>550</v>
      </c>
      <c r="BK294">
        <f t="shared" si="52"/>
        <v>1</v>
      </c>
      <c r="BL294" t="s">
        <v>551</v>
      </c>
      <c r="BM294">
        <v>2</v>
      </c>
      <c r="BN294" t="s">
        <v>595</v>
      </c>
      <c r="BO294" t="s">
        <v>596</v>
      </c>
      <c r="BP294" t="s">
        <v>550</v>
      </c>
      <c r="BQ294" t="s">
        <v>550</v>
      </c>
      <c r="BS294" t="s">
        <v>554</v>
      </c>
    </row>
    <row r="295" spans="1:71" x14ac:dyDescent="0.2">
      <c r="A295" s="1" t="s">
        <v>1429</v>
      </c>
      <c r="B295" s="117" t="str">
        <f>IF(A295="","",_xlfn.XLOOKUP(A295, Company_List!$A:$A, Company_List!$B:$B, ""))</f>
        <v>GOOGL</v>
      </c>
      <c r="C295" s="143">
        <v>2026</v>
      </c>
      <c r="D295" s="143" t="s">
        <v>537</v>
      </c>
      <c r="E295" s="98" t="s">
        <v>647</v>
      </c>
      <c r="F295" s="98" t="s">
        <v>1090</v>
      </c>
      <c r="G295" s="143" t="s">
        <v>648</v>
      </c>
      <c r="H295" s="106" t="s">
        <v>540</v>
      </c>
      <c r="I295" s="145">
        <v>-0.4</v>
      </c>
      <c r="J295" s="145" t="str">
        <f>IF(OR(I295="",Settings!$B$6=""),"",IF(I295&gt;Settings!$B$6,"BUY",IF(I295&lt;-Settings!$B$6,"SELL","HOLD")))</f>
        <v>SELL</v>
      </c>
      <c r="K295" s="145">
        <v>34</v>
      </c>
      <c r="L295" s="126">
        <v>46141</v>
      </c>
      <c r="M295" s="140">
        <v>46141</v>
      </c>
      <c r="N295" s="147">
        <v>349.94</v>
      </c>
      <c r="O295" s="140">
        <v>46142</v>
      </c>
      <c r="P295" s="145">
        <v>374.07</v>
      </c>
      <c r="Q295" s="151">
        <f t="shared" si="43"/>
        <v>6.9000000000000006E-2</v>
      </c>
      <c r="R295" s="118" t="str">
        <f>IF(OR(N295="",P295=""),"",IF(Q295&gt;Settings!$B$3/100,"UP",IF(Q295&lt;-Settings!$B$3/100,"DOWN","FLAT")))</f>
        <v>UP</v>
      </c>
      <c r="S295" s="118" t="str">
        <f t="shared" si="44"/>
        <v>NO</v>
      </c>
      <c r="T295" s="119">
        <f t="shared" si="45"/>
        <v>-1</v>
      </c>
      <c r="U295" s="150">
        <f>IFERROR(IF(OR(J295="",N295="",P295=""),"",IF(T295=0,0,T295*Q295-Settings!$B$4/10000-IF(T295&lt;0,Settings!$B$5/10000,0))),"")</f>
        <v>-7.0000000000000007E-2</v>
      </c>
      <c r="W295" s="21">
        <f t="shared" si="46"/>
        <v>2040</v>
      </c>
      <c r="X295" s="91" t="str">
        <f t="shared" si="47"/>
        <v>Alphabet|2026|Q1</v>
      </c>
      <c r="Y295" s="91" t="str">
        <f>IFERROR(IF($X295="","",INDEX(LLM_Data_Entry!$H$3:$H$548,MATCH($X295,INDEX(LLM_Data_Entry!$A$3:$A$548&amp;"|"&amp;LLM_Data_Entry!$C$3:$C$548&amp;"|"&amp;LLM_Data_Entry!$D$3:$D$548,0),0))),"")</f>
        <v>HOLD</v>
      </c>
      <c r="Z295" s="91" t="str">
        <f>IFERROR(IF($X295="","",INDEX(LLM_Data_Entry!$R$3:$R$548,MATCH($X295,INDEX(LLM_Data_Entry!$A$3:$A$548&amp;"|"&amp;LLM_Data_Entry!$C$3:$C$548&amp;"|"&amp;LLM_Data_Entry!$D$3:$D$548,0),0))),"")</f>
        <v>NO</v>
      </c>
      <c r="AB295" t="s">
        <v>564</v>
      </c>
      <c r="AC295" t="s">
        <v>1430</v>
      </c>
      <c r="AD295" t="s">
        <v>656</v>
      </c>
      <c r="AE295">
        <v>349.73110000000003</v>
      </c>
      <c r="AF295" t="s">
        <v>657</v>
      </c>
      <c r="AG295">
        <v>373.8467</v>
      </c>
      <c r="AH295">
        <v>6.8954678502347766E-2</v>
      </c>
      <c r="AI295" t="s">
        <v>591</v>
      </c>
      <c r="AJ295" t="s">
        <v>546</v>
      </c>
      <c r="AK295">
        <v>-6.9955000000000003E-2</v>
      </c>
      <c r="AL295" t="str">
        <f>IF($A295="","",IFERROR(INDEX(Company_List!$G$3:$G$207,MATCH($A295,Company_List!$A$3:$A$207,0)),"unassigned"))</f>
        <v>P2</v>
      </c>
      <c r="AM295" t="s">
        <v>1431</v>
      </c>
      <c r="AN295" t="s">
        <v>1432</v>
      </c>
      <c r="AO295" t="s">
        <v>560</v>
      </c>
      <c r="AP295" t="str">
        <f>IF($A295="","",IF(COUNTIFS(LLM_Data_Entry!$A$3:$A$548,$A295)&gt;0,"YES","NO"))</f>
        <v>YES</v>
      </c>
      <c r="AQ295" t="str">
        <f>IF($A295="","",IF(COUNTIFS($A$3:$A295,$A295,$C$3:$C295,$C295,$D$3:$D295,$D295)=1,"YES","NO"))</f>
        <v>YES</v>
      </c>
      <c r="AR295" t="str">
        <f>IF($A295="","",IF(AND($C295&amp;"-"&amp;$D295&gt;=Settings!$B$19,$C295&amp;"-"&amp;$D295&lt;=Settings!$B$20),"IN","OUT"))</f>
        <v>IN</v>
      </c>
      <c r="AS295" t="str">
        <f t="shared" si="48"/>
        <v>guidance</v>
      </c>
      <c r="AT295">
        <f t="shared" si="49"/>
        <v>-7.0000000000000007E-2</v>
      </c>
      <c r="AU295">
        <f t="shared" si="50"/>
        <v>-6.9955000000000003E-2</v>
      </c>
      <c r="AV295">
        <f>IF(ISNUMBER($AT295),ABS(IF(ISNUMBER($I295),$I295,0)-Settings!$B$24),"")</f>
        <v>0.4</v>
      </c>
      <c r="AW295">
        <f t="shared" si="51"/>
        <v>-2.8000000000000004E-2</v>
      </c>
      <c r="AX295">
        <f>IF(ISNUMBER($AU295),ABS(IF(ISNUMBER($I295),$I295,0)-Settings!$B$24),"")</f>
        <v>0.4</v>
      </c>
      <c r="AY295" t="s">
        <v>549</v>
      </c>
      <c r="AZ295" t="str">
        <f>IF($A295="","",IFERROR(INDEX(Company_List!$H$3:$H$207,MATCH($A295,Company_List!$A$3:$A$207,0)),"unassigned"))</f>
        <v>Communication Services</v>
      </c>
      <c r="BC295">
        <f>IF($A295="","",IF(COUNTIFS($A$3:$A295,$A295,$C$3:$C295,$C295,$D$3:$D295,$D295,$G$3:$G295,$G295)=1,1,0))</f>
        <v>1</v>
      </c>
      <c r="BG295" t="s">
        <v>550</v>
      </c>
      <c r="BK295">
        <f t="shared" si="52"/>
        <v>0</v>
      </c>
      <c r="BL295" t="s">
        <v>551</v>
      </c>
      <c r="BM295">
        <v>1</v>
      </c>
      <c r="BN295" t="s">
        <v>595</v>
      </c>
      <c r="BO295" t="s">
        <v>596</v>
      </c>
      <c r="BP295" t="s">
        <v>550</v>
      </c>
      <c r="BQ295" t="s">
        <v>562</v>
      </c>
      <c r="BS295" t="s">
        <v>554</v>
      </c>
    </row>
    <row r="296" spans="1:71" x14ac:dyDescent="0.2">
      <c r="A296" s="1" t="s">
        <v>1429</v>
      </c>
      <c r="B296" s="142" t="str">
        <f>IF(A296="","",_xlfn.XLOOKUP(A296, Company_List!$A:$A, Company_List!$B:$B, ""))</f>
        <v>GOOGL</v>
      </c>
      <c r="C296" s="143">
        <v>2025</v>
      </c>
      <c r="D296" s="143" t="s">
        <v>563</v>
      </c>
      <c r="E296" s="98" t="s">
        <v>647</v>
      </c>
      <c r="F296" s="98" t="s">
        <v>1092</v>
      </c>
      <c r="G296" s="143" t="s">
        <v>648</v>
      </c>
      <c r="H296" s="106" t="s">
        <v>540</v>
      </c>
      <c r="I296" s="145">
        <v>-0.35</v>
      </c>
      <c r="J296" s="145" t="str">
        <f>IF(OR(I296="",Settings!$B$6=""),"",IF(I296&gt;Settings!$B$6,"BUY",IF(I296&lt;-Settings!$B$6,"SELL","HOLD")))</f>
        <v>SELL</v>
      </c>
      <c r="K296" s="145">
        <v>43</v>
      </c>
      <c r="L296" s="125">
        <v>45959</v>
      </c>
      <c r="M296" s="140">
        <v>45959</v>
      </c>
      <c r="N296" s="147">
        <v>274.57</v>
      </c>
      <c r="O296" s="140">
        <v>45960</v>
      </c>
      <c r="P296" s="145">
        <v>291.58999999999997</v>
      </c>
      <c r="Q296" s="151">
        <f t="shared" si="43"/>
        <v>6.2E-2</v>
      </c>
      <c r="R296" s="118" t="str">
        <f>IF(OR(N296="",P296=""),"",IF(Q296&gt;Settings!$B$3/100,"UP",IF(Q296&lt;-Settings!$B$3/100,"DOWN","FLAT")))</f>
        <v>UP</v>
      </c>
      <c r="S296" s="118" t="str">
        <f t="shared" si="44"/>
        <v>NO</v>
      </c>
      <c r="T296" s="119">
        <f t="shared" si="45"/>
        <v>-1</v>
      </c>
      <c r="U296" s="150">
        <f>IFERROR(IF(OR(J296="",N296="",P296=""),"",IF(T296=0,0,T296*Q296-Settings!$B$4/10000-IF(T296&lt;0,Settings!$B$5/10000,0))),"")</f>
        <v>-6.3E-2</v>
      </c>
      <c r="W296" s="21">
        <f t="shared" si="46"/>
        <v>2580</v>
      </c>
      <c r="X296" s="91" t="str">
        <f t="shared" si="47"/>
        <v>Alphabet|2025|Q3</v>
      </c>
      <c r="Y296" s="91" t="str">
        <f>IFERROR(IF($X296="","",INDEX(LLM_Data_Entry!$H$3:$H$548,MATCH($X296,INDEX(LLM_Data_Entry!$A$3:$A$548&amp;"|"&amp;LLM_Data_Entry!$C$3:$C$548&amp;"|"&amp;LLM_Data_Entry!$D$3:$D$548,0),0))),"")</f>
        <v>BUY</v>
      </c>
      <c r="Z296" s="91" t="str">
        <f>IFERROR(IF($X296="","",INDEX(LLM_Data_Entry!$R$3:$R$548,MATCH($X296,INDEX(LLM_Data_Entry!$A$3:$A$548&amp;"|"&amp;LLM_Data_Entry!$C$3:$C$548&amp;"|"&amp;LLM_Data_Entry!$D$3:$D$548,0),0))),"")</f>
        <v>YES</v>
      </c>
      <c r="AB296" t="s">
        <v>564</v>
      </c>
      <c r="AC296" t="s">
        <v>1430</v>
      </c>
      <c r="AD296" t="s">
        <v>626</v>
      </c>
      <c r="AE296">
        <v>274.03379999999999</v>
      </c>
      <c r="AF296" t="s">
        <v>660</v>
      </c>
      <c r="AG296">
        <v>291.0206</v>
      </c>
      <c r="AH296">
        <v>6.1987930728150252E-2</v>
      </c>
      <c r="AI296" t="s">
        <v>591</v>
      </c>
      <c r="AJ296" t="s">
        <v>546</v>
      </c>
      <c r="AK296">
        <v>-6.2988000000000002E-2</v>
      </c>
      <c r="AL296" t="str">
        <f>IF($A296="","",IFERROR(INDEX(Company_List!$G$3:$G$207,MATCH($A296,Company_List!$A$3:$A$207,0)),"unassigned"))</f>
        <v>P2</v>
      </c>
      <c r="AM296" t="s">
        <v>1433</v>
      </c>
      <c r="AN296" t="s">
        <v>1434</v>
      </c>
      <c r="AO296" t="s">
        <v>560</v>
      </c>
      <c r="AP296" t="str">
        <f>IF($A296="","",IF(COUNTIFS(LLM_Data_Entry!$A$3:$A$548,$A296)&gt;0,"YES","NO"))</f>
        <v>YES</v>
      </c>
      <c r="AQ296" t="str">
        <f>IF($A296="","",IF(COUNTIFS($A$3:$A296,$A296,$C$3:$C296,$C296,$D$3:$D296,$D296)=1,"YES","NO"))</f>
        <v>YES</v>
      </c>
      <c r="AR296" t="str">
        <f>IF($A296="","",IF(AND($C296&amp;"-"&amp;$D296&gt;=Settings!$B$19,$C296&amp;"-"&amp;$D296&lt;=Settings!$B$20),"IN","OUT"))</f>
        <v>IN</v>
      </c>
      <c r="AS296" t="str">
        <f t="shared" si="48"/>
        <v>qanda</v>
      </c>
      <c r="AT296">
        <f t="shared" si="49"/>
        <v>-6.3E-2</v>
      </c>
      <c r="AU296">
        <f t="shared" si="50"/>
        <v>-6.2988000000000002E-2</v>
      </c>
      <c r="AV296">
        <f>IF(ISNUMBER($AT296),ABS(IF(ISNUMBER($I296),$I296,0)-Settings!$B$24),"")</f>
        <v>0.35</v>
      </c>
      <c r="AW296">
        <f t="shared" si="51"/>
        <v>-2.205E-2</v>
      </c>
      <c r="AX296">
        <f>IF(ISNUMBER($AU296),ABS(IF(ISNUMBER($I296),$I296,0)-Settings!$B$24),"")</f>
        <v>0.35</v>
      </c>
      <c r="AY296" t="s">
        <v>549</v>
      </c>
      <c r="AZ296" t="str">
        <f>IF($A296="","",IFERROR(INDEX(Company_List!$H$3:$H$207,MATCH($A296,Company_List!$A$3:$A$207,0)),"unassigned"))</f>
        <v>Communication Services</v>
      </c>
      <c r="BC296">
        <f>IF($A296="","",IF(COUNTIFS($A$3:$A296,$A296,$C$3:$C296,$C296,$D$3:$D296,$D296,$G$3:$G296,$G296)=1,1,0))</f>
        <v>1</v>
      </c>
      <c r="BG296" t="s">
        <v>550</v>
      </c>
      <c r="BK296">
        <f t="shared" si="52"/>
        <v>0</v>
      </c>
      <c r="BL296" t="s">
        <v>551</v>
      </c>
      <c r="BM296">
        <v>1</v>
      </c>
      <c r="BN296" t="s">
        <v>595</v>
      </c>
      <c r="BO296" t="s">
        <v>596</v>
      </c>
      <c r="BP296" t="s">
        <v>550</v>
      </c>
      <c r="BQ296" t="s">
        <v>562</v>
      </c>
      <c r="BS296" t="s">
        <v>554</v>
      </c>
    </row>
    <row r="297" spans="1:71" x14ac:dyDescent="0.2">
      <c r="A297" s="1" t="s">
        <v>1429</v>
      </c>
      <c r="B297" s="142" t="str">
        <f>IF(A297="","",_xlfn.XLOOKUP(A297, Company_List!$A:$A, Company_List!$B:$B, ""))</f>
        <v>GOOGL</v>
      </c>
      <c r="C297" s="143">
        <v>2025</v>
      </c>
      <c r="D297" s="143" t="s">
        <v>569</v>
      </c>
      <c r="E297" s="98" t="s">
        <v>1121</v>
      </c>
      <c r="F297" s="98" t="s">
        <v>1086</v>
      </c>
      <c r="G297" s="143" t="s">
        <v>648</v>
      </c>
      <c r="H297" s="106" t="s">
        <v>540</v>
      </c>
      <c r="I297" s="145">
        <v>0.75</v>
      </c>
      <c r="J297" s="145" t="str">
        <f>IF(OR(I297="",Settings!$B$6=""),"",IF(I297&gt;Settings!$B$6,"BUY",IF(I297&lt;-Settings!$B$6,"SELL","HOLD")))</f>
        <v>BUY</v>
      </c>
      <c r="K297" s="145">
        <v>36</v>
      </c>
      <c r="L297" s="125">
        <v>46057</v>
      </c>
      <c r="M297" s="140">
        <v>46057</v>
      </c>
      <c r="N297" s="147">
        <v>333.04</v>
      </c>
      <c r="O297" s="140">
        <v>46058</v>
      </c>
      <c r="P297" s="145">
        <v>312.22000000000003</v>
      </c>
      <c r="Q297" s="151">
        <f t="shared" si="43"/>
        <v>-6.25E-2</v>
      </c>
      <c r="R297" s="118" t="str">
        <f>IF(OR(N297="",P297=""),"",IF(Q297&gt;Settings!$B$3/100,"UP",IF(Q297&lt;-Settings!$B$3/100,"DOWN","FLAT")))</f>
        <v>DOWN</v>
      </c>
      <c r="S297" s="118" t="str">
        <f t="shared" si="44"/>
        <v>NO</v>
      </c>
      <c r="T297" s="119">
        <f t="shared" si="45"/>
        <v>1</v>
      </c>
      <c r="U297" s="150">
        <f>IFERROR(IF(OR(J297="",N297="",P297=""),"",IF(T297=0,0,T297*Q297-Settings!$B$4/10000-IF(T297&lt;0,Settings!$B$5/10000,0))),"")</f>
        <v>-6.3500000000000001E-2</v>
      </c>
      <c r="W297" s="21">
        <f t="shared" si="46"/>
        <v>2160</v>
      </c>
      <c r="X297" s="91" t="str">
        <f t="shared" si="47"/>
        <v>Alphabet|2025|Q4</v>
      </c>
      <c r="Y297" s="91" t="str">
        <f>IFERROR(IF($X297="","",INDEX(LLM_Data_Entry!$H$3:$H$548,MATCH($X297,INDEX(LLM_Data_Entry!$A$3:$A$548&amp;"|"&amp;LLM_Data_Entry!$C$3:$C$548&amp;"|"&amp;LLM_Data_Entry!$D$3:$D$548,0),0))),"")</f>
        <v>BUY</v>
      </c>
      <c r="Z297" s="91" t="str">
        <f>IFERROR(IF($X297="","",INDEX(LLM_Data_Entry!$R$3:$R$548,MATCH($X297,INDEX(LLM_Data_Entry!$A$3:$A$548&amp;"|"&amp;LLM_Data_Entry!$C$3:$C$548&amp;"|"&amp;LLM_Data_Entry!$D$3:$D$548,0),0))),"")</f>
        <v>NO</v>
      </c>
      <c r="AB297" t="s">
        <v>541</v>
      </c>
      <c r="AC297" t="s">
        <v>1430</v>
      </c>
      <c r="AD297" t="s">
        <v>737</v>
      </c>
      <c r="AE297">
        <v>332.6071</v>
      </c>
      <c r="AF297" t="s">
        <v>664</v>
      </c>
      <c r="AG297">
        <v>311.8141</v>
      </c>
      <c r="AH297">
        <v>-6.2515054971436099E-2</v>
      </c>
      <c r="AI297" t="s">
        <v>545</v>
      </c>
      <c r="AJ297" t="s">
        <v>546</v>
      </c>
      <c r="AK297">
        <v>-6.3515000000000002E-2</v>
      </c>
      <c r="AL297" t="str">
        <f>IF($A297="","",IFERROR(INDEX(Company_List!$G$3:$G$207,MATCH($A297,Company_List!$A$3:$A$207,0)),"unassigned"))</f>
        <v>P2</v>
      </c>
      <c r="AM297" t="s">
        <v>1435</v>
      </c>
      <c r="AN297" t="s">
        <v>1436</v>
      </c>
      <c r="AO297" t="s">
        <v>560</v>
      </c>
      <c r="AP297" t="str">
        <f>IF($A297="","",IF(COUNTIFS(LLM_Data_Entry!$A$3:$A$548,$A297)&gt;0,"YES","NO"))</f>
        <v>YES</v>
      </c>
      <c r="AQ297" t="str">
        <f>IF($A297="","",IF(COUNTIFS($A$3:$A297,$A297,$C$3:$C297,$C297,$D$3:$D297,$D297)=1,"YES","NO"))</f>
        <v>YES</v>
      </c>
      <c r="AR297" t="str">
        <f>IF($A297="","",IF(AND($C297&amp;"-"&amp;$D297&gt;=Settings!$B$19,$C297&amp;"-"&amp;$D297&lt;=Settings!$B$20),"IN","OUT"))</f>
        <v>IN</v>
      </c>
      <c r="AS297" t="str">
        <f t="shared" si="48"/>
        <v>financials</v>
      </c>
      <c r="AT297">
        <f t="shared" si="49"/>
        <v>-6.3500000000000001E-2</v>
      </c>
      <c r="AU297">
        <f t="shared" si="50"/>
        <v>-6.3515000000000002E-2</v>
      </c>
      <c r="AV297">
        <f>IF(ISNUMBER($AT297),ABS(IF(ISNUMBER($I297),$I297,0)-Settings!$B$24),"")</f>
        <v>0.75</v>
      </c>
      <c r="AW297">
        <f t="shared" si="51"/>
        <v>-4.7625000000000001E-2</v>
      </c>
      <c r="AX297">
        <f>IF(ISNUMBER($AU297),ABS(IF(ISNUMBER($I297),$I297,0)-Settings!$B$24),"")</f>
        <v>0.75</v>
      </c>
      <c r="AY297" t="s">
        <v>549</v>
      </c>
      <c r="AZ297" t="str">
        <f>IF($A297="","",IFERROR(INDEX(Company_List!$H$3:$H$207,MATCH($A297,Company_List!$A$3:$A$207,0)),"unassigned"))</f>
        <v>Communication Services</v>
      </c>
      <c r="BC297">
        <f>IF($A297="","",IF(COUNTIFS($A$3:$A297,$A297,$C$3:$C297,$C297,$D$3:$D297,$D297,$G$3:$G297,$G297)=1,1,0))</f>
        <v>1</v>
      </c>
      <c r="BG297" t="s">
        <v>550</v>
      </c>
      <c r="BK297">
        <f t="shared" si="52"/>
        <v>1</v>
      </c>
      <c r="BL297" t="s">
        <v>551</v>
      </c>
      <c r="BM297">
        <v>1</v>
      </c>
      <c r="BN297" t="s">
        <v>561</v>
      </c>
      <c r="BO297" t="s">
        <v>561</v>
      </c>
      <c r="BP297" t="s">
        <v>550</v>
      </c>
      <c r="BQ297" t="s">
        <v>562</v>
      </c>
      <c r="BS297" t="s">
        <v>554</v>
      </c>
    </row>
    <row r="298" spans="1:71" x14ac:dyDescent="0.2">
      <c r="A298" s="1" t="s">
        <v>1293</v>
      </c>
      <c r="B298" s="142" t="str">
        <f>IF(A298="","",_xlfn.XLOOKUP(A298, Company_List!$A:$A, Company_List!$B:$B, ""))</f>
        <v>BKNG</v>
      </c>
      <c r="C298" s="143">
        <v>2025</v>
      </c>
      <c r="D298" s="143" t="s">
        <v>555</v>
      </c>
      <c r="E298" s="98" t="s">
        <v>1121</v>
      </c>
      <c r="F298" s="98" t="s">
        <v>1086</v>
      </c>
      <c r="G298" s="143" t="s">
        <v>648</v>
      </c>
      <c r="H298" s="106" t="s">
        <v>540</v>
      </c>
      <c r="I298" s="145">
        <v>0.3</v>
      </c>
      <c r="J298" s="145" t="str">
        <f>IF(OR(I298="",Settings!$B$6=""),"",IF(I298&gt;Settings!$B$6,"BUY",IF(I298&lt;-Settings!$B$6,"SELL","HOLD")))</f>
        <v>BUY</v>
      </c>
      <c r="K298" s="145">
        <v>31</v>
      </c>
      <c r="L298" s="125">
        <v>45867</v>
      </c>
      <c r="M298" s="140">
        <v>45867</v>
      </c>
      <c r="N298" s="147">
        <v>223.63079999999999</v>
      </c>
      <c r="O298" s="140">
        <v>45868</v>
      </c>
      <c r="P298" s="145">
        <v>219.6</v>
      </c>
      <c r="Q298" s="151">
        <f t="shared" si="43"/>
        <v>-1.7999999999999999E-2</v>
      </c>
      <c r="R298" s="118" t="str">
        <f>IF(OR(N298="",P298=""),"",IF(Q298&gt;Settings!$B$3/100,"UP",IF(Q298&lt;-Settings!$B$3/100,"DOWN","FLAT")))</f>
        <v>FLAT</v>
      </c>
      <c r="S298" s="118" t="str">
        <f t="shared" si="44"/>
        <v>NO</v>
      </c>
      <c r="T298" s="119">
        <f t="shared" si="45"/>
        <v>1</v>
      </c>
      <c r="U298" s="150">
        <f>IFERROR(IF(OR(J298="",N298="",P298=""),"",IF(T298=0,0,T298*Q298-Settings!$B$4/10000-IF(T298&lt;0,Settings!$B$5/10000,0))),"")</f>
        <v>-1.9E-2</v>
      </c>
      <c r="W298" s="21">
        <f t="shared" si="46"/>
        <v>1860</v>
      </c>
      <c r="X298" s="91" t="str">
        <f t="shared" si="47"/>
        <v>Booking Holdings|2025|Q2</v>
      </c>
      <c r="Y298" s="91" t="str">
        <f>IFERROR(IF($X298="","",INDEX(LLM_Data_Entry!$H$3:$H$548,MATCH($X298,INDEX(LLM_Data_Entry!$A$3:$A$548&amp;"|"&amp;LLM_Data_Entry!$C$3:$C$548&amp;"|"&amp;LLM_Data_Entry!$D$3:$D$548,0),0))),"")</f>
        <v>HOLD</v>
      </c>
      <c r="Z298" s="91" t="str">
        <f>IFERROR(IF($X298="","",INDEX(LLM_Data_Entry!$R$3:$R$548,MATCH($X298,INDEX(LLM_Data_Entry!$A$3:$A$548&amp;"|"&amp;LLM_Data_Entry!$C$3:$C$548&amp;"|"&amp;LLM_Data_Entry!$D$3:$D$548,0),0))),"")</f>
        <v>YES</v>
      </c>
      <c r="AB298" t="s">
        <v>564</v>
      </c>
      <c r="AC298" t="s">
        <v>1294</v>
      </c>
      <c r="AD298" t="s">
        <v>620</v>
      </c>
      <c r="AE298">
        <v>221.75550000000001</v>
      </c>
      <c r="AF298" t="s">
        <v>1001</v>
      </c>
      <c r="AG298">
        <v>217.7585</v>
      </c>
      <c r="AH298">
        <v>-1.8024406487645889E-2</v>
      </c>
      <c r="AI298" t="s">
        <v>579</v>
      </c>
      <c r="AJ298" t="s">
        <v>546</v>
      </c>
      <c r="AK298">
        <v>-1.9023999999999999E-2</v>
      </c>
      <c r="AL298" t="str">
        <f>IF($A298="","",IFERROR(INDEX(Company_List!$G$3:$G$207,MATCH($A298,Company_List!$A$3:$A$207,0)),"unassigned"))</f>
        <v>both</v>
      </c>
      <c r="AM298" t="s">
        <v>1296</v>
      </c>
      <c r="AO298" t="s">
        <v>548</v>
      </c>
      <c r="AP298" t="str">
        <f>IF($A298="","",IF(COUNTIFS(LLM_Data_Entry!$A$3:$A$548,$A298)&gt;0,"YES","NO"))</f>
        <v>YES</v>
      </c>
      <c r="AQ298" t="str">
        <f>IF($A298="","",IF(COUNTIFS($A$3:$A298,$A298,$C$3:$C298,$C298,$D$3:$D298,$D298)=1,"YES","NO"))</f>
        <v>NO</v>
      </c>
      <c r="AR298" t="str">
        <f>IF($A298="","",IF(AND($C298&amp;"-"&amp;$D298&gt;=Settings!$B$19,$C298&amp;"-"&amp;$D298&lt;=Settings!$B$20),"IN","OUT"))</f>
        <v>IN</v>
      </c>
      <c r="AS298" t="str">
        <f t="shared" si="48"/>
        <v>financials</v>
      </c>
      <c r="AT298">
        <f t="shared" si="49"/>
        <v>-1.9E-2</v>
      </c>
      <c r="AU298">
        <f t="shared" si="50"/>
        <v>-1.9023999999999999E-2</v>
      </c>
      <c r="AV298">
        <f>IF(ISNUMBER($AT298),ABS(IF(ISNUMBER($I298),$I298,0)-Settings!$B$24),"")</f>
        <v>0.3</v>
      </c>
      <c r="AW298">
        <f t="shared" si="51"/>
        <v>-5.6999999999999993E-3</v>
      </c>
      <c r="AX298">
        <f>IF(ISNUMBER($AU298),ABS(IF(ISNUMBER($I298),$I298,0)-Settings!$B$24),"")</f>
        <v>0.3</v>
      </c>
      <c r="AY298" t="s">
        <v>549</v>
      </c>
      <c r="AZ298" t="str">
        <f>IF($A298="","",IFERROR(INDEX(Company_List!$H$3:$H$207,MATCH($A298,Company_List!$A$3:$A$207,0)),"unassigned"))</f>
        <v>Consumer Discretionary</v>
      </c>
      <c r="BC298">
        <f>IF($A298="","",IF(COUNTIFS($A$3:$A298,$A298,$C$3:$C298,$C298,$D$3:$D298,$D298,$G$3:$G298,$G298)=1,1,0))</f>
        <v>1</v>
      </c>
      <c r="BG298" t="s">
        <v>550</v>
      </c>
      <c r="BK298">
        <f t="shared" si="52"/>
        <v>0</v>
      </c>
      <c r="BL298" t="s">
        <v>551</v>
      </c>
      <c r="BM298">
        <v>1</v>
      </c>
      <c r="BN298" t="s">
        <v>617</v>
      </c>
      <c r="BO298" t="s">
        <v>553</v>
      </c>
      <c r="BP298" t="s">
        <v>550</v>
      </c>
      <c r="BQ298" t="s">
        <v>550</v>
      </c>
      <c r="BS298" t="s">
        <v>554</v>
      </c>
    </row>
    <row r="299" spans="1:71" x14ac:dyDescent="0.2">
      <c r="A299" s="1" t="s">
        <v>1293</v>
      </c>
      <c r="B299" s="142" t="str">
        <f>IF(A299="","",_xlfn.XLOOKUP(A299, Company_List!$A:$A, Company_List!$B:$B, ""))</f>
        <v>BKNG</v>
      </c>
      <c r="C299" s="143">
        <v>2025</v>
      </c>
      <c r="D299" s="143" t="s">
        <v>563</v>
      </c>
      <c r="E299" s="98" t="s">
        <v>647</v>
      </c>
      <c r="F299" s="98" t="s">
        <v>1090</v>
      </c>
      <c r="G299" s="143" t="s">
        <v>648</v>
      </c>
      <c r="H299" s="106" t="s">
        <v>540</v>
      </c>
      <c r="I299" s="145">
        <v>0.2</v>
      </c>
      <c r="J299" s="145" t="str">
        <f>IF(OR(I299="",Settings!$B$6=""),"",IF(I299&gt;Settings!$B$6,"BUY",IF(I299&lt;-Settings!$B$6,"SELL","HOLD")))</f>
        <v>HOLD</v>
      </c>
      <c r="K299" s="145">
        <v>33</v>
      </c>
      <c r="L299" s="125">
        <v>45958</v>
      </c>
      <c r="M299" s="140">
        <v>45958</v>
      </c>
      <c r="N299" s="147">
        <v>204.8228</v>
      </c>
      <c r="O299" s="140">
        <v>45959</v>
      </c>
      <c r="P299" s="145">
        <v>208</v>
      </c>
      <c r="Q299" s="151">
        <f t="shared" si="43"/>
        <v>1.55E-2</v>
      </c>
      <c r="R299" s="118" t="str">
        <f>IF(OR(N299="",P299=""),"",IF(Q299&gt;Settings!$B$3/100,"UP",IF(Q299&lt;-Settings!$B$3/100,"DOWN","FLAT")))</f>
        <v>FLAT</v>
      </c>
      <c r="S299" s="118" t="str">
        <f t="shared" si="44"/>
        <v>YES</v>
      </c>
      <c r="T299" s="119">
        <f t="shared" si="45"/>
        <v>0</v>
      </c>
      <c r="U299" s="150">
        <f>IFERROR(IF(OR(J299="",N299="",P299=""),"",IF(T299=0,0,T299*Q299-Settings!$B$4/10000-IF(T299&lt;0,Settings!$B$5/10000,0))),"")</f>
        <v>0</v>
      </c>
      <c r="W299" s="21">
        <f t="shared" si="46"/>
        <v>1980</v>
      </c>
      <c r="X299" s="91" t="str">
        <f t="shared" si="47"/>
        <v>Booking Holdings|2025|Q3</v>
      </c>
      <c r="Y299" s="91" t="str">
        <f>IFERROR(IF($X299="","",INDEX(LLM_Data_Entry!$H$3:$H$548,MATCH($X299,INDEX(LLM_Data_Entry!$A$3:$A$548&amp;"|"&amp;LLM_Data_Entry!$C$3:$C$548&amp;"|"&amp;LLM_Data_Entry!$D$3:$D$548,0),0))),"")</f>
        <v>BUY</v>
      </c>
      <c r="Z299" s="91" t="str">
        <f>IFERROR(IF($X299="","",INDEX(LLM_Data_Entry!$R$3:$R$548,MATCH($X299,INDEX(LLM_Data_Entry!$A$3:$A$548&amp;"|"&amp;LLM_Data_Entry!$C$3:$C$548&amp;"|"&amp;LLM_Data_Entry!$D$3:$D$548,0),0))),"")</f>
        <v>NO</v>
      </c>
      <c r="AB299" t="s">
        <v>564</v>
      </c>
      <c r="AC299" t="s">
        <v>1294</v>
      </c>
      <c r="AD299" t="s">
        <v>625</v>
      </c>
      <c r="AE299">
        <v>203.45490000000001</v>
      </c>
      <c r="AF299" t="s">
        <v>626</v>
      </c>
      <c r="AG299">
        <v>206.6113</v>
      </c>
      <c r="AH299">
        <v>1.5513979034043911E-2</v>
      </c>
      <c r="AI299" t="s">
        <v>579</v>
      </c>
      <c r="AJ299" t="s">
        <v>554</v>
      </c>
      <c r="AK299">
        <v>0</v>
      </c>
      <c r="AL299" t="str">
        <f>IF($A299="","",IFERROR(INDEX(Company_List!$G$3:$G$207,MATCH($A299,Company_List!$A$3:$A$207,0)),"unassigned"))</f>
        <v>both</v>
      </c>
      <c r="AM299" t="s">
        <v>1297</v>
      </c>
      <c r="AO299" t="s">
        <v>548</v>
      </c>
      <c r="AP299" t="str">
        <f>IF($A299="","",IF(COUNTIFS(LLM_Data_Entry!$A$3:$A$548,$A299)&gt;0,"YES","NO"))</f>
        <v>YES</v>
      </c>
      <c r="AQ299" t="str">
        <f>IF($A299="","",IF(COUNTIFS($A$3:$A299,$A299,$C$3:$C299,$C299,$D$3:$D299,$D299)=1,"YES","NO"))</f>
        <v>NO</v>
      </c>
      <c r="AR299" t="str">
        <f>IF($A299="","",IF(AND($C299&amp;"-"&amp;$D299&gt;=Settings!$B$19,$C299&amp;"-"&amp;$D299&lt;=Settings!$B$20),"IN","OUT"))</f>
        <v>IN</v>
      </c>
      <c r="AS299" t="str">
        <f t="shared" si="48"/>
        <v>guidance</v>
      </c>
      <c r="AT299" t="str">
        <f t="shared" si="49"/>
        <v/>
      </c>
      <c r="AU299" t="str">
        <f t="shared" si="50"/>
        <v/>
      </c>
      <c r="AV299" t="str">
        <f>IF(ISNUMBER($AT299),ABS(IF(ISNUMBER($I299),$I299,0)-Settings!$B$24),"")</f>
        <v/>
      </c>
      <c r="AW299" t="str">
        <f t="shared" si="51"/>
        <v/>
      </c>
      <c r="AX299" t="str">
        <f>IF(ISNUMBER($AU299),ABS(IF(ISNUMBER($I299),$I299,0)-Settings!$B$24),"")</f>
        <v/>
      </c>
      <c r="AY299" t="s">
        <v>549</v>
      </c>
      <c r="AZ299" t="str">
        <f>IF($A299="","",IFERROR(INDEX(Company_List!$H$3:$H$207,MATCH($A299,Company_List!$A$3:$A$207,0)),"unassigned"))</f>
        <v>Consumer Discretionary</v>
      </c>
      <c r="BC299">
        <f>IF($A299="","",IF(COUNTIFS($A$3:$A299,$A299,$C$3:$C299,$C299,$D$3:$D299,$D299,$G$3:$G299,$G299)=1,1,0))</f>
        <v>1</v>
      </c>
      <c r="BG299" t="s">
        <v>550</v>
      </c>
      <c r="BK299">
        <f t="shared" si="52"/>
        <v>0</v>
      </c>
      <c r="BL299" t="s">
        <v>551</v>
      </c>
      <c r="BM299">
        <v>1</v>
      </c>
      <c r="BN299" t="s">
        <v>617</v>
      </c>
      <c r="BO299" t="s">
        <v>553</v>
      </c>
      <c r="BP299" t="s">
        <v>550</v>
      </c>
      <c r="BQ299" t="s">
        <v>550</v>
      </c>
      <c r="BS299" t="s">
        <v>554</v>
      </c>
    </row>
    <row r="300" spans="1:71" x14ac:dyDescent="0.2">
      <c r="A300" s="1" t="s">
        <v>1293</v>
      </c>
      <c r="B300" s="142" t="str">
        <f>IF(A300="","",_xlfn.XLOOKUP(A300, Company_List!$A:$A, Company_List!$B:$B, ""))</f>
        <v>BKNG</v>
      </c>
      <c r="C300" s="143">
        <v>2025</v>
      </c>
      <c r="D300" s="143" t="s">
        <v>569</v>
      </c>
      <c r="E300" s="98" t="s">
        <v>647</v>
      </c>
      <c r="F300" s="98" t="s">
        <v>1092</v>
      </c>
      <c r="G300" s="143" t="s">
        <v>648</v>
      </c>
      <c r="H300" s="106" t="s">
        <v>540</v>
      </c>
      <c r="I300" s="145">
        <v>-0.35</v>
      </c>
      <c r="J300" s="145" t="str">
        <f>IF(OR(I300="",Settings!$B$6=""),"",IF(I300&gt;Settings!$B$6,"BUY",IF(I300&lt;-Settings!$B$6,"SELL","HOLD")))</f>
        <v>SELL</v>
      </c>
      <c r="K300" s="145">
        <v>45</v>
      </c>
      <c r="L300" s="125">
        <v>46071</v>
      </c>
      <c r="M300" s="140">
        <v>46071</v>
      </c>
      <c r="N300" s="147">
        <v>170.7996</v>
      </c>
      <c r="O300" s="140">
        <v>46072</v>
      </c>
      <c r="P300" s="145">
        <v>163.55000000000001</v>
      </c>
      <c r="Q300" s="151">
        <f t="shared" si="43"/>
        <v>-4.24E-2</v>
      </c>
      <c r="R300" s="118" t="str">
        <f>IF(OR(N300="",P300=""),"",IF(Q300&gt;Settings!$B$3/100,"UP",IF(Q300&lt;-Settings!$B$3/100,"DOWN","FLAT")))</f>
        <v>DOWN</v>
      </c>
      <c r="S300" s="118" t="str">
        <f t="shared" si="44"/>
        <v>YES</v>
      </c>
      <c r="T300" s="119">
        <f t="shared" si="45"/>
        <v>-1</v>
      </c>
      <c r="U300" s="150">
        <f>IFERROR(IF(OR(J300="",N300="",P300=""),"",IF(T300=0,0,T300*Q300-Settings!$B$4/10000-IF(T300&lt;0,Settings!$B$5/10000,0))),"")</f>
        <v>4.1399999999999999E-2</v>
      </c>
      <c r="W300" s="21">
        <f t="shared" si="46"/>
        <v>2700</v>
      </c>
      <c r="X300" s="91" t="str">
        <f t="shared" si="47"/>
        <v>Booking Holdings|2025|Q4</v>
      </c>
      <c r="Y300" s="91" t="str">
        <f>IFERROR(IF($X300="","",INDEX(LLM_Data_Entry!$H$3:$H$548,MATCH($X300,INDEX(LLM_Data_Entry!$A$3:$A$548&amp;"|"&amp;LLM_Data_Entry!$C$3:$C$548&amp;"|"&amp;LLM_Data_Entry!$D$3:$D$548,0),0))),"")</f>
        <v>HOLD</v>
      </c>
      <c r="Z300" s="91" t="str">
        <f>IFERROR(IF($X300="","",INDEX(LLM_Data_Entry!$R$3:$R$548,MATCH($X300,INDEX(LLM_Data_Entry!$A$3:$A$548&amp;"|"&amp;LLM_Data_Entry!$C$3:$C$548&amp;"|"&amp;LLM_Data_Entry!$D$3:$D$548,0),0))),"")</f>
        <v>NO</v>
      </c>
      <c r="AB300" t="s">
        <v>564</v>
      </c>
      <c r="AC300" t="s">
        <v>1294</v>
      </c>
      <c r="AD300" t="s">
        <v>846</v>
      </c>
      <c r="AE300">
        <v>169.98349999999999</v>
      </c>
      <c r="AF300" t="s">
        <v>847</v>
      </c>
      <c r="AG300">
        <v>162.77330000000001</v>
      </c>
      <c r="AH300">
        <v>-4.2417065992395607E-2</v>
      </c>
      <c r="AI300" t="s">
        <v>545</v>
      </c>
      <c r="AJ300" t="s">
        <v>554</v>
      </c>
      <c r="AK300">
        <v>4.1417000000000002E-2</v>
      </c>
      <c r="AL300" t="str">
        <f>IF($A300="","",IFERROR(INDEX(Company_List!$G$3:$G$207,MATCH($A300,Company_List!$A$3:$A$207,0)),"unassigned"))</f>
        <v>both</v>
      </c>
      <c r="AM300" t="s">
        <v>1298</v>
      </c>
      <c r="AO300" t="s">
        <v>548</v>
      </c>
      <c r="AP300" t="str">
        <f>IF($A300="","",IF(COUNTIFS(LLM_Data_Entry!$A$3:$A$548,$A300)&gt;0,"YES","NO"))</f>
        <v>YES</v>
      </c>
      <c r="AQ300" t="str">
        <f>IF($A300="","",IF(COUNTIFS($A$3:$A300,$A300,$C$3:$C300,$C300,$D$3:$D300,$D300)=1,"YES","NO"))</f>
        <v>NO</v>
      </c>
      <c r="AR300" t="str">
        <f>IF($A300="","",IF(AND($C300&amp;"-"&amp;$D300&gt;=Settings!$B$19,$C300&amp;"-"&amp;$D300&lt;=Settings!$B$20),"IN","OUT"))</f>
        <v>IN</v>
      </c>
      <c r="AS300" t="str">
        <f t="shared" si="48"/>
        <v>qanda</v>
      </c>
      <c r="AT300">
        <f t="shared" si="49"/>
        <v>4.1399999999999999E-2</v>
      </c>
      <c r="AU300">
        <f t="shared" si="50"/>
        <v>4.1417000000000002E-2</v>
      </c>
      <c r="AV300">
        <f>IF(ISNUMBER($AT300),ABS(IF(ISNUMBER($I300),$I300,0)-Settings!$B$24),"")</f>
        <v>0.35</v>
      </c>
      <c r="AW300">
        <f t="shared" si="51"/>
        <v>1.4489999999999999E-2</v>
      </c>
      <c r="AX300">
        <f>IF(ISNUMBER($AU300),ABS(IF(ISNUMBER($I300),$I300,0)-Settings!$B$24),"")</f>
        <v>0.35</v>
      </c>
      <c r="AY300" t="s">
        <v>549</v>
      </c>
      <c r="AZ300" t="str">
        <f>IF($A300="","",IFERROR(INDEX(Company_List!$H$3:$H$207,MATCH($A300,Company_List!$A$3:$A$207,0)),"unassigned"))</f>
        <v>Consumer Discretionary</v>
      </c>
      <c r="BC300">
        <f>IF($A300="","",IF(COUNTIFS($A$3:$A300,$A300,$C$3:$C300,$C300,$D$3:$D300,$D300,$G$3:$G300,$G300)=1,1,0))</f>
        <v>1</v>
      </c>
      <c r="BG300" t="s">
        <v>550</v>
      </c>
      <c r="BK300">
        <f t="shared" si="52"/>
        <v>0</v>
      </c>
      <c r="BL300" t="s">
        <v>551</v>
      </c>
      <c r="BM300">
        <v>1</v>
      </c>
      <c r="BN300" t="s">
        <v>617</v>
      </c>
      <c r="BO300" t="s">
        <v>553</v>
      </c>
      <c r="BP300" t="s">
        <v>550</v>
      </c>
      <c r="BQ300" t="s">
        <v>550</v>
      </c>
      <c r="BS300" t="s">
        <v>554</v>
      </c>
    </row>
    <row r="301" spans="1:71" x14ac:dyDescent="0.2">
      <c r="A301" s="1" t="s">
        <v>1437</v>
      </c>
      <c r="B301" s="142" t="str">
        <f>IF(A301="","",_xlfn.XLOOKUP(A301, Company_List!$A:$A, Company_List!$B:$B, ""))</f>
        <v>AVGO</v>
      </c>
      <c r="C301" s="143">
        <v>2026</v>
      </c>
      <c r="D301" s="143" t="s">
        <v>537</v>
      </c>
      <c r="E301" s="98" t="s">
        <v>647</v>
      </c>
      <c r="F301" s="98" t="s">
        <v>1092</v>
      </c>
      <c r="G301" s="143" t="s">
        <v>648</v>
      </c>
      <c r="H301" s="106" t="s">
        <v>540</v>
      </c>
      <c r="I301" s="145">
        <v>-0.2</v>
      </c>
      <c r="J301" s="145" t="str">
        <f>IF(OR(I301="",Settings!$B$6=""),"",IF(I301&gt;Settings!$B$6,"BUY",IF(I301&lt;-Settings!$B$6,"SELL","HOLD")))</f>
        <v>HOLD</v>
      </c>
      <c r="K301" s="145">
        <v>47</v>
      </c>
      <c r="L301" s="125">
        <v>46085</v>
      </c>
      <c r="M301" s="140">
        <v>46085</v>
      </c>
      <c r="N301" s="147">
        <v>317.52999999999997</v>
      </c>
      <c r="O301" s="140">
        <v>46086</v>
      </c>
      <c r="P301" s="145">
        <v>330.18</v>
      </c>
      <c r="Q301" s="151">
        <f t="shared" si="43"/>
        <v>3.9800000000000002E-2</v>
      </c>
      <c r="R301" s="118" t="str">
        <f>IF(OR(N301="",P301=""),"",IF(Q301&gt;Settings!$B$3/100,"UP",IF(Q301&lt;-Settings!$B$3/100,"DOWN","FLAT")))</f>
        <v>UP</v>
      </c>
      <c r="S301" s="118" t="str">
        <f t="shared" si="44"/>
        <v>NO</v>
      </c>
      <c r="T301" s="119">
        <f t="shared" si="45"/>
        <v>0</v>
      </c>
      <c r="U301" s="150">
        <f>IFERROR(IF(OR(J301="",N301="",P301=""),"",IF(T301=0,0,T301*Q301-Settings!$B$4/10000-IF(T301&lt;0,Settings!$B$5/10000,0))),"")</f>
        <v>0</v>
      </c>
      <c r="W301" s="21">
        <f t="shared" si="46"/>
        <v>2820</v>
      </c>
      <c r="X301" s="91" t="str">
        <f t="shared" si="47"/>
        <v>Broadcom|2026|Q1</v>
      </c>
      <c r="Y301" s="91" t="str">
        <f>IFERROR(IF($X301="","",INDEX(LLM_Data_Entry!$H$3:$H$548,MATCH($X301,INDEX(LLM_Data_Entry!$A$3:$A$548&amp;"|"&amp;LLM_Data_Entry!$C$3:$C$548&amp;"|"&amp;LLM_Data_Entry!$D$3:$D$548,0),0))),"")</f>
        <v>BUY</v>
      </c>
      <c r="Z301" s="91" t="str">
        <f>IFERROR(IF($X301="","",INDEX(LLM_Data_Entry!$R$3:$R$548,MATCH($X301,INDEX(LLM_Data_Entry!$A$3:$A$548&amp;"|"&amp;LLM_Data_Entry!$C$3:$C$548&amp;"|"&amp;LLM_Data_Entry!$D$3:$D$548,0),0))),"")</f>
        <v>YES</v>
      </c>
      <c r="AB301" t="s">
        <v>564</v>
      </c>
      <c r="AC301" t="s">
        <v>1438</v>
      </c>
      <c r="AD301" t="s">
        <v>1439</v>
      </c>
      <c r="AE301">
        <v>316.3646</v>
      </c>
      <c r="AF301" t="s">
        <v>1388</v>
      </c>
      <c r="AG301">
        <v>328.96820000000002</v>
      </c>
      <c r="AH301">
        <v>3.9838721312466512E-2</v>
      </c>
      <c r="AI301" t="s">
        <v>591</v>
      </c>
      <c r="AJ301" t="s">
        <v>546</v>
      </c>
      <c r="AK301">
        <v>0</v>
      </c>
      <c r="AL301" t="str">
        <f>IF($A301="","",IFERROR(INDEX(Company_List!$G$3:$G$207,MATCH($A301,Company_List!$A$3:$A$207,0)),"unassigned"))</f>
        <v>P2</v>
      </c>
      <c r="AM301" t="s">
        <v>1440</v>
      </c>
      <c r="AN301" t="s">
        <v>1441</v>
      </c>
      <c r="AO301" t="s">
        <v>560</v>
      </c>
      <c r="AP301" t="str">
        <f>IF($A301="","",IF(COUNTIFS(LLM_Data_Entry!$A$3:$A$548,$A301)&gt;0,"YES","NO"))</f>
        <v>YES</v>
      </c>
      <c r="AQ301" t="str">
        <f>IF($A301="","",IF(COUNTIFS($A$3:$A301,$A301,$C$3:$C301,$C301,$D$3:$D301,$D301)=1,"YES","NO"))</f>
        <v>YES</v>
      </c>
      <c r="AR301" t="str">
        <f>IF($A301="","",IF(AND($C301&amp;"-"&amp;$D301&gt;=Settings!$B$19,$C301&amp;"-"&amp;$D301&lt;=Settings!$B$20),"IN","OUT"))</f>
        <v>IN</v>
      </c>
      <c r="AS301" t="str">
        <f t="shared" si="48"/>
        <v>qanda</v>
      </c>
      <c r="AT301" t="str">
        <f t="shared" si="49"/>
        <v/>
      </c>
      <c r="AU301" t="str">
        <f t="shared" si="50"/>
        <v/>
      </c>
      <c r="AV301" t="str">
        <f>IF(ISNUMBER($AT301),ABS(IF(ISNUMBER($I301),$I301,0)-Settings!$B$24),"")</f>
        <v/>
      </c>
      <c r="AW301" t="str">
        <f t="shared" si="51"/>
        <v/>
      </c>
      <c r="AX301" t="str">
        <f>IF(ISNUMBER($AU301),ABS(IF(ISNUMBER($I301),$I301,0)-Settings!$B$24),"")</f>
        <v/>
      </c>
      <c r="AY301" t="s">
        <v>549</v>
      </c>
      <c r="AZ301" t="str">
        <f>IF($A301="","",IFERROR(INDEX(Company_List!$H$3:$H$207,MATCH($A301,Company_List!$A$3:$A$207,0)),"unassigned"))</f>
        <v>Information Technology</v>
      </c>
      <c r="BC301">
        <f>IF($A301="","",IF(COUNTIFS($A$3:$A301,$A301,$C$3:$C301,$C301,$D$3:$D301,$D301,$G$3:$G301,$G301)=1,1,0))</f>
        <v>1</v>
      </c>
      <c r="BG301" t="s">
        <v>550</v>
      </c>
      <c r="BK301">
        <f t="shared" si="52"/>
        <v>0</v>
      </c>
      <c r="BL301" t="s">
        <v>551</v>
      </c>
      <c r="BM301">
        <v>1</v>
      </c>
      <c r="BN301" t="s">
        <v>595</v>
      </c>
      <c r="BO301" t="s">
        <v>596</v>
      </c>
      <c r="BP301" t="s">
        <v>550</v>
      </c>
      <c r="BQ301" t="s">
        <v>562</v>
      </c>
      <c r="BS301" t="s">
        <v>554</v>
      </c>
    </row>
    <row r="302" spans="1:71" x14ac:dyDescent="0.2">
      <c r="A302" s="1" t="s">
        <v>1437</v>
      </c>
      <c r="B302" s="142" t="str">
        <f>IF(A302="","",_xlfn.XLOOKUP(A302, Company_List!$A:$A, Company_List!$B:$B, ""))</f>
        <v>AVGO</v>
      </c>
      <c r="C302" s="143">
        <v>2025</v>
      </c>
      <c r="D302" s="143" t="s">
        <v>563</v>
      </c>
      <c r="E302" s="98" t="s">
        <v>1121</v>
      </c>
      <c r="F302" s="98" t="s">
        <v>1086</v>
      </c>
      <c r="G302" s="143" t="s">
        <v>648</v>
      </c>
      <c r="H302" s="106" t="s">
        <v>540</v>
      </c>
      <c r="I302" s="145">
        <v>-0.25</v>
      </c>
      <c r="J302" s="145" t="str">
        <f>IF(OR(I302="",Settings!$B$6=""),"",IF(I302&gt;Settings!$B$6,"BUY",IF(I302&lt;-Settings!$B$6,"SELL","HOLD")))</f>
        <v>SELL</v>
      </c>
      <c r="K302" s="145">
        <v>32</v>
      </c>
      <c r="L302" s="125">
        <v>45904</v>
      </c>
      <c r="M302" s="140">
        <v>45904</v>
      </c>
      <c r="N302" s="147">
        <v>306.10000000000002</v>
      </c>
      <c r="O302" s="140">
        <v>45905</v>
      </c>
      <c r="P302" s="145">
        <v>355.78</v>
      </c>
      <c r="Q302" s="151">
        <f t="shared" si="43"/>
        <v>0.1623</v>
      </c>
      <c r="R302" s="118" t="str">
        <f>IF(OR(N302="",P302=""),"",IF(Q302&gt;Settings!$B$3/100,"UP",IF(Q302&lt;-Settings!$B$3/100,"DOWN","FLAT")))</f>
        <v>UP</v>
      </c>
      <c r="S302" s="118" t="str">
        <f t="shared" si="44"/>
        <v>NO</v>
      </c>
      <c r="T302" s="119">
        <f t="shared" si="45"/>
        <v>-1</v>
      </c>
      <c r="U302" s="150">
        <f>IFERROR(IF(OR(J302="",N302="",P302=""),"",IF(T302=0,0,T302*Q302-Settings!$B$4/10000-IF(T302&lt;0,Settings!$B$5/10000,0))),"")</f>
        <v>-0.1633</v>
      </c>
      <c r="W302" s="21">
        <f t="shared" si="46"/>
        <v>1920</v>
      </c>
      <c r="X302" s="91" t="str">
        <f t="shared" si="47"/>
        <v>Broadcom|2025|Q3</v>
      </c>
      <c r="Y302" s="91" t="str">
        <f>IFERROR(IF($X302="","",INDEX(LLM_Data_Entry!$H$3:$H$548,MATCH($X302,INDEX(LLM_Data_Entry!$A$3:$A$548&amp;"|"&amp;LLM_Data_Entry!$C$3:$C$548&amp;"|"&amp;LLM_Data_Entry!$D$3:$D$548,0),0))),"")</f>
        <v>BUY</v>
      </c>
      <c r="Z302" s="91" t="str">
        <f>IFERROR(IF($X302="","",INDEX(LLM_Data_Entry!$R$3:$R$548,MATCH($X302,INDEX(LLM_Data_Entry!$A$3:$A$548&amp;"|"&amp;LLM_Data_Entry!$C$3:$C$548&amp;"|"&amp;LLM_Data_Entry!$D$3:$D$548,0),0))),"")</f>
        <v>YES</v>
      </c>
      <c r="AB302" t="s">
        <v>541</v>
      </c>
      <c r="AC302" t="s">
        <v>1438</v>
      </c>
      <c r="AD302" t="s">
        <v>1442</v>
      </c>
      <c r="AE302">
        <v>303.87349999999998</v>
      </c>
      <c r="AF302" t="s">
        <v>1443</v>
      </c>
      <c r="AG302">
        <v>353.19209999999998</v>
      </c>
      <c r="AH302">
        <v>0.1622998755933408</v>
      </c>
      <c r="AI302" t="s">
        <v>591</v>
      </c>
      <c r="AJ302" t="s">
        <v>546</v>
      </c>
      <c r="AK302">
        <v>-0.1633</v>
      </c>
      <c r="AL302" t="str">
        <f>IF($A302="","",IFERROR(INDEX(Company_List!$G$3:$G$207,MATCH($A302,Company_List!$A$3:$A$207,0)),"unassigned"))</f>
        <v>P2</v>
      </c>
      <c r="AM302" t="s">
        <v>1444</v>
      </c>
      <c r="AN302" t="s">
        <v>1445</v>
      </c>
      <c r="AO302" t="s">
        <v>560</v>
      </c>
      <c r="AP302" t="str">
        <f>IF($A302="","",IF(COUNTIFS(LLM_Data_Entry!$A$3:$A$548,$A302)&gt;0,"YES","NO"))</f>
        <v>YES</v>
      </c>
      <c r="AQ302" t="str">
        <f>IF($A302="","",IF(COUNTIFS($A$3:$A302,$A302,$C$3:$C302,$C302,$D$3:$D302,$D302)=1,"YES","NO"))</f>
        <v>YES</v>
      </c>
      <c r="AR302" t="str">
        <f>IF($A302="","",IF(AND($C302&amp;"-"&amp;$D302&gt;=Settings!$B$19,$C302&amp;"-"&amp;$D302&lt;=Settings!$B$20),"IN","OUT"))</f>
        <v>IN</v>
      </c>
      <c r="AS302" t="str">
        <f t="shared" si="48"/>
        <v>financials</v>
      </c>
      <c r="AT302">
        <f t="shared" si="49"/>
        <v>-0.1633</v>
      </c>
      <c r="AU302">
        <f t="shared" si="50"/>
        <v>-0.1633</v>
      </c>
      <c r="AV302">
        <f>IF(ISNUMBER($AT302),ABS(IF(ISNUMBER($I302),$I302,0)-Settings!$B$24),"")</f>
        <v>0.25</v>
      </c>
      <c r="AW302">
        <f t="shared" si="51"/>
        <v>-4.0825E-2</v>
      </c>
      <c r="AX302">
        <f>IF(ISNUMBER($AU302),ABS(IF(ISNUMBER($I302),$I302,0)-Settings!$B$24),"")</f>
        <v>0.25</v>
      </c>
      <c r="AY302" t="s">
        <v>549</v>
      </c>
      <c r="AZ302" t="str">
        <f>IF($A302="","",IFERROR(INDEX(Company_List!$H$3:$H$207,MATCH($A302,Company_List!$A$3:$A$207,0)),"unassigned"))</f>
        <v>Information Technology</v>
      </c>
      <c r="BC302">
        <f>IF($A302="","",IF(COUNTIFS($A$3:$A302,$A302,$C$3:$C302,$C302,$D$3:$D302,$D302,$G$3:$G302,$G302)=1,1,0))</f>
        <v>1</v>
      </c>
      <c r="BG302" t="s">
        <v>550</v>
      </c>
      <c r="BK302">
        <f t="shared" si="52"/>
        <v>0</v>
      </c>
      <c r="BL302" t="s">
        <v>551</v>
      </c>
      <c r="BM302">
        <v>1</v>
      </c>
      <c r="BN302" t="s">
        <v>561</v>
      </c>
      <c r="BO302" t="s">
        <v>561</v>
      </c>
      <c r="BP302" t="s">
        <v>550</v>
      </c>
      <c r="BQ302" t="s">
        <v>562</v>
      </c>
      <c r="BS302" t="s">
        <v>554</v>
      </c>
    </row>
    <row r="303" spans="1:71" x14ac:dyDescent="0.2">
      <c r="A303" s="1" t="s">
        <v>1437</v>
      </c>
      <c r="B303" s="142" t="str">
        <f>IF(A303="","",_xlfn.XLOOKUP(A303, Company_List!$A:$A, Company_List!$B:$B, ""))</f>
        <v>AVGO</v>
      </c>
      <c r="C303" s="143">
        <v>2025</v>
      </c>
      <c r="D303" s="143" t="s">
        <v>569</v>
      </c>
      <c r="E303" s="98" t="s">
        <v>647</v>
      </c>
      <c r="F303" s="98" t="s">
        <v>1090</v>
      </c>
      <c r="G303" s="143" t="s">
        <v>648</v>
      </c>
      <c r="H303" s="106" t="s">
        <v>540</v>
      </c>
      <c r="I303" s="145">
        <v>0.8</v>
      </c>
      <c r="J303" s="145" t="str">
        <f>IF(OR(I303="",Settings!$B$6=""),"",IF(I303&gt;Settings!$B$6,"BUY",IF(I303&lt;-Settings!$B$6,"SELL","HOLD")))</f>
        <v>BUY</v>
      </c>
      <c r="K303" s="145">
        <v>35</v>
      </c>
      <c r="L303" s="125">
        <v>46002</v>
      </c>
      <c r="M303" s="140">
        <v>46002</v>
      </c>
      <c r="N303" s="147">
        <v>406.37</v>
      </c>
      <c r="O303" s="140">
        <v>46003</v>
      </c>
      <c r="P303" s="145">
        <v>379.96</v>
      </c>
      <c r="Q303" s="151">
        <f t="shared" si="43"/>
        <v>-6.5000000000000002E-2</v>
      </c>
      <c r="R303" s="118" t="str">
        <f>IF(OR(N303="",P303=""),"",IF(Q303&gt;Settings!$B$3/100,"UP",IF(Q303&lt;-Settings!$B$3/100,"DOWN","FLAT")))</f>
        <v>DOWN</v>
      </c>
      <c r="S303" s="118" t="str">
        <f t="shared" si="44"/>
        <v>NO</v>
      </c>
      <c r="T303" s="119">
        <f t="shared" si="45"/>
        <v>1</v>
      </c>
      <c r="U303" s="150">
        <f>IFERROR(IF(OR(J303="",N303="",P303=""),"",IF(T303=0,0,T303*Q303-Settings!$B$4/10000-IF(T303&lt;0,Settings!$B$5/10000,0))),"")</f>
        <v>-6.6000000000000003E-2</v>
      </c>
      <c r="W303" s="21">
        <f t="shared" si="46"/>
        <v>2100</v>
      </c>
      <c r="X303" s="91" t="str">
        <f t="shared" si="47"/>
        <v>Broadcom|2025|Q4</v>
      </c>
      <c r="Y303" s="91" t="str">
        <f>IFERROR(IF($X303="","",INDEX(LLM_Data_Entry!$H$3:$H$548,MATCH($X303,INDEX(LLM_Data_Entry!$A$3:$A$548&amp;"|"&amp;LLM_Data_Entry!$C$3:$C$548&amp;"|"&amp;LLM_Data_Entry!$D$3:$D$548,0),0))),"")</f>
        <v>BUY</v>
      </c>
      <c r="Z303" s="91" t="str">
        <f>IFERROR(IF($X303="","",INDEX(LLM_Data_Entry!$R$3:$R$548,MATCH($X303,INDEX(LLM_Data_Entry!$A$3:$A$548&amp;"|"&amp;LLM_Data_Entry!$C$3:$C$548&amp;"|"&amp;LLM_Data_Entry!$D$3:$D$548,0),0))),"")</f>
        <v>NO</v>
      </c>
      <c r="AB303" t="s">
        <v>564</v>
      </c>
      <c r="AC303" t="s">
        <v>1438</v>
      </c>
      <c r="AD303" t="s">
        <v>818</v>
      </c>
      <c r="AE303">
        <v>404.1053</v>
      </c>
      <c r="AF303" t="s">
        <v>819</v>
      </c>
      <c r="AG303">
        <v>377.84249999999997</v>
      </c>
      <c r="AH303">
        <v>-6.499001492387034E-2</v>
      </c>
      <c r="AI303" t="s">
        <v>545</v>
      </c>
      <c r="AJ303" t="s">
        <v>546</v>
      </c>
      <c r="AK303">
        <v>-6.5989999999999993E-2</v>
      </c>
      <c r="AL303" t="str">
        <f>IF($A303="","",IFERROR(INDEX(Company_List!$G$3:$G$207,MATCH($A303,Company_List!$A$3:$A$207,0)),"unassigned"))</f>
        <v>P2</v>
      </c>
      <c r="AM303" t="s">
        <v>1446</v>
      </c>
      <c r="AN303" t="s">
        <v>1447</v>
      </c>
      <c r="AO303" t="s">
        <v>560</v>
      </c>
      <c r="AP303" t="str">
        <f>IF($A303="","",IF(COUNTIFS(LLM_Data_Entry!$A$3:$A$548,$A303)&gt;0,"YES","NO"))</f>
        <v>YES</v>
      </c>
      <c r="AQ303" t="str">
        <f>IF($A303="","",IF(COUNTIFS($A$3:$A303,$A303,$C$3:$C303,$C303,$D$3:$D303,$D303)=1,"YES","NO"))</f>
        <v>YES</v>
      </c>
      <c r="AR303" t="str">
        <f>IF($A303="","",IF(AND($C303&amp;"-"&amp;$D303&gt;=Settings!$B$19,$C303&amp;"-"&amp;$D303&lt;=Settings!$B$20),"IN","OUT"))</f>
        <v>IN</v>
      </c>
      <c r="AS303" t="str">
        <f t="shared" si="48"/>
        <v>guidance</v>
      </c>
      <c r="AT303">
        <f t="shared" si="49"/>
        <v>-6.6000000000000003E-2</v>
      </c>
      <c r="AU303">
        <f t="shared" si="50"/>
        <v>-6.5989999999999993E-2</v>
      </c>
      <c r="AV303">
        <f>IF(ISNUMBER($AT303),ABS(IF(ISNUMBER($I303),$I303,0)-Settings!$B$24),"")</f>
        <v>0.8</v>
      </c>
      <c r="AW303">
        <f t="shared" si="51"/>
        <v>-5.2800000000000007E-2</v>
      </c>
      <c r="AX303">
        <f>IF(ISNUMBER($AU303),ABS(IF(ISNUMBER($I303),$I303,0)-Settings!$B$24),"")</f>
        <v>0.8</v>
      </c>
      <c r="AY303" t="s">
        <v>549</v>
      </c>
      <c r="AZ303" t="str">
        <f>IF($A303="","",IFERROR(INDEX(Company_List!$H$3:$H$207,MATCH($A303,Company_List!$A$3:$A$207,0)),"unassigned"))</f>
        <v>Information Technology</v>
      </c>
      <c r="BC303">
        <f>IF($A303="","",IF(COUNTIFS($A$3:$A303,$A303,$C$3:$C303,$C303,$D$3:$D303,$D303,$G$3:$G303,$G303)=1,1,0))</f>
        <v>1</v>
      </c>
      <c r="BG303" t="s">
        <v>550</v>
      </c>
      <c r="BK303">
        <f t="shared" si="52"/>
        <v>1</v>
      </c>
      <c r="BL303" t="s">
        <v>551</v>
      </c>
      <c r="BM303">
        <v>1</v>
      </c>
      <c r="BN303" t="s">
        <v>595</v>
      </c>
      <c r="BO303" t="s">
        <v>596</v>
      </c>
      <c r="BP303" t="s">
        <v>550</v>
      </c>
      <c r="BQ303" t="s">
        <v>562</v>
      </c>
      <c r="BS303" t="s">
        <v>554</v>
      </c>
    </row>
    <row r="304" spans="1:71" x14ac:dyDescent="0.2">
      <c r="A304" s="1" t="s">
        <v>1381</v>
      </c>
      <c r="B304" s="142" t="str">
        <f>IF(A304="","",_xlfn.XLOOKUP(A304, Company_List!$A:$A, Company_List!$B:$B, ""))</f>
        <v>COST</v>
      </c>
      <c r="C304" s="143">
        <v>2026</v>
      </c>
      <c r="D304" s="143" t="s">
        <v>537</v>
      </c>
      <c r="E304" s="98" t="s">
        <v>647</v>
      </c>
      <c r="F304" s="98" t="s">
        <v>1092</v>
      </c>
      <c r="G304" s="143" t="s">
        <v>648</v>
      </c>
      <c r="H304" s="106" t="s">
        <v>540</v>
      </c>
      <c r="I304" s="145">
        <v>0.05</v>
      </c>
      <c r="J304" s="145" t="str">
        <f>IF(OR(I304="",Settings!$B$6=""),"",IF(I304&gt;Settings!$B$6,"BUY",IF(I304&lt;-Settings!$B$6,"SELL","HOLD")))</f>
        <v>HOLD</v>
      </c>
      <c r="K304" s="145">
        <v>41</v>
      </c>
      <c r="L304" s="125">
        <v>46002</v>
      </c>
      <c r="M304" s="140" t="s">
        <v>1382</v>
      </c>
      <c r="N304" s="147">
        <v>904.26900000000001</v>
      </c>
      <c r="O304" s="140" t="s">
        <v>1383</v>
      </c>
      <c r="P304" s="145">
        <v>901.04319999999996</v>
      </c>
      <c r="Q304" s="151">
        <f t="shared" si="43"/>
        <v>-3.5999999999999999E-3</v>
      </c>
      <c r="R304" s="118" t="str">
        <f>IF(OR(N304="",P304=""),"",IF(Q304&gt;Settings!$B$3/100,"UP",IF(Q304&lt;-Settings!$B$3/100,"DOWN","FLAT")))</f>
        <v>FLAT</v>
      </c>
      <c r="S304" s="118" t="str">
        <f t="shared" si="44"/>
        <v>YES</v>
      </c>
      <c r="T304" s="119">
        <f t="shared" si="45"/>
        <v>0</v>
      </c>
      <c r="U304" s="150">
        <f>IFERROR(IF(OR(J304="",N304="",P304=""),"",IF(T304=0,0,T304*Q304-Settings!$B$4/10000-IF(T304&lt;0,Settings!$B$5/10000,0))),"")</f>
        <v>0</v>
      </c>
      <c r="W304" s="21">
        <f t="shared" si="46"/>
        <v>2460</v>
      </c>
      <c r="X304" s="91" t="str">
        <f t="shared" si="47"/>
        <v>Costco|2026|Q1</v>
      </c>
      <c r="Y304" s="91" t="str">
        <f>IFERROR(IF($X304="","",INDEX(LLM_Data_Entry!$H$3:$H$548,MATCH($X304,INDEX(LLM_Data_Entry!$A$3:$A$548&amp;"|"&amp;LLM_Data_Entry!$C$3:$C$548&amp;"|"&amp;LLM_Data_Entry!$D$3:$D$548,0),0))),"")</f>
        <v>HOLD</v>
      </c>
      <c r="Z304" s="91">
        <f>IFERROR(IF($X304="","",INDEX(LLM_Data_Entry!$R$3:$R$548,MATCH($X304,INDEX(LLM_Data_Entry!$A$3:$A$548&amp;"|"&amp;LLM_Data_Entry!$C$3:$C$548&amp;"|"&amp;LLM_Data_Entry!$D$3:$D$548,0),0))),"")</f>
        <v>0</v>
      </c>
      <c r="AB304" t="s">
        <v>564</v>
      </c>
      <c r="AC304" t="s">
        <v>1385</v>
      </c>
      <c r="AD304" t="s">
        <v>818</v>
      </c>
      <c r="AE304">
        <v>880.59339999999997</v>
      </c>
      <c r="AF304" t="s">
        <v>819</v>
      </c>
      <c r="AG304">
        <v>879.41869999999994</v>
      </c>
      <c r="AH304">
        <v>-1.334090039663578E-3</v>
      </c>
      <c r="AI304" t="s">
        <v>579</v>
      </c>
      <c r="AJ304" t="s">
        <v>554</v>
      </c>
      <c r="AK304">
        <v>0</v>
      </c>
      <c r="AL304" t="str">
        <f>IF($A304="","",IFERROR(INDEX(Company_List!$G$3:$G$207,MATCH($A304,Company_List!$A$3:$A$207,0)),"unassigned"))</f>
        <v>both</v>
      </c>
      <c r="AM304" t="s">
        <v>1448</v>
      </c>
      <c r="AO304" t="s">
        <v>548</v>
      </c>
      <c r="AP304" t="str">
        <f>IF($A304="","",IF(COUNTIFS(LLM_Data_Entry!$A$3:$A$548,$A304)&gt;0,"YES","NO"))</f>
        <v>YES</v>
      </c>
      <c r="AQ304" t="str">
        <f>IF($A304="","",IF(COUNTIFS($A$3:$A304,$A304,$C$3:$C304,$C304,$D$3:$D304,$D304)=1,"YES","NO"))</f>
        <v>NO</v>
      </c>
      <c r="AR304" t="str">
        <f>IF($A304="","",IF(AND($C304&amp;"-"&amp;$D304&gt;=Settings!$B$19,$C304&amp;"-"&amp;$D304&lt;=Settings!$B$20),"IN","OUT"))</f>
        <v>IN</v>
      </c>
      <c r="AS304" t="str">
        <f t="shared" si="48"/>
        <v>qanda</v>
      </c>
      <c r="AT304" t="str">
        <f t="shared" si="49"/>
        <v/>
      </c>
      <c r="AU304" t="str">
        <f t="shared" si="50"/>
        <v/>
      </c>
      <c r="AV304" t="str">
        <f>IF(ISNUMBER($AT304),ABS(IF(ISNUMBER($I304),$I304,0)-Settings!$B$24),"")</f>
        <v/>
      </c>
      <c r="AW304" t="str">
        <f t="shared" si="51"/>
        <v/>
      </c>
      <c r="AX304" t="str">
        <f>IF(ISNUMBER($AU304),ABS(IF(ISNUMBER($I304),$I304,0)-Settings!$B$24),"")</f>
        <v/>
      </c>
      <c r="AY304" t="s">
        <v>1183</v>
      </c>
      <c r="AZ304" t="str">
        <f>IF($A304="","",IFERROR(INDEX(Company_List!$H$3:$H$207,MATCH($A304,Company_List!$A$3:$A$207,0)),"unassigned"))</f>
        <v>Consumer Staples</v>
      </c>
      <c r="BC304">
        <f>IF($A304="","",IF(COUNTIFS($A$3:$A304,$A304,$C$3:$C304,$C304,$D$3:$D304,$D304,$G$3:$G304,$G304)=1,1,0))</f>
        <v>1</v>
      </c>
      <c r="BG304" t="s">
        <v>550</v>
      </c>
      <c r="BK304">
        <f t="shared" si="52"/>
        <v>1</v>
      </c>
      <c r="BL304" t="s">
        <v>551</v>
      </c>
      <c r="BM304">
        <v>1</v>
      </c>
      <c r="BN304" t="s">
        <v>595</v>
      </c>
      <c r="BO304" t="s">
        <v>596</v>
      </c>
      <c r="BP304" t="s">
        <v>550</v>
      </c>
      <c r="BQ304" t="s">
        <v>550</v>
      </c>
      <c r="BS304" t="s">
        <v>554</v>
      </c>
    </row>
    <row r="305" spans="1:71" x14ac:dyDescent="0.2">
      <c r="A305" s="1" t="s">
        <v>1381</v>
      </c>
      <c r="B305" s="142" t="str">
        <f>IF(A305="","",_xlfn.XLOOKUP(A305, Company_List!$A:$A, Company_List!$B:$B, ""))</f>
        <v>COST</v>
      </c>
      <c r="C305" s="143">
        <v>2026</v>
      </c>
      <c r="D305" s="143" t="s">
        <v>555</v>
      </c>
      <c r="E305" s="98" t="s">
        <v>1121</v>
      </c>
      <c r="F305" s="98" t="s">
        <v>1086</v>
      </c>
      <c r="G305" s="143" t="s">
        <v>648</v>
      </c>
      <c r="H305" s="106" t="s">
        <v>540</v>
      </c>
      <c r="I305" s="145">
        <v>0.25</v>
      </c>
      <c r="J305" s="145" t="str">
        <f>IF(OR(I305="",Settings!$B$6=""),"",IF(I305&gt;Settings!$B$6,"BUY",IF(I305&lt;-Settings!$B$6,"SELL","HOLD")))</f>
        <v>BUY</v>
      </c>
      <c r="K305" s="145">
        <v>33</v>
      </c>
      <c r="L305" s="125">
        <v>46086</v>
      </c>
      <c r="M305" s="140" t="s">
        <v>846</v>
      </c>
      <c r="N305" s="147">
        <v>993.05790000000002</v>
      </c>
      <c r="O305" s="140" t="s">
        <v>847</v>
      </c>
      <c r="P305" s="145">
        <v>989.29930000000002</v>
      </c>
      <c r="Q305" s="151">
        <f t="shared" si="43"/>
        <v>-3.8E-3</v>
      </c>
      <c r="R305" s="118" t="str">
        <f>IF(OR(N305="",P305=""),"",IF(Q305&gt;Settings!$B$3/100,"UP",IF(Q305&lt;-Settings!$B$3/100,"DOWN","FLAT")))</f>
        <v>FLAT</v>
      </c>
      <c r="S305" s="118" t="str">
        <f t="shared" si="44"/>
        <v>NO</v>
      </c>
      <c r="T305" s="119">
        <f t="shared" si="45"/>
        <v>1</v>
      </c>
      <c r="U305" s="150">
        <f>IFERROR(IF(OR(J305="",N305="",P305=""),"",IF(T305=0,0,T305*Q305-Settings!$B$4/10000-IF(T305&lt;0,Settings!$B$5/10000,0))),"")</f>
        <v>-4.8000000000000004E-3</v>
      </c>
      <c r="W305" s="21">
        <f t="shared" si="46"/>
        <v>1980</v>
      </c>
      <c r="X305" s="91" t="str">
        <f t="shared" si="47"/>
        <v>Costco|2026|Q2</v>
      </c>
      <c r="Y305" s="91" t="str">
        <f>IFERROR(IF($X305="","",INDEX(LLM_Data_Entry!$H$3:$H$548,MATCH($X305,INDEX(LLM_Data_Entry!$A$3:$A$548&amp;"|"&amp;LLM_Data_Entry!$C$3:$C$548&amp;"|"&amp;LLM_Data_Entry!$D$3:$D$548,0),0))),"")</f>
        <v>HOLD</v>
      </c>
      <c r="Z305" s="91">
        <f>IFERROR(IF($X305="","",INDEX(LLM_Data_Entry!$R$3:$R$548,MATCH($X305,INDEX(LLM_Data_Entry!$A$3:$A$548&amp;"|"&amp;LLM_Data_Entry!$C$3:$C$548&amp;"|"&amp;LLM_Data_Entry!$D$3:$D$548,0),0))),"")</f>
        <v>0</v>
      </c>
      <c r="AB305" t="s">
        <v>564</v>
      </c>
      <c r="AC305" t="s">
        <v>1385</v>
      </c>
      <c r="AD305" t="s">
        <v>1388</v>
      </c>
      <c r="AE305">
        <v>979.58889999999997</v>
      </c>
      <c r="AF305" t="s">
        <v>1389</v>
      </c>
      <c r="AG305">
        <v>964.0761</v>
      </c>
      <c r="AH305">
        <v>-1.5836081677945119E-2</v>
      </c>
      <c r="AI305" t="s">
        <v>579</v>
      </c>
      <c r="AJ305" t="s">
        <v>546</v>
      </c>
      <c r="AK305">
        <v>-1.6836E-2</v>
      </c>
      <c r="AL305" t="str">
        <f>IF($A305="","",IFERROR(INDEX(Company_List!$G$3:$G$207,MATCH($A305,Company_List!$A$3:$A$207,0)),"unassigned"))</f>
        <v>both</v>
      </c>
      <c r="AM305" t="s">
        <v>1390</v>
      </c>
      <c r="AN305" t="s">
        <v>1391</v>
      </c>
      <c r="AO305" t="s">
        <v>560</v>
      </c>
      <c r="AP305" t="str">
        <f>IF($A305="","",IF(COUNTIFS(LLM_Data_Entry!$A$3:$A$548,$A305)&gt;0,"YES","NO"))</f>
        <v>YES</v>
      </c>
      <c r="AQ305" t="str">
        <f>IF($A305="","",IF(COUNTIFS($A$3:$A305,$A305,$C$3:$C305,$C305,$D$3:$D305,$D305)=1,"YES","NO"))</f>
        <v>NO</v>
      </c>
      <c r="AR305" t="str">
        <f>IF($A305="","",IF(AND($C305&amp;"-"&amp;$D305&gt;=Settings!$B$19,$C305&amp;"-"&amp;$D305&lt;=Settings!$B$20),"IN","OUT"))</f>
        <v>IN</v>
      </c>
      <c r="AS305" t="str">
        <f t="shared" si="48"/>
        <v>financials</v>
      </c>
      <c r="AT305">
        <f t="shared" si="49"/>
        <v>-4.8000000000000004E-3</v>
      </c>
      <c r="AU305">
        <f t="shared" si="50"/>
        <v>-1.6836E-2</v>
      </c>
      <c r="AV305">
        <f>IF(ISNUMBER($AT305),ABS(IF(ISNUMBER($I305),$I305,0)-Settings!$B$24),"")</f>
        <v>0.25</v>
      </c>
      <c r="AW305">
        <f t="shared" si="51"/>
        <v>-1.2000000000000001E-3</v>
      </c>
      <c r="AX305">
        <f>IF(ISNUMBER($AU305),ABS(IF(ISNUMBER($I305),$I305,0)-Settings!$B$24),"")</f>
        <v>0.25</v>
      </c>
      <c r="AY305" t="s">
        <v>1183</v>
      </c>
      <c r="AZ305" t="str">
        <f>IF($A305="","",IFERROR(INDEX(Company_List!$H$3:$H$207,MATCH($A305,Company_List!$A$3:$A$207,0)),"unassigned"))</f>
        <v>Consumer Staples</v>
      </c>
      <c r="BC305">
        <f>IF($A305="","",IF(COUNTIFS($A$3:$A305,$A305,$C$3:$C305,$C305,$D$3:$D305,$D305,$G$3:$G305,$G305)=1,1,0))</f>
        <v>1</v>
      </c>
      <c r="BG305" t="s">
        <v>550</v>
      </c>
      <c r="BK305">
        <f t="shared" si="52"/>
        <v>0</v>
      </c>
      <c r="BL305" t="s">
        <v>551</v>
      </c>
      <c r="BM305">
        <v>1</v>
      </c>
      <c r="BN305" t="s">
        <v>561</v>
      </c>
      <c r="BO305" t="s">
        <v>561</v>
      </c>
      <c r="BP305" t="s">
        <v>550</v>
      </c>
      <c r="BQ305" t="s">
        <v>562</v>
      </c>
      <c r="BS305" t="s">
        <v>554</v>
      </c>
    </row>
    <row r="306" spans="1:71" x14ac:dyDescent="0.2">
      <c r="A306" s="1" t="s">
        <v>1381</v>
      </c>
      <c r="B306" s="142" t="str">
        <f>IF(A306="","",_xlfn.XLOOKUP(A306, Company_List!$A:$A, Company_List!$B:$B, ""))</f>
        <v>COST</v>
      </c>
      <c r="C306" s="143">
        <v>2025</v>
      </c>
      <c r="D306" s="143" t="s">
        <v>569</v>
      </c>
      <c r="E306" s="98" t="s">
        <v>647</v>
      </c>
      <c r="F306" s="98" t="s">
        <v>1090</v>
      </c>
      <c r="G306" s="143" t="s">
        <v>648</v>
      </c>
      <c r="H306" s="106" t="s">
        <v>540</v>
      </c>
      <c r="I306" s="145">
        <v>0.1</v>
      </c>
      <c r="J306" s="145" t="str">
        <f>IF(OR(I306="",Settings!$B$6=""),"",IF(I306&gt;Settings!$B$6,"BUY",IF(I306&lt;-Settings!$B$6,"SELL","HOLD")))</f>
        <v>HOLD</v>
      </c>
      <c r="K306" s="145">
        <v>30</v>
      </c>
      <c r="L306" s="125">
        <v>45925</v>
      </c>
      <c r="M306" s="140" t="s">
        <v>1449</v>
      </c>
      <c r="N306" s="147">
        <v>950.74270000000001</v>
      </c>
      <c r="O306" s="140" t="s">
        <v>1450</v>
      </c>
      <c r="P306" s="145">
        <v>952.2441</v>
      </c>
      <c r="Q306" s="151">
        <f t="shared" si="43"/>
        <v>1.6000000000000001E-3</v>
      </c>
      <c r="R306" s="118" t="str">
        <f>IF(OR(N306="",P306=""),"",IF(Q306&gt;Settings!$B$3/100,"UP",IF(Q306&lt;-Settings!$B$3/100,"DOWN","FLAT")))</f>
        <v>FLAT</v>
      </c>
      <c r="S306" s="118" t="str">
        <f t="shared" si="44"/>
        <v>YES</v>
      </c>
      <c r="T306" s="119">
        <f t="shared" si="45"/>
        <v>0</v>
      </c>
      <c r="U306" s="150">
        <f>IFERROR(IF(OR(J306="",N306="",P306=""),"",IF(T306=0,0,T306*Q306-Settings!$B$4/10000-IF(T306&lt;0,Settings!$B$5/10000,0))),"")</f>
        <v>0</v>
      </c>
      <c r="W306" s="21">
        <f t="shared" si="46"/>
        <v>1800</v>
      </c>
      <c r="X306" s="91" t="str">
        <f t="shared" si="47"/>
        <v>Costco|2025|Q4</v>
      </c>
      <c r="Y306" s="91" t="str">
        <f>IFERROR(IF($X306="","",INDEX(LLM_Data_Entry!$H$3:$H$548,MATCH($X306,INDEX(LLM_Data_Entry!$A$3:$A$548&amp;"|"&amp;LLM_Data_Entry!$C$3:$C$548&amp;"|"&amp;LLM_Data_Entry!$D$3:$D$548,0),0))),"")</f>
        <v>HOLD</v>
      </c>
      <c r="Z306" s="91">
        <f>IFERROR(IF($X306="","",INDEX(LLM_Data_Entry!$R$3:$R$548,MATCH($X306,INDEX(LLM_Data_Entry!$A$3:$A$548&amp;"|"&amp;LLM_Data_Entry!$C$3:$C$548&amp;"|"&amp;LLM_Data_Entry!$D$3:$D$548,0),0))),"")</f>
        <v>0</v>
      </c>
      <c r="AB306" t="s">
        <v>564</v>
      </c>
      <c r="AC306" t="s">
        <v>1385</v>
      </c>
      <c r="AD306" t="s">
        <v>1451</v>
      </c>
      <c r="AE306">
        <v>937.83820000000003</v>
      </c>
      <c r="AF306" t="s">
        <v>1452</v>
      </c>
      <c r="AG306">
        <v>920.18110000000001</v>
      </c>
      <c r="AH306">
        <v>-1.8827411661469801E-2</v>
      </c>
      <c r="AI306" t="s">
        <v>579</v>
      </c>
      <c r="AJ306" t="s">
        <v>554</v>
      </c>
      <c r="AK306">
        <v>0</v>
      </c>
      <c r="AL306" t="str">
        <f>IF($A306="","",IFERROR(INDEX(Company_List!$G$3:$G$207,MATCH($A306,Company_List!$A$3:$A$207,0)),"unassigned"))</f>
        <v>both</v>
      </c>
      <c r="AM306" t="s">
        <v>1453</v>
      </c>
      <c r="AN306" t="s">
        <v>1454</v>
      </c>
      <c r="AO306" t="s">
        <v>560</v>
      </c>
      <c r="AP306" t="str">
        <f>IF($A306="","",IF(COUNTIFS(LLM_Data_Entry!$A$3:$A$548,$A306)&gt;0,"YES","NO"))</f>
        <v>YES</v>
      </c>
      <c r="AQ306" t="str">
        <f>IF($A306="","",IF(COUNTIFS($A$3:$A306,$A306,$C$3:$C306,$C306,$D$3:$D306,$D306)=1,"YES","NO"))</f>
        <v>YES</v>
      </c>
      <c r="AR306" t="str">
        <f>IF($A306="","",IF(AND($C306&amp;"-"&amp;$D306&gt;=Settings!$B$19,$C306&amp;"-"&amp;$D306&lt;=Settings!$B$20),"IN","OUT"))</f>
        <v>IN</v>
      </c>
      <c r="AS306" t="str">
        <f t="shared" si="48"/>
        <v>guidance</v>
      </c>
      <c r="AT306" t="str">
        <f t="shared" si="49"/>
        <v/>
      </c>
      <c r="AU306" t="str">
        <f t="shared" si="50"/>
        <v/>
      </c>
      <c r="AV306" t="str">
        <f>IF(ISNUMBER($AT306),ABS(IF(ISNUMBER($I306),$I306,0)-Settings!$B$24),"")</f>
        <v/>
      </c>
      <c r="AW306" t="str">
        <f t="shared" si="51"/>
        <v/>
      </c>
      <c r="AX306" t="str">
        <f>IF(ISNUMBER($AU306),ABS(IF(ISNUMBER($I306),$I306,0)-Settings!$B$24),"")</f>
        <v/>
      </c>
      <c r="AY306" t="s">
        <v>1183</v>
      </c>
      <c r="AZ306" t="str">
        <f>IF($A306="","",IFERROR(INDEX(Company_List!$H$3:$H$207,MATCH($A306,Company_List!$A$3:$A$207,0)),"unassigned"))</f>
        <v>Consumer Staples</v>
      </c>
      <c r="BC306">
        <f>IF($A306="","",IF(COUNTIFS($A$3:$A306,$A306,$C$3:$C306,$C306,$D$3:$D306,$D306,$G$3:$G306,$G306)=1,1,0))</f>
        <v>1</v>
      </c>
      <c r="BG306" t="s">
        <v>550</v>
      </c>
      <c r="BK306">
        <f t="shared" si="52"/>
        <v>1</v>
      </c>
      <c r="BL306" t="s">
        <v>551</v>
      </c>
      <c r="BM306">
        <v>1</v>
      </c>
      <c r="BN306" t="s">
        <v>561</v>
      </c>
      <c r="BO306" t="s">
        <v>561</v>
      </c>
      <c r="BP306" t="s">
        <v>550</v>
      </c>
      <c r="BQ306" t="s">
        <v>562</v>
      </c>
      <c r="BS306" t="s">
        <v>554</v>
      </c>
    </row>
    <row r="307" spans="1:71" x14ac:dyDescent="0.2">
      <c r="A307" s="1" t="s">
        <v>1455</v>
      </c>
      <c r="B307" s="142" t="str">
        <f>IF(A307="","",_xlfn.XLOOKUP(A307, Company_List!$A:$A, Company_List!$B:$B, ""))</f>
        <v>ORCL</v>
      </c>
      <c r="C307" s="143">
        <v>2026</v>
      </c>
      <c r="D307" s="143" t="s">
        <v>537</v>
      </c>
      <c r="E307" s="98" t="s">
        <v>647</v>
      </c>
      <c r="F307" s="98" t="s">
        <v>1092</v>
      </c>
      <c r="G307" s="143" t="s">
        <v>648</v>
      </c>
      <c r="H307" s="106" t="s">
        <v>540</v>
      </c>
      <c r="I307" s="145">
        <v>-0.25</v>
      </c>
      <c r="J307" s="145" t="str">
        <f>IF(OR(I307="",Settings!$B$6=""),"",IF(I307&gt;Settings!$B$6,"BUY",IF(I307&lt;-Settings!$B$6,"SELL","HOLD")))</f>
        <v>SELL</v>
      </c>
      <c r="K307" s="145">
        <v>44</v>
      </c>
      <c r="L307" s="125">
        <v>45909</v>
      </c>
      <c r="M307" s="140">
        <v>45909</v>
      </c>
      <c r="N307" s="147">
        <v>241.51</v>
      </c>
      <c r="O307" s="140">
        <v>45910</v>
      </c>
      <c r="P307" s="145">
        <v>319.19</v>
      </c>
      <c r="Q307" s="151">
        <f t="shared" si="43"/>
        <v>0.3216</v>
      </c>
      <c r="R307" s="118" t="str">
        <f>IF(OR(N307="",P307=""),"",IF(Q307&gt;Settings!$B$3/100,"UP",IF(Q307&lt;-Settings!$B$3/100,"DOWN","FLAT")))</f>
        <v>UP</v>
      </c>
      <c r="S307" s="118" t="str">
        <f t="shared" si="44"/>
        <v>NO</v>
      </c>
      <c r="T307" s="119">
        <f t="shared" si="45"/>
        <v>-1</v>
      </c>
      <c r="U307" s="150">
        <f>IFERROR(IF(OR(J307="",N307="",P307=""),"",IF(T307=0,0,T307*Q307-Settings!$B$4/10000-IF(T307&lt;0,Settings!$B$5/10000,0))),"")</f>
        <v>-0.3226</v>
      </c>
      <c r="W307" s="21">
        <f t="shared" si="46"/>
        <v>2640</v>
      </c>
      <c r="X307" s="91" t="str">
        <f t="shared" si="47"/>
        <v>Oracle|2026|Q1</v>
      </c>
      <c r="Y307" s="91" t="str">
        <f>IFERROR(IF($X307="","",INDEX(LLM_Data_Entry!$H$3:$H$548,MATCH($X307,INDEX(LLM_Data_Entry!$A$3:$A$548&amp;"|"&amp;LLM_Data_Entry!$C$3:$C$548&amp;"|"&amp;LLM_Data_Entry!$D$3:$D$548,0),0))),"")</f>
        <v>BUY</v>
      </c>
      <c r="Z307" s="91" t="str">
        <f>IFERROR(IF($X307="","",INDEX(LLM_Data_Entry!$R$3:$R$548,MATCH($X307,INDEX(LLM_Data_Entry!$A$3:$A$548&amp;"|"&amp;LLM_Data_Entry!$C$3:$C$548&amp;"|"&amp;LLM_Data_Entry!$D$3:$D$548,0),0))),"")</f>
        <v>YES</v>
      </c>
      <c r="AB307" t="s">
        <v>564</v>
      </c>
      <c r="AC307" t="s">
        <v>1456</v>
      </c>
      <c r="AD307" t="s">
        <v>1457</v>
      </c>
      <c r="AE307">
        <v>238.7884</v>
      </c>
      <c r="AF307" t="s">
        <v>1449</v>
      </c>
      <c r="AG307">
        <v>315.59300000000002</v>
      </c>
      <c r="AH307">
        <v>0.32164322432958808</v>
      </c>
      <c r="AI307" t="s">
        <v>591</v>
      </c>
      <c r="AJ307" t="s">
        <v>546</v>
      </c>
      <c r="AK307">
        <v>-0.32264300000000001</v>
      </c>
      <c r="AL307" t="str">
        <f>IF($A307="","",IFERROR(INDEX(Company_List!$G$3:$G$207,MATCH($A307,Company_List!$A$3:$A$207,0)),"unassigned"))</f>
        <v>P2</v>
      </c>
      <c r="AM307" t="s">
        <v>1458</v>
      </c>
      <c r="AN307" t="s">
        <v>1459</v>
      </c>
      <c r="AO307" t="s">
        <v>560</v>
      </c>
      <c r="AP307" t="str">
        <f>IF($A307="","",IF(COUNTIFS(LLM_Data_Entry!$A$3:$A$548,$A307)&gt;0,"YES","NO"))</f>
        <v>YES</v>
      </c>
      <c r="AQ307" t="str">
        <f>IF($A307="","",IF(COUNTIFS($A$3:$A307,$A307,$C$3:$C307,$C307,$D$3:$D307,$D307)=1,"YES","NO"))</f>
        <v>YES</v>
      </c>
      <c r="AR307" t="str">
        <f>IF($A307="","",IF(AND($C307&amp;"-"&amp;$D307&gt;=Settings!$B$19,$C307&amp;"-"&amp;$D307&lt;=Settings!$B$20),"IN","OUT"))</f>
        <v>IN</v>
      </c>
      <c r="AS307" t="str">
        <f t="shared" si="48"/>
        <v>qanda</v>
      </c>
      <c r="AT307">
        <f t="shared" si="49"/>
        <v>-0.3226</v>
      </c>
      <c r="AU307">
        <f t="shared" si="50"/>
        <v>-0.32264300000000001</v>
      </c>
      <c r="AV307">
        <f>IF(ISNUMBER($AT307),ABS(IF(ISNUMBER($I307),$I307,0)-Settings!$B$24),"")</f>
        <v>0.25</v>
      </c>
      <c r="AW307">
        <f t="shared" si="51"/>
        <v>-8.0649999999999999E-2</v>
      </c>
      <c r="AX307">
        <f>IF(ISNUMBER($AU307),ABS(IF(ISNUMBER($I307),$I307,0)-Settings!$B$24),"")</f>
        <v>0.25</v>
      </c>
      <c r="AY307" t="s">
        <v>549</v>
      </c>
      <c r="AZ307" t="str">
        <f>IF($A307="","",IFERROR(INDEX(Company_List!$H$3:$H$207,MATCH($A307,Company_List!$A$3:$A$207,0)),"unassigned"))</f>
        <v>Information Technology</v>
      </c>
      <c r="BC307">
        <f>IF($A307="","",IF(COUNTIFS($A$3:$A307,$A307,$C$3:$C307,$C307,$D$3:$D307,$D307,$G$3:$G307,$G307)=1,1,0))</f>
        <v>1</v>
      </c>
      <c r="BG307" t="s">
        <v>550</v>
      </c>
      <c r="BK307">
        <f t="shared" si="52"/>
        <v>0</v>
      </c>
      <c r="BL307" t="s">
        <v>551</v>
      </c>
      <c r="BM307">
        <v>1</v>
      </c>
      <c r="BN307" t="s">
        <v>561</v>
      </c>
      <c r="BO307" t="s">
        <v>561</v>
      </c>
      <c r="BP307" t="s">
        <v>550</v>
      </c>
      <c r="BQ307" t="s">
        <v>562</v>
      </c>
      <c r="BS307" t="s">
        <v>554</v>
      </c>
    </row>
    <row r="308" spans="1:71" x14ac:dyDescent="0.2">
      <c r="A308" s="1" t="s">
        <v>1455</v>
      </c>
      <c r="B308" s="142" t="str">
        <f>IF(A308="","",_xlfn.XLOOKUP(A308, Company_List!$A:$A, Company_List!$B:$B, ""))</f>
        <v>ORCL</v>
      </c>
      <c r="C308" s="143">
        <v>2026</v>
      </c>
      <c r="D308" s="143" t="s">
        <v>555</v>
      </c>
      <c r="E308" s="98" t="s">
        <v>1121</v>
      </c>
      <c r="F308" s="98" t="s">
        <v>1086</v>
      </c>
      <c r="G308" s="143" t="s">
        <v>648</v>
      </c>
      <c r="H308" s="106" t="s">
        <v>540</v>
      </c>
      <c r="I308" s="145">
        <v>0.7</v>
      </c>
      <c r="J308" s="145" t="str">
        <f>IF(OR(I308="",Settings!$B$6=""),"",IF(I308&gt;Settings!$B$6,"BUY",IF(I308&lt;-Settings!$B$6,"SELL","HOLD")))</f>
        <v>BUY</v>
      </c>
      <c r="K308" s="145">
        <v>38</v>
      </c>
      <c r="L308" s="125">
        <v>46001</v>
      </c>
      <c r="M308" s="140">
        <v>46001</v>
      </c>
      <c r="N308" s="147">
        <v>223.01</v>
      </c>
      <c r="O308" s="140">
        <v>46002</v>
      </c>
      <c r="P308" s="145">
        <v>190.62</v>
      </c>
      <c r="Q308" s="151">
        <f t="shared" si="43"/>
        <v>-0.1452</v>
      </c>
      <c r="R308" s="118" t="str">
        <f>IF(OR(N308="",P308=""),"",IF(Q308&gt;Settings!$B$3/100,"UP",IF(Q308&lt;-Settings!$B$3/100,"DOWN","FLAT")))</f>
        <v>DOWN</v>
      </c>
      <c r="S308" s="118" t="str">
        <f t="shared" si="44"/>
        <v>NO</v>
      </c>
      <c r="T308" s="119">
        <f t="shared" si="45"/>
        <v>1</v>
      </c>
      <c r="U308" s="150">
        <f>IFERROR(IF(OR(J308="",N308="",P308=""),"",IF(T308=0,0,T308*Q308-Settings!$B$4/10000-IF(T308&lt;0,Settings!$B$5/10000,0))),"")</f>
        <v>-0.1462</v>
      </c>
      <c r="W308" s="21">
        <f t="shared" si="46"/>
        <v>2280</v>
      </c>
      <c r="X308" s="91" t="str">
        <f t="shared" si="47"/>
        <v>Oracle|2026|Q2</v>
      </c>
      <c r="Y308" s="91" t="str">
        <f>IFERROR(IF($X308="","",INDEX(LLM_Data_Entry!$H$3:$H$548,MATCH($X308,INDEX(LLM_Data_Entry!$A$3:$A$548&amp;"|"&amp;LLM_Data_Entry!$C$3:$C$548&amp;"|"&amp;LLM_Data_Entry!$D$3:$D$548,0),0))),"")</f>
        <v>BUY</v>
      </c>
      <c r="Z308" s="91" t="str">
        <f>IFERROR(IF($X308="","",INDEX(LLM_Data_Entry!$R$3:$R$548,MATCH($X308,INDEX(LLM_Data_Entry!$A$3:$A$548&amp;"|"&amp;LLM_Data_Entry!$C$3:$C$548&amp;"|"&amp;LLM_Data_Entry!$D$3:$D$548,0),0))),"")</f>
        <v>NO</v>
      </c>
      <c r="AB308" t="s">
        <v>541</v>
      </c>
      <c r="AC308" t="s">
        <v>1456</v>
      </c>
      <c r="AD308" t="s">
        <v>1460</v>
      </c>
      <c r="AE308">
        <v>220.87950000000001</v>
      </c>
      <c r="AF308" t="s">
        <v>818</v>
      </c>
      <c r="AG308">
        <v>188.7989</v>
      </c>
      <c r="AH308">
        <v>-0.1452401443321627</v>
      </c>
      <c r="AI308" t="s">
        <v>545</v>
      </c>
      <c r="AJ308" t="s">
        <v>546</v>
      </c>
      <c r="AK308">
        <v>-0.14624000000000001</v>
      </c>
      <c r="AL308" t="str">
        <f>IF($A308="","",IFERROR(INDEX(Company_List!$G$3:$G$207,MATCH($A308,Company_List!$A$3:$A$207,0)),"unassigned"))</f>
        <v>P2</v>
      </c>
      <c r="AM308" t="s">
        <v>1461</v>
      </c>
      <c r="AN308" t="s">
        <v>1462</v>
      </c>
      <c r="AO308" t="s">
        <v>560</v>
      </c>
      <c r="AP308" t="str">
        <f>IF($A308="","",IF(COUNTIFS(LLM_Data_Entry!$A$3:$A$548,$A308)&gt;0,"YES","NO"))</f>
        <v>YES</v>
      </c>
      <c r="AQ308" t="str">
        <f>IF($A308="","",IF(COUNTIFS($A$3:$A308,$A308,$C$3:$C308,$C308,$D$3:$D308,$D308)=1,"YES","NO"))</f>
        <v>YES</v>
      </c>
      <c r="AR308" t="str">
        <f>IF($A308="","",IF(AND($C308&amp;"-"&amp;$D308&gt;=Settings!$B$19,$C308&amp;"-"&amp;$D308&lt;=Settings!$B$20),"IN","OUT"))</f>
        <v>IN</v>
      </c>
      <c r="AS308" t="str">
        <f t="shared" si="48"/>
        <v>financials</v>
      </c>
      <c r="AT308">
        <f t="shared" si="49"/>
        <v>-0.1462</v>
      </c>
      <c r="AU308">
        <f t="shared" si="50"/>
        <v>-0.14624000000000001</v>
      </c>
      <c r="AV308">
        <f>IF(ISNUMBER($AT308),ABS(IF(ISNUMBER($I308),$I308,0)-Settings!$B$24),"")</f>
        <v>0.7</v>
      </c>
      <c r="AW308">
        <f t="shared" si="51"/>
        <v>-0.10233999999999999</v>
      </c>
      <c r="AX308">
        <f>IF(ISNUMBER($AU308),ABS(IF(ISNUMBER($I308),$I308,0)-Settings!$B$24),"")</f>
        <v>0.7</v>
      </c>
      <c r="AY308" t="s">
        <v>549</v>
      </c>
      <c r="AZ308" t="str">
        <f>IF($A308="","",IFERROR(INDEX(Company_List!$H$3:$H$207,MATCH($A308,Company_List!$A$3:$A$207,0)),"unassigned"))</f>
        <v>Information Technology</v>
      </c>
      <c r="BC308">
        <f>IF($A308="","",IF(COUNTIFS($A$3:$A308,$A308,$C$3:$C308,$C308,$D$3:$D308,$D308,$G$3:$G308,$G308)=1,1,0))</f>
        <v>1</v>
      </c>
      <c r="BG308" t="s">
        <v>550</v>
      </c>
      <c r="BK308">
        <f t="shared" si="52"/>
        <v>1</v>
      </c>
      <c r="BL308" t="s">
        <v>551</v>
      </c>
      <c r="BM308">
        <v>1</v>
      </c>
      <c r="BN308" t="s">
        <v>561</v>
      </c>
      <c r="BO308" t="s">
        <v>561</v>
      </c>
      <c r="BP308" t="s">
        <v>550</v>
      </c>
      <c r="BQ308" t="s">
        <v>562</v>
      </c>
      <c r="BS308" t="s">
        <v>554</v>
      </c>
    </row>
    <row r="309" spans="1:71" x14ac:dyDescent="0.2">
      <c r="A309" s="1" t="s">
        <v>1455</v>
      </c>
      <c r="B309" s="142" t="str">
        <f>IF(A309="","",_xlfn.XLOOKUP(A309, Company_List!$A:$A, Company_List!$B:$B, ""))</f>
        <v>ORCL</v>
      </c>
      <c r="C309" s="143">
        <v>2026</v>
      </c>
      <c r="D309" s="143" t="s">
        <v>563</v>
      </c>
      <c r="E309" s="98" t="s">
        <v>647</v>
      </c>
      <c r="F309" s="98" t="s">
        <v>1090</v>
      </c>
      <c r="G309" s="143" t="s">
        <v>648</v>
      </c>
      <c r="H309" s="106" t="s">
        <v>540</v>
      </c>
      <c r="I309" s="145">
        <v>-0.45</v>
      </c>
      <c r="J309" s="145" t="str">
        <f>IF(OR(I309="",Settings!$B$6=""),"",IF(I309&gt;Settings!$B$6,"BUY",IF(I309&lt;-Settings!$B$6,"SELL","HOLD")))</f>
        <v>SELL</v>
      </c>
      <c r="K309" s="145">
        <v>37</v>
      </c>
      <c r="L309" s="125">
        <v>46091</v>
      </c>
      <c r="M309" s="140">
        <v>46091</v>
      </c>
      <c r="N309" s="147">
        <v>149.4</v>
      </c>
      <c r="O309" s="140">
        <v>46092</v>
      </c>
      <c r="P309" s="145">
        <v>166.38</v>
      </c>
      <c r="Q309" s="151">
        <f t="shared" si="43"/>
        <v>0.1137</v>
      </c>
      <c r="R309" s="118" t="str">
        <f>IF(OR(N309="",P309=""),"",IF(Q309&gt;Settings!$B$3/100,"UP",IF(Q309&lt;-Settings!$B$3/100,"DOWN","FLAT")))</f>
        <v>UP</v>
      </c>
      <c r="S309" s="118" t="str">
        <f t="shared" si="44"/>
        <v>NO</v>
      </c>
      <c r="T309" s="119">
        <f t="shared" si="45"/>
        <v>-1</v>
      </c>
      <c r="U309" s="150">
        <f>IFERROR(IF(OR(J309="",N309="",P309=""),"",IF(T309=0,0,T309*Q309-Settings!$B$4/10000-IF(T309&lt;0,Settings!$B$5/10000,0))),"")</f>
        <v>-0.1147</v>
      </c>
      <c r="W309" s="21">
        <f t="shared" si="46"/>
        <v>2220</v>
      </c>
      <c r="X309" s="91" t="str">
        <f t="shared" si="47"/>
        <v>Oracle|2026|Q3</v>
      </c>
      <c r="Y309" s="91" t="str">
        <f>IFERROR(IF($X309="","",INDEX(LLM_Data_Entry!$H$3:$H$548,MATCH($X309,INDEX(LLM_Data_Entry!$A$3:$A$548&amp;"|"&amp;LLM_Data_Entry!$C$3:$C$548&amp;"|"&amp;LLM_Data_Entry!$D$3:$D$548,0),0))),"")</f>
        <v>BUY</v>
      </c>
      <c r="Z309" s="91" t="str">
        <f>IFERROR(IF($X309="","",INDEX(LLM_Data_Entry!$R$3:$R$548,MATCH($X309,INDEX(LLM_Data_Entry!$A$3:$A$548&amp;"|"&amp;LLM_Data_Entry!$C$3:$C$548&amp;"|"&amp;LLM_Data_Entry!$D$3:$D$548,0),0))),"")</f>
        <v>YES</v>
      </c>
      <c r="AB309" t="s">
        <v>564</v>
      </c>
      <c r="AC309" t="s">
        <v>1456</v>
      </c>
      <c r="AD309" t="s">
        <v>1463</v>
      </c>
      <c r="AE309">
        <v>148.3639</v>
      </c>
      <c r="AF309" t="s">
        <v>1464</v>
      </c>
      <c r="AG309">
        <v>165.2261</v>
      </c>
      <c r="AH309">
        <v>0.1136546846451149</v>
      </c>
      <c r="AI309" t="s">
        <v>591</v>
      </c>
      <c r="AJ309" t="s">
        <v>546</v>
      </c>
      <c r="AK309">
        <v>-0.11465500000000001</v>
      </c>
      <c r="AL309" t="str">
        <f>IF($A309="","",IFERROR(INDEX(Company_List!$G$3:$G$207,MATCH($A309,Company_List!$A$3:$A$207,0)),"unassigned"))</f>
        <v>P2</v>
      </c>
      <c r="AM309" t="s">
        <v>1465</v>
      </c>
      <c r="AN309" t="s">
        <v>1466</v>
      </c>
      <c r="AO309" t="s">
        <v>560</v>
      </c>
      <c r="AP309" t="str">
        <f>IF($A309="","",IF(COUNTIFS(LLM_Data_Entry!$A$3:$A$548,$A309)&gt;0,"YES","NO"))</f>
        <v>YES</v>
      </c>
      <c r="AQ309" t="str">
        <f>IF($A309="","",IF(COUNTIFS($A$3:$A309,$A309,$C$3:$C309,$C309,$D$3:$D309,$D309)=1,"YES","NO"))</f>
        <v>YES</v>
      </c>
      <c r="AR309" t="str">
        <f>IF($A309="","",IF(AND($C309&amp;"-"&amp;$D309&gt;=Settings!$B$19,$C309&amp;"-"&amp;$D309&lt;=Settings!$B$20),"IN","OUT"))</f>
        <v>IN</v>
      </c>
      <c r="AS309" t="str">
        <f t="shared" si="48"/>
        <v>guidance</v>
      </c>
      <c r="AT309">
        <f t="shared" si="49"/>
        <v>-0.1147</v>
      </c>
      <c r="AU309">
        <f t="shared" si="50"/>
        <v>-0.11465500000000001</v>
      </c>
      <c r="AV309">
        <f>IF(ISNUMBER($AT309),ABS(IF(ISNUMBER($I309),$I309,0)-Settings!$B$24),"")</f>
        <v>0.45</v>
      </c>
      <c r="AW309">
        <f t="shared" si="51"/>
        <v>-5.1615000000000001E-2</v>
      </c>
      <c r="AX309">
        <f>IF(ISNUMBER($AU309),ABS(IF(ISNUMBER($I309),$I309,0)-Settings!$B$24),"")</f>
        <v>0.45</v>
      </c>
      <c r="AY309" t="s">
        <v>549</v>
      </c>
      <c r="AZ309" t="str">
        <f>IF($A309="","",IFERROR(INDEX(Company_List!$H$3:$H$207,MATCH($A309,Company_List!$A$3:$A$207,0)),"unassigned"))</f>
        <v>Information Technology</v>
      </c>
      <c r="BC309">
        <f>IF($A309="","",IF(COUNTIFS($A$3:$A309,$A309,$C$3:$C309,$C309,$D$3:$D309,$D309,$G$3:$G309,$G309)=1,1,0))</f>
        <v>1</v>
      </c>
      <c r="BG309" t="s">
        <v>550</v>
      </c>
      <c r="BK309">
        <f t="shared" si="52"/>
        <v>0</v>
      </c>
      <c r="BL309" t="s">
        <v>551</v>
      </c>
      <c r="BM309">
        <v>1</v>
      </c>
      <c r="BN309" t="s">
        <v>595</v>
      </c>
      <c r="BO309" t="s">
        <v>596</v>
      </c>
      <c r="BP309" t="s">
        <v>550</v>
      </c>
      <c r="BQ309" t="s">
        <v>562</v>
      </c>
      <c r="BS309" t="s">
        <v>554</v>
      </c>
    </row>
    <row r="310" spans="1:71" x14ac:dyDescent="0.2">
      <c r="A310" s="1" t="s">
        <v>1467</v>
      </c>
      <c r="B310" s="142" t="str">
        <f>IF(A310="","",_xlfn.XLOOKUP(A310, Company_List!$A:$A, Company_List!$B:$B, ""))</f>
        <v>SBUX</v>
      </c>
      <c r="C310" s="143">
        <v>2026</v>
      </c>
      <c r="D310" s="143" t="s">
        <v>537</v>
      </c>
      <c r="E310" s="98" t="s">
        <v>1121</v>
      </c>
      <c r="F310" s="98" t="s">
        <v>1086</v>
      </c>
      <c r="G310" s="143" t="s">
        <v>648</v>
      </c>
      <c r="H310" s="106" t="s">
        <v>540</v>
      </c>
      <c r="I310" s="145">
        <v>-0.45</v>
      </c>
      <c r="J310" s="145" t="str">
        <f>IF(OR(I310="",Settings!$B$6=""),"",IF(I310&gt;Settings!$B$6,"BUY",IF(I310&lt;-Settings!$B$6,"SELL","HOLD")))</f>
        <v>SELL</v>
      </c>
      <c r="K310" s="145">
        <v>35</v>
      </c>
      <c r="L310" s="125">
        <v>46050</v>
      </c>
      <c r="M310" s="140">
        <v>46050</v>
      </c>
      <c r="N310" s="147">
        <v>95.16</v>
      </c>
      <c r="O310" s="140">
        <v>46051</v>
      </c>
      <c r="P310" s="145">
        <v>96.76</v>
      </c>
      <c r="Q310" s="151">
        <f t="shared" si="43"/>
        <v>1.6799999999999999E-2</v>
      </c>
      <c r="R310" s="118" t="str">
        <f>IF(OR(N310="",P310=""),"",IF(Q310&gt;Settings!$B$3/100,"UP",IF(Q310&lt;-Settings!$B$3/100,"DOWN","FLAT")))</f>
        <v>FLAT</v>
      </c>
      <c r="S310" s="118" t="str">
        <f t="shared" si="44"/>
        <v>NO</v>
      </c>
      <c r="T310" s="119">
        <f t="shared" si="45"/>
        <v>-1</v>
      </c>
      <c r="U310" s="150">
        <f>IFERROR(IF(OR(J310="",N310="",P310=""),"",IF(T310=0,0,T310*Q310-Settings!$B$4/10000-IF(T310&lt;0,Settings!$B$5/10000,0))),"")</f>
        <v>-1.78E-2</v>
      </c>
      <c r="W310" s="21">
        <f t="shared" si="46"/>
        <v>2100</v>
      </c>
      <c r="X310" s="91" t="str">
        <f t="shared" si="47"/>
        <v>Starbucks|2026|Q1</v>
      </c>
      <c r="Y310" s="91" t="str">
        <f>IFERROR(IF($X310="","",INDEX(LLM_Data_Entry!$H$3:$H$548,MATCH($X310,INDEX(LLM_Data_Entry!$A$3:$A$548&amp;"|"&amp;LLM_Data_Entry!$C$3:$C$548&amp;"|"&amp;LLM_Data_Entry!$D$3:$D$548,0),0))),"")</f>
        <v>HOLD</v>
      </c>
      <c r="Z310" s="91" t="str">
        <f>IFERROR(IF($X310="","",INDEX(LLM_Data_Entry!$R$3:$R$548,MATCH($X310,INDEX(LLM_Data_Entry!$A$3:$A$548&amp;"|"&amp;LLM_Data_Entry!$C$3:$C$548&amp;"|"&amp;LLM_Data_Entry!$D$3:$D$548,0),0))),"")</f>
        <v>YES</v>
      </c>
      <c r="AB310" t="s">
        <v>685</v>
      </c>
      <c r="AC310" t="s">
        <v>1468</v>
      </c>
      <c r="AD310" t="s">
        <v>632</v>
      </c>
      <c r="AE310">
        <v>94.552499999999995</v>
      </c>
      <c r="AF310" t="s">
        <v>776</v>
      </c>
      <c r="AG310">
        <v>101.0522</v>
      </c>
      <c r="AH310">
        <v>6.8742156922551589E-2</v>
      </c>
      <c r="AI310" t="s">
        <v>591</v>
      </c>
      <c r="AJ310" t="s">
        <v>546</v>
      </c>
      <c r="AK310">
        <v>-6.9741999999999998E-2</v>
      </c>
      <c r="AL310" t="str">
        <f>IF($A310="","",IFERROR(INDEX(Company_List!$G$3:$G$207,MATCH($A310,Company_List!$A$3:$A$207,0)),"unassigned"))</f>
        <v>P2</v>
      </c>
      <c r="AM310" t="s">
        <v>1469</v>
      </c>
      <c r="AN310" t="s">
        <v>1470</v>
      </c>
      <c r="AO310" t="s">
        <v>560</v>
      </c>
      <c r="AP310" t="str">
        <f>IF($A310="","",IF(COUNTIFS(LLM_Data_Entry!$A$3:$A$548,$A310)&gt;0,"YES","NO"))</f>
        <v>YES</v>
      </c>
      <c r="AQ310" t="str">
        <f>IF($A310="","",IF(COUNTIFS($A$3:$A310,$A310,$C$3:$C310,$C310,$D$3:$D310,$D310)=1,"YES","NO"))</f>
        <v>YES</v>
      </c>
      <c r="AR310" t="str">
        <f>IF($A310="","",IF(AND($C310&amp;"-"&amp;$D310&gt;=Settings!$B$19,$C310&amp;"-"&amp;$D310&lt;=Settings!$B$20),"IN","OUT"))</f>
        <v>IN</v>
      </c>
      <c r="AS310" t="str">
        <f t="shared" si="48"/>
        <v>financials</v>
      </c>
      <c r="AT310">
        <f t="shared" si="49"/>
        <v>-1.78E-2</v>
      </c>
      <c r="AU310">
        <f t="shared" si="50"/>
        <v>-6.9741999999999998E-2</v>
      </c>
      <c r="AV310">
        <f>IF(ISNUMBER($AT310),ABS(IF(ISNUMBER($I310),$I310,0)-Settings!$B$24),"")</f>
        <v>0.45</v>
      </c>
      <c r="AW310">
        <f t="shared" si="51"/>
        <v>-8.0099999999999998E-3</v>
      </c>
      <c r="AX310">
        <f>IF(ISNUMBER($AU310),ABS(IF(ISNUMBER($I310),$I310,0)-Settings!$B$24),"")</f>
        <v>0.45</v>
      </c>
      <c r="AY310" t="s">
        <v>549</v>
      </c>
      <c r="AZ310" t="str">
        <f>IF($A310="","",IFERROR(INDEX(Company_List!$H$3:$H$207,MATCH($A310,Company_List!$A$3:$A$207,0)),"unassigned"))</f>
        <v>Consumer Discretionary</v>
      </c>
      <c r="BC310">
        <f>IF($A310="","",IF(COUNTIFS($A$3:$A310,$A310,$C$3:$C310,$C310,$D$3:$D310,$D310,$G$3:$G310,$G310)=1,1,0))</f>
        <v>1</v>
      </c>
      <c r="BG310" t="s">
        <v>550</v>
      </c>
      <c r="BK310">
        <f t="shared" si="52"/>
        <v>0</v>
      </c>
      <c r="BL310" t="s">
        <v>551</v>
      </c>
      <c r="BM310">
        <v>1</v>
      </c>
      <c r="BN310" t="s">
        <v>561</v>
      </c>
      <c r="BO310" t="s">
        <v>561</v>
      </c>
      <c r="BP310" t="s">
        <v>550</v>
      </c>
      <c r="BQ310" t="s">
        <v>562</v>
      </c>
      <c r="BS310" t="s">
        <v>554</v>
      </c>
    </row>
    <row r="311" spans="1:71" x14ac:dyDescent="0.2">
      <c r="A311" s="1" t="s">
        <v>1467</v>
      </c>
      <c r="B311" s="142" t="str">
        <f>IF(A311="","",_xlfn.XLOOKUP(A311, Company_List!$A:$A, Company_List!$B:$B, ""))</f>
        <v>SBUX</v>
      </c>
      <c r="C311" s="143">
        <v>2025</v>
      </c>
      <c r="D311" s="143" t="s">
        <v>563</v>
      </c>
      <c r="E311" s="98" t="s">
        <v>647</v>
      </c>
      <c r="F311" s="98" t="s">
        <v>1090</v>
      </c>
      <c r="G311" s="143" t="s">
        <v>648</v>
      </c>
      <c r="H311" s="106" t="s">
        <v>540</v>
      </c>
      <c r="I311" s="145">
        <v>-0.3</v>
      </c>
      <c r="J311" s="145" t="str">
        <f>IF(OR(I311="",Settings!$B$6=""),"",IF(I311&gt;Settings!$B$6,"BUY",IF(I311&lt;-Settings!$B$6,"SELL","HOLD")))</f>
        <v>SELL</v>
      </c>
      <c r="K311" s="145">
        <v>39</v>
      </c>
      <c r="L311" s="126">
        <v>45867</v>
      </c>
      <c r="M311" s="140">
        <v>45867</v>
      </c>
      <c r="N311" s="147">
        <v>92.96</v>
      </c>
      <c r="O311" s="140">
        <v>45868</v>
      </c>
      <c r="P311" s="145">
        <v>97.83</v>
      </c>
      <c r="Q311" s="151">
        <f t="shared" si="43"/>
        <v>5.2400000000000002E-2</v>
      </c>
      <c r="R311" s="118" t="str">
        <f>IF(OR(N311="",P311=""),"",IF(Q311&gt;Settings!$B$3/100,"UP",IF(Q311&lt;-Settings!$B$3/100,"DOWN","FLAT")))</f>
        <v>UP</v>
      </c>
      <c r="S311" s="118" t="str">
        <f t="shared" si="44"/>
        <v>NO</v>
      </c>
      <c r="T311" s="119">
        <f t="shared" si="45"/>
        <v>-1</v>
      </c>
      <c r="U311" s="150">
        <f>IFERROR(IF(OR(J311="",N311="",P311=""),"",IF(T311=0,0,T311*Q311-Settings!$B$4/10000-IF(T311&lt;0,Settings!$B$5/10000,0))),"")</f>
        <v>-5.3400000000000003E-2</v>
      </c>
      <c r="W311" s="21">
        <f t="shared" si="46"/>
        <v>2340</v>
      </c>
      <c r="X311" s="91" t="str">
        <f t="shared" si="47"/>
        <v>Starbucks|2025|Q3</v>
      </c>
      <c r="Y311" s="91" t="str">
        <f>IFERROR(IF($X311="","",INDEX(LLM_Data_Entry!$H$3:$H$548,MATCH($X311,INDEX(LLM_Data_Entry!$A$3:$A$548&amp;"|"&amp;LLM_Data_Entry!$C$3:$C$548&amp;"|"&amp;LLM_Data_Entry!$D$3:$D$548,0),0))),"")</f>
        <v>HOLD</v>
      </c>
      <c r="Z311" s="91" t="str">
        <f>IFERROR(IF($X311="","",INDEX(LLM_Data_Entry!$R$3:$R$548,MATCH($X311,INDEX(LLM_Data_Entry!$A$3:$A$548&amp;"|"&amp;LLM_Data_Entry!$C$3:$C$548&amp;"|"&amp;LLM_Data_Entry!$D$3:$D$548,0),0))),"")</f>
        <v>NO</v>
      </c>
      <c r="AB311" t="s">
        <v>564</v>
      </c>
      <c r="AC311" t="s">
        <v>1468</v>
      </c>
      <c r="AD311" t="s">
        <v>620</v>
      </c>
      <c r="AE311">
        <v>90.569900000000004</v>
      </c>
      <c r="AF311" t="s">
        <v>1001</v>
      </c>
      <c r="AG311">
        <v>95.314700000000002</v>
      </c>
      <c r="AH311">
        <v>5.2388155417566487E-2</v>
      </c>
      <c r="AI311" t="s">
        <v>591</v>
      </c>
      <c r="AJ311" t="s">
        <v>546</v>
      </c>
      <c r="AK311">
        <v>-5.3387999999999998E-2</v>
      </c>
      <c r="AL311" t="str">
        <f>IF($A311="","",IFERROR(INDEX(Company_List!$G$3:$G$207,MATCH($A311,Company_List!$A$3:$A$207,0)),"unassigned"))</f>
        <v>P2</v>
      </c>
      <c r="AM311" t="s">
        <v>1471</v>
      </c>
      <c r="AN311" t="s">
        <v>1472</v>
      </c>
      <c r="AO311" t="s">
        <v>560</v>
      </c>
      <c r="AP311" t="str">
        <f>IF($A311="","",IF(COUNTIFS(LLM_Data_Entry!$A$3:$A$548,$A311)&gt;0,"YES","NO"))</f>
        <v>YES</v>
      </c>
      <c r="AQ311" t="str">
        <f>IF($A311="","",IF(COUNTIFS($A$3:$A311,$A311,$C$3:$C311,$C311,$D$3:$D311,$D311)=1,"YES","NO"))</f>
        <v>YES</v>
      </c>
      <c r="AR311" t="str">
        <f>IF($A311="","",IF(AND($C311&amp;"-"&amp;$D311&gt;=Settings!$B$19,$C311&amp;"-"&amp;$D311&lt;=Settings!$B$20),"IN","OUT"))</f>
        <v>IN</v>
      </c>
      <c r="AS311" t="str">
        <f t="shared" si="48"/>
        <v>guidance</v>
      </c>
      <c r="AT311">
        <f t="shared" si="49"/>
        <v>-5.3400000000000003E-2</v>
      </c>
      <c r="AU311">
        <f t="shared" si="50"/>
        <v>-5.3387999999999998E-2</v>
      </c>
      <c r="AV311">
        <f>IF(ISNUMBER($AT311),ABS(IF(ISNUMBER($I311),$I311,0)-Settings!$B$24),"")</f>
        <v>0.3</v>
      </c>
      <c r="AW311">
        <f t="shared" si="51"/>
        <v>-1.602E-2</v>
      </c>
      <c r="AX311">
        <f>IF(ISNUMBER($AU311),ABS(IF(ISNUMBER($I311),$I311,0)-Settings!$B$24),"")</f>
        <v>0.3</v>
      </c>
      <c r="AY311" t="s">
        <v>549</v>
      </c>
      <c r="AZ311" t="str">
        <f>IF($A311="","",IFERROR(INDEX(Company_List!$H$3:$H$207,MATCH($A311,Company_List!$A$3:$A$207,0)),"unassigned"))</f>
        <v>Consumer Discretionary</v>
      </c>
      <c r="BC311">
        <f>IF($A311="","",IF(COUNTIFS($A$3:$A311,$A311,$C$3:$C311,$C311,$D$3:$D311,$D311,$G$3:$G311,$G311)=1,1,0))</f>
        <v>1</v>
      </c>
      <c r="BG311" t="s">
        <v>550</v>
      </c>
      <c r="BK311">
        <f t="shared" si="52"/>
        <v>0</v>
      </c>
      <c r="BL311" t="s">
        <v>551</v>
      </c>
      <c r="BM311">
        <v>1</v>
      </c>
      <c r="BN311" t="s">
        <v>595</v>
      </c>
      <c r="BO311" t="s">
        <v>596</v>
      </c>
      <c r="BP311" t="s">
        <v>550</v>
      </c>
      <c r="BQ311" t="s">
        <v>562</v>
      </c>
      <c r="BS311" t="s">
        <v>554</v>
      </c>
    </row>
    <row r="312" spans="1:71" x14ac:dyDescent="0.2">
      <c r="A312" s="1" t="s">
        <v>1467</v>
      </c>
      <c r="B312" s="142" t="str">
        <f>IF(A312="","",_xlfn.XLOOKUP(A312, Company_List!$A:$A, Company_List!$B:$B, ""))</f>
        <v>SBUX</v>
      </c>
      <c r="C312" s="143">
        <v>2025</v>
      </c>
      <c r="D312" s="143" t="s">
        <v>569</v>
      </c>
      <c r="E312" s="109" t="s">
        <v>647</v>
      </c>
      <c r="F312" s="109" t="s">
        <v>1092</v>
      </c>
      <c r="G312" s="143" t="s">
        <v>648</v>
      </c>
      <c r="H312" s="106" t="s">
        <v>540</v>
      </c>
      <c r="I312" s="145">
        <v>0.45</v>
      </c>
      <c r="J312" s="145" t="str">
        <f>IF(OR(I312="",Settings!$B$6=""),"",IF(I312&gt;Settings!$B$6,"BUY",IF(I312&lt;-Settings!$B$6,"SELL","HOLD")))</f>
        <v>BUY</v>
      </c>
      <c r="K312" s="145">
        <v>42</v>
      </c>
      <c r="L312" s="125">
        <v>45959</v>
      </c>
      <c r="M312" s="140">
        <v>45959</v>
      </c>
      <c r="N312" s="147">
        <v>84.17</v>
      </c>
      <c r="O312" s="140">
        <v>45960</v>
      </c>
      <c r="P312" s="145">
        <v>82.23</v>
      </c>
      <c r="Q312" s="151">
        <f t="shared" si="43"/>
        <v>-2.3E-2</v>
      </c>
      <c r="R312" s="118" t="str">
        <f>IF(OR(N312="",P312=""),"",IF(Q312&gt;Settings!$B$3/100,"UP",IF(Q312&lt;-Settings!$B$3/100,"DOWN","FLAT")))</f>
        <v>DOWN</v>
      </c>
      <c r="S312" s="118" t="str">
        <f t="shared" si="44"/>
        <v>NO</v>
      </c>
      <c r="T312" s="119">
        <f t="shared" si="45"/>
        <v>1</v>
      </c>
      <c r="U312" s="150">
        <f>IFERROR(IF(OR(J312="",N312="",P312=""),"",IF(T312=0,0,T312*Q312-Settings!$B$4/10000-IF(T312&lt;0,Settings!$B$5/10000,0))),"")</f>
        <v>-2.4E-2</v>
      </c>
      <c r="W312" s="21">
        <f t="shared" si="46"/>
        <v>2520</v>
      </c>
      <c r="X312" s="91" t="str">
        <f t="shared" si="47"/>
        <v>Starbucks|2025|Q4</v>
      </c>
      <c r="Y312" s="91" t="str">
        <f>IFERROR(IF($X312="","",INDEX(LLM_Data_Entry!$H$3:$H$548,MATCH($X312,INDEX(LLM_Data_Entry!$A$3:$A$548&amp;"|"&amp;LLM_Data_Entry!$C$3:$C$548&amp;"|"&amp;LLM_Data_Entry!$D$3:$D$548,0),0))),"")</f>
        <v>BUY</v>
      </c>
      <c r="Z312" s="91" t="str">
        <f>IFERROR(IF($X312="","",INDEX(LLM_Data_Entry!$R$3:$R$548,MATCH($X312,INDEX(LLM_Data_Entry!$A$3:$A$548&amp;"|"&amp;LLM_Data_Entry!$C$3:$C$548&amp;"|"&amp;LLM_Data_Entry!$D$3:$D$548,0),0))),"")</f>
        <v>NO</v>
      </c>
      <c r="AB312" t="s">
        <v>564</v>
      </c>
      <c r="AC312" t="s">
        <v>1468</v>
      </c>
      <c r="AD312" t="s">
        <v>626</v>
      </c>
      <c r="AE312">
        <v>82.546999999999997</v>
      </c>
      <c r="AF312" t="s">
        <v>660</v>
      </c>
      <c r="AG312">
        <v>80.644400000000005</v>
      </c>
      <c r="AH312">
        <v>-2.3048533137752739E-2</v>
      </c>
      <c r="AI312" t="s">
        <v>545</v>
      </c>
      <c r="AJ312" t="s">
        <v>546</v>
      </c>
      <c r="AK312">
        <v>-2.4049000000000001E-2</v>
      </c>
      <c r="AL312" t="str">
        <f>IF($A312="","",IFERROR(INDEX(Company_List!$G$3:$G$207,MATCH($A312,Company_List!$A$3:$A$207,0)),"unassigned"))</f>
        <v>P2</v>
      </c>
      <c r="AM312" t="s">
        <v>1473</v>
      </c>
      <c r="AN312" t="s">
        <v>1474</v>
      </c>
      <c r="AO312" t="s">
        <v>560</v>
      </c>
      <c r="AP312" t="str">
        <f>IF($A312="","",IF(COUNTIFS(LLM_Data_Entry!$A$3:$A$548,$A312)&gt;0,"YES","NO"))</f>
        <v>YES</v>
      </c>
      <c r="AQ312" t="str">
        <f>IF($A312="","",IF(COUNTIFS($A$3:$A312,$A312,$C$3:$C312,$C312,$D$3:$D312,$D312)=1,"YES","NO"))</f>
        <v>YES</v>
      </c>
      <c r="AR312" t="str">
        <f>IF($A312="","",IF(AND($C312&amp;"-"&amp;$D312&gt;=Settings!$B$19,$C312&amp;"-"&amp;$D312&lt;=Settings!$B$20),"IN","OUT"))</f>
        <v>IN</v>
      </c>
      <c r="AS312" t="str">
        <f t="shared" si="48"/>
        <v>qanda</v>
      </c>
      <c r="AT312">
        <f t="shared" si="49"/>
        <v>-2.4E-2</v>
      </c>
      <c r="AU312">
        <f t="shared" si="50"/>
        <v>-2.4049000000000001E-2</v>
      </c>
      <c r="AV312">
        <f>IF(ISNUMBER($AT312),ABS(IF(ISNUMBER($I312),$I312,0)-Settings!$B$24),"")</f>
        <v>0.45</v>
      </c>
      <c r="AW312">
        <f t="shared" si="51"/>
        <v>-1.0800000000000001E-2</v>
      </c>
      <c r="AX312">
        <f>IF(ISNUMBER($AU312),ABS(IF(ISNUMBER($I312),$I312,0)-Settings!$B$24),"")</f>
        <v>0.45</v>
      </c>
      <c r="AY312" t="s">
        <v>549</v>
      </c>
      <c r="AZ312" t="str">
        <f>IF($A312="","",IFERROR(INDEX(Company_List!$H$3:$H$207,MATCH($A312,Company_List!$A$3:$A$207,0)),"unassigned"))</f>
        <v>Consumer Discretionary</v>
      </c>
      <c r="BC312">
        <f>IF($A312="","",IF(COUNTIFS($A$3:$A312,$A312,$C$3:$C312,$C312,$D$3:$D312,$D312,$G$3:$G312,$G312)=1,1,0))</f>
        <v>1</v>
      </c>
      <c r="BG312" t="s">
        <v>550</v>
      </c>
      <c r="BK312">
        <f t="shared" si="52"/>
        <v>1</v>
      </c>
      <c r="BL312" t="s">
        <v>551</v>
      </c>
      <c r="BM312">
        <v>1</v>
      </c>
      <c r="BN312" t="s">
        <v>595</v>
      </c>
      <c r="BO312" t="s">
        <v>596</v>
      </c>
      <c r="BP312" t="s">
        <v>550</v>
      </c>
      <c r="BQ312" t="s">
        <v>562</v>
      </c>
      <c r="BS312" t="s">
        <v>554</v>
      </c>
    </row>
    <row r="313" spans="1:71" x14ac:dyDescent="0.2">
      <c r="A313" s="1" t="s">
        <v>1475</v>
      </c>
      <c r="B313" s="142" t="str">
        <f>IF(A313="","",_xlfn.XLOOKUP(A313, Company_List!$A:$A, Company_List!$B:$B, ""))</f>
        <v>CAT</v>
      </c>
      <c r="C313" s="143">
        <v>2025</v>
      </c>
      <c r="D313" s="143" t="s">
        <v>555</v>
      </c>
      <c r="E313" s="98" t="s">
        <v>1476</v>
      </c>
      <c r="F313" s="98" t="s">
        <v>1086</v>
      </c>
      <c r="G313" s="143" t="s">
        <v>648</v>
      </c>
      <c r="H313" s="106" t="s">
        <v>540</v>
      </c>
      <c r="I313" s="145">
        <v>-0.15</v>
      </c>
      <c r="J313" s="145" t="str">
        <f>IF(OR(I313="",Settings!$B$6=""),"",IF(I313&gt;Settings!$B$6,"BUY",IF(I313&lt;-Settings!$B$6,"SELL","HOLD")))</f>
        <v>HOLD</v>
      </c>
      <c r="K313" s="145">
        <v>32</v>
      </c>
      <c r="L313" s="125">
        <v>45874</v>
      </c>
      <c r="M313" s="140">
        <v>45873</v>
      </c>
      <c r="N313" s="147">
        <v>433.7</v>
      </c>
      <c r="O313" s="140">
        <v>45874</v>
      </c>
      <c r="P313" s="145">
        <v>427.65</v>
      </c>
      <c r="Q313" s="151">
        <f t="shared" si="43"/>
        <v>-1.3899999999999999E-2</v>
      </c>
      <c r="R313" s="118" t="str">
        <f>IF(OR(N313="",P313=""),"",IF(Q313&gt;Settings!$B$3/100,"UP",IF(Q313&lt;-Settings!$B$3/100,"DOWN","FLAT")))</f>
        <v>FLAT</v>
      </c>
      <c r="S313" s="118" t="str">
        <f t="shared" si="44"/>
        <v>YES</v>
      </c>
      <c r="T313" s="119">
        <f t="shared" si="45"/>
        <v>0</v>
      </c>
      <c r="U313" s="150">
        <f>IFERROR(IF(OR(J313="",N313="",P313=""),"",IF(T313=0,0,T313*Q313-Settings!$B$4/10000-IF(T313&lt;0,Settings!$B$5/10000,0))),"")</f>
        <v>0</v>
      </c>
      <c r="W313" s="21">
        <f t="shared" si="46"/>
        <v>1920</v>
      </c>
      <c r="X313" s="91" t="str">
        <f t="shared" si="47"/>
        <v>Caterpillar|2025|Q2</v>
      </c>
      <c r="Y313" s="91" t="str">
        <f>IFERROR(IF($X313="","",INDEX(LLM_Data_Entry!$H$3:$H$548,MATCH($X313,INDEX(LLM_Data_Entry!$A$3:$A$548&amp;"|"&amp;LLM_Data_Entry!$C$3:$C$548&amp;"|"&amp;LLM_Data_Entry!$D$3:$D$548,0),0))),"")</f>
        <v>HOLD</v>
      </c>
      <c r="Z313" s="91" t="str">
        <f>IFERROR(IF($X313="","",INDEX(LLM_Data_Entry!$R$3:$R$548,MATCH($X313,INDEX(LLM_Data_Entry!$A$3:$A$548&amp;"|"&amp;LLM_Data_Entry!$C$3:$C$548&amp;"|"&amp;LLM_Data_Entry!$D$3:$D$548,0),0))),"")</f>
        <v>YES</v>
      </c>
      <c r="AB313" t="s">
        <v>564</v>
      </c>
      <c r="AC313" t="s">
        <v>1477</v>
      </c>
      <c r="AD313" t="s">
        <v>981</v>
      </c>
      <c r="AE313">
        <v>429.83089999999999</v>
      </c>
      <c r="AF313" t="s">
        <v>641</v>
      </c>
      <c r="AG313">
        <v>423.83479999999997</v>
      </c>
      <c r="AH313">
        <v>-1.3949782267285811E-2</v>
      </c>
      <c r="AI313" t="s">
        <v>579</v>
      </c>
      <c r="AJ313" t="s">
        <v>554</v>
      </c>
      <c r="AK313">
        <v>0</v>
      </c>
      <c r="AL313" t="str">
        <f>IF($A313="","",IFERROR(INDEX(Company_List!$G$3:$G$207,MATCH($A313,Company_List!$A$3:$A$207,0)),"unassigned"))</f>
        <v>both</v>
      </c>
      <c r="AM313" t="s">
        <v>1478</v>
      </c>
      <c r="AN313" t="s">
        <v>1479</v>
      </c>
      <c r="AO313" t="s">
        <v>560</v>
      </c>
      <c r="AP313" t="str">
        <f>IF($A313="","",IF(COUNTIFS(LLM_Data_Entry!$A$3:$A$548,$A313)&gt;0,"YES","NO"))</f>
        <v>YES</v>
      </c>
      <c r="AQ313" t="str">
        <f>IF($A313="","",IF(COUNTIFS($A$3:$A313,$A313,$C$3:$C313,$C313,$D$3:$D313,$D313)=1,"YES","NO"))</f>
        <v>YES</v>
      </c>
      <c r="AR313" t="str">
        <f>IF($A313="","",IF(AND($C313&amp;"-"&amp;$D313&gt;=Settings!$B$19,$C313&amp;"-"&amp;$D313&lt;=Settings!$B$20),"IN","OUT"))</f>
        <v>IN</v>
      </c>
      <c r="AS313" t="str">
        <f t="shared" si="48"/>
        <v>financials</v>
      </c>
      <c r="AT313" t="str">
        <f t="shared" si="49"/>
        <v/>
      </c>
      <c r="AU313" t="str">
        <f t="shared" si="50"/>
        <v/>
      </c>
      <c r="AV313" t="str">
        <f>IF(ISNUMBER($AT313),ABS(IF(ISNUMBER($I313),$I313,0)-Settings!$B$24),"")</f>
        <v/>
      </c>
      <c r="AW313" t="str">
        <f t="shared" si="51"/>
        <v/>
      </c>
      <c r="AX313" t="str">
        <f>IF(ISNUMBER($AU313),ABS(IF(ISNUMBER($I313),$I313,0)-Settings!$B$24),"")</f>
        <v/>
      </c>
      <c r="AY313" t="s">
        <v>549</v>
      </c>
      <c r="AZ313" t="str">
        <f>IF($A313="","",IFERROR(INDEX(Company_List!$H$3:$H$207,MATCH($A313,Company_List!$A$3:$A$207,0)),"unassigned"))</f>
        <v>Industrials</v>
      </c>
      <c r="BC313">
        <f>IF($A313="","",IF(COUNTIFS($A$3:$A313,$A313,$C$3:$C313,$C313,$D$3:$D313,$D313,$G$3:$G313,$G313)=1,1,0))</f>
        <v>1</v>
      </c>
      <c r="BG313" t="s">
        <v>550</v>
      </c>
      <c r="BK313">
        <f t="shared" si="52"/>
        <v>1</v>
      </c>
      <c r="BL313" t="s">
        <v>551</v>
      </c>
      <c r="BM313">
        <v>1</v>
      </c>
      <c r="BN313" t="s">
        <v>561</v>
      </c>
      <c r="BO313" t="s">
        <v>561</v>
      </c>
      <c r="BP313" t="s">
        <v>756</v>
      </c>
      <c r="BQ313" t="s">
        <v>562</v>
      </c>
      <c r="BS313" t="s">
        <v>554</v>
      </c>
    </row>
    <row r="314" spans="1:71" x14ac:dyDescent="0.2">
      <c r="A314" s="1" t="s">
        <v>1475</v>
      </c>
      <c r="B314" s="142" t="str">
        <f>IF(A314="","",_xlfn.XLOOKUP(A314, Company_List!$A:$A, Company_List!$B:$B, ""))</f>
        <v>CAT</v>
      </c>
      <c r="C314" s="143">
        <v>2025</v>
      </c>
      <c r="D314" s="143" t="s">
        <v>563</v>
      </c>
      <c r="E314" s="98" t="s">
        <v>647</v>
      </c>
      <c r="F314" s="98" t="s">
        <v>1090</v>
      </c>
      <c r="G314" s="143" t="s">
        <v>648</v>
      </c>
      <c r="H314" s="106" t="s">
        <v>540</v>
      </c>
      <c r="I314" s="145">
        <v>0.6</v>
      </c>
      <c r="J314" s="145" t="str">
        <f>IF(OR(I314="",Settings!$B$6=""),"",IF(I314&gt;Settings!$B$6,"BUY",IF(I314&lt;-Settings!$B$6,"SELL","HOLD")))</f>
        <v>BUY</v>
      </c>
      <c r="K314" s="145">
        <v>30</v>
      </c>
      <c r="L314" s="125">
        <v>45959</v>
      </c>
      <c r="M314" s="140">
        <v>45958</v>
      </c>
      <c r="N314" s="147">
        <v>524.47</v>
      </c>
      <c r="O314" s="140">
        <v>45959</v>
      </c>
      <c r="P314" s="145">
        <v>558.17999999999995</v>
      </c>
      <c r="Q314" s="151">
        <f t="shared" si="43"/>
        <v>6.4299999999999996E-2</v>
      </c>
      <c r="R314" s="118" t="str">
        <f>IF(OR(N314="",P314=""),"",IF(Q314&gt;Settings!$B$3/100,"UP",IF(Q314&lt;-Settings!$B$3/100,"DOWN","FLAT")))</f>
        <v>UP</v>
      </c>
      <c r="S314" s="118" t="str">
        <f t="shared" si="44"/>
        <v>YES</v>
      </c>
      <c r="T314" s="119">
        <f t="shared" si="45"/>
        <v>1</v>
      </c>
      <c r="U314" s="150">
        <f>IFERROR(IF(OR(J314="",N314="",P314=""),"",IF(T314=0,0,T314*Q314-Settings!$B$4/10000-IF(T314&lt;0,Settings!$B$5/10000,0))),"")</f>
        <v>6.3299999999999995E-2</v>
      </c>
      <c r="W314" s="21">
        <f t="shared" si="46"/>
        <v>1800</v>
      </c>
      <c r="X314" s="91" t="str">
        <f t="shared" si="47"/>
        <v>Caterpillar|2025|Q3</v>
      </c>
      <c r="Y314" s="91" t="str">
        <f>IFERROR(IF($X314="","",INDEX(LLM_Data_Entry!$H$3:$H$548,MATCH($X314,INDEX(LLM_Data_Entry!$A$3:$A$548&amp;"|"&amp;LLM_Data_Entry!$C$3:$C$548&amp;"|"&amp;LLM_Data_Entry!$D$3:$D$548,0),0))),"")</f>
        <v>BUY</v>
      </c>
      <c r="Z314" s="91" t="str">
        <f>IFERROR(IF($X314="","",INDEX(LLM_Data_Entry!$R$3:$R$548,MATCH($X314,INDEX(LLM_Data_Entry!$A$3:$A$548&amp;"|"&amp;LLM_Data_Entry!$C$3:$C$548&amp;"|"&amp;LLM_Data_Entry!$D$3:$D$548,0),0))),"")</f>
        <v>YES</v>
      </c>
      <c r="AB314" t="s">
        <v>541</v>
      </c>
      <c r="AC314" t="s">
        <v>1477</v>
      </c>
      <c r="AD314" t="s">
        <v>625</v>
      </c>
      <c r="AE314">
        <v>521.28440000000001</v>
      </c>
      <c r="AF314" t="s">
        <v>626</v>
      </c>
      <c r="AG314">
        <v>554.78970000000004</v>
      </c>
      <c r="AH314">
        <v>6.4274382463257951E-2</v>
      </c>
      <c r="AI314" t="s">
        <v>591</v>
      </c>
      <c r="AJ314" t="s">
        <v>554</v>
      </c>
      <c r="AK314">
        <v>6.3273999999999997E-2</v>
      </c>
      <c r="AL314" t="str">
        <f>IF($A314="","",IFERROR(INDEX(Company_List!$G$3:$G$207,MATCH($A314,Company_List!$A$3:$A$207,0)),"unassigned"))</f>
        <v>both</v>
      </c>
      <c r="AM314" t="s">
        <v>1480</v>
      </c>
      <c r="AN314" t="s">
        <v>1481</v>
      </c>
      <c r="AO314" t="s">
        <v>560</v>
      </c>
      <c r="AP314" t="str">
        <f>IF($A314="","",IF(COUNTIFS(LLM_Data_Entry!$A$3:$A$548,$A314)&gt;0,"YES","NO"))</f>
        <v>YES</v>
      </c>
      <c r="AQ314" t="str">
        <f>IF($A314="","",IF(COUNTIFS($A$3:$A314,$A314,$C$3:$C314,$C314,$D$3:$D314,$D314)=1,"YES","NO"))</f>
        <v>YES</v>
      </c>
      <c r="AR314" t="str">
        <f>IF($A314="","",IF(AND($C314&amp;"-"&amp;$D314&gt;=Settings!$B$19,$C314&amp;"-"&amp;$D314&lt;=Settings!$B$20),"IN","OUT"))</f>
        <v>IN</v>
      </c>
      <c r="AS314" t="str">
        <f t="shared" si="48"/>
        <v>guidance</v>
      </c>
      <c r="AT314">
        <f t="shared" si="49"/>
        <v>6.3299999999999995E-2</v>
      </c>
      <c r="AU314">
        <f t="shared" si="50"/>
        <v>6.3273999999999997E-2</v>
      </c>
      <c r="AV314">
        <f>IF(ISNUMBER($AT314),ABS(IF(ISNUMBER($I314),$I314,0)-Settings!$B$24),"")</f>
        <v>0.6</v>
      </c>
      <c r="AW314">
        <f t="shared" si="51"/>
        <v>3.7979999999999993E-2</v>
      </c>
      <c r="AX314">
        <f>IF(ISNUMBER($AU314),ABS(IF(ISNUMBER($I314),$I314,0)-Settings!$B$24),"")</f>
        <v>0.6</v>
      </c>
      <c r="AY314" t="s">
        <v>549</v>
      </c>
      <c r="AZ314" t="str">
        <f>IF($A314="","",IFERROR(INDEX(Company_List!$H$3:$H$207,MATCH($A314,Company_List!$A$3:$A$207,0)),"unassigned"))</f>
        <v>Industrials</v>
      </c>
      <c r="BC314">
        <f>IF($A314="","",IF(COUNTIFS($A$3:$A314,$A314,$C$3:$C314,$C314,$D$3:$D314,$D314,$G$3:$G314,$G314)=1,1,0))</f>
        <v>1</v>
      </c>
      <c r="BG314" t="s">
        <v>550</v>
      </c>
      <c r="BK314">
        <f t="shared" si="52"/>
        <v>1</v>
      </c>
      <c r="BL314" t="s">
        <v>551</v>
      </c>
      <c r="BM314">
        <v>1</v>
      </c>
      <c r="BN314" t="s">
        <v>561</v>
      </c>
      <c r="BO314" t="s">
        <v>561</v>
      </c>
      <c r="BP314" t="s">
        <v>550</v>
      </c>
      <c r="BQ314" t="s">
        <v>562</v>
      </c>
      <c r="BS314" t="s">
        <v>554</v>
      </c>
    </row>
    <row r="315" spans="1:71" x14ac:dyDescent="0.2">
      <c r="A315" s="1" t="s">
        <v>1475</v>
      </c>
      <c r="B315" s="142" t="str">
        <f>IF(A315="","",_xlfn.XLOOKUP(A315, Company_List!$A:$A, Company_List!$B:$B, ""))</f>
        <v>CAT</v>
      </c>
      <c r="C315" s="143">
        <v>2025</v>
      </c>
      <c r="D315" s="143" t="s">
        <v>569</v>
      </c>
      <c r="E315" s="98" t="s">
        <v>647</v>
      </c>
      <c r="F315" s="98" t="s">
        <v>1092</v>
      </c>
      <c r="G315" s="143" t="s">
        <v>648</v>
      </c>
      <c r="H315" s="106" t="s">
        <v>540</v>
      </c>
      <c r="I315" s="145">
        <v>0.2</v>
      </c>
      <c r="J315" s="145" t="str">
        <f>IF(OR(I315="",Settings!$B$6=""),"",IF(I315&gt;Settings!$B$6,"BUY",IF(I315&lt;-Settings!$B$6,"SELL","HOLD")))</f>
        <v>HOLD</v>
      </c>
      <c r="K315" s="145">
        <v>30</v>
      </c>
      <c r="L315" s="125">
        <v>46051</v>
      </c>
      <c r="M315" s="140">
        <v>46050</v>
      </c>
      <c r="N315" s="147">
        <v>643.28</v>
      </c>
      <c r="O315" s="140">
        <v>46051</v>
      </c>
      <c r="P315" s="145">
        <v>655.16999999999996</v>
      </c>
      <c r="Q315" s="151">
        <f t="shared" si="43"/>
        <v>1.8499999999999999E-2</v>
      </c>
      <c r="R315" s="118" t="str">
        <f>IF(OR(N315="",P315=""),"",IF(Q315&gt;Settings!$B$3/100,"UP",IF(Q315&lt;-Settings!$B$3/100,"DOWN","FLAT")))</f>
        <v>FLAT</v>
      </c>
      <c r="S315" s="118" t="str">
        <f t="shared" si="44"/>
        <v>YES</v>
      </c>
      <c r="T315" s="119">
        <f t="shared" si="45"/>
        <v>0</v>
      </c>
      <c r="U315" s="150">
        <f>IFERROR(IF(OR(J315="",N315="",P315=""),"",IF(T315=0,0,T315*Q315-Settings!$B$4/10000-IF(T315&lt;0,Settings!$B$5/10000,0))),"")</f>
        <v>0</v>
      </c>
      <c r="W315" s="21">
        <f t="shared" si="46"/>
        <v>1800</v>
      </c>
      <c r="X315" s="91" t="str">
        <f t="shared" si="47"/>
        <v>Caterpillar|2025|Q4</v>
      </c>
      <c r="Y315" s="91" t="str">
        <f>IFERROR(IF($X315="","",INDEX(LLM_Data_Entry!$H$3:$H$548,MATCH($X315,INDEX(LLM_Data_Entry!$A$3:$A$548&amp;"|"&amp;LLM_Data_Entry!$C$3:$C$548&amp;"|"&amp;LLM_Data_Entry!$D$3:$D$548,0),0))),"")</f>
        <v>BUY</v>
      </c>
      <c r="Z315" s="91" t="str">
        <f>IFERROR(IF($X315="","",INDEX(LLM_Data_Entry!$R$3:$R$548,MATCH($X315,INDEX(LLM_Data_Entry!$A$3:$A$548&amp;"|"&amp;LLM_Data_Entry!$C$3:$C$548&amp;"|"&amp;LLM_Data_Entry!$D$3:$D$548,0),0))),"")</f>
        <v>NO</v>
      </c>
      <c r="AB315" t="s">
        <v>807</v>
      </c>
      <c r="AC315" t="s">
        <v>1477</v>
      </c>
      <c r="AD315" t="s">
        <v>776</v>
      </c>
      <c r="AE315">
        <v>640.86879999999996</v>
      </c>
      <c r="AF315" t="s">
        <v>694</v>
      </c>
      <c r="AG315">
        <v>652.71420000000001</v>
      </c>
      <c r="AH315">
        <v>1.8483385450332641E-2</v>
      </c>
      <c r="AI315" t="s">
        <v>579</v>
      </c>
      <c r="AJ315" t="s">
        <v>554</v>
      </c>
      <c r="AK315">
        <v>0</v>
      </c>
      <c r="AL315" t="str">
        <f>IF($A315="","",IFERROR(INDEX(Company_List!$G$3:$G$207,MATCH($A315,Company_List!$A$3:$A$207,0)),"unassigned"))</f>
        <v>both</v>
      </c>
      <c r="AM315" t="s">
        <v>1482</v>
      </c>
      <c r="AN315" t="s">
        <v>1483</v>
      </c>
      <c r="AO315" t="s">
        <v>560</v>
      </c>
      <c r="AP315" t="str">
        <f>IF($A315="","",IF(COUNTIFS(LLM_Data_Entry!$A$3:$A$548,$A315)&gt;0,"YES","NO"))</f>
        <v>YES</v>
      </c>
      <c r="AQ315" t="str">
        <f>IF($A315="","",IF(COUNTIFS($A$3:$A315,$A315,$C$3:$C315,$C315,$D$3:$D315,$D315)=1,"YES","NO"))</f>
        <v>YES</v>
      </c>
      <c r="AR315" t="str">
        <f>IF($A315="","",IF(AND($C315&amp;"-"&amp;$D315&gt;=Settings!$B$19,$C315&amp;"-"&amp;$D315&lt;=Settings!$B$20),"IN","OUT"))</f>
        <v>IN</v>
      </c>
      <c r="AS315" t="str">
        <f t="shared" si="48"/>
        <v>qanda</v>
      </c>
      <c r="AT315" t="str">
        <f t="shared" si="49"/>
        <v/>
      </c>
      <c r="AU315" t="str">
        <f t="shared" si="50"/>
        <v/>
      </c>
      <c r="AV315" t="str">
        <f>IF(ISNUMBER($AT315),ABS(IF(ISNUMBER($I315),$I315,0)-Settings!$B$24),"")</f>
        <v/>
      </c>
      <c r="AW315" t="str">
        <f t="shared" si="51"/>
        <v/>
      </c>
      <c r="AX315" t="str">
        <f>IF(ISNUMBER($AU315),ABS(IF(ISNUMBER($I315),$I315,0)-Settings!$B$24),"")</f>
        <v/>
      </c>
      <c r="AY315" t="s">
        <v>549</v>
      </c>
      <c r="AZ315" t="str">
        <f>IF($A315="","",IFERROR(INDEX(Company_List!$H$3:$H$207,MATCH($A315,Company_List!$A$3:$A$207,0)),"unassigned"))</f>
        <v>Industrials</v>
      </c>
      <c r="BC315">
        <f>IF($A315="","",IF(COUNTIFS($A$3:$A315,$A315,$C$3:$C315,$C315,$D$3:$D315,$D315,$G$3:$G315,$G315)=1,1,0))</f>
        <v>1</v>
      </c>
      <c r="BG315" t="s">
        <v>550</v>
      </c>
      <c r="BK315">
        <f t="shared" si="52"/>
        <v>0</v>
      </c>
      <c r="BL315" t="s">
        <v>551</v>
      </c>
      <c r="BM315">
        <v>1</v>
      </c>
      <c r="BN315" t="s">
        <v>595</v>
      </c>
      <c r="BO315" t="s">
        <v>596</v>
      </c>
      <c r="BP315" t="s">
        <v>550</v>
      </c>
      <c r="BQ315" t="s">
        <v>562</v>
      </c>
      <c r="BS315" t="s">
        <v>554</v>
      </c>
    </row>
    <row r="316" spans="1:71" x14ac:dyDescent="0.2">
      <c r="A316" s="1" t="s">
        <v>1484</v>
      </c>
      <c r="B316" s="142" t="str">
        <f>IF(A316="","",_xlfn.XLOOKUP(A316, Company_List!$A:$A, Company_List!$B:$B, ""))</f>
        <v>MU</v>
      </c>
      <c r="C316" s="143">
        <v>2026</v>
      </c>
      <c r="D316" s="143" t="s">
        <v>537</v>
      </c>
      <c r="E316" s="98" t="s">
        <v>647</v>
      </c>
      <c r="F316" s="98" t="s">
        <v>1092</v>
      </c>
      <c r="G316" s="143" t="s">
        <v>648</v>
      </c>
      <c r="H316" s="106" t="s">
        <v>540</v>
      </c>
      <c r="I316" s="145">
        <v>-0.2</v>
      </c>
      <c r="J316" s="145" t="str">
        <f>IF(OR(I316="",Settings!$B$6=""),"",IF(I316&gt;Settings!$B$6,"BUY",IF(I316&lt;-Settings!$B$6,"SELL","HOLD")))</f>
        <v>HOLD</v>
      </c>
      <c r="K316" s="145">
        <v>26</v>
      </c>
      <c r="L316" s="125">
        <v>46008</v>
      </c>
      <c r="M316" s="140">
        <v>46008</v>
      </c>
      <c r="N316" s="147">
        <v>225.52</v>
      </c>
      <c r="O316" s="140">
        <v>46009</v>
      </c>
      <c r="P316" s="145">
        <v>256.52999999999997</v>
      </c>
      <c r="Q316" s="151">
        <f t="shared" si="43"/>
        <v>0.13750000000000001</v>
      </c>
      <c r="R316" s="118" t="str">
        <f>IF(OR(N316="",P316=""),"",IF(Q316&gt;Settings!$B$3/100,"UP",IF(Q316&lt;-Settings!$B$3/100,"DOWN","FLAT")))</f>
        <v>UP</v>
      </c>
      <c r="S316" s="118" t="str">
        <f t="shared" si="44"/>
        <v>NO</v>
      </c>
      <c r="T316" s="119">
        <f t="shared" si="45"/>
        <v>0</v>
      </c>
      <c r="U316" s="150">
        <f>IFERROR(IF(OR(J316="",N316="",P316=""),"",IF(T316=0,0,T316*Q316-Settings!$B$4/10000-IF(T316&lt;0,Settings!$B$5/10000,0))),"")</f>
        <v>0</v>
      </c>
      <c r="W316" s="21">
        <f t="shared" si="46"/>
        <v>1560</v>
      </c>
      <c r="X316" s="91" t="str">
        <f t="shared" si="47"/>
        <v>Micron|2026|Q1</v>
      </c>
      <c r="Y316" s="91" t="str">
        <f>IFERROR(IF($X316="","",INDEX(LLM_Data_Entry!$H$3:$H$548,MATCH($X316,INDEX(LLM_Data_Entry!$A$3:$A$548&amp;"|"&amp;LLM_Data_Entry!$C$3:$C$548&amp;"|"&amp;LLM_Data_Entry!$D$3:$D$548,0),0))),"")</f>
        <v>BUY</v>
      </c>
      <c r="Z316" s="91" t="str">
        <f>IFERROR(IF($X316="","",INDEX(LLM_Data_Entry!$R$3:$R$548,MATCH($X316,INDEX(LLM_Data_Entry!$A$3:$A$548&amp;"|"&amp;LLM_Data_Entry!$C$3:$C$548&amp;"|"&amp;LLM_Data_Entry!$D$3:$D$548,0),0))),"")</f>
        <v>YES</v>
      </c>
      <c r="AB316" t="s">
        <v>564</v>
      </c>
      <c r="AC316" t="s">
        <v>1485</v>
      </c>
      <c r="AD316" t="s">
        <v>1363</v>
      </c>
      <c r="AE316">
        <v>225.2996</v>
      </c>
      <c r="AF316" t="s">
        <v>1058</v>
      </c>
      <c r="AG316">
        <v>256.27929999999998</v>
      </c>
      <c r="AH316">
        <v>0.13750440183735449</v>
      </c>
      <c r="AI316" t="s">
        <v>591</v>
      </c>
      <c r="AJ316" t="s">
        <v>546</v>
      </c>
      <c r="AK316">
        <v>0</v>
      </c>
      <c r="AL316" t="str">
        <f>IF($A316="","",IFERROR(INDEX(Company_List!$G$3:$G$207,MATCH($A316,Company_List!$A$3:$A$207,0)),"unassigned"))</f>
        <v>P2</v>
      </c>
      <c r="AM316" t="s">
        <v>1486</v>
      </c>
      <c r="AN316" t="s">
        <v>1487</v>
      </c>
      <c r="AO316" t="s">
        <v>560</v>
      </c>
      <c r="AP316" t="str">
        <f>IF($A316="","",IF(COUNTIFS(LLM_Data_Entry!$A$3:$A$548,$A316)&gt;0,"YES","NO"))</f>
        <v>YES</v>
      </c>
      <c r="AQ316" t="str">
        <f>IF($A316="","",IF(COUNTIFS($A$3:$A316,$A316,$C$3:$C316,$C316,$D$3:$D316,$D316)=1,"YES","NO"))</f>
        <v>YES</v>
      </c>
      <c r="AR316" t="str">
        <f>IF($A316="","",IF(AND($C316&amp;"-"&amp;$D316&gt;=Settings!$B$19,$C316&amp;"-"&amp;$D316&lt;=Settings!$B$20),"IN","OUT"))</f>
        <v>IN</v>
      </c>
      <c r="AS316" t="str">
        <f t="shared" si="48"/>
        <v>qanda</v>
      </c>
      <c r="AT316" t="str">
        <f t="shared" si="49"/>
        <v/>
      </c>
      <c r="AU316" t="str">
        <f t="shared" si="50"/>
        <v/>
      </c>
      <c r="AV316" t="str">
        <f>IF(ISNUMBER($AT316),ABS(IF(ISNUMBER($I316),$I316,0)-Settings!$B$24),"")</f>
        <v/>
      </c>
      <c r="AW316" t="str">
        <f t="shared" si="51"/>
        <v/>
      </c>
      <c r="AX316" t="str">
        <f>IF(ISNUMBER($AU316),ABS(IF(ISNUMBER($I316),$I316,0)-Settings!$B$24),"")</f>
        <v/>
      </c>
      <c r="AY316" t="s">
        <v>549</v>
      </c>
      <c r="AZ316" t="str">
        <f>IF($A316="","",IFERROR(INDEX(Company_List!$H$3:$H$207,MATCH($A316,Company_List!$A$3:$A$207,0)),"unassigned"))</f>
        <v>Information Technology</v>
      </c>
      <c r="BC316">
        <f>IF($A316="","",IF(COUNTIFS($A$3:$A316,$A316,$C$3:$C316,$C316,$D$3:$D316,$D316,$G$3:$G316,$G316)=1,1,0))</f>
        <v>1</v>
      </c>
      <c r="BG316" t="s">
        <v>550</v>
      </c>
      <c r="BK316">
        <f t="shared" si="52"/>
        <v>0</v>
      </c>
      <c r="BL316" t="s">
        <v>551</v>
      </c>
      <c r="BM316">
        <v>1</v>
      </c>
      <c r="BN316" t="s">
        <v>561</v>
      </c>
      <c r="BO316" t="s">
        <v>561</v>
      </c>
      <c r="BP316" t="s">
        <v>550</v>
      </c>
      <c r="BQ316" t="s">
        <v>562</v>
      </c>
      <c r="BS316" t="s">
        <v>554</v>
      </c>
    </row>
    <row r="317" spans="1:71" x14ac:dyDescent="0.2">
      <c r="A317" s="1" t="s">
        <v>1484</v>
      </c>
      <c r="B317" s="142" t="str">
        <f>IF(A317="","",_xlfn.XLOOKUP(A317, Company_List!$A:$A, Company_List!$B:$B, ""))</f>
        <v>MU</v>
      </c>
      <c r="C317" s="143">
        <v>2026</v>
      </c>
      <c r="D317" s="143" t="s">
        <v>555</v>
      </c>
      <c r="E317" s="98" t="s">
        <v>1476</v>
      </c>
      <c r="F317" s="98" t="s">
        <v>1086</v>
      </c>
      <c r="G317" s="143" t="s">
        <v>648</v>
      </c>
      <c r="H317" s="106" t="s">
        <v>540</v>
      </c>
      <c r="I317" s="145">
        <v>0.85</v>
      </c>
      <c r="J317" s="145" t="str">
        <f>IF(OR(I317="",Settings!$B$6=""),"",IF(I317&gt;Settings!$B$6,"BUY",IF(I317&lt;-Settings!$B$6,"SELL","HOLD")))</f>
        <v>BUY</v>
      </c>
      <c r="K317" s="145">
        <v>24</v>
      </c>
      <c r="L317" s="125">
        <v>46099</v>
      </c>
      <c r="M317" s="140">
        <v>46099</v>
      </c>
      <c r="N317" s="147">
        <v>461.73</v>
      </c>
      <c r="O317" s="140">
        <v>46100</v>
      </c>
      <c r="P317" s="145">
        <v>424.97</v>
      </c>
      <c r="Q317" s="151">
        <f t="shared" si="43"/>
        <v>-7.9600000000000004E-2</v>
      </c>
      <c r="R317" s="118" t="str">
        <f>IF(OR(N317="",P317=""),"",IF(Q317&gt;Settings!$B$3/100,"UP",IF(Q317&lt;-Settings!$B$3/100,"DOWN","FLAT")))</f>
        <v>DOWN</v>
      </c>
      <c r="S317" s="118" t="str">
        <f t="shared" si="44"/>
        <v>NO</v>
      </c>
      <c r="T317" s="119">
        <f t="shared" si="45"/>
        <v>1</v>
      </c>
      <c r="U317" s="150">
        <f>IFERROR(IF(OR(J317="",N317="",P317=""),"",IF(T317=0,0,T317*Q317-Settings!$B$4/10000-IF(T317&lt;0,Settings!$B$5/10000,0))),"")</f>
        <v>-8.0600000000000005E-2</v>
      </c>
      <c r="W317" s="21">
        <f t="shared" si="46"/>
        <v>1440</v>
      </c>
      <c r="X317" s="91" t="str">
        <f t="shared" si="47"/>
        <v>Micron|2026|Q2</v>
      </c>
      <c r="Y317" s="91" t="str">
        <f>IFERROR(IF($X317="","",INDEX(LLM_Data_Entry!$H$3:$H$548,MATCH($X317,INDEX(LLM_Data_Entry!$A$3:$A$548&amp;"|"&amp;LLM_Data_Entry!$C$3:$C$548&amp;"|"&amp;LLM_Data_Entry!$D$3:$D$548,0),0))),"")</f>
        <v>BUY</v>
      </c>
      <c r="Z317" s="91" t="str">
        <f>IFERROR(IF($X317="","",INDEX(LLM_Data_Entry!$R$3:$R$548,MATCH($X317,INDEX(LLM_Data_Entry!$A$3:$A$548&amp;"|"&amp;LLM_Data_Entry!$C$3:$C$548&amp;"|"&amp;LLM_Data_Entry!$D$3:$D$548,0),0))),"")</f>
        <v>NO</v>
      </c>
      <c r="AB317" t="s">
        <v>564</v>
      </c>
      <c r="AC317" t="s">
        <v>1485</v>
      </c>
      <c r="AD317" t="s">
        <v>823</v>
      </c>
      <c r="AE317">
        <v>461.46510000000001</v>
      </c>
      <c r="AF317" t="s">
        <v>1061</v>
      </c>
      <c r="AG317">
        <v>424.72620000000001</v>
      </c>
      <c r="AH317">
        <v>-7.9613658350236191E-2</v>
      </c>
      <c r="AI317" t="s">
        <v>545</v>
      </c>
      <c r="AJ317" t="s">
        <v>546</v>
      </c>
      <c r="AK317">
        <v>-8.0614000000000005E-2</v>
      </c>
      <c r="AL317" t="str">
        <f>IF($A317="","",IFERROR(INDEX(Company_List!$G$3:$G$207,MATCH($A317,Company_List!$A$3:$A$207,0)),"unassigned"))</f>
        <v>P2</v>
      </c>
      <c r="AM317" t="s">
        <v>1488</v>
      </c>
      <c r="AN317" t="s">
        <v>1489</v>
      </c>
      <c r="AO317" t="s">
        <v>560</v>
      </c>
      <c r="AP317" t="str">
        <f>IF($A317="","",IF(COUNTIFS(LLM_Data_Entry!$A$3:$A$548,$A317)&gt;0,"YES","NO"))</f>
        <v>YES</v>
      </c>
      <c r="AQ317" t="str">
        <f>IF($A317="","",IF(COUNTIFS($A$3:$A317,$A317,$C$3:$C317,$C317,$D$3:$D317,$D317)=1,"YES","NO"))</f>
        <v>YES</v>
      </c>
      <c r="AR317" t="str">
        <f>IF($A317="","",IF(AND($C317&amp;"-"&amp;$D317&gt;=Settings!$B$19,$C317&amp;"-"&amp;$D317&lt;=Settings!$B$20),"IN","OUT"))</f>
        <v>IN</v>
      </c>
      <c r="AS317" t="str">
        <f t="shared" si="48"/>
        <v>financials</v>
      </c>
      <c r="AT317">
        <f t="shared" si="49"/>
        <v>-8.0600000000000005E-2</v>
      </c>
      <c r="AU317">
        <f t="shared" si="50"/>
        <v>-8.0614000000000005E-2</v>
      </c>
      <c r="AV317">
        <f>IF(ISNUMBER($AT317),ABS(IF(ISNUMBER($I317),$I317,0)-Settings!$B$24),"")</f>
        <v>0.85</v>
      </c>
      <c r="AW317">
        <f t="shared" si="51"/>
        <v>-6.8510000000000001E-2</v>
      </c>
      <c r="AX317">
        <f>IF(ISNUMBER($AU317),ABS(IF(ISNUMBER($I317),$I317,0)-Settings!$B$24),"")</f>
        <v>0.85</v>
      </c>
      <c r="AY317" t="s">
        <v>549</v>
      </c>
      <c r="AZ317" t="str">
        <f>IF($A317="","",IFERROR(INDEX(Company_List!$H$3:$H$207,MATCH($A317,Company_List!$A$3:$A$207,0)),"unassigned"))</f>
        <v>Information Technology</v>
      </c>
      <c r="BC317">
        <f>IF($A317="","",IF(COUNTIFS($A$3:$A317,$A317,$C$3:$C317,$C317,$D$3:$D317,$D317,$G$3:$G317,$G317)=1,1,0))</f>
        <v>1</v>
      </c>
      <c r="BG317" t="s">
        <v>550</v>
      </c>
      <c r="BK317">
        <f t="shared" si="52"/>
        <v>1</v>
      </c>
      <c r="BL317" t="s">
        <v>551</v>
      </c>
      <c r="BM317">
        <v>1</v>
      </c>
      <c r="BN317" t="s">
        <v>561</v>
      </c>
      <c r="BO317" t="s">
        <v>561</v>
      </c>
      <c r="BP317" t="s">
        <v>756</v>
      </c>
      <c r="BQ317" t="s">
        <v>562</v>
      </c>
      <c r="BS317" t="s">
        <v>554</v>
      </c>
    </row>
    <row r="318" spans="1:71" x14ac:dyDescent="0.2">
      <c r="A318" s="1" t="s">
        <v>1484</v>
      </c>
      <c r="B318" s="142" t="str">
        <f>IF(A318="","",_xlfn.XLOOKUP(A318, Company_List!$A:$A, Company_List!$B:$B, ""))</f>
        <v>MU</v>
      </c>
      <c r="C318" s="143">
        <v>2025</v>
      </c>
      <c r="D318" s="143" t="s">
        <v>569</v>
      </c>
      <c r="E318" s="98" t="s">
        <v>647</v>
      </c>
      <c r="F318" s="98" t="s">
        <v>1090</v>
      </c>
      <c r="G318" s="143" t="s">
        <v>648</v>
      </c>
      <c r="H318" s="106" t="s">
        <v>540</v>
      </c>
      <c r="I318" s="145">
        <v>0.55000000000000004</v>
      </c>
      <c r="J318" s="145" t="str">
        <f>IF(OR(I318="",Settings!$B$6=""),"",IF(I318&gt;Settings!$B$6,"BUY",IF(I318&lt;-Settings!$B$6,"SELL","HOLD")))</f>
        <v>BUY</v>
      </c>
      <c r="K318" s="145">
        <v>29</v>
      </c>
      <c r="L318" s="125">
        <v>45923</v>
      </c>
      <c r="M318" s="140">
        <v>45923</v>
      </c>
      <c r="N318" s="147">
        <v>166.41</v>
      </c>
      <c r="O318" s="140">
        <v>45924</v>
      </c>
      <c r="P318" s="145">
        <v>165.08</v>
      </c>
      <c r="Q318" s="151">
        <f t="shared" si="43"/>
        <v>-8.0000000000000002E-3</v>
      </c>
      <c r="R318" s="118" t="str">
        <f>IF(OR(N318="",P318=""),"",IF(Q318&gt;Settings!$B$3/100,"UP",IF(Q318&lt;-Settings!$B$3/100,"DOWN","FLAT")))</f>
        <v>FLAT</v>
      </c>
      <c r="S318" s="118" t="str">
        <f t="shared" si="44"/>
        <v>NO</v>
      </c>
      <c r="T318" s="119">
        <f t="shared" si="45"/>
        <v>1</v>
      </c>
      <c r="U318" s="150">
        <f>IFERROR(IF(OR(J318="",N318="",P318=""),"",IF(T318=0,0,T318*Q318-Settings!$B$4/10000-IF(T318&lt;0,Settings!$B$5/10000,0))),"")</f>
        <v>-9.0000000000000011E-3</v>
      </c>
      <c r="W318" s="21">
        <f t="shared" si="46"/>
        <v>1740</v>
      </c>
      <c r="X318" s="91" t="str">
        <f t="shared" si="47"/>
        <v>Micron|2025|Q4</v>
      </c>
      <c r="Y318" s="91" t="str">
        <f>IFERROR(IF($X318="","",INDEX(LLM_Data_Entry!$H$3:$H$548,MATCH($X318,INDEX(LLM_Data_Entry!$A$3:$A$548&amp;"|"&amp;LLM_Data_Entry!$C$3:$C$548&amp;"|"&amp;LLM_Data_Entry!$D$3:$D$548,0),0))),"")</f>
        <v>BUY</v>
      </c>
      <c r="Z318" s="91" t="str">
        <f>IFERROR(IF($X318="","",INDEX(LLM_Data_Entry!$R$3:$R$548,MATCH($X318,INDEX(LLM_Data_Entry!$A$3:$A$548&amp;"|"&amp;LLM_Data_Entry!$C$3:$C$548&amp;"|"&amp;LLM_Data_Entry!$D$3:$D$548,0),0))),"")</f>
        <v>NO</v>
      </c>
      <c r="AB318" t="s">
        <v>564</v>
      </c>
      <c r="AC318" t="s">
        <v>1485</v>
      </c>
      <c r="AD318" t="s">
        <v>1490</v>
      </c>
      <c r="AE318">
        <v>166.14330000000001</v>
      </c>
      <c r="AF318" t="s">
        <v>1491</v>
      </c>
      <c r="AG318">
        <v>164.81549999999999</v>
      </c>
      <c r="AH318">
        <v>-7.9923721470293065E-3</v>
      </c>
      <c r="AI318" t="s">
        <v>579</v>
      </c>
      <c r="AJ318" t="s">
        <v>546</v>
      </c>
      <c r="AK318">
        <v>-8.992E-3</v>
      </c>
      <c r="AL318" t="str">
        <f>IF($A318="","",IFERROR(INDEX(Company_List!$G$3:$G$207,MATCH($A318,Company_List!$A$3:$A$207,0)),"unassigned"))</f>
        <v>P2</v>
      </c>
      <c r="AM318" t="s">
        <v>1492</v>
      </c>
      <c r="AN318" t="s">
        <v>1493</v>
      </c>
      <c r="AO318" t="s">
        <v>560</v>
      </c>
      <c r="AP318" t="str">
        <f>IF($A318="","",IF(COUNTIFS(LLM_Data_Entry!$A$3:$A$548,$A318)&gt;0,"YES","NO"))</f>
        <v>YES</v>
      </c>
      <c r="AQ318" t="str">
        <f>IF($A318="","",IF(COUNTIFS($A$3:$A318,$A318,$C$3:$C318,$C318,$D$3:$D318,$D318)=1,"YES","NO"))</f>
        <v>YES</v>
      </c>
      <c r="AR318" t="str">
        <f>IF($A318="","",IF(AND($C318&amp;"-"&amp;$D318&gt;=Settings!$B$19,$C318&amp;"-"&amp;$D318&lt;=Settings!$B$20),"IN","OUT"))</f>
        <v>IN</v>
      </c>
      <c r="AS318" t="str">
        <f t="shared" si="48"/>
        <v>guidance</v>
      </c>
      <c r="AT318">
        <f t="shared" si="49"/>
        <v>-9.0000000000000011E-3</v>
      </c>
      <c r="AU318">
        <f t="shared" si="50"/>
        <v>-8.992E-3</v>
      </c>
      <c r="AV318">
        <f>IF(ISNUMBER($AT318),ABS(IF(ISNUMBER($I318),$I318,0)-Settings!$B$24),"")</f>
        <v>0.55000000000000004</v>
      </c>
      <c r="AW318">
        <f t="shared" si="51"/>
        <v>-4.9500000000000013E-3</v>
      </c>
      <c r="AX318">
        <f>IF(ISNUMBER($AU318),ABS(IF(ISNUMBER($I318),$I318,0)-Settings!$B$24),"")</f>
        <v>0.55000000000000004</v>
      </c>
      <c r="AY318" t="s">
        <v>549</v>
      </c>
      <c r="AZ318" t="str">
        <f>IF($A318="","",IFERROR(INDEX(Company_List!$H$3:$H$207,MATCH($A318,Company_List!$A$3:$A$207,0)),"unassigned"))</f>
        <v>Information Technology</v>
      </c>
      <c r="BC318">
        <f>IF($A318="","",IF(COUNTIFS($A$3:$A318,$A318,$C$3:$C318,$C318,$D$3:$D318,$D318,$G$3:$G318,$G318)=1,1,0))</f>
        <v>1</v>
      </c>
      <c r="BG318" t="s">
        <v>550</v>
      </c>
      <c r="BK318">
        <f t="shared" si="52"/>
        <v>1</v>
      </c>
      <c r="BL318" t="s">
        <v>551</v>
      </c>
      <c r="BM318">
        <v>1</v>
      </c>
      <c r="BN318" t="s">
        <v>561</v>
      </c>
      <c r="BO318" t="s">
        <v>561</v>
      </c>
      <c r="BP318" t="s">
        <v>550</v>
      </c>
      <c r="BQ318" t="s">
        <v>562</v>
      </c>
      <c r="BS318" t="s">
        <v>554</v>
      </c>
    </row>
    <row r="319" spans="1:71" x14ac:dyDescent="0.2">
      <c r="A319" s="1" t="s">
        <v>1494</v>
      </c>
      <c r="B319" s="142" t="str">
        <f>IF(A319="","",_xlfn.XLOOKUP(A319, Company_List!$A:$A, Company_List!$B:$B, ""))</f>
        <v>CRM</v>
      </c>
      <c r="C319" s="143">
        <v>2026</v>
      </c>
      <c r="D319" s="143" t="s">
        <v>555</v>
      </c>
      <c r="E319" s="98" t="s">
        <v>1476</v>
      </c>
      <c r="F319" s="98" t="s">
        <v>1086</v>
      </c>
      <c r="G319" s="143" t="s">
        <v>648</v>
      </c>
      <c r="H319" s="106" t="s">
        <v>540</v>
      </c>
      <c r="I319" s="145">
        <v>0.45</v>
      </c>
      <c r="J319" s="145" t="str">
        <f>IF(OR(I319="",Settings!$B$6=""),"",IF(I319&gt;Settings!$B$6,"BUY",IF(I319&lt;-Settings!$B$6,"SELL","HOLD")))</f>
        <v>BUY</v>
      </c>
      <c r="K319" s="145">
        <v>21</v>
      </c>
      <c r="L319" s="125">
        <v>45903</v>
      </c>
      <c r="M319" s="140">
        <v>45903</v>
      </c>
      <c r="N319" s="147">
        <v>256.45</v>
      </c>
      <c r="O319" s="140">
        <v>45904</v>
      </c>
      <c r="P319" s="145">
        <v>240.06</v>
      </c>
      <c r="Q319" s="151">
        <f t="shared" si="43"/>
        <v>-6.3899999999999998E-2</v>
      </c>
      <c r="R319" s="118" t="str">
        <f>IF(OR(N319="",P319=""),"",IF(Q319&gt;Settings!$B$3/100,"UP",IF(Q319&lt;-Settings!$B$3/100,"DOWN","FLAT")))</f>
        <v>DOWN</v>
      </c>
      <c r="S319" s="118" t="str">
        <f t="shared" si="44"/>
        <v>NO</v>
      </c>
      <c r="T319" s="119">
        <f t="shared" si="45"/>
        <v>1</v>
      </c>
      <c r="U319" s="150">
        <f>IFERROR(IF(OR(J319="",N319="",P319=""),"",IF(T319=0,0,T319*Q319-Settings!$B$4/10000-IF(T319&lt;0,Settings!$B$5/10000,0))),"")</f>
        <v>-6.4899999999999999E-2</v>
      </c>
      <c r="W319" s="21">
        <f t="shared" si="46"/>
        <v>1260</v>
      </c>
      <c r="X319" s="91" t="str">
        <f t="shared" si="47"/>
        <v>Salesforce|2026|Q2</v>
      </c>
      <c r="Y319" s="91" t="str">
        <f>IFERROR(IF($X319="","",INDEX(LLM_Data_Entry!$H$3:$H$548,MATCH($X319,INDEX(LLM_Data_Entry!$A$3:$A$548&amp;"|"&amp;LLM_Data_Entry!$C$3:$C$548&amp;"|"&amp;LLM_Data_Entry!$D$3:$D$548,0),0))),"")</f>
        <v>BUY</v>
      </c>
      <c r="Z319" s="91" t="str">
        <f>IFERROR(IF($X319="","",INDEX(LLM_Data_Entry!$R$3:$R$548,MATCH($X319,INDEX(LLM_Data_Entry!$A$3:$A$548&amp;"|"&amp;LLM_Data_Entry!$C$3:$C$548&amp;"|"&amp;LLM_Data_Entry!$D$3:$D$548,0),0))),"")</f>
        <v>NO</v>
      </c>
      <c r="AB319" t="s">
        <v>564</v>
      </c>
      <c r="AC319" t="s">
        <v>1495</v>
      </c>
      <c r="AD319" t="s">
        <v>1496</v>
      </c>
      <c r="AE319">
        <v>254.29769999999999</v>
      </c>
      <c r="AF319" t="s">
        <v>1442</v>
      </c>
      <c r="AG319">
        <v>238.04519999999999</v>
      </c>
      <c r="AH319">
        <v>-6.3911111723695527E-2</v>
      </c>
      <c r="AI319" t="s">
        <v>545</v>
      </c>
      <c r="AJ319" t="s">
        <v>546</v>
      </c>
      <c r="AK319">
        <v>-6.4910999999999996E-2</v>
      </c>
      <c r="AL319" t="str">
        <f>IF($A319="","",IFERROR(INDEX(Company_List!$G$3:$G$207,MATCH($A319,Company_List!$A$3:$A$207,0)),"unassigned"))</f>
        <v>P2</v>
      </c>
      <c r="AM319" t="s">
        <v>1497</v>
      </c>
      <c r="AN319" t="s">
        <v>1498</v>
      </c>
      <c r="AO319" t="s">
        <v>560</v>
      </c>
      <c r="AP319" t="str">
        <f>IF($A319="","",IF(COUNTIFS(LLM_Data_Entry!$A$3:$A$548,$A319)&gt;0,"YES","NO"))</f>
        <v>YES</v>
      </c>
      <c r="AQ319" t="str">
        <f>IF($A319="","",IF(COUNTIFS($A$3:$A319,$A319,$C$3:$C319,$C319,$D$3:$D319,$D319)=1,"YES","NO"))</f>
        <v>YES</v>
      </c>
      <c r="AR319" t="str">
        <f>IF($A319="","",IF(AND($C319&amp;"-"&amp;$D319&gt;=Settings!$B$19,$C319&amp;"-"&amp;$D319&lt;=Settings!$B$20),"IN","OUT"))</f>
        <v>IN</v>
      </c>
      <c r="AS319" t="str">
        <f t="shared" si="48"/>
        <v>financials</v>
      </c>
      <c r="AT319">
        <f t="shared" si="49"/>
        <v>-6.4899999999999999E-2</v>
      </c>
      <c r="AU319">
        <f t="shared" si="50"/>
        <v>-6.4910999999999996E-2</v>
      </c>
      <c r="AV319">
        <f>IF(ISNUMBER($AT319),ABS(IF(ISNUMBER($I319),$I319,0)-Settings!$B$24),"")</f>
        <v>0.45</v>
      </c>
      <c r="AW319">
        <f t="shared" si="51"/>
        <v>-2.9205000000000002E-2</v>
      </c>
      <c r="AX319">
        <f>IF(ISNUMBER($AU319),ABS(IF(ISNUMBER($I319),$I319,0)-Settings!$B$24),"")</f>
        <v>0.45</v>
      </c>
      <c r="AY319" t="s">
        <v>549</v>
      </c>
      <c r="AZ319" t="str">
        <f>IF($A319="","",IFERROR(INDEX(Company_List!$H$3:$H$207,MATCH($A319,Company_List!$A$3:$A$207,0)),"unassigned"))</f>
        <v>Information Technology</v>
      </c>
      <c r="BC319">
        <f>IF($A319="","",IF(COUNTIFS($A$3:$A319,$A319,$C$3:$C319,$C319,$D$3:$D319,$D319,$G$3:$G319,$G319)=1,1,0))</f>
        <v>1</v>
      </c>
      <c r="BG319" t="s">
        <v>550</v>
      </c>
      <c r="BK319">
        <f t="shared" si="52"/>
        <v>1</v>
      </c>
      <c r="BL319" t="s">
        <v>551</v>
      </c>
      <c r="BM319">
        <v>1</v>
      </c>
      <c r="BN319" t="s">
        <v>561</v>
      </c>
      <c r="BO319" t="s">
        <v>561</v>
      </c>
      <c r="BP319" t="s">
        <v>756</v>
      </c>
      <c r="BQ319" t="s">
        <v>562</v>
      </c>
      <c r="BS319" t="s">
        <v>554</v>
      </c>
    </row>
    <row r="320" spans="1:71" x14ac:dyDescent="0.2">
      <c r="A320" s="1" t="s">
        <v>1494</v>
      </c>
      <c r="B320" s="142" t="str">
        <f>IF(A320="","",_xlfn.XLOOKUP(A320, Company_List!$A:$A, Company_List!$B:$B, ""))</f>
        <v>CRM</v>
      </c>
      <c r="C320" s="143">
        <v>2026</v>
      </c>
      <c r="D320" s="143" t="s">
        <v>563</v>
      </c>
      <c r="E320" s="98" t="s">
        <v>647</v>
      </c>
      <c r="F320" s="98" t="s">
        <v>1090</v>
      </c>
      <c r="G320" s="143" t="s">
        <v>648</v>
      </c>
      <c r="H320" s="106" t="s">
        <v>540</v>
      </c>
      <c r="I320" s="145">
        <v>-0.3</v>
      </c>
      <c r="J320" s="145" t="str">
        <f>IF(OR(I320="",Settings!$B$6=""),"",IF(I320&gt;Settings!$B$6,"BUY",IF(I320&lt;-Settings!$B$6,"SELL","HOLD")))</f>
        <v>SELL</v>
      </c>
      <c r="K320" s="145">
        <v>30</v>
      </c>
      <c r="L320" s="125">
        <v>45994</v>
      </c>
      <c r="M320" s="140">
        <v>45994</v>
      </c>
      <c r="N320" s="147">
        <v>238.72</v>
      </c>
      <c r="O320" s="140">
        <v>45995</v>
      </c>
      <c r="P320" s="145">
        <v>243.69</v>
      </c>
      <c r="Q320" s="151">
        <f t="shared" si="43"/>
        <v>2.0799999999999999E-2</v>
      </c>
      <c r="R320" s="118" t="str">
        <f>IF(OR(N320="",P320=""),"",IF(Q320&gt;Settings!$B$3/100,"UP",IF(Q320&lt;-Settings!$B$3/100,"DOWN","FLAT")))</f>
        <v>UP</v>
      </c>
      <c r="S320" s="118" t="str">
        <f t="shared" si="44"/>
        <v>NO</v>
      </c>
      <c r="T320" s="119">
        <f t="shared" si="45"/>
        <v>-1</v>
      </c>
      <c r="U320" s="150">
        <f>IFERROR(IF(OR(J320="",N320="",P320=""),"",IF(T320=0,0,T320*Q320-Settings!$B$4/10000-IF(T320&lt;0,Settings!$B$5/10000,0))),"")</f>
        <v>-2.18E-2</v>
      </c>
      <c r="W320" s="21">
        <f t="shared" si="46"/>
        <v>1800</v>
      </c>
      <c r="X320" s="91" t="str">
        <f t="shared" si="47"/>
        <v>Salesforce|2026|Q3</v>
      </c>
      <c r="Y320" s="91" t="str">
        <f>IFERROR(IF($X320="","",INDEX(LLM_Data_Entry!$H$3:$H$548,MATCH($X320,INDEX(LLM_Data_Entry!$A$3:$A$548&amp;"|"&amp;LLM_Data_Entry!$C$3:$C$548&amp;"|"&amp;LLM_Data_Entry!$D$3:$D$548,0),0))),"")</f>
        <v>BUY</v>
      </c>
      <c r="Z320" s="91" t="str">
        <f>IFERROR(IF($X320="","",INDEX(LLM_Data_Entry!$R$3:$R$548,MATCH($X320,INDEX(LLM_Data_Entry!$A$3:$A$548&amp;"|"&amp;LLM_Data_Entry!$C$3:$C$548&amp;"|"&amp;LLM_Data_Entry!$D$3:$D$548,0),0))),"")</f>
        <v>YES</v>
      </c>
      <c r="AB320" t="s">
        <v>564</v>
      </c>
      <c r="AC320" t="s">
        <v>1495</v>
      </c>
      <c r="AD320" t="s">
        <v>1499</v>
      </c>
      <c r="AE320">
        <v>237.12870000000001</v>
      </c>
      <c r="AF320" t="s">
        <v>1500</v>
      </c>
      <c r="AG320">
        <v>242.06559999999999</v>
      </c>
      <c r="AH320">
        <v>2.081931966125198E-2</v>
      </c>
      <c r="AI320" t="s">
        <v>591</v>
      </c>
      <c r="AJ320" t="s">
        <v>546</v>
      </c>
      <c r="AK320">
        <v>-2.1819000000000002E-2</v>
      </c>
      <c r="AL320" t="str">
        <f>IF($A320="","",IFERROR(INDEX(Company_List!$G$3:$G$207,MATCH($A320,Company_List!$A$3:$A$207,0)),"unassigned"))</f>
        <v>P2</v>
      </c>
      <c r="AM320" t="s">
        <v>1501</v>
      </c>
      <c r="AN320" t="s">
        <v>1502</v>
      </c>
      <c r="AO320" t="s">
        <v>560</v>
      </c>
      <c r="AP320" t="str">
        <f>IF($A320="","",IF(COUNTIFS(LLM_Data_Entry!$A$3:$A$548,$A320)&gt;0,"YES","NO"))</f>
        <v>YES</v>
      </c>
      <c r="AQ320" t="str">
        <f>IF($A320="","",IF(COUNTIFS($A$3:$A320,$A320,$C$3:$C320,$C320,$D$3:$D320,$D320)=1,"YES","NO"))</f>
        <v>YES</v>
      </c>
      <c r="AR320" t="str">
        <f>IF($A320="","",IF(AND($C320&amp;"-"&amp;$D320&gt;=Settings!$B$19,$C320&amp;"-"&amp;$D320&lt;=Settings!$B$20),"IN","OUT"))</f>
        <v>IN</v>
      </c>
      <c r="AS320" t="str">
        <f t="shared" si="48"/>
        <v>guidance</v>
      </c>
      <c r="AT320">
        <f t="shared" si="49"/>
        <v>-2.18E-2</v>
      </c>
      <c r="AU320">
        <f t="shared" si="50"/>
        <v>-2.1819000000000002E-2</v>
      </c>
      <c r="AV320">
        <f>IF(ISNUMBER($AT320),ABS(IF(ISNUMBER($I320),$I320,0)-Settings!$B$24),"")</f>
        <v>0.3</v>
      </c>
      <c r="AW320">
        <f t="shared" si="51"/>
        <v>-6.5399999999999998E-3</v>
      </c>
      <c r="AX320">
        <f>IF(ISNUMBER($AU320),ABS(IF(ISNUMBER($I320),$I320,0)-Settings!$B$24),"")</f>
        <v>0.3</v>
      </c>
      <c r="AY320" t="s">
        <v>549</v>
      </c>
      <c r="AZ320" t="str">
        <f>IF($A320="","",IFERROR(INDEX(Company_List!$H$3:$H$207,MATCH($A320,Company_List!$A$3:$A$207,0)),"unassigned"))</f>
        <v>Information Technology</v>
      </c>
      <c r="BC320">
        <f>IF($A320="","",IF(COUNTIFS($A$3:$A320,$A320,$C$3:$C320,$C320,$D$3:$D320,$D320,$G$3:$G320,$G320)=1,1,0))</f>
        <v>1</v>
      </c>
      <c r="BG320" t="s">
        <v>550</v>
      </c>
      <c r="BK320">
        <f t="shared" si="52"/>
        <v>0</v>
      </c>
      <c r="BL320" t="s">
        <v>551</v>
      </c>
      <c r="BM320">
        <v>1</v>
      </c>
      <c r="BN320" t="s">
        <v>561</v>
      </c>
      <c r="BO320" t="s">
        <v>561</v>
      </c>
      <c r="BP320" t="s">
        <v>550</v>
      </c>
      <c r="BQ320" t="s">
        <v>562</v>
      </c>
      <c r="BS320" t="s">
        <v>554</v>
      </c>
    </row>
    <row r="321" spans="1:71" x14ac:dyDescent="0.2">
      <c r="A321" s="1" t="s">
        <v>1494</v>
      </c>
      <c r="B321" s="142" t="str">
        <f>IF(A321="","",_xlfn.XLOOKUP(A321, Company_List!$A:$A, Company_List!$B:$B, ""))</f>
        <v>CRM</v>
      </c>
      <c r="C321" s="143">
        <v>2026</v>
      </c>
      <c r="D321" s="143" t="s">
        <v>569</v>
      </c>
      <c r="E321" s="98" t="s">
        <v>647</v>
      </c>
      <c r="F321" s="98" t="s">
        <v>1092</v>
      </c>
      <c r="G321" s="143" t="s">
        <v>648</v>
      </c>
      <c r="H321" s="106" t="s">
        <v>540</v>
      </c>
      <c r="I321" s="145">
        <v>-0.25</v>
      </c>
      <c r="J321" s="145" t="str">
        <f>IF(OR(I321="",Settings!$B$6=""),"",IF(I321&gt;Settings!$B$6,"BUY",IF(I321&lt;-Settings!$B$6,"SELL","HOLD")))</f>
        <v>SELL</v>
      </c>
      <c r="K321" s="145">
        <v>32</v>
      </c>
      <c r="L321" s="125">
        <v>46078</v>
      </c>
      <c r="M321" s="140">
        <v>46078</v>
      </c>
      <c r="N321" s="147">
        <v>191.75</v>
      </c>
      <c r="O321" s="140">
        <v>46079</v>
      </c>
      <c r="P321" s="145">
        <v>196.76</v>
      </c>
      <c r="Q321" s="151">
        <f t="shared" si="43"/>
        <v>2.6100000000000002E-2</v>
      </c>
      <c r="R321" s="118" t="str">
        <f>IF(OR(N321="",P321=""),"",IF(Q321&gt;Settings!$B$3/100,"UP",IF(Q321&lt;-Settings!$B$3/100,"DOWN","FLAT")))</f>
        <v>UP</v>
      </c>
      <c r="S321" s="118" t="str">
        <f t="shared" si="44"/>
        <v>NO</v>
      </c>
      <c r="T321" s="119">
        <f t="shared" si="45"/>
        <v>-1</v>
      </c>
      <c r="U321" s="150">
        <f>IFERROR(IF(OR(J321="",N321="",P321=""),"",IF(T321=0,0,T321*Q321-Settings!$B$4/10000-IF(T321&lt;0,Settings!$B$5/10000,0))),"")</f>
        <v>-2.7100000000000003E-2</v>
      </c>
      <c r="W321" s="21">
        <f t="shared" si="46"/>
        <v>1920</v>
      </c>
      <c r="X321" s="91" t="str">
        <f t="shared" si="47"/>
        <v>Salesforce|2026|Q4</v>
      </c>
      <c r="Y321" s="91" t="str">
        <f>IFERROR(IF($X321="","",INDEX(LLM_Data_Entry!$H$3:$H$548,MATCH($X321,INDEX(LLM_Data_Entry!$A$3:$A$548&amp;"|"&amp;LLM_Data_Entry!$C$3:$C$548&amp;"|"&amp;LLM_Data_Entry!$D$3:$D$548,0),0))),"")</f>
        <v>HOLD</v>
      </c>
      <c r="Z321" s="91" t="str">
        <f>IFERROR(IF($X321="","",INDEX(LLM_Data_Entry!$R$3:$R$548,MATCH($X321,INDEX(LLM_Data_Entry!$A$3:$A$548&amp;"|"&amp;LLM_Data_Entry!$C$3:$C$548&amp;"|"&amp;LLM_Data_Entry!$D$3:$D$548,0),0))),"")</f>
        <v>NO</v>
      </c>
      <c r="AB321" t="s">
        <v>564</v>
      </c>
      <c r="AC321" t="s">
        <v>1495</v>
      </c>
      <c r="AD321" t="s">
        <v>926</v>
      </c>
      <c r="AE321">
        <v>190.7792</v>
      </c>
      <c r="AF321" t="s">
        <v>1174</v>
      </c>
      <c r="AG321">
        <v>195.76390000000001</v>
      </c>
      <c r="AH321">
        <v>2.6127696362332711E-2</v>
      </c>
      <c r="AI321" t="s">
        <v>591</v>
      </c>
      <c r="AJ321" t="s">
        <v>546</v>
      </c>
      <c r="AK321">
        <v>-2.7127999999999999E-2</v>
      </c>
      <c r="AL321" t="str">
        <f>IF($A321="","",IFERROR(INDEX(Company_List!$G$3:$G$207,MATCH($A321,Company_List!$A$3:$A$207,0)),"unassigned"))</f>
        <v>P2</v>
      </c>
      <c r="AM321" t="s">
        <v>1503</v>
      </c>
      <c r="AN321" t="s">
        <v>1504</v>
      </c>
      <c r="AO321" t="s">
        <v>560</v>
      </c>
      <c r="AP321" t="str">
        <f>IF($A321="","",IF(COUNTIFS(LLM_Data_Entry!$A$3:$A$548,$A321)&gt;0,"YES","NO"))</f>
        <v>YES</v>
      </c>
      <c r="AQ321" t="str">
        <f>IF($A321="","",IF(COUNTIFS($A$3:$A321,$A321,$C$3:$C321,$C321,$D$3:$D321,$D321)=1,"YES","NO"))</f>
        <v>YES</v>
      </c>
      <c r="AR321" t="str">
        <f>IF($A321="","",IF(AND($C321&amp;"-"&amp;$D321&gt;=Settings!$B$19,$C321&amp;"-"&amp;$D321&lt;=Settings!$B$20),"IN","OUT"))</f>
        <v>IN</v>
      </c>
      <c r="AS321" t="str">
        <f t="shared" si="48"/>
        <v>qanda</v>
      </c>
      <c r="AT321">
        <f t="shared" si="49"/>
        <v>-2.7100000000000003E-2</v>
      </c>
      <c r="AU321">
        <f t="shared" si="50"/>
        <v>-2.7127999999999999E-2</v>
      </c>
      <c r="AV321">
        <f>IF(ISNUMBER($AT321),ABS(IF(ISNUMBER($I321),$I321,0)-Settings!$B$24),"")</f>
        <v>0.25</v>
      </c>
      <c r="AW321">
        <f t="shared" si="51"/>
        <v>-6.7750000000000006E-3</v>
      </c>
      <c r="AX321">
        <f>IF(ISNUMBER($AU321),ABS(IF(ISNUMBER($I321),$I321,0)-Settings!$B$24),"")</f>
        <v>0.25</v>
      </c>
      <c r="AY321" t="s">
        <v>549</v>
      </c>
      <c r="AZ321" t="str">
        <f>IF($A321="","",IFERROR(INDEX(Company_List!$H$3:$H$207,MATCH($A321,Company_List!$A$3:$A$207,0)),"unassigned"))</f>
        <v>Information Technology</v>
      </c>
      <c r="BC321">
        <f>IF($A321="","",IF(COUNTIFS($A$3:$A321,$A321,$C$3:$C321,$C321,$D$3:$D321,$D321,$G$3:$G321,$G321)=1,1,0))</f>
        <v>1</v>
      </c>
      <c r="BG321" t="s">
        <v>550</v>
      </c>
      <c r="BK321">
        <f t="shared" si="52"/>
        <v>0</v>
      </c>
      <c r="BL321" t="s">
        <v>551</v>
      </c>
      <c r="BM321">
        <v>1</v>
      </c>
      <c r="BN321" t="s">
        <v>561</v>
      </c>
      <c r="BO321" t="s">
        <v>561</v>
      </c>
      <c r="BP321" t="s">
        <v>550</v>
      </c>
      <c r="BQ321" t="s">
        <v>562</v>
      </c>
      <c r="BS321" t="s">
        <v>554</v>
      </c>
    </row>
    <row r="322" spans="1:71" x14ac:dyDescent="0.2">
      <c r="A322" s="1" t="s">
        <v>1505</v>
      </c>
      <c r="B322" s="142" t="str">
        <f>IF(A322="","",_xlfn.XLOOKUP(A322, Company_List!$A:$A, Company_List!$B:$B, ""))</f>
        <v>UNH</v>
      </c>
      <c r="C322" s="143">
        <v>2025</v>
      </c>
      <c r="D322" s="143" t="s">
        <v>555</v>
      </c>
      <c r="E322" s="98" t="s">
        <v>647</v>
      </c>
      <c r="F322" s="98" t="s">
        <v>1092</v>
      </c>
      <c r="G322" s="143" t="s">
        <v>648</v>
      </c>
      <c r="H322" s="106" t="s">
        <v>540</v>
      </c>
      <c r="I322" s="145">
        <v>0.3</v>
      </c>
      <c r="J322" s="145" t="str">
        <f>IF(OR(I322="",Settings!$B$6=""),"",IF(I322&gt;Settings!$B$6,"BUY",IF(I322&lt;-Settings!$B$6,"SELL","HOLD")))</f>
        <v>BUY</v>
      </c>
      <c r="K322" s="145">
        <v>27</v>
      </c>
      <c r="L322" s="125">
        <v>45867</v>
      </c>
      <c r="M322" s="140">
        <v>45866</v>
      </c>
      <c r="N322" s="147">
        <v>282.12</v>
      </c>
      <c r="O322" s="140">
        <v>45867</v>
      </c>
      <c r="P322" s="145">
        <v>265.7</v>
      </c>
      <c r="Q322" s="151">
        <f t="shared" ref="Q322:Q385" si="53">IF(OR(N322="",P322=""),"",ROUND((P322-N322)/N322,4))</f>
        <v>-5.8200000000000002E-2</v>
      </c>
      <c r="R322" s="118" t="str">
        <f>IF(OR(N322="",P322=""),"",IF(Q322&gt;Settings!$B$3/100,"UP",IF(Q322&lt;-Settings!$B$3/100,"DOWN","FLAT")))</f>
        <v>DOWN</v>
      </c>
      <c r="S322" s="118" t="str">
        <f t="shared" si="44"/>
        <v>NO</v>
      </c>
      <c r="T322" s="119">
        <f t="shared" si="45"/>
        <v>1</v>
      </c>
      <c r="U322" s="150">
        <f>IFERROR(IF(OR(J322="",N322="",P322=""),"",IF(T322=0,0,T322*Q322-Settings!$B$4/10000-IF(T322&lt;0,Settings!$B$5/10000,0))),"")</f>
        <v>-5.9200000000000003E-2</v>
      </c>
      <c r="W322" s="21">
        <f t="shared" si="46"/>
        <v>1620</v>
      </c>
      <c r="X322" s="91" t="str">
        <f t="shared" si="47"/>
        <v>UnitedHealth|2025|Q2</v>
      </c>
      <c r="Y322" s="91" t="str">
        <f>IFERROR(IF($X322="","",INDEX(LLM_Data_Entry!$H$3:$H$548,MATCH($X322,INDEX(LLM_Data_Entry!$A$3:$A$548&amp;"|"&amp;LLM_Data_Entry!$C$3:$C$548&amp;"|"&amp;LLM_Data_Entry!$D$3:$D$548,0),0))),"")</f>
        <v>SELL</v>
      </c>
      <c r="Z322" s="91" t="str">
        <f>IFERROR(IF($X322="","",INDEX(LLM_Data_Entry!$R$3:$R$548,MATCH($X322,INDEX(LLM_Data_Entry!$A$3:$A$548&amp;"|"&amp;LLM_Data_Entry!$C$3:$C$548&amp;"|"&amp;LLM_Data_Entry!$D$3:$D$548,0),0))),"")</f>
        <v>YES</v>
      </c>
      <c r="AB322" t="s">
        <v>685</v>
      </c>
      <c r="AC322" t="s">
        <v>1506</v>
      </c>
      <c r="AD322" t="s">
        <v>619</v>
      </c>
      <c r="AE322">
        <v>274.76139999999998</v>
      </c>
      <c r="AF322" t="s">
        <v>620</v>
      </c>
      <c r="AG322">
        <v>258.7697</v>
      </c>
      <c r="AH322">
        <v>-5.820210764857895E-2</v>
      </c>
      <c r="AI322" t="s">
        <v>545</v>
      </c>
      <c r="AJ322" t="s">
        <v>546</v>
      </c>
      <c r="AK322">
        <v>-5.9201999999999998E-2</v>
      </c>
      <c r="AL322" t="str">
        <f>IF($A322="","",IFERROR(INDEX(Company_List!$G$3:$G$207,MATCH($A322,Company_List!$A$3:$A$207,0)),"unassigned"))</f>
        <v>both</v>
      </c>
      <c r="AM322" t="s">
        <v>1507</v>
      </c>
      <c r="AN322" t="s">
        <v>1508</v>
      </c>
      <c r="AO322" t="s">
        <v>560</v>
      </c>
      <c r="AP322" t="str">
        <f>IF($A322="","",IF(COUNTIFS(LLM_Data_Entry!$A$3:$A$548,$A322)&gt;0,"YES","NO"))</f>
        <v>YES</v>
      </c>
      <c r="AQ322" t="str">
        <f>IF($A322="","",IF(COUNTIFS($A$3:$A322,$A322,$C$3:$C322,$C322,$D$3:$D322,$D322)=1,"YES","NO"))</f>
        <v>YES</v>
      </c>
      <c r="AR322" t="str">
        <f>IF($A322="","",IF(AND($C322&amp;"-"&amp;$D322&gt;=Settings!$B$19,$C322&amp;"-"&amp;$D322&lt;=Settings!$B$20),"IN","OUT"))</f>
        <v>IN</v>
      </c>
      <c r="AS322" t="str">
        <f t="shared" si="48"/>
        <v>qanda</v>
      </c>
      <c r="AT322">
        <f t="shared" si="49"/>
        <v>-5.9200000000000003E-2</v>
      </c>
      <c r="AU322">
        <f t="shared" si="50"/>
        <v>-5.9201999999999998E-2</v>
      </c>
      <c r="AV322">
        <f>IF(ISNUMBER($AT322),ABS(IF(ISNUMBER($I322),$I322,0)-Settings!$B$24),"")</f>
        <v>0.3</v>
      </c>
      <c r="AW322">
        <f t="shared" si="51"/>
        <v>-1.7760000000000001E-2</v>
      </c>
      <c r="AX322">
        <f>IF(ISNUMBER($AU322),ABS(IF(ISNUMBER($I322),$I322,0)-Settings!$B$24),"")</f>
        <v>0.3</v>
      </c>
      <c r="AY322" t="s">
        <v>549</v>
      </c>
      <c r="AZ322" t="str">
        <f>IF($A322="","",IFERROR(INDEX(Company_List!$H$3:$H$207,MATCH($A322,Company_List!$A$3:$A$207,0)),"unassigned"))</f>
        <v>Health Care</v>
      </c>
      <c r="BC322">
        <f>IF($A322="","",IF(COUNTIFS($A$3:$A322,$A322,$C$3:$C322,$C322,$D$3:$D322,$D322,$G$3:$G322,$G322)=1,1,0))</f>
        <v>1</v>
      </c>
      <c r="BG322" t="s">
        <v>550</v>
      </c>
      <c r="BK322">
        <f t="shared" si="52"/>
        <v>0</v>
      </c>
      <c r="BL322" t="s">
        <v>551</v>
      </c>
      <c r="BM322">
        <v>1</v>
      </c>
      <c r="BN322" t="s">
        <v>561</v>
      </c>
      <c r="BO322" t="s">
        <v>561</v>
      </c>
      <c r="BP322" t="s">
        <v>550</v>
      </c>
      <c r="BQ322" t="s">
        <v>562</v>
      </c>
      <c r="BS322" t="s">
        <v>554</v>
      </c>
    </row>
    <row r="323" spans="1:71" x14ac:dyDescent="0.2">
      <c r="A323" s="1" t="s">
        <v>1505</v>
      </c>
      <c r="B323" s="142" t="str">
        <f>IF(A323="","",_xlfn.XLOOKUP(A323, Company_List!$A:$A, Company_List!$B:$B, ""))</f>
        <v>UNH</v>
      </c>
      <c r="C323" s="143">
        <v>2025</v>
      </c>
      <c r="D323" s="143" t="s">
        <v>563</v>
      </c>
      <c r="E323" s="98" t="s">
        <v>1476</v>
      </c>
      <c r="F323" s="98" t="s">
        <v>1086</v>
      </c>
      <c r="G323" s="143" t="s">
        <v>648</v>
      </c>
      <c r="H323" s="106" t="s">
        <v>540</v>
      </c>
      <c r="I323" s="145">
        <v>-0.55000000000000004</v>
      </c>
      <c r="J323" s="145" t="str">
        <f>IF(OR(I323="",Settings!$B$6=""),"",IF(I323&gt;Settings!$B$6,"BUY",IF(I323&lt;-Settings!$B$6,"SELL","HOLD")))</f>
        <v>SELL</v>
      </c>
      <c r="K323" s="145">
        <v>24</v>
      </c>
      <c r="L323" s="125">
        <v>45958</v>
      </c>
      <c r="M323" s="140">
        <v>45957</v>
      </c>
      <c r="N323" s="147">
        <v>365.98</v>
      </c>
      <c r="O323" s="140">
        <v>45958</v>
      </c>
      <c r="P323" s="145">
        <v>380.68</v>
      </c>
      <c r="Q323" s="151">
        <f t="shared" si="53"/>
        <v>4.02E-2</v>
      </c>
      <c r="R323" s="118" t="str">
        <f>IF(OR(N323="",P323=""),"",IF(Q323&gt;Settings!$B$3/100,"UP",IF(Q323&lt;-Settings!$B$3/100,"DOWN","FLAT")))</f>
        <v>UP</v>
      </c>
      <c r="S323" s="118" t="str">
        <f t="shared" ref="S323:S386" si="54">IF(OR(N323="",P323="",J323=""),"",IF(OR(AND(J323="BUY",R323="UP"),AND(J323="SELL",R323="DOWN"),AND(J323="HOLD",R323="FLAT")),"YES","NO"))</f>
        <v>NO</v>
      </c>
      <c r="T323" s="119">
        <f t="shared" ref="T323:T386" si="55">IF(J323="","",IF(J323="BUY",1,IF(J323="SELL",-1,0)))</f>
        <v>-1</v>
      </c>
      <c r="U323" s="150">
        <f>IFERROR(IF(OR(J323="",N323="",P323=""),"",IF(T323=0,0,T323*Q323-Settings!$B$4/10000-IF(T323&lt;0,Settings!$B$5/10000,0))),"")</f>
        <v>-4.1200000000000001E-2</v>
      </c>
      <c r="W323" s="21">
        <f t="shared" ref="W323:W386" si="56">IF($K323="","",$K323*60)</f>
        <v>1440</v>
      </c>
      <c r="X323" s="91" t="str">
        <f t="shared" ref="X323:X386" si="57">IF($A323="","",$A323&amp;"|"&amp;$C323&amp;"|"&amp;$D323)</f>
        <v>UnitedHealth|2025|Q3</v>
      </c>
      <c r="Y323" s="91" t="str">
        <f>IFERROR(IF($X323="","",INDEX(LLM_Data_Entry!$H$3:$H$548,MATCH($X323,INDEX(LLM_Data_Entry!$A$3:$A$548&amp;"|"&amp;LLM_Data_Entry!$C$3:$C$548&amp;"|"&amp;LLM_Data_Entry!$D$3:$D$548,0),0))),"")</f>
        <v>BUY</v>
      </c>
      <c r="Z323" s="91" t="str">
        <f>IFERROR(IF($X323="","",INDEX(LLM_Data_Entry!$R$3:$R$548,MATCH($X323,INDEX(LLM_Data_Entry!$A$3:$A$548&amp;"|"&amp;LLM_Data_Entry!$C$3:$C$548&amp;"|"&amp;LLM_Data_Entry!$D$3:$D$548,0),0))),"")</f>
        <v>YES</v>
      </c>
      <c r="AB323" t="s">
        <v>564</v>
      </c>
      <c r="AC323" t="s">
        <v>1506</v>
      </c>
      <c r="AD323" t="s">
        <v>1093</v>
      </c>
      <c r="AE323">
        <v>358.68279999999999</v>
      </c>
      <c r="AF323" t="s">
        <v>625</v>
      </c>
      <c r="AG323">
        <v>373.08969999999999</v>
      </c>
      <c r="AH323">
        <v>4.0166099293610723E-2</v>
      </c>
      <c r="AI323" t="s">
        <v>591</v>
      </c>
      <c r="AJ323" t="s">
        <v>546</v>
      </c>
      <c r="AK323">
        <v>-4.1166000000000001E-2</v>
      </c>
      <c r="AL323" t="str">
        <f>IF($A323="","",IFERROR(INDEX(Company_List!$G$3:$G$207,MATCH($A323,Company_List!$A$3:$A$207,0)),"unassigned"))</f>
        <v>both</v>
      </c>
      <c r="AM323" t="s">
        <v>1509</v>
      </c>
      <c r="AN323" t="s">
        <v>1510</v>
      </c>
      <c r="AO323" t="s">
        <v>560</v>
      </c>
      <c r="AP323" t="str">
        <f>IF($A323="","",IF(COUNTIFS(LLM_Data_Entry!$A$3:$A$548,$A323)&gt;0,"YES","NO"))</f>
        <v>YES</v>
      </c>
      <c r="AQ323" t="str">
        <f>IF($A323="","",IF(COUNTIFS($A$3:$A323,$A323,$C$3:$C323,$C323,$D$3:$D323,$D323)=1,"YES","NO"))</f>
        <v>YES</v>
      </c>
      <c r="AR323" t="str">
        <f>IF($A323="","",IF(AND($C323&amp;"-"&amp;$D323&gt;=Settings!$B$19,$C323&amp;"-"&amp;$D323&lt;=Settings!$B$20),"IN","OUT"))</f>
        <v>IN</v>
      </c>
      <c r="AS323" t="str">
        <f t="shared" ref="AS323:AS386" si="58">IF($A323="","",IF($F323="Financial Results","financials",IF($F323="Outlook/Guidance","guidance",IF($F323="Transcript Q&amp;A","qanda",IF($F323="","unrecorded",IF($E323="All","full",IF($E323="","unrecorded",LOWER($E323)&amp;" only")))))))</f>
        <v>financials</v>
      </c>
      <c r="AT323">
        <f t="shared" ref="AT323:AT386" si="59">IF(AND(OR($J323="BUY",$J323="SELL"),ISNUMBER($U323)),$U323,"")</f>
        <v>-4.1200000000000001E-2</v>
      </c>
      <c r="AU323">
        <f t="shared" ref="AU323:AU386" si="60">IF(AND(OR($J323="BUY",$J323="SELL"),ISNUMBER($AK323)),$AK323,"")</f>
        <v>-4.1166000000000001E-2</v>
      </c>
      <c r="AV323">
        <f>IF(ISNUMBER($AT323),ABS(IF(ISNUMBER($I323),$I323,0)-Settings!$B$24),"")</f>
        <v>0.55000000000000004</v>
      </c>
      <c r="AW323">
        <f t="shared" ref="AW323:AW386" si="61">IF(ISNUMBER($AV323),$AV323*$AT323,"")</f>
        <v>-2.2660000000000003E-2</v>
      </c>
      <c r="AX323">
        <f>IF(ISNUMBER($AU323),ABS(IF(ISNUMBER($I323),$I323,0)-Settings!$B$24),"")</f>
        <v>0.55000000000000004</v>
      </c>
      <c r="AY323" t="s">
        <v>549</v>
      </c>
      <c r="AZ323" t="str">
        <f>IF($A323="","",IFERROR(INDEX(Company_List!$H$3:$H$207,MATCH($A323,Company_List!$A$3:$A$207,0)),"unassigned"))</f>
        <v>Health Care</v>
      </c>
      <c r="BC323">
        <f>IF($A323="","",IF(COUNTIFS($A$3:$A323,$A323,$C$3:$C323,$C323,$D$3:$D323,$D323,$G$3:$G323,$G323)=1,1,0))</f>
        <v>1</v>
      </c>
      <c r="BG323" t="s">
        <v>550</v>
      </c>
      <c r="BK323">
        <f t="shared" ref="BK323:BK386" si="62">IF(OR($H323&lt;&gt;"Human",$S323="",$J323="",$Y323="",$Z323=""),"",IF(EXACT(UPPER($J323),UPPER($Y323)),1,0))</f>
        <v>0</v>
      </c>
      <c r="BL323" t="s">
        <v>551</v>
      </c>
      <c r="BM323">
        <v>1</v>
      </c>
      <c r="BN323" t="s">
        <v>561</v>
      </c>
      <c r="BO323" t="s">
        <v>561</v>
      </c>
      <c r="BP323" t="s">
        <v>756</v>
      </c>
      <c r="BQ323" t="s">
        <v>562</v>
      </c>
      <c r="BS323" t="s">
        <v>554</v>
      </c>
    </row>
    <row r="324" spans="1:71" x14ac:dyDescent="0.2">
      <c r="A324" s="1" t="s">
        <v>1505</v>
      </c>
      <c r="B324" s="142" t="str">
        <f>IF(A324="","",_xlfn.XLOOKUP(A324, Company_List!$A:$A, Company_List!$B:$B, ""))</f>
        <v>UNH</v>
      </c>
      <c r="C324" s="143">
        <v>2025</v>
      </c>
      <c r="D324" s="143" t="s">
        <v>569</v>
      </c>
      <c r="E324" s="98" t="s">
        <v>647</v>
      </c>
      <c r="F324" s="98" t="s">
        <v>1090</v>
      </c>
      <c r="G324" s="143" t="s">
        <v>648</v>
      </c>
      <c r="H324" s="106" t="s">
        <v>540</v>
      </c>
      <c r="I324" s="145">
        <v>0.5</v>
      </c>
      <c r="J324" s="145" t="str">
        <f>IF(OR(I324="",Settings!$B$6=""),"",IF(I324&gt;Settings!$B$6,"BUY",IF(I324&lt;-Settings!$B$6,"SELL","HOLD")))</f>
        <v>BUY</v>
      </c>
      <c r="K324" s="145">
        <v>29</v>
      </c>
      <c r="L324" s="123">
        <v>46049</v>
      </c>
      <c r="M324" s="140">
        <v>46048</v>
      </c>
      <c r="N324" s="147">
        <v>351.64</v>
      </c>
      <c r="O324" s="140">
        <v>46049</v>
      </c>
      <c r="P324" s="145">
        <v>293.97000000000003</v>
      </c>
      <c r="Q324" s="151">
        <f t="shared" si="53"/>
        <v>-0.16400000000000001</v>
      </c>
      <c r="R324" s="118" t="str">
        <f>IF(OR(N324="",P324=""),"",IF(Q324&gt;Settings!$B$3/100,"UP",IF(Q324&lt;-Settings!$B$3/100,"DOWN","FLAT")))</f>
        <v>DOWN</v>
      </c>
      <c r="S324" s="118" t="str">
        <f t="shared" si="54"/>
        <v>NO</v>
      </c>
      <c r="T324" s="119">
        <f t="shared" si="55"/>
        <v>1</v>
      </c>
      <c r="U324" s="150">
        <f>IFERROR(IF(OR(J324="",N324="",P324=""),"",IF(T324=0,0,T324*Q324-Settings!$B$4/10000-IF(T324&lt;0,Settings!$B$5/10000,0))),"")</f>
        <v>-0.16500000000000001</v>
      </c>
      <c r="W324" s="21">
        <f t="shared" si="56"/>
        <v>1740</v>
      </c>
      <c r="X324" s="91" t="str">
        <f t="shared" si="57"/>
        <v>UnitedHealth|2025|Q4</v>
      </c>
      <c r="Y324" s="91" t="str">
        <f>IFERROR(IF($X324="","",INDEX(LLM_Data_Entry!$H$3:$H$548,MATCH($X324,INDEX(LLM_Data_Entry!$A$3:$A$548&amp;"|"&amp;LLM_Data_Entry!$C$3:$C$548&amp;"|"&amp;LLM_Data_Entry!$D$3:$D$548,0),0))),"")</f>
        <v>SELL</v>
      </c>
      <c r="Z324" s="91" t="str">
        <f>IFERROR(IF($X324="","",INDEX(LLM_Data_Entry!$R$3:$R$548,MATCH($X324,INDEX(LLM_Data_Entry!$A$3:$A$548&amp;"|"&amp;LLM_Data_Entry!$C$3:$C$548&amp;"|"&amp;LLM_Data_Entry!$D$3:$D$548,0),0))),"")</f>
        <v>YES</v>
      </c>
      <c r="AB324" t="s">
        <v>541</v>
      </c>
      <c r="AC324" t="s">
        <v>1506</v>
      </c>
      <c r="AD324" t="s">
        <v>631</v>
      </c>
      <c r="AE324">
        <v>346.94580000000002</v>
      </c>
      <c r="AF324" t="s">
        <v>632</v>
      </c>
      <c r="AG324">
        <v>290.04559999999998</v>
      </c>
      <c r="AH324">
        <v>-0.16400299275233729</v>
      </c>
      <c r="AI324" t="s">
        <v>545</v>
      </c>
      <c r="AJ324" t="s">
        <v>546</v>
      </c>
      <c r="AK324">
        <v>-0.16500300000000001</v>
      </c>
      <c r="AL324" t="str">
        <f>IF($A324="","",IFERROR(INDEX(Company_List!$G$3:$G$207,MATCH($A324,Company_List!$A$3:$A$207,0)),"unassigned"))</f>
        <v>both</v>
      </c>
      <c r="AM324" t="s">
        <v>1511</v>
      </c>
      <c r="AN324" t="s">
        <v>1512</v>
      </c>
      <c r="AO324" t="s">
        <v>560</v>
      </c>
      <c r="AP324" t="str">
        <f>IF($A324="","",IF(COUNTIFS(LLM_Data_Entry!$A$3:$A$548,$A324)&gt;0,"YES","NO"))</f>
        <v>YES</v>
      </c>
      <c r="AQ324" t="str">
        <f>IF($A324="","",IF(COUNTIFS($A$3:$A324,$A324,$C$3:$C324,$C324,$D$3:$D324,$D324)=1,"YES","NO"))</f>
        <v>YES</v>
      </c>
      <c r="AR324" t="str">
        <f>IF($A324="","",IF(AND($C324&amp;"-"&amp;$D324&gt;=Settings!$B$19,$C324&amp;"-"&amp;$D324&lt;=Settings!$B$20),"IN","OUT"))</f>
        <v>IN</v>
      </c>
      <c r="AS324" t="str">
        <f t="shared" si="58"/>
        <v>guidance</v>
      </c>
      <c r="AT324">
        <f t="shared" si="59"/>
        <v>-0.16500000000000001</v>
      </c>
      <c r="AU324">
        <f t="shared" si="60"/>
        <v>-0.16500300000000001</v>
      </c>
      <c r="AV324">
        <f>IF(ISNUMBER($AT324),ABS(IF(ISNUMBER($I324),$I324,0)-Settings!$B$24),"")</f>
        <v>0.5</v>
      </c>
      <c r="AW324">
        <f t="shared" si="61"/>
        <v>-8.2500000000000004E-2</v>
      </c>
      <c r="AX324">
        <f>IF(ISNUMBER($AU324),ABS(IF(ISNUMBER($I324),$I324,0)-Settings!$B$24),"")</f>
        <v>0.5</v>
      </c>
      <c r="AY324" t="s">
        <v>549</v>
      </c>
      <c r="AZ324" t="str">
        <f>IF($A324="","",IFERROR(INDEX(Company_List!$H$3:$H$207,MATCH($A324,Company_List!$A$3:$A$207,0)),"unassigned"))</f>
        <v>Health Care</v>
      </c>
      <c r="BC324">
        <f>IF($A324="","",IF(COUNTIFS($A$3:$A324,$A324,$C$3:$C324,$C324,$D$3:$D324,$D324,$G$3:$G324,$G324)=1,1,0))</f>
        <v>1</v>
      </c>
      <c r="BG324" t="s">
        <v>550</v>
      </c>
      <c r="BK324">
        <f t="shared" si="62"/>
        <v>0</v>
      </c>
      <c r="BL324" t="s">
        <v>551</v>
      </c>
      <c r="BM324">
        <v>1</v>
      </c>
      <c r="BN324" t="s">
        <v>561</v>
      </c>
      <c r="BO324" t="s">
        <v>561</v>
      </c>
      <c r="BP324" t="s">
        <v>550</v>
      </c>
      <c r="BQ324" t="s">
        <v>562</v>
      </c>
      <c r="BS324" t="s">
        <v>554</v>
      </c>
    </row>
    <row r="325" spans="1:71" x14ac:dyDescent="0.2">
      <c r="A325" s="1" t="s">
        <v>1513</v>
      </c>
      <c r="B325" s="142" t="str">
        <f>IF(A325="","",_xlfn.XLOOKUP(A325, Company_List!$A:$A, Company_List!$B:$B, ""))</f>
        <v>FCX</v>
      </c>
      <c r="C325" s="143">
        <v>2025</v>
      </c>
      <c r="D325" s="143" t="s">
        <v>555</v>
      </c>
      <c r="E325" s="98" t="s">
        <v>647</v>
      </c>
      <c r="F325" s="98" t="s">
        <v>538</v>
      </c>
      <c r="G325" s="143" t="s">
        <v>575</v>
      </c>
      <c r="H325" s="106" t="s">
        <v>540</v>
      </c>
      <c r="I325" s="145">
        <v>0.5</v>
      </c>
      <c r="J325" s="145" t="str">
        <f>IF(OR(I325="",Settings!$B$6=""),"",IF(I325&gt;Settings!$B$6,"BUY",IF(I325&lt;-Settings!$B$6,"SELL","HOLD")))</f>
        <v>BUY</v>
      </c>
      <c r="K325" s="145">
        <v>40</v>
      </c>
      <c r="L325" s="123">
        <v>45861</v>
      </c>
      <c r="M325" s="140" t="s">
        <v>1514</v>
      </c>
      <c r="N325" s="147">
        <v>45.627400000000002</v>
      </c>
      <c r="O325" s="140" t="s">
        <v>1278</v>
      </c>
      <c r="P325" s="145">
        <v>46.090899999999998</v>
      </c>
      <c r="Q325" s="151">
        <f t="shared" si="53"/>
        <v>1.0200000000000001E-2</v>
      </c>
      <c r="R325" s="118" t="str">
        <f>IF(OR(N325="",P325=""),"",IF(Q325&gt;Settings!$B$3/100,"UP",IF(Q325&lt;-Settings!$B$3/100,"DOWN","FLAT")))</f>
        <v>FLAT</v>
      </c>
      <c r="S325" s="118" t="str">
        <f t="shared" si="54"/>
        <v>NO</v>
      </c>
      <c r="T325" s="119">
        <f t="shared" si="55"/>
        <v>1</v>
      </c>
      <c r="U325" s="150">
        <f>IFERROR(IF(OR(J325="",N325="",P325=""),"",IF(T325=0,0,T325*Q325-Settings!$B$4/10000-IF(T325&lt;0,Settings!$B$5/10000,0))),"")</f>
        <v>9.1999999999999998E-3</v>
      </c>
      <c r="V325" t="s">
        <v>1515</v>
      </c>
      <c r="W325" s="21">
        <f t="shared" si="56"/>
        <v>2400</v>
      </c>
      <c r="X325" s="91" t="str">
        <f t="shared" si="57"/>
        <v>Freeport-McMoRan|2025|Q2</v>
      </c>
      <c r="Y325" s="91" t="str">
        <f>IFERROR(IF($X325="","",INDEX(LLM_Data_Entry!$H$3:$H$548,MATCH($X325,INDEX(LLM_Data_Entry!$A$3:$A$548&amp;"|"&amp;LLM_Data_Entry!$C$3:$C$548&amp;"|"&amp;LLM_Data_Entry!$D$3:$D$548,0),0))),"")</f>
        <v>HOLD</v>
      </c>
      <c r="Z325" s="91">
        <f>IFERROR(IF($X325="","",INDEX(LLM_Data_Entry!$R$3:$R$548,MATCH($X325,INDEX(LLM_Data_Entry!$A$3:$A$548&amp;"|"&amp;LLM_Data_Entry!$C$3:$C$548&amp;"|"&amp;LLM_Data_Entry!$D$3:$D$548,0),0))),"")</f>
        <v>0</v>
      </c>
      <c r="AB325" t="s">
        <v>541</v>
      </c>
      <c r="AC325" t="s">
        <v>1516</v>
      </c>
      <c r="AD325" t="s">
        <v>701</v>
      </c>
      <c r="AE325">
        <v>45.312899999999999</v>
      </c>
      <c r="AF325" t="s">
        <v>772</v>
      </c>
      <c r="AG325">
        <v>44.185000000000002</v>
      </c>
      <c r="AH325">
        <v>-2.48908374881723E-2</v>
      </c>
      <c r="AI325" t="s">
        <v>545</v>
      </c>
      <c r="AJ325" t="s">
        <v>546</v>
      </c>
      <c r="AK325">
        <v>-2.5891000000000001E-2</v>
      </c>
      <c r="AL325" t="str">
        <f>IF($A325="","",IFERROR(INDEX(Company_List!$G$3:$G$207,MATCH($A325,Company_List!$A$3:$A$207,0)),"unassigned"))</f>
        <v>P3</v>
      </c>
      <c r="AM325" t="s">
        <v>1517</v>
      </c>
      <c r="AN325" t="s">
        <v>1518</v>
      </c>
      <c r="AO325" t="s">
        <v>560</v>
      </c>
      <c r="AP325" t="str">
        <f>IF($A325="","",IF(COUNTIFS(LLM_Data_Entry!$A$3:$A$548,$A325)&gt;0,"YES","NO"))</f>
        <v>YES</v>
      </c>
      <c r="AQ325" t="str">
        <f>IF($A325="","",IF(COUNTIFS($A$3:$A325,$A325,$C$3:$C325,$C325,$D$3:$D325,$D325)=1,"YES","NO"))</f>
        <v>YES</v>
      </c>
      <c r="AR325" t="str">
        <f>IF($A325="","",IF(AND($C325&amp;"-"&amp;$D325&gt;=Settings!$B$19,$C325&amp;"-"&amp;$D325&lt;=Settings!$B$20),"IN","OUT"))</f>
        <v>IN</v>
      </c>
      <c r="AS325" t="str">
        <f t="shared" si="58"/>
        <v>transcript only</v>
      </c>
      <c r="AT325">
        <f t="shared" si="59"/>
        <v>9.1999999999999998E-3</v>
      </c>
      <c r="AU325">
        <f t="shared" si="60"/>
        <v>-2.5891000000000001E-2</v>
      </c>
      <c r="AV325">
        <f>IF(ISNUMBER($AT325),ABS(IF(ISNUMBER($I325),$I325,0)-Settings!$B$24),"")</f>
        <v>0.5</v>
      </c>
      <c r="AW325">
        <f t="shared" si="61"/>
        <v>4.5999999999999999E-3</v>
      </c>
      <c r="AX325">
        <f>IF(ISNUMBER($AU325),ABS(IF(ISNUMBER($I325),$I325,0)-Settings!$B$24),"")</f>
        <v>0.5</v>
      </c>
      <c r="AY325" t="s">
        <v>1183</v>
      </c>
      <c r="AZ325" t="str">
        <f>IF($A325="","",IFERROR(INDEX(Company_List!$H$3:$H$207,MATCH($A325,Company_List!$A$3:$A$207,0)),"unassigned"))</f>
        <v>Materials</v>
      </c>
      <c r="BA325">
        <v>2</v>
      </c>
      <c r="BB325">
        <v>2</v>
      </c>
      <c r="BC325">
        <f>IF($A325="","",IF(COUNTIFS($A$3:$A325,$A325,$C$3:$C325,$C325,$D$3:$D325,$D325,$G$3:$G325,$G325)=1,1,0))</f>
        <v>1</v>
      </c>
      <c r="BD325">
        <v>15</v>
      </c>
      <c r="BE325">
        <v>25</v>
      </c>
      <c r="BF325">
        <v>0.3</v>
      </c>
      <c r="BG325" t="s">
        <v>550</v>
      </c>
      <c r="BJ325" t="s">
        <v>1519</v>
      </c>
      <c r="BK325">
        <f t="shared" si="62"/>
        <v>0</v>
      </c>
      <c r="BL325" t="s">
        <v>1520</v>
      </c>
      <c r="BM325">
        <v>1</v>
      </c>
      <c r="BN325" t="s">
        <v>595</v>
      </c>
      <c r="BO325" t="s">
        <v>596</v>
      </c>
      <c r="BP325" t="s">
        <v>550</v>
      </c>
      <c r="BQ325" t="s">
        <v>562</v>
      </c>
      <c r="BS325" t="s">
        <v>554</v>
      </c>
    </row>
    <row r="326" spans="1:71" x14ac:dyDescent="0.2">
      <c r="A326" s="1" t="s">
        <v>1521</v>
      </c>
      <c r="B326" s="142" t="str">
        <f>IF(A326="","",_xlfn.XLOOKUP(A326, Company_List!$A:$A, Company_List!$B:$B, ""))</f>
        <v>UNP</v>
      </c>
      <c r="C326" s="143">
        <v>2025</v>
      </c>
      <c r="D326" s="143" t="s">
        <v>555</v>
      </c>
      <c r="E326" s="98" t="s">
        <v>647</v>
      </c>
      <c r="F326" s="98" t="s">
        <v>538</v>
      </c>
      <c r="G326" s="143" t="s">
        <v>575</v>
      </c>
      <c r="H326" s="106" t="s">
        <v>540</v>
      </c>
      <c r="I326" s="145">
        <v>0.6</v>
      </c>
      <c r="J326" s="145" t="str">
        <f>IF(OR(I326="",Settings!$B$6=""),"",IF(I326&gt;Settings!$B$6,"BUY",IF(I326&lt;-Settings!$B$6,"SELL","HOLD")))</f>
        <v>BUY</v>
      </c>
      <c r="K326" s="145">
        <v>41</v>
      </c>
      <c r="L326" s="123">
        <v>45862</v>
      </c>
      <c r="M326" s="140" t="s">
        <v>642</v>
      </c>
      <c r="N326" s="147">
        <v>220.45419999999999</v>
      </c>
      <c r="O326" s="140" t="s">
        <v>742</v>
      </c>
      <c r="P326" s="145">
        <v>222.12620000000001</v>
      </c>
      <c r="Q326" s="151">
        <f t="shared" si="53"/>
        <v>7.6E-3</v>
      </c>
      <c r="R326" s="118" t="str">
        <f>IF(OR(N326="",P326=""),"",IF(Q326&gt;Settings!$B$3/100,"UP",IF(Q326&lt;-Settings!$B$3/100,"DOWN","FLAT")))</f>
        <v>FLAT</v>
      </c>
      <c r="S326" s="118" t="str">
        <f t="shared" si="54"/>
        <v>NO</v>
      </c>
      <c r="T326" s="119">
        <f t="shared" si="55"/>
        <v>1</v>
      </c>
      <c r="U326" s="150">
        <f>IFERROR(IF(OR(J326="",N326="",P326=""),"",IF(T326=0,0,T326*Q326-Settings!$B$4/10000-IF(T326&lt;0,Settings!$B$5/10000,0))),"")</f>
        <v>6.6E-3</v>
      </c>
      <c r="V326" t="s">
        <v>1522</v>
      </c>
      <c r="W326" s="21">
        <f t="shared" si="56"/>
        <v>2460</v>
      </c>
      <c r="X326" s="91" t="str">
        <f t="shared" si="57"/>
        <v>Union Pacific|2025|Q2</v>
      </c>
      <c r="Y326" s="91" t="str">
        <f>IFERROR(IF($X326="","",INDEX(LLM_Data_Entry!$H$3:$H$548,MATCH($X326,INDEX(LLM_Data_Entry!$A$3:$A$548&amp;"|"&amp;LLM_Data_Entry!$C$3:$C$548&amp;"|"&amp;LLM_Data_Entry!$D$3:$D$548,0),0))),"")</f>
        <v>HOLD</v>
      </c>
      <c r="Z326" s="91">
        <f>IFERROR(IF($X326="","",INDEX(LLM_Data_Entry!$R$3:$R$548,MATCH($X326,INDEX(LLM_Data_Entry!$A$3:$A$548&amp;"|"&amp;LLM_Data_Entry!$C$3:$C$548&amp;"|"&amp;LLM_Data_Entry!$D$3:$D$548,0),0))),"")</f>
        <v>0</v>
      </c>
      <c r="AB326" t="s">
        <v>685</v>
      </c>
      <c r="AC326" t="s">
        <v>1523</v>
      </c>
      <c r="AD326" t="s">
        <v>772</v>
      </c>
      <c r="AE326">
        <v>225.87119999999999</v>
      </c>
      <c r="AF326" t="s">
        <v>773</v>
      </c>
      <c r="AG326">
        <v>220.98220000000001</v>
      </c>
      <c r="AH326">
        <v>-2.164502039981029E-2</v>
      </c>
      <c r="AI326" t="s">
        <v>545</v>
      </c>
      <c r="AJ326" t="s">
        <v>546</v>
      </c>
      <c r="AK326">
        <v>-2.2644999999999998E-2</v>
      </c>
      <c r="AL326" t="str">
        <f>IF($A326="","",IFERROR(INDEX(Company_List!$G$3:$G$207,MATCH($A326,Company_List!$A$3:$A$207,0)),"unassigned"))</f>
        <v>P3</v>
      </c>
      <c r="AM326" t="s">
        <v>1524</v>
      </c>
      <c r="AN326" t="s">
        <v>1525</v>
      </c>
      <c r="AO326" t="s">
        <v>560</v>
      </c>
      <c r="AP326" t="str">
        <f>IF($A326="","",IF(COUNTIFS(LLM_Data_Entry!$A$3:$A$548,$A326)&gt;0,"YES","NO"))</f>
        <v>YES</v>
      </c>
      <c r="AQ326" t="str">
        <f>IF($A326="","",IF(COUNTIFS($A$3:$A326,$A326,$C$3:$C326,$C326,$D$3:$D326,$D326)=1,"YES","NO"))</f>
        <v>YES</v>
      </c>
      <c r="AR326" t="str">
        <f>IF($A326="","",IF(AND($C326&amp;"-"&amp;$D326&gt;=Settings!$B$19,$C326&amp;"-"&amp;$D326&lt;=Settings!$B$20),"IN","OUT"))</f>
        <v>IN</v>
      </c>
      <c r="AS326" t="str">
        <f t="shared" si="58"/>
        <v>transcript only</v>
      </c>
      <c r="AT326">
        <f t="shared" si="59"/>
        <v>6.6E-3</v>
      </c>
      <c r="AU326">
        <f t="shared" si="60"/>
        <v>-2.2644999999999998E-2</v>
      </c>
      <c r="AV326">
        <f>IF(ISNUMBER($AT326),ABS(IF(ISNUMBER($I326),$I326,0)-Settings!$B$24),"")</f>
        <v>0.6</v>
      </c>
      <c r="AW326">
        <f t="shared" si="61"/>
        <v>3.96E-3</v>
      </c>
      <c r="AX326">
        <f>IF(ISNUMBER($AU326),ABS(IF(ISNUMBER($I326),$I326,0)-Settings!$B$24),"")</f>
        <v>0.6</v>
      </c>
      <c r="AY326" t="s">
        <v>1183</v>
      </c>
      <c r="AZ326" t="str">
        <f>IF($A326="","",IFERROR(INDEX(Company_List!$H$3:$H$207,MATCH($A326,Company_List!$A$3:$A$207,0)),"unassigned"))</f>
        <v>Industrials</v>
      </c>
      <c r="BA326">
        <v>2</v>
      </c>
      <c r="BB326">
        <v>2</v>
      </c>
      <c r="BC326">
        <f>IF($A326="","",IF(COUNTIFS($A$3:$A326,$A326,$C$3:$C326,$C326,$D$3:$D326,$D326,$G$3:$G326,$G326)=1,1,0))</f>
        <v>1</v>
      </c>
      <c r="BD326">
        <v>18</v>
      </c>
      <c r="BE326">
        <v>23</v>
      </c>
      <c r="BF326">
        <v>0.7</v>
      </c>
      <c r="BG326" t="s">
        <v>550</v>
      </c>
      <c r="BJ326" t="s">
        <v>1519</v>
      </c>
      <c r="BK326">
        <f t="shared" si="62"/>
        <v>0</v>
      </c>
      <c r="BL326" t="s">
        <v>1520</v>
      </c>
      <c r="BM326">
        <v>1</v>
      </c>
      <c r="BN326" t="s">
        <v>595</v>
      </c>
      <c r="BO326" t="s">
        <v>596</v>
      </c>
      <c r="BP326" t="s">
        <v>550</v>
      </c>
      <c r="BQ326" t="s">
        <v>562</v>
      </c>
      <c r="BS326" t="s">
        <v>554</v>
      </c>
    </row>
    <row r="327" spans="1:71" x14ac:dyDescent="0.2">
      <c r="A327" s="1" t="s">
        <v>1505</v>
      </c>
      <c r="B327" s="142" t="str">
        <f>IF(A327="","",_xlfn.XLOOKUP(A327, Company_List!$A:$A, Company_List!$B:$B, ""))</f>
        <v>UNH</v>
      </c>
      <c r="C327" s="143">
        <v>2025</v>
      </c>
      <c r="D327" s="143" t="s">
        <v>555</v>
      </c>
      <c r="E327" s="98" t="s">
        <v>647</v>
      </c>
      <c r="F327" s="98" t="s">
        <v>538</v>
      </c>
      <c r="G327" s="143" t="s">
        <v>575</v>
      </c>
      <c r="H327" s="106" t="s">
        <v>540</v>
      </c>
      <c r="I327" s="145">
        <v>-0.3</v>
      </c>
      <c r="J327" s="145" t="str">
        <f>IF(OR(I327="",Settings!$B$6=""),"",IF(I327&gt;Settings!$B$6,"BUY",IF(I327&lt;-Settings!$B$6,"SELL","HOLD")))</f>
        <v>SELL</v>
      </c>
      <c r="K327" s="145">
        <v>36</v>
      </c>
      <c r="L327" s="123">
        <v>45867</v>
      </c>
      <c r="M327" s="140">
        <v>45866</v>
      </c>
      <c r="N327" s="147">
        <v>282.12</v>
      </c>
      <c r="O327" s="140">
        <v>45867</v>
      </c>
      <c r="P327" s="145">
        <v>265.7</v>
      </c>
      <c r="Q327" s="151">
        <f t="shared" si="53"/>
        <v>-5.8200000000000002E-2</v>
      </c>
      <c r="R327" s="118" t="str">
        <f>IF(OR(N327="",P327=""),"",IF(Q327&gt;Settings!$B$3/100,"UP",IF(Q327&lt;-Settings!$B$3/100,"DOWN","FLAT")))</f>
        <v>DOWN</v>
      </c>
      <c r="S327" s="118" t="str">
        <f t="shared" si="54"/>
        <v>YES</v>
      </c>
      <c r="T327" s="119">
        <f t="shared" si="55"/>
        <v>-1</v>
      </c>
      <c r="U327" s="150">
        <f>IFERROR(IF(OR(J327="",N327="",P327=""),"",IF(T327=0,0,T327*Q327-Settings!$B$4/10000-IF(T327&lt;0,Settings!$B$5/10000,0))),"")</f>
        <v>5.7200000000000001E-2</v>
      </c>
      <c r="V327" t="s">
        <v>1526</v>
      </c>
      <c r="W327" s="21">
        <f t="shared" si="56"/>
        <v>2160</v>
      </c>
      <c r="X327" s="91" t="str">
        <f t="shared" si="57"/>
        <v>UnitedHealth|2025|Q2</v>
      </c>
      <c r="Y327" s="91" t="str">
        <f>IFERROR(IF($X327="","",INDEX(LLM_Data_Entry!$H$3:$H$548,MATCH($X327,INDEX(LLM_Data_Entry!$A$3:$A$548&amp;"|"&amp;LLM_Data_Entry!$C$3:$C$548&amp;"|"&amp;LLM_Data_Entry!$D$3:$D$548,0),0))),"")</f>
        <v>SELL</v>
      </c>
      <c r="Z327" s="91" t="str">
        <f>IFERROR(IF($X327="","",INDEX(LLM_Data_Entry!$R$3:$R$548,MATCH($X327,INDEX(LLM_Data_Entry!$A$3:$A$548&amp;"|"&amp;LLM_Data_Entry!$C$3:$C$548&amp;"|"&amp;LLM_Data_Entry!$D$3:$D$548,0),0))),"")</f>
        <v>YES</v>
      </c>
      <c r="AB327" t="s">
        <v>685</v>
      </c>
      <c r="AC327" t="s">
        <v>1506</v>
      </c>
      <c r="AD327" t="s">
        <v>619</v>
      </c>
      <c r="AE327">
        <v>274.76139999999998</v>
      </c>
      <c r="AF327" t="s">
        <v>620</v>
      </c>
      <c r="AG327">
        <v>258.7697</v>
      </c>
      <c r="AH327">
        <v>-5.820210764857895E-2</v>
      </c>
      <c r="AI327" t="s">
        <v>545</v>
      </c>
      <c r="AJ327" t="s">
        <v>554</v>
      </c>
      <c r="AK327">
        <v>5.7202000000000003E-2</v>
      </c>
      <c r="AL327" t="str">
        <f>IF($A327="","",IFERROR(INDEX(Company_List!$G$3:$G$207,MATCH($A327,Company_List!$A$3:$A$207,0)),"unassigned"))</f>
        <v>both</v>
      </c>
      <c r="AM327" t="s">
        <v>1507</v>
      </c>
      <c r="AN327" t="s">
        <v>1508</v>
      </c>
      <c r="AO327" t="s">
        <v>560</v>
      </c>
      <c r="AP327" t="str">
        <f>IF($A327="","",IF(COUNTIFS(LLM_Data_Entry!$A$3:$A$548,$A327)&gt;0,"YES","NO"))</f>
        <v>YES</v>
      </c>
      <c r="AQ327" t="str">
        <f>IF($A327="","",IF(COUNTIFS($A$3:$A327,$A327,$C$3:$C327,$C327,$D$3:$D327,$D327)=1,"YES","NO"))</f>
        <v>NO</v>
      </c>
      <c r="AR327" t="str">
        <f>IF($A327="","",IF(AND($C327&amp;"-"&amp;$D327&gt;=Settings!$B$19,$C327&amp;"-"&amp;$D327&lt;=Settings!$B$20),"IN","OUT"))</f>
        <v>IN</v>
      </c>
      <c r="AS327" t="str">
        <f t="shared" si="58"/>
        <v>transcript only</v>
      </c>
      <c r="AT327">
        <f t="shared" si="59"/>
        <v>5.7200000000000001E-2</v>
      </c>
      <c r="AU327">
        <f t="shared" si="60"/>
        <v>5.7202000000000003E-2</v>
      </c>
      <c r="AV327">
        <f>IF(ISNUMBER($AT327),ABS(IF(ISNUMBER($I327),$I327,0)-Settings!$B$24),"")</f>
        <v>0.3</v>
      </c>
      <c r="AW327">
        <f t="shared" si="61"/>
        <v>1.7159999999999998E-2</v>
      </c>
      <c r="AX327">
        <f>IF(ISNUMBER($AU327),ABS(IF(ISNUMBER($I327),$I327,0)-Settings!$B$24),"")</f>
        <v>0.3</v>
      </c>
      <c r="AY327" t="s">
        <v>549</v>
      </c>
      <c r="AZ327" t="str">
        <f>IF($A327="","",IFERROR(INDEX(Company_List!$H$3:$H$207,MATCH($A327,Company_List!$A$3:$A$207,0)),"unassigned"))</f>
        <v>Health Care</v>
      </c>
      <c r="BA327">
        <v>2</v>
      </c>
      <c r="BB327">
        <v>2</v>
      </c>
      <c r="BC327">
        <f>IF($A327="","",IF(COUNTIFS($A$3:$A327,$A327,$C$3:$C327,$C327,$D$3:$D327,$D327,$G$3:$G327,$G327)=1,1,0))</f>
        <v>1</v>
      </c>
      <c r="BD327">
        <v>16</v>
      </c>
      <c r="BE327">
        <v>20</v>
      </c>
      <c r="BF327">
        <v>-0.4</v>
      </c>
      <c r="BG327" t="s">
        <v>550</v>
      </c>
      <c r="BJ327" t="s">
        <v>1519</v>
      </c>
      <c r="BK327">
        <f t="shared" si="62"/>
        <v>1</v>
      </c>
      <c r="BL327" t="s">
        <v>1520</v>
      </c>
      <c r="BM327">
        <v>1</v>
      </c>
      <c r="BN327" t="s">
        <v>561</v>
      </c>
      <c r="BO327" t="s">
        <v>561</v>
      </c>
      <c r="BP327" t="s">
        <v>550</v>
      </c>
      <c r="BQ327" t="s">
        <v>562</v>
      </c>
      <c r="BS327" t="s">
        <v>554</v>
      </c>
    </row>
    <row r="328" spans="1:71" x14ac:dyDescent="0.2">
      <c r="A328" s="1" t="s">
        <v>1475</v>
      </c>
      <c r="B328" s="142" t="str">
        <f>IF(A328="","",_xlfn.XLOOKUP(A328, Company_List!$A:$A, Company_List!$B:$B, ""))</f>
        <v>CAT</v>
      </c>
      <c r="C328" s="143">
        <v>2025</v>
      </c>
      <c r="D328" s="143" t="s">
        <v>555</v>
      </c>
      <c r="E328" s="98" t="s">
        <v>647</v>
      </c>
      <c r="F328" s="98" t="s">
        <v>538</v>
      </c>
      <c r="G328" s="143" t="s">
        <v>575</v>
      </c>
      <c r="H328" s="106" t="s">
        <v>540</v>
      </c>
      <c r="I328" s="145">
        <v>0</v>
      </c>
      <c r="J328" s="145" t="str">
        <f>IF(OR(I328="",Settings!$B$6=""),"",IF(I328&gt;Settings!$B$6,"BUY",IF(I328&lt;-Settings!$B$6,"SELL","HOLD")))</f>
        <v>HOLD</v>
      </c>
      <c r="K328" s="145">
        <v>33</v>
      </c>
      <c r="L328" s="123">
        <v>45874</v>
      </c>
      <c r="M328" s="140">
        <v>45873</v>
      </c>
      <c r="N328" s="147">
        <v>433.7</v>
      </c>
      <c r="O328" s="140">
        <v>45874</v>
      </c>
      <c r="P328" s="145">
        <v>427.65</v>
      </c>
      <c r="Q328" s="151">
        <f t="shared" si="53"/>
        <v>-1.3899999999999999E-2</v>
      </c>
      <c r="R328" s="118" t="str">
        <f>IF(OR(N328="",P328=""),"",IF(Q328&gt;Settings!$B$3/100,"UP",IF(Q328&lt;-Settings!$B$3/100,"DOWN","FLAT")))</f>
        <v>FLAT</v>
      </c>
      <c r="S328" s="118" t="str">
        <f t="shared" si="54"/>
        <v>YES</v>
      </c>
      <c r="T328" s="119">
        <f t="shared" si="55"/>
        <v>0</v>
      </c>
      <c r="U328" s="150">
        <f>IFERROR(IF(OR(J328="",N328="",P328=""),"",IF(T328=0,0,T328*Q328-Settings!$B$4/10000-IF(T328&lt;0,Settings!$B$5/10000,0))),"")</f>
        <v>0</v>
      </c>
      <c r="V328" t="s">
        <v>1527</v>
      </c>
      <c r="W328" s="21">
        <f t="shared" si="56"/>
        <v>1980</v>
      </c>
      <c r="X328" s="91" t="str">
        <f t="shared" si="57"/>
        <v>Caterpillar|2025|Q2</v>
      </c>
      <c r="Y328" s="91" t="str">
        <f>IFERROR(IF($X328="","",INDEX(LLM_Data_Entry!$H$3:$H$548,MATCH($X328,INDEX(LLM_Data_Entry!$A$3:$A$548&amp;"|"&amp;LLM_Data_Entry!$C$3:$C$548&amp;"|"&amp;LLM_Data_Entry!$D$3:$D$548,0),0))),"")</f>
        <v>HOLD</v>
      </c>
      <c r="Z328" s="91" t="str">
        <f>IFERROR(IF($X328="","",INDEX(LLM_Data_Entry!$R$3:$R$548,MATCH($X328,INDEX(LLM_Data_Entry!$A$3:$A$548&amp;"|"&amp;LLM_Data_Entry!$C$3:$C$548&amp;"|"&amp;LLM_Data_Entry!$D$3:$D$548,0),0))),"")</f>
        <v>YES</v>
      </c>
      <c r="AB328" t="s">
        <v>564</v>
      </c>
      <c r="AC328" t="s">
        <v>1477</v>
      </c>
      <c r="AD328" t="s">
        <v>981</v>
      </c>
      <c r="AE328">
        <v>429.83089999999999</v>
      </c>
      <c r="AF328" t="s">
        <v>641</v>
      </c>
      <c r="AG328">
        <v>423.83479999999997</v>
      </c>
      <c r="AH328">
        <v>-1.3949782267285811E-2</v>
      </c>
      <c r="AI328" t="s">
        <v>579</v>
      </c>
      <c r="AJ328" t="s">
        <v>554</v>
      </c>
      <c r="AK328">
        <v>0</v>
      </c>
      <c r="AL328" t="str">
        <f>IF($A328="","",IFERROR(INDEX(Company_List!$G$3:$G$207,MATCH($A328,Company_List!$A$3:$A$207,0)),"unassigned"))</f>
        <v>both</v>
      </c>
      <c r="AM328" t="s">
        <v>1528</v>
      </c>
      <c r="AN328" t="s">
        <v>1529</v>
      </c>
      <c r="AO328" t="s">
        <v>560</v>
      </c>
      <c r="AP328" t="str">
        <f>IF($A328="","",IF(COUNTIFS(LLM_Data_Entry!$A$3:$A$548,$A328)&gt;0,"YES","NO"))</f>
        <v>YES</v>
      </c>
      <c r="AQ328" t="str">
        <f>IF($A328="","",IF(COUNTIFS($A$3:$A328,$A328,$C$3:$C328,$C328,$D$3:$D328,$D328)=1,"YES","NO"))</f>
        <v>NO</v>
      </c>
      <c r="AR328" t="str">
        <f>IF($A328="","",IF(AND($C328&amp;"-"&amp;$D328&gt;=Settings!$B$19,$C328&amp;"-"&amp;$D328&lt;=Settings!$B$20),"IN","OUT"))</f>
        <v>IN</v>
      </c>
      <c r="AS328" t="str">
        <f t="shared" si="58"/>
        <v>transcript only</v>
      </c>
      <c r="AT328" t="str">
        <f t="shared" si="59"/>
        <v/>
      </c>
      <c r="AU328" t="str">
        <f t="shared" si="60"/>
        <v/>
      </c>
      <c r="AV328" t="str">
        <f>IF(ISNUMBER($AT328),ABS(IF(ISNUMBER($I328),$I328,0)-Settings!$B$24),"")</f>
        <v/>
      </c>
      <c r="AW328" t="str">
        <f t="shared" si="61"/>
        <v/>
      </c>
      <c r="AX328" t="str">
        <f>IF(ISNUMBER($AU328),ABS(IF(ISNUMBER($I328),$I328,0)-Settings!$B$24),"")</f>
        <v/>
      </c>
      <c r="AY328" t="s">
        <v>549</v>
      </c>
      <c r="AZ328" t="str">
        <f>IF($A328="","",IFERROR(INDEX(Company_List!$H$3:$H$207,MATCH($A328,Company_List!$A$3:$A$207,0)),"unassigned"))</f>
        <v>Industrials</v>
      </c>
      <c r="BA328">
        <v>2</v>
      </c>
      <c r="BB328">
        <v>2</v>
      </c>
      <c r="BC328">
        <f>IF($A328="","",IF(COUNTIFS($A$3:$A328,$A328,$C$3:$C328,$C328,$D$3:$D328,$D328,$G$3:$G328,$G328)=1,1,0))</f>
        <v>1</v>
      </c>
      <c r="BD328">
        <v>14</v>
      </c>
      <c r="BE328">
        <v>19</v>
      </c>
      <c r="BF328">
        <v>0.2</v>
      </c>
      <c r="BG328" t="s">
        <v>550</v>
      </c>
      <c r="BJ328" t="s">
        <v>1519</v>
      </c>
      <c r="BK328">
        <f t="shared" si="62"/>
        <v>1</v>
      </c>
      <c r="BL328" t="s">
        <v>1520</v>
      </c>
      <c r="BM328">
        <v>1</v>
      </c>
      <c r="BN328" t="s">
        <v>561</v>
      </c>
      <c r="BO328" t="s">
        <v>561</v>
      </c>
      <c r="BP328" t="s">
        <v>550</v>
      </c>
      <c r="BQ328" t="s">
        <v>562</v>
      </c>
      <c r="BS328" t="s">
        <v>554</v>
      </c>
    </row>
    <row r="329" spans="1:71" x14ac:dyDescent="0.2">
      <c r="A329" s="1" t="s">
        <v>1530</v>
      </c>
      <c r="B329" s="142" t="str">
        <f>IF(A329="","",_xlfn.XLOOKUP(A329, Company_List!$A:$A, Company_List!$B:$B, ""))</f>
        <v>HD</v>
      </c>
      <c r="C329" s="143">
        <v>2025</v>
      </c>
      <c r="D329" s="143" t="s">
        <v>555</v>
      </c>
      <c r="E329" s="98" t="s">
        <v>647</v>
      </c>
      <c r="F329" s="98" t="s">
        <v>538</v>
      </c>
      <c r="G329" s="143" t="s">
        <v>575</v>
      </c>
      <c r="H329" s="106" t="s">
        <v>540</v>
      </c>
      <c r="I329" s="145">
        <v>0.3</v>
      </c>
      <c r="J329" s="145" t="str">
        <f>IF(OR(I329="",Settings!$B$6=""),"",IF(I329&gt;Settings!$B$6,"BUY",IF(I329&lt;-Settings!$B$6,"SELL","HOLD")))</f>
        <v>BUY</v>
      </c>
      <c r="K329" s="145">
        <v>30</v>
      </c>
      <c r="L329" s="123">
        <v>45888</v>
      </c>
      <c r="M329" s="140" t="s">
        <v>981</v>
      </c>
      <c r="N329" s="147">
        <v>370.9572</v>
      </c>
      <c r="O329" s="140" t="s">
        <v>641</v>
      </c>
      <c r="P329" s="145">
        <v>371.97019999999998</v>
      </c>
      <c r="Q329" s="151">
        <f t="shared" si="53"/>
        <v>2.7000000000000001E-3</v>
      </c>
      <c r="R329" s="118" t="str">
        <f>IF(OR(N329="",P329=""),"",IF(Q329&gt;Settings!$B$3/100,"UP",IF(Q329&lt;-Settings!$B$3/100,"DOWN","FLAT")))</f>
        <v>FLAT</v>
      </c>
      <c r="S329" s="118" t="str">
        <f t="shared" si="54"/>
        <v>NO</v>
      </c>
      <c r="T329" s="119">
        <f t="shared" si="55"/>
        <v>1</v>
      </c>
      <c r="U329" s="150">
        <f>IFERROR(IF(OR(J329="",N329="",P329=""),"",IF(T329=0,0,T329*Q329-Settings!$B$4/10000-IF(T329&lt;0,Settings!$B$5/10000,0))),"")</f>
        <v>1.7000000000000001E-3</v>
      </c>
      <c r="V329" t="s">
        <v>1531</v>
      </c>
      <c r="W329" s="21">
        <f t="shared" si="56"/>
        <v>1800</v>
      </c>
      <c r="X329" s="91" t="str">
        <f t="shared" si="57"/>
        <v>Home Depot|2025|Q2</v>
      </c>
      <c r="Y329" s="91" t="str">
        <f>IFERROR(IF($X329="","",INDEX(LLM_Data_Entry!$H$3:$H$548,MATCH($X329,INDEX(LLM_Data_Entry!$A$3:$A$548&amp;"|"&amp;LLM_Data_Entry!$C$3:$C$548&amp;"|"&amp;LLM_Data_Entry!$D$3:$D$548,0),0))),"")</f>
        <v>HOLD</v>
      </c>
      <c r="Z329" s="91">
        <f>IFERROR(IF($X329="","",INDEX(LLM_Data_Entry!$R$3:$R$548,MATCH($X329,INDEX(LLM_Data_Entry!$A$3:$A$548&amp;"|"&amp;LLM_Data_Entry!$C$3:$C$548&amp;"|"&amp;LLM_Data_Entry!$D$3:$D$548,0),0))),"")</f>
        <v>0</v>
      </c>
      <c r="AB329" t="s">
        <v>541</v>
      </c>
      <c r="AC329" t="s">
        <v>1532</v>
      </c>
      <c r="AD329" t="s">
        <v>1533</v>
      </c>
      <c r="AE329">
        <v>384.47770000000003</v>
      </c>
      <c r="AF329" t="s">
        <v>784</v>
      </c>
      <c r="AG329">
        <v>390.63400000000001</v>
      </c>
      <c r="AH329">
        <v>1.601211775923882E-2</v>
      </c>
      <c r="AI329" t="s">
        <v>579</v>
      </c>
      <c r="AJ329" t="s">
        <v>546</v>
      </c>
      <c r="AK329">
        <v>1.5011999999999999E-2</v>
      </c>
      <c r="AL329" t="str">
        <f>IF($A329="","",IFERROR(INDEX(Company_List!$G$3:$G$207,MATCH($A329,Company_List!$A$3:$A$207,0)),"unassigned"))</f>
        <v>P3</v>
      </c>
      <c r="AM329" t="s">
        <v>1534</v>
      </c>
      <c r="AN329" t="s">
        <v>1535</v>
      </c>
      <c r="AO329" t="s">
        <v>560</v>
      </c>
      <c r="AP329" t="str">
        <f>IF($A329="","",IF(COUNTIFS(LLM_Data_Entry!$A$3:$A$548,$A329)&gt;0,"YES","NO"))</f>
        <v>YES</v>
      </c>
      <c r="AQ329" t="str">
        <f>IF($A329="","",IF(COUNTIFS($A$3:$A329,$A329,$C$3:$C329,$C329,$D$3:$D329,$D329)=1,"YES","NO"))</f>
        <v>YES</v>
      </c>
      <c r="AR329" t="str">
        <f>IF($A329="","",IF(AND($C329&amp;"-"&amp;$D329&gt;=Settings!$B$19,$C329&amp;"-"&amp;$D329&lt;=Settings!$B$20),"IN","OUT"))</f>
        <v>IN</v>
      </c>
      <c r="AS329" t="str">
        <f t="shared" si="58"/>
        <v>transcript only</v>
      </c>
      <c r="AT329">
        <f t="shared" si="59"/>
        <v>1.7000000000000001E-3</v>
      </c>
      <c r="AU329">
        <f t="shared" si="60"/>
        <v>1.5011999999999999E-2</v>
      </c>
      <c r="AV329">
        <f>IF(ISNUMBER($AT329),ABS(IF(ISNUMBER($I329),$I329,0)-Settings!$B$24),"")</f>
        <v>0.3</v>
      </c>
      <c r="AW329">
        <f t="shared" si="61"/>
        <v>5.1000000000000004E-4</v>
      </c>
      <c r="AX329">
        <f>IF(ISNUMBER($AU329),ABS(IF(ISNUMBER($I329),$I329,0)-Settings!$B$24),"")</f>
        <v>0.3</v>
      </c>
      <c r="AY329" t="s">
        <v>1183</v>
      </c>
      <c r="AZ329" t="str">
        <f>IF($A329="","",IFERROR(INDEX(Company_List!$H$3:$H$207,MATCH($A329,Company_List!$A$3:$A$207,0)),"unassigned"))</f>
        <v>Consumer Discretionary</v>
      </c>
      <c r="BA329">
        <v>2</v>
      </c>
      <c r="BB329">
        <v>2</v>
      </c>
      <c r="BC329">
        <f>IF($A329="","",IF(COUNTIFS($A$3:$A329,$A329,$C$3:$C329,$C329,$D$3:$D329,$D329,$G$3:$G329,$G329)=1,1,0))</f>
        <v>1</v>
      </c>
      <c r="BD329">
        <v>12</v>
      </c>
      <c r="BE329">
        <v>18</v>
      </c>
      <c r="BF329">
        <v>-0.1</v>
      </c>
      <c r="BG329" t="s">
        <v>550</v>
      </c>
      <c r="BJ329" t="s">
        <v>1519</v>
      </c>
      <c r="BK329">
        <f t="shared" si="62"/>
        <v>0</v>
      </c>
      <c r="BL329" t="s">
        <v>1520</v>
      </c>
      <c r="BM329">
        <v>1</v>
      </c>
      <c r="BN329" t="s">
        <v>561</v>
      </c>
      <c r="BO329" t="s">
        <v>561</v>
      </c>
      <c r="BP329" t="s">
        <v>550</v>
      </c>
      <c r="BQ329" t="s">
        <v>562</v>
      </c>
      <c r="BS329" t="s">
        <v>554</v>
      </c>
    </row>
    <row r="330" spans="1:71" x14ac:dyDescent="0.2">
      <c r="A330" s="1" t="s">
        <v>1536</v>
      </c>
      <c r="B330" s="142" t="str">
        <f>IF(A330="","",_xlfn.XLOOKUP(A330, Company_List!$A:$A, Company_List!$B:$B, ""))</f>
        <v>ADBE</v>
      </c>
      <c r="C330" s="143">
        <v>2025</v>
      </c>
      <c r="D330" s="143" t="s">
        <v>563</v>
      </c>
      <c r="E330" s="98" t="s">
        <v>647</v>
      </c>
      <c r="F330" s="98" t="s">
        <v>538</v>
      </c>
      <c r="G330" s="143" t="s">
        <v>575</v>
      </c>
      <c r="H330" s="106" t="s">
        <v>540</v>
      </c>
      <c r="I330" s="145">
        <v>0.9</v>
      </c>
      <c r="J330" s="145" t="str">
        <f>IF(OR(I330="",Settings!$B$6=""),"",IF(I330&gt;Settings!$B$6,"BUY",IF(I330&lt;-Settings!$B$6,"SELL","HOLD")))</f>
        <v>BUY</v>
      </c>
      <c r="K330" s="145">
        <v>34</v>
      </c>
      <c r="L330" s="123">
        <v>45911</v>
      </c>
      <c r="M330" s="140" t="s">
        <v>602</v>
      </c>
      <c r="N330" s="147">
        <v>356.35</v>
      </c>
      <c r="O330" s="140" t="s">
        <v>603</v>
      </c>
      <c r="P330" s="145">
        <v>357.63</v>
      </c>
      <c r="Q330" s="151">
        <f t="shared" si="53"/>
        <v>3.5999999999999999E-3</v>
      </c>
      <c r="R330" s="118" t="str">
        <f>IF(OR(N330="",P330=""),"",IF(Q330&gt;Settings!$B$3/100,"UP",IF(Q330&lt;-Settings!$B$3/100,"DOWN","FLAT")))</f>
        <v>FLAT</v>
      </c>
      <c r="S330" s="118" t="str">
        <f t="shared" si="54"/>
        <v>NO</v>
      </c>
      <c r="T330" s="119">
        <f t="shared" si="55"/>
        <v>1</v>
      </c>
      <c r="U330" s="150">
        <f>IFERROR(IF(OR(J330="",N330="",P330=""),"",IF(T330=0,0,T330*Q330-Settings!$B$4/10000-IF(T330&lt;0,Settings!$B$5/10000,0))),"")</f>
        <v>2.5999999999999999E-3</v>
      </c>
      <c r="V330" t="s">
        <v>1537</v>
      </c>
      <c r="W330" s="21">
        <f t="shared" si="56"/>
        <v>2040</v>
      </c>
      <c r="X330" s="91" t="str">
        <f t="shared" si="57"/>
        <v>Adobe|2025|Q3</v>
      </c>
      <c r="Y330" s="91" t="str">
        <f>IFERROR(IF($X330="","",INDEX(LLM_Data_Entry!$H$3:$H$548,MATCH($X330,INDEX(LLM_Data_Entry!$A$3:$A$548&amp;"|"&amp;LLM_Data_Entry!$C$3:$C$548&amp;"|"&amp;LLM_Data_Entry!$D$3:$D$548,0),0))),"")</f>
        <v>BUY</v>
      </c>
      <c r="Z330" s="91">
        <f>IFERROR(IF($X330="","",INDEX(LLM_Data_Entry!$R$3:$R$548,MATCH($X330,INDEX(LLM_Data_Entry!$A$3:$A$548&amp;"|"&amp;LLM_Data_Entry!$C$3:$C$548&amp;"|"&amp;LLM_Data_Entry!$D$3:$D$548,0),0))),"")</f>
        <v>0</v>
      </c>
      <c r="AB330" t="s">
        <v>685</v>
      </c>
      <c r="AC330" t="s">
        <v>1538</v>
      </c>
      <c r="AD330" t="s">
        <v>1450</v>
      </c>
      <c r="AE330">
        <v>350.55</v>
      </c>
      <c r="AF330" t="s">
        <v>1539</v>
      </c>
      <c r="AG330">
        <v>361.1</v>
      </c>
      <c r="AH330">
        <v>3.0095616491648609E-2</v>
      </c>
      <c r="AI330" t="s">
        <v>591</v>
      </c>
      <c r="AJ330" t="s">
        <v>554</v>
      </c>
      <c r="AK330">
        <v>2.9096E-2</v>
      </c>
      <c r="AL330" t="str">
        <f>IF($A330="","",IFERROR(INDEX(Company_List!$G$3:$G$207,MATCH($A330,Company_List!$A$3:$A$207,0)),"unassigned"))</f>
        <v>P3</v>
      </c>
      <c r="AM330" t="s">
        <v>1540</v>
      </c>
      <c r="AN330" t="s">
        <v>1541</v>
      </c>
      <c r="AO330" t="s">
        <v>560</v>
      </c>
      <c r="AP330" t="str">
        <f>IF($A330="","",IF(COUNTIFS(LLM_Data_Entry!$A$3:$A$548,$A330)&gt;0,"YES","NO"))</f>
        <v>YES</v>
      </c>
      <c r="AQ330" t="str">
        <f>IF($A330="","",IF(COUNTIFS($A$3:$A330,$A330,$C$3:$C330,$C330,$D$3:$D330,$D330)=1,"YES","NO"))</f>
        <v>YES</v>
      </c>
      <c r="AR330" t="str">
        <f>IF($A330="","",IF(AND($C330&amp;"-"&amp;$D330&gt;=Settings!$B$19,$C330&amp;"-"&amp;$D330&lt;=Settings!$B$20),"IN","OUT"))</f>
        <v>IN</v>
      </c>
      <c r="AS330" t="str">
        <f t="shared" si="58"/>
        <v>transcript only</v>
      </c>
      <c r="AT330">
        <f t="shared" si="59"/>
        <v>2.5999999999999999E-3</v>
      </c>
      <c r="AU330">
        <f t="shared" si="60"/>
        <v>2.9096E-2</v>
      </c>
      <c r="AV330">
        <f>IF(ISNUMBER($AT330),ABS(IF(ISNUMBER($I330),$I330,0)-Settings!$B$24),"")</f>
        <v>0.9</v>
      </c>
      <c r="AW330">
        <f t="shared" si="61"/>
        <v>2.3400000000000001E-3</v>
      </c>
      <c r="AX330">
        <f>IF(ISNUMBER($AU330),ABS(IF(ISNUMBER($I330),$I330,0)-Settings!$B$24),"")</f>
        <v>0.9</v>
      </c>
      <c r="AY330" t="s">
        <v>1183</v>
      </c>
      <c r="AZ330" t="str">
        <f>IF($A330="","",IFERROR(INDEX(Company_List!$H$3:$H$207,MATCH($A330,Company_List!$A$3:$A$207,0)),"unassigned"))</f>
        <v>Information Technology</v>
      </c>
      <c r="BA330">
        <v>2</v>
      </c>
      <c r="BB330">
        <v>2</v>
      </c>
      <c r="BC330">
        <f>IF($A330="","",IF(COUNTIFS($A$3:$A330,$A330,$C$3:$C330,$C330,$D$3:$D330,$D330,$G$3:$G330,$G330)=1,1,0))</f>
        <v>1</v>
      </c>
      <c r="BD330">
        <v>13</v>
      </c>
      <c r="BE330">
        <v>21</v>
      </c>
      <c r="BF330">
        <v>0.6</v>
      </c>
      <c r="BG330" t="s">
        <v>550</v>
      </c>
      <c r="BJ330" t="s">
        <v>1519</v>
      </c>
      <c r="BK330">
        <f t="shared" si="62"/>
        <v>1</v>
      </c>
      <c r="BL330" t="s">
        <v>1520</v>
      </c>
      <c r="BM330">
        <v>1</v>
      </c>
      <c r="BN330" t="s">
        <v>561</v>
      </c>
      <c r="BO330" t="s">
        <v>561</v>
      </c>
      <c r="BP330" t="s">
        <v>550</v>
      </c>
      <c r="BQ330" t="s">
        <v>562</v>
      </c>
      <c r="BS330" t="s">
        <v>554</v>
      </c>
    </row>
    <row r="331" spans="1:71" x14ac:dyDescent="0.2">
      <c r="A331" s="1" t="s">
        <v>1521</v>
      </c>
      <c r="B331" s="142" t="str">
        <f>IF(A331="","",_xlfn.XLOOKUP(A331, Company_List!$A:$A, Company_List!$B:$B, ""))</f>
        <v>UNP</v>
      </c>
      <c r="C331" s="143">
        <v>2025</v>
      </c>
      <c r="D331" s="143" t="s">
        <v>563</v>
      </c>
      <c r="E331" s="98" t="s">
        <v>647</v>
      </c>
      <c r="F331" s="98" t="s">
        <v>538</v>
      </c>
      <c r="G331" s="143" t="s">
        <v>575</v>
      </c>
      <c r="H331" s="106" t="s">
        <v>540</v>
      </c>
      <c r="I331" s="145">
        <v>0.2</v>
      </c>
      <c r="J331" s="145" t="str">
        <f>IF(OR(I331="",Settings!$B$6=""),"",IF(I331&gt;Settings!$B$6,"BUY",IF(I331&lt;-Settings!$B$6,"SELL","HOLD")))</f>
        <v>HOLD</v>
      </c>
      <c r="K331" s="145">
        <v>29</v>
      </c>
      <c r="L331" s="123">
        <v>45953</v>
      </c>
      <c r="M331" s="140" t="s">
        <v>565</v>
      </c>
      <c r="N331" s="147">
        <v>222.89359999999999</v>
      </c>
      <c r="O331" s="140" t="s">
        <v>566</v>
      </c>
      <c r="P331" s="145">
        <v>223.3364</v>
      </c>
      <c r="Q331" s="151">
        <f t="shared" si="53"/>
        <v>2E-3</v>
      </c>
      <c r="R331" s="118" t="str">
        <f>IF(OR(N331="",P331=""),"",IF(Q331&gt;Settings!$B$3/100,"UP",IF(Q331&lt;-Settings!$B$3/100,"DOWN","FLAT")))</f>
        <v>FLAT</v>
      </c>
      <c r="S331" s="118" t="str">
        <f t="shared" si="54"/>
        <v>YES</v>
      </c>
      <c r="T331" s="119">
        <f t="shared" si="55"/>
        <v>0</v>
      </c>
      <c r="U331" s="150">
        <f>IFERROR(IF(OR(J331="",N331="",P331=""),"",IF(T331=0,0,T331*Q331-Settings!$B$4/10000-IF(T331&lt;0,Settings!$B$5/10000,0))),"")</f>
        <v>0</v>
      </c>
      <c r="V331" t="s">
        <v>1542</v>
      </c>
      <c r="W331" s="21">
        <f t="shared" si="56"/>
        <v>1740</v>
      </c>
      <c r="X331" s="91" t="str">
        <f t="shared" si="57"/>
        <v>Union Pacific|2025|Q3</v>
      </c>
      <c r="Y331" s="91" t="str">
        <f>IFERROR(IF($X331="","",INDEX(LLM_Data_Entry!$H$3:$H$548,MATCH($X331,INDEX(LLM_Data_Entry!$A$3:$A$548&amp;"|"&amp;LLM_Data_Entry!$C$3:$C$548&amp;"|"&amp;LLM_Data_Entry!$D$3:$D$548,0),0))),"")</f>
        <v>HOLD</v>
      </c>
      <c r="Z331" s="91">
        <f>IFERROR(IF($X331="","",INDEX(LLM_Data_Entry!$R$3:$R$548,MATCH($X331,INDEX(LLM_Data_Entry!$A$3:$A$548&amp;"|"&amp;LLM_Data_Entry!$C$3:$C$548&amp;"|"&amp;LLM_Data_Entry!$D$3:$D$548,0),0))),"")</f>
        <v>0</v>
      </c>
      <c r="AB331" t="s">
        <v>541</v>
      </c>
      <c r="AC331" t="s">
        <v>1523</v>
      </c>
      <c r="AD331" t="s">
        <v>566</v>
      </c>
      <c r="AE331">
        <v>221.61449999999999</v>
      </c>
      <c r="AF331" t="s">
        <v>971</v>
      </c>
      <c r="AG331">
        <v>219.68610000000001</v>
      </c>
      <c r="AH331">
        <v>-8.7018109704470169E-3</v>
      </c>
      <c r="AI331" t="s">
        <v>579</v>
      </c>
      <c r="AJ331" t="s">
        <v>554</v>
      </c>
      <c r="AK331">
        <v>0</v>
      </c>
      <c r="AL331" t="str">
        <f>IF($A331="","",IFERROR(INDEX(Company_List!$G$3:$G$207,MATCH($A331,Company_List!$A$3:$A$207,0)),"unassigned"))</f>
        <v>P3</v>
      </c>
      <c r="AM331" t="s">
        <v>1543</v>
      </c>
      <c r="AN331" t="s">
        <v>1544</v>
      </c>
      <c r="AO331" t="s">
        <v>560</v>
      </c>
      <c r="AP331" t="str">
        <f>IF($A331="","",IF(COUNTIFS(LLM_Data_Entry!$A$3:$A$548,$A331)&gt;0,"YES","NO"))</f>
        <v>YES</v>
      </c>
      <c r="AQ331" t="str">
        <f>IF($A331="","",IF(COUNTIFS($A$3:$A331,$A331,$C$3:$C331,$C331,$D$3:$D331,$D331)=1,"YES","NO"))</f>
        <v>YES</v>
      </c>
      <c r="AR331" t="str">
        <f>IF($A331="","",IF(AND($C331&amp;"-"&amp;$D331&gt;=Settings!$B$19,$C331&amp;"-"&amp;$D331&lt;=Settings!$B$20),"IN","OUT"))</f>
        <v>IN</v>
      </c>
      <c r="AS331" t="str">
        <f t="shared" si="58"/>
        <v>transcript only</v>
      </c>
      <c r="AT331" t="str">
        <f t="shared" si="59"/>
        <v/>
      </c>
      <c r="AU331" t="str">
        <f t="shared" si="60"/>
        <v/>
      </c>
      <c r="AV331" t="str">
        <f>IF(ISNUMBER($AT331),ABS(IF(ISNUMBER($I331),$I331,0)-Settings!$B$24),"")</f>
        <v/>
      </c>
      <c r="AW331" t="str">
        <f t="shared" si="61"/>
        <v/>
      </c>
      <c r="AX331" t="str">
        <f>IF(ISNUMBER($AU331),ABS(IF(ISNUMBER($I331),$I331,0)-Settings!$B$24),"")</f>
        <v/>
      </c>
      <c r="AY331" t="s">
        <v>1183</v>
      </c>
      <c r="AZ331" t="str">
        <f>IF($A331="","",IFERROR(INDEX(Company_List!$H$3:$H$207,MATCH($A331,Company_List!$A$3:$A$207,0)),"unassigned"))</f>
        <v>Industrials</v>
      </c>
      <c r="BA331">
        <v>2</v>
      </c>
      <c r="BB331">
        <v>2</v>
      </c>
      <c r="BC331">
        <f>IF($A331="","",IF(COUNTIFS($A$3:$A331,$A331,$C$3:$C331,$C331,$D$3:$D331,$D331,$G$3:$G331,$G331)=1,1,0))</f>
        <v>1</v>
      </c>
      <c r="BD331">
        <v>14</v>
      </c>
      <c r="BE331">
        <v>15</v>
      </c>
      <c r="BF331">
        <v>0.1</v>
      </c>
      <c r="BG331" t="s">
        <v>550</v>
      </c>
      <c r="BJ331" t="s">
        <v>1519</v>
      </c>
      <c r="BK331">
        <f t="shared" si="62"/>
        <v>1</v>
      </c>
      <c r="BL331" t="s">
        <v>1520</v>
      </c>
      <c r="BM331">
        <v>1</v>
      </c>
      <c r="BN331" t="s">
        <v>595</v>
      </c>
      <c r="BO331" t="s">
        <v>596</v>
      </c>
      <c r="BP331" t="s">
        <v>550</v>
      </c>
      <c r="BQ331" t="s">
        <v>562</v>
      </c>
      <c r="BS331" t="s">
        <v>554</v>
      </c>
    </row>
    <row r="332" spans="1:71" x14ac:dyDescent="0.2">
      <c r="A332" s="1" t="s">
        <v>1505</v>
      </c>
      <c r="B332" s="142" t="str">
        <f>IF(A332="","",_xlfn.XLOOKUP(A332, Company_List!$A:$A, Company_List!$B:$B, ""))</f>
        <v>UNH</v>
      </c>
      <c r="C332" s="143">
        <v>2025</v>
      </c>
      <c r="D332" s="143" t="s">
        <v>563</v>
      </c>
      <c r="E332" s="98" t="s">
        <v>647</v>
      </c>
      <c r="F332" s="98" t="s">
        <v>538</v>
      </c>
      <c r="G332" s="143" t="s">
        <v>575</v>
      </c>
      <c r="H332" s="106" t="s">
        <v>540</v>
      </c>
      <c r="I332" s="145">
        <v>0</v>
      </c>
      <c r="J332" s="145" t="str">
        <f>IF(OR(I332="",Settings!$B$6=""),"",IF(I332&gt;Settings!$B$6,"BUY",IF(I332&lt;-Settings!$B$6,"SELL","HOLD")))</f>
        <v>HOLD</v>
      </c>
      <c r="K332" s="145">
        <v>29</v>
      </c>
      <c r="L332" s="123">
        <v>45958</v>
      </c>
      <c r="M332" s="140">
        <v>45957</v>
      </c>
      <c r="N332" s="147">
        <v>365.98</v>
      </c>
      <c r="O332" s="140">
        <v>45958</v>
      </c>
      <c r="P332" s="145">
        <v>380.68</v>
      </c>
      <c r="Q332" s="151">
        <f t="shared" si="53"/>
        <v>4.02E-2</v>
      </c>
      <c r="R332" s="118" t="str">
        <f>IF(OR(N332="",P332=""),"",IF(Q332&gt;Settings!$B$3/100,"UP",IF(Q332&lt;-Settings!$B$3/100,"DOWN","FLAT")))</f>
        <v>UP</v>
      </c>
      <c r="S332" s="118" t="str">
        <f t="shared" si="54"/>
        <v>NO</v>
      </c>
      <c r="T332" s="119">
        <f t="shared" si="55"/>
        <v>0</v>
      </c>
      <c r="U332" s="150">
        <f>IFERROR(IF(OR(J332="",N332="",P332=""),"",IF(T332=0,0,T332*Q332-Settings!$B$4/10000-IF(T332&lt;0,Settings!$B$5/10000,0))),"")</f>
        <v>0</v>
      </c>
      <c r="V332" t="s">
        <v>1545</v>
      </c>
      <c r="W332" s="21">
        <f t="shared" si="56"/>
        <v>1740</v>
      </c>
      <c r="X332" s="91" t="str">
        <f t="shared" si="57"/>
        <v>UnitedHealth|2025|Q3</v>
      </c>
      <c r="Y332" s="91" t="str">
        <f>IFERROR(IF($X332="","",INDEX(LLM_Data_Entry!$H$3:$H$548,MATCH($X332,INDEX(LLM_Data_Entry!$A$3:$A$548&amp;"|"&amp;LLM_Data_Entry!$C$3:$C$548&amp;"|"&amp;LLM_Data_Entry!$D$3:$D$548,0),0))),"")</f>
        <v>BUY</v>
      </c>
      <c r="Z332" s="91" t="str">
        <f>IFERROR(IF($X332="","",INDEX(LLM_Data_Entry!$R$3:$R$548,MATCH($X332,INDEX(LLM_Data_Entry!$A$3:$A$548&amp;"|"&amp;LLM_Data_Entry!$C$3:$C$548&amp;"|"&amp;LLM_Data_Entry!$D$3:$D$548,0),0))),"")</f>
        <v>YES</v>
      </c>
      <c r="AB332" t="s">
        <v>564</v>
      </c>
      <c r="AC332" t="s">
        <v>1506</v>
      </c>
      <c r="AD332" t="s">
        <v>1093</v>
      </c>
      <c r="AE332">
        <v>358.68279999999999</v>
      </c>
      <c r="AF332" t="s">
        <v>625</v>
      </c>
      <c r="AG332">
        <v>373.08969999999999</v>
      </c>
      <c r="AH332">
        <v>4.0166099293610723E-2</v>
      </c>
      <c r="AI332" t="s">
        <v>591</v>
      </c>
      <c r="AJ332" t="s">
        <v>546</v>
      </c>
      <c r="AK332">
        <v>0</v>
      </c>
      <c r="AL332" t="str">
        <f>IF($A332="","",IFERROR(INDEX(Company_List!$G$3:$G$207,MATCH($A332,Company_List!$A$3:$A$207,0)),"unassigned"))</f>
        <v>both</v>
      </c>
      <c r="AM332" t="s">
        <v>1546</v>
      </c>
      <c r="AN332" t="s">
        <v>1547</v>
      </c>
      <c r="AO332" t="s">
        <v>560</v>
      </c>
      <c r="AP332" t="str">
        <f>IF($A332="","",IF(COUNTIFS(LLM_Data_Entry!$A$3:$A$548,$A332)&gt;0,"YES","NO"))</f>
        <v>YES</v>
      </c>
      <c r="AQ332" t="str">
        <f>IF($A332="","",IF(COUNTIFS($A$3:$A332,$A332,$C$3:$C332,$C332,$D$3:$D332,$D332)=1,"YES","NO"))</f>
        <v>NO</v>
      </c>
      <c r="AR332" t="str">
        <f>IF($A332="","",IF(AND($C332&amp;"-"&amp;$D332&gt;=Settings!$B$19,$C332&amp;"-"&amp;$D332&lt;=Settings!$B$20),"IN","OUT"))</f>
        <v>IN</v>
      </c>
      <c r="AS332" t="str">
        <f t="shared" si="58"/>
        <v>transcript only</v>
      </c>
      <c r="AT332" t="str">
        <f t="shared" si="59"/>
        <v/>
      </c>
      <c r="AU332" t="str">
        <f t="shared" si="60"/>
        <v/>
      </c>
      <c r="AV332" t="str">
        <f>IF(ISNUMBER($AT332),ABS(IF(ISNUMBER($I332),$I332,0)-Settings!$B$24),"")</f>
        <v/>
      </c>
      <c r="AW332" t="str">
        <f t="shared" si="61"/>
        <v/>
      </c>
      <c r="AX332" t="str">
        <f>IF(ISNUMBER($AU332),ABS(IF(ISNUMBER($I332),$I332,0)-Settings!$B$24),"")</f>
        <v/>
      </c>
      <c r="AY332" t="s">
        <v>549</v>
      </c>
      <c r="AZ332" t="str">
        <f>IF($A332="","",IFERROR(INDEX(Company_List!$H$3:$H$207,MATCH($A332,Company_List!$A$3:$A$207,0)),"unassigned"))</f>
        <v>Health Care</v>
      </c>
      <c r="BA332">
        <v>2</v>
      </c>
      <c r="BB332">
        <v>2</v>
      </c>
      <c r="BC332">
        <f>IF($A332="","",IF(COUNTIFS($A$3:$A332,$A332,$C$3:$C332,$C332,$D$3:$D332,$D332,$G$3:$G332,$G332)=1,1,0))</f>
        <v>1</v>
      </c>
      <c r="BD332">
        <v>11</v>
      </c>
      <c r="BE332">
        <v>18</v>
      </c>
      <c r="BF332">
        <v>-0.2</v>
      </c>
      <c r="BG332" t="s">
        <v>550</v>
      </c>
      <c r="BJ332" t="s">
        <v>1519</v>
      </c>
      <c r="BK332">
        <f t="shared" si="62"/>
        <v>0</v>
      </c>
      <c r="BL332" t="s">
        <v>1520</v>
      </c>
      <c r="BM332">
        <v>1</v>
      </c>
      <c r="BN332" t="s">
        <v>561</v>
      </c>
      <c r="BO332" t="s">
        <v>561</v>
      </c>
      <c r="BP332" t="s">
        <v>550</v>
      </c>
      <c r="BQ332" t="s">
        <v>562</v>
      </c>
      <c r="BS332" t="s">
        <v>554</v>
      </c>
    </row>
    <row r="333" spans="1:71" x14ac:dyDescent="0.2">
      <c r="A333" s="1" t="s">
        <v>1475</v>
      </c>
      <c r="B333" s="142" t="str">
        <f>IF(A333="","",_xlfn.XLOOKUP(A333, Company_List!$A:$A, Company_List!$B:$B, ""))</f>
        <v>CAT</v>
      </c>
      <c r="C333" s="143">
        <v>2025</v>
      </c>
      <c r="D333" s="143" t="s">
        <v>563</v>
      </c>
      <c r="E333" s="98" t="s">
        <v>647</v>
      </c>
      <c r="F333" s="98" t="s">
        <v>538</v>
      </c>
      <c r="G333" s="143" t="s">
        <v>575</v>
      </c>
      <c r="H333" s="106" t="s">
        <v>540</v>
      </c>
      <c r="I333" s="145">
        <v>0.5</v>
      </c>
      <c r="J333" s="145" t="str">
        <f>IF(OR(I333="",Settings!$B$6=""),"",IF(I333&gt;Settings!$B$6,"BUY",IF(I333&lt;-Settings!$B$6,"SELL","HOLD")))</f>
        <v>BUY</v>
      </c>
      <c r="K333" s="145">
        <v>27</v>
      </c>
      <c r="L333" s="123">
        <v>45959</v>
      </c>
      <c r="M333" s="140">
        <v>45958</v>
      </c>
      <c r="N333" s="147">
        <v>524.47</v>
      </c>
      <c r="O333" s="140">
        <v>45959</v>
      </c>
      <c r="P333" s="145">
        <v>558.17999999999995</v>
      </c>
      <c r="Q333" s="151">
        <f t="shared" si="53"/>
        <v>6.4299999999999996E-2</v>
      </c>
      <c r="R333" s="118" t="str">
        <f>IF(OR(N333="",P333=""),"",IF(Q333&gt;Settings!$B$3/100,"UP",IF(Q333&lt;-Settings!$B$3/100,"DOWN","FLAT")))</f>
        <v>UP</v>
      </c>
      <c r="S333" s="118" t="str">
        <f t="shared" si="54"/>
        <v>YES</v>
      </c>
      <c r="T333" s="119">
        <f t="shared" si="55"/>
        <v>1</v>
      </c>
      <c r="U333" s="150">
        <f>IFERROR(IF(OR(J333="",N333="",P333=""),"",IF(T333=0,0,T333*Q333-Settings!$B$4/10000-IF(T333&lt;0,Settings!$B$5/10000,0))),"")</f>
        <v>6.3299999999999995E-2</v>
      </c>
      <c r="V333" t="s">
        <v>1548</v>
      </c>
      <c r="W333" s="21">
        <f t="shared" si="56"/>
        <v>1620</v>
      </c>
      <c r="X333" s="91" t="str">
        <f t="shared" si="57"/>
        <v>Caterpillar|2025|Q3</v>
      </c>
      <c r="Y333" s="91" t="str">
        <f>IFERROR(IF($X333="","",INDEX(LLM_Data_Entry!$H$3:$H$548,MATCH($X333,INDEX(LLM_Data_Entry!$A$3:$A$548&amp;"|"&amp;LLM_Data_Entry!$C$3:$C$548&amp;"|"&amp;LLM_Data_Entry!$D$3:$D$548,0),0))),"")</f>
        <v>BUY</v>
      </c>
      <c r="Z333" s="91" t="str">
        <f>IFERROR(IF($X333="","",INDEX(LLM_Data_Entry!$R$3:$R$548,MATCH($X333,INDEX(LLM_Data_Entry!$A$3:$A$548&amp;"|"&amp;LLM_Data_Entry!$C$3:$C$548&amp;"|"&amp;LLM_Data_Entry!$D$3:$D$548,0),0))),"")</f>
        <v>YES</v>
      </c>
      <c r="AB333" t="s">
        <v>541</v>
      </c>
      <c r="AC333" t="s">
        <v>1477</v>
      </c>
      <c r="AD333" t="s">
        <v>625</v>
      </c>
      <c r="AE333">
        <v>521.28440000000001</v>
      </c>
      <c r="AF333" t="s">
        <v>626</v>
      </c>
      <c r="AG333">
        <v>554.78970000000004</v>
      </c>
      <c r="AH333">
        <v>6.4274382463257951E-2</v>
      </c>
      <c r="AI333" t="s">
        <v>591</v>
      </c>
      <c r="AJ333" t="s">
        <v>554</v>
      </c>
      <c r="AK333">
        <v>6.3273999999999997E-2</v>
      </c>
      <c r="AL333" t="str">
        <f>IF($A333="","",IFERROR(INDEX(Company_List!$G$3:$G$207,MATCH($A333,Company_List!$A$3:$A$207,0)),"unassigned"))</f>
        <v>both</v>
      </c>
      <c r="AM333" t="s">
        <v>1480</v>
      </c>
      <c r="AN333" t="s">
        <v>1481</v>
      </c>
      <c r="AO333" t="s">
        <v>560</v>
      </c>
      <c r="AP333" t="str">
        <f>IF($A333="","",IF(COUNTIFS(LLM_Data_Entry!$A$3:$A$548,$A333)&gt;0,"YES","NO"))</f>
        <v>YES</v>
      </c>
      <c r="AQ333" t="str">
        <f>IF($A333="","",IF(COUNTIFS($A$3:$A333,$A333,$C$3:$C333,$C333,$D$3:$D333,$D333)=1,"YES","NO"))</f>
        <v>NO</v>
      </c>
      <c r="AR333" t="str">
        <f>IF($A333="","",IF(AND($C333&amp;"-"&amp;$D333&gt;=Settings!$B$19,$C333&amp;"-"&amp;$D333&lt;=Settings!$B$20),"IN","OUT"))</f>
        <v>IN</v>
      </c>
      <c r="AS333" t="str">
        <f t="shared" si="58"/>
        <v>transcript only</v>
      </c>
      <c r="AT333">
        <f t="shared" si="59"/>
        <v>6.3299999999999995E-2</v>
      </c>
      <c r="AU333">
        <f t="shared" si="60"/>
        <v>6.3273999999999997E-2</v>
      </c>
      <c r="AV333">
        <f>IF(ISNUMBER($AT333),ABS(IF(ISNUMBER($I333),$I333,0)-Settings!$B$24),"")</f>
        <v>0.5</v>
      </c>
      <c r="AW333">
        <f t="shared" si="61"/>
        <v>3.1649999999999998E-2</v>
      </c>
      <c r="AX333">
        <f>IF(ISNUMBER($AU333),ABS(IF(ISNUMBER($I333),$I333,0)-Settings!$B$24),"")</f>
        <v>0.5</v>
      </c>
      <c r="AY333" t="s">
        <v>549</v>
      </c>
      <c r="AZ333" t="str">
        <f>IF($A333="","",IFERROR(INDEX(Company_List!$H$3:$H$207,MATCH($A333,Company_List!$A$3:$A$207,0)),"unassigned"))</f>
        <v>Industrials</v>
      </c>
      <c r="BA333">
        <v>2</v>
      </c>
      <c r="BB333">
        <v>2</v>
      </c>
      <c r="BC333">
        <f>IF($A333="","",IF(COUNTIFS($A$3:$A333,$A333,$C$3:$C333,$C333,$D$3:$D333,$D333,$G$3:$G333,$G333)=1,1,0))</f>
        <v>1</v>
      </c>
      <c r="BD333">
        <v>10</v>
      </c>
      <c r="BE333">
        <v>17</v>
      </c>
      <c r="BF333">
        <v>0.5</v>
      </c>
      <c r="BG333" t="s">
        <v>550</v>
      </c>
      <c r="BJ333" t="s">
        <v>1519</v>
      </c>
      <c r="BK333">
        <f t="shared" si="62"/>
        <v>1</v>
      </c>
      <c r="BL333" t="s">
        <v>1520</v>
      </c>
      <c r="BM333">
        <v>1</v>
      </c>
      <c r="BN333" t="s">
        <v>561</v>
      </c>
      <c r="BO333" t="s">
        <v>561</v>
      </c>
      <c r="BP333" t="s">
        <v>550</v>
      </c>
      <c r="BQ333" t="s">
        <v>562</v>
      </c>
      <c r="BS333" t="s">
        <v>554</v>
      </c>
    </row>
    <row r="334" spans="1:71" x14ac:dyDescent="0.2">
      <c r="A334" s="1" t="s">
        <v>1530</v>
      </c>
      <c r="B334" s="142" t="str">
        <f>IF(A334="","",_xlfn.XLOOKUP(A334, Company_List!$A:$A, Company_List!$B:$B, ""))</f>
        <v>HD</v>
      </c>
      <c r="C334" s="143">
        <v>2025</v>
      </c>
      <c r="D334" s="143" t="s">
        <v>563</v>
      </c>
      <c r="E334" s="98" t="s">
        <v>647</v>
      </c>
      <c r="F334" s="98" t="s">
        <v>538</v>
      </c>
      <c r="G334" s="143" t="s">
        <v>575</v>
      </c>
      <c r="H334" s="106" t="s">
        <v>540</v>
      </c>
      <c r="I334" s="145">
        <v>0.2</v>
      </c>
      <c r="J334" s="145" t="str">
        <f>IF(OR(I334="",Settings!$B$6=""),"",IF(I334&gt;Settings!$B$6,"BUY",IF(I334&lt;-Settings!$B$6,"SELL","HOLD")))</f>
        <v>HOLD</v>
      </c>
      <c r="K334" s="145">
        <v>24</v>
      </c>
      <c r="L334" s="123">
        <v>45979</v>
      </c>
      <c r="M334" s="140" t="s">
        <v>1204</v>
      </c>
      <c r="N334" s="147">
        <v>370.642</v>
      </c>
      <c r="O334" s="140" t="s">
        <v>1031</v>
      </c>
      <c r="P334" s="145">
        <v>369.66239999999999</v>
      </c>
      <c r="Q334" s="151">
        <f t="shared" si="53"/>
        <v>-2.5999999999999999E-3</v>
      </c>
      <c r="R334" s="118" t="str">
        <f>IF(OR(N334="",P334=""),"",IF(Q334&gt;Settings!$B$3/100,"UP",IF(Q334&lt;-Settings!$B$3/100,"DOWN","FLAT")))</f>
        <v>FLAT</v>
      </c>
      <c r="S334" s="118" t="str">
        <f t="shared" si="54"/>
        <v>YES</v>
      </c>
      <c r="T334" s="119">
        <f t="shared" si="55"/>
        <v>0</v>
      </c>
      <c r="U334" s="150">
        <f>IFERROR(IF(OR(J334="",N334="",P334=""),"",IF(T334=0,0,T334*Q334-Settings!$B$4/10000-IF(T334&lt;0,Settings!$B$5/10000,0))),"")</f>
        <v>0</v>
      </c>
      <c r="V334" t="s">
        <v>1549</v>
      </c>
      <c r="W334" s="21">
        <f t="shared" si="56"/>
        <v>1440</v>
      </c>
      <c r="X334" s="91" t="str">
        <f t="shared" si="57"/>
        <v>Home Depot|2025|Q3</v>
      </c>
      <c r="Y334" s="91" t="str">
        <f>IFERROR(IF($X334="","",INDEX(LLM_Data_Entry!$H$3:$H$548,MATCH($X334,INDEX(LLM_Data_Entry!$A$3:$A$548&amp;"|"&amp;LLM_Data_Entry!$C$3:$C$548&amp;"|"&amp;LLM_Data_Entry!$D$3:$D$548,0),0))),"")</f>
        <v>SELL</v>
      </c>
      <c r="Z334" s="91">
        <f>IFERROR(IF($X334="","",INDEX(LLM_Data_Entry!$R$3:$R$548,MATCH($X334,INDEX(LLM_Data_Entry!$A$3:$A$548&amp;"|"&amp;LLM_Data_Entry!$C$3:$C$548&amp;"|"&amp;LLM_Data_Entry!$D$3:$D$548,0),0))),"")</f>
        <v>0</v>
      </c>
      <c r="AB334" t="s">
        <v>685</v>
      </c>
      <c r="AC334" t="s">
        <v>1532</v>
      </c>
      <c r="AD334" t="s">
        <v>1550</v>
      </c>
      <c r="AE334">
        <v>350.73599999999999</v>
      </c>
      <c r="AF334" t="s">
        <v>793</v>
      </c>
      <c r="AG334">
        <v>333.05369999999999</v>
      </c>
      <c r="AH334">
        <v>-5.0414827724221012E-2</v>
      </c>
      <c r="AI334" t="s">
        <v>545</v>
      </c>
      <c r="AJ334" t="s">
        <v>546</v>
      </c>
      <c r="AK334">
        <v>0</v>
      </c>
      <c r="AL334" t="str">
        <f>IF($A334="","",IFERROR(INDEX(Company_List!$G$3:$G$207,MATCH($A334,Company_List!$A$3:$A$207,0)),"unassigned"))</f>
        <v>P3</v>
      </c>
      <c r="AM334" t="s">
        <v>1551</v>
      </c>
      <c r="AN334" t="s">
        <v>1552</v>
      </c>
      <c r="AO334" t="s">
        <v>560</v>
      </c>
      <c r="AP334" t="str">
        <f>IF($A334="","",IF(COUNTIFS(LLM_Data_Entry!$A$3:$A$548,$A334)&gt;0,"YES","NO"))</f>
        <v>YES</v>
      </c>
      <c r="AQ334" t="str">
        <f>IF($A334="","",IF(COUNTIFS($A$3:$A334,$A334,$C$3:$C334,$C334,$D$3:$D334,$D334)=1,"YES","NO"))</f>
        <v>YES</v>
      </c>
      <c r="AR334" t="str">
        <f>IF($A334="","",IF(AND($C334&amp;"-"&amp;$D334&gt;=Settings!$B$19,$C334&amp;"-"&amp;$D334&lt;=Settings!$B$20),"IN","OUT"))</f>
        <v>IN</v>
      </c>
      <c r="AS334" t="str">
        <f t="shared" si="58"/>
        <v>transcript only</v>
      </c>
      <c r="AT334" t="str">
        <f t="shared" si="59"/>
        <v/>
      </c>
      <c r="AU334" t="str">
        <f t="shared" si="60"/>
        <v/>
      </c>
      <c r="AV334" t="str">
        <f>IF(ISNUMBER($AT334),ABS(IF(ISNUMBER($I334),$I334,0)-Settings!$B$24),"")</f>
        <v/>
      </c>
      <c r="AW334" t="str">
        <f t="shared" si="61"/>
        <v/>
      </c>
      <c r="AX334" t="str">
        <f>IF(ISNUMBER($AU334),ABS(IF(ISNUMBER($I334),$I334,0)-Settings!$B$24),"")</f>
        <v/>
      </c>
      <c r="AY334" t="s">
        <v>1183</v>
      </c>
      <c r="AZ334" t="str">
        <f>IF($A334="","",IFERROR(INDEX(Company_List!$H$3:$H$207,MATCH($A334,Company_List!$A$3:$A$207,0)),"unassigned"))</f>
        <v>Consumer Discretionary</v>
      </c>
      <c r="BA334">
        <v>2</v>
      </c>
      <c r="BB334">
        <v>2</v>
      </c>
      <c r="BC334">
        <f>IF($A334="","",IF(COUNTIFS($A$3:$A334,$A334,$C$3:$C334,$C334,$D$3:$D334,$D334,$G$3:$G334,$G334)=1,1,0))</f>
        <v>1</v>
      </c>
      <c r="BD334">
        <v>10</v>
      </c>
      <c r="BE334">
        <v>14</v>
      </c>
      <c r="BF334">
        <v>0.3</v>
      </c>
      <c r="BG334" t="s">
        <v>550</v>
      </c>
      <c r="BJ334" t="s">
        <v>1519</v>
      </c>
      <c r="BK334">
        <f t="shared" si="62"/>
        <v>0</v>
      </c>
      <c r="BL334" t="s">
        <v>1520</v>
      </c>
      <c r="BM334">
        <v>1</v>
      </c>
      <c r="BN334" t="s">
        <v>617</v>
      </c>
      <c r="BO334" t="s">
        <v>553</v>
      </c>
      <c r="BP334" t="s">
        <v>550</v>
      </c>
      <c r="BQ334" t="s">
        <v>562</v>
      </c>
      <c r="BS334" t="s">
        <v>554</v>
      </c>
    </row>
    <row r="335" spans="1:71" x14ac:dyDescent="0.2">
      <c r="A335" s="1" t="s">
        <v>1536</v>
      </c>
      <c r="B335" s="142" t="str">
        <f>IF(A335="","",_xlfn.XLOOKUP(A335, Company_List!$A:$A, Company_List!$B:$B, ""))</f>
        <v>ADBE</v>
      </c>
      <c r="C335" s="143">
        <v>2025</v>
      </c>
      <c r="D335" s="143" t="s">
        <v>569</v>
      </c>
      <c r="E335" s="98" t="s">
        <v>647</v>
      </c>
      <c r="F335" s="98" t="s">
        <v>538</v>
      </c>
      <c r="G335" s="143" t="s">
        <v>575</v>
      </c>
      <c r="H335" s="106" t="s">
        <v>540</v>
      </c>
      <c r="I335" s="145">
        <v>0.9</v>
      </c>
      <c r="J335" s="145" t="str">
        <f>IF(OR(I335="",Settings!$B$6=""),"",IF(I335&gt;Settings!$B$6,"BUY",IF(I335&lt;-Settings!$B$6,"SELL","HOLD")))</f>
        <v>BUY</v>
      </c>
      <c r="K335" s="145">
        <v>15</v>
      </c>
      <c r="L335" s="123">
        <v>46001</v>
      </c>
      <c r="M335" s="140" t="s">
        <v>1553</v>
      </c>
      <c r="N335" s="147">
        <v>319.55</v>
      </c>
      <c r="O335" s="140" t="s">
        <v>1382</v>
      </c>
      <c r="P335" s="145">
        <v>319.2</v>
      </c>
      <c r="Q335" s="151">
        <f t="shared" si="53"/>
        <v>-1.1000000000000001E-3</v>
      </c>
      <c r="R335" s="118" t="str">
        <f>IF(OR(N335="",P335=""),"",IF(Q335&gt;Settings!$B$3/100,"UP",IF(Q335&lt;-Settings!$B$3/100,"DOWN","FLAT")))</f>
        <v>FLAT</v>
      </c>
      <c r="S335" s="118" t="str">
        <f t="shared" si="54"/>
        <v>NO</v>
      </c>
      <c r="T335" s="119">
        <f t="shared" si="55"/>
        <v>1</v>
      </c>
      <c r="U335" s="150">
        <f>IFERROR(IF(OR(J335="",N335="",P335=""),"",IF(T335=0,0,T335*Q335-Settings!$B$4/10000-IF(T335&lt;0,Settings!$B$5/10000,0))),"")</f>
        <v>-2.1000000000000003E-3</v>
      </c>
      <c r="V335" t="s">
        <v>1554</v>
      </c>
      <c r="W335" s="21">
        <f t="shared" si="56"/>
        <v>900</v>
      </c>
      <c r="X335" s="91" t="str">
        <f t="shared" si="57"/>
        <v>Adobe|2025|Q4</v>
      </c>
      <c r="Y335" s="91" t="str">
        <f>IFERROR(IF($X335="","",INDEX(LLM_Data_Entry!$H$3:$H$548,MATCH($X335,INDEX(LLM_Data_Entry!$A$3:$A$548&amp;"|"&amp;LLM_Data_Entry!$C$3:$C$548&amp;"|"&amp;LLM_Data_Entry!$D$3:$D$548,0),0))),"")</f>
        <v>HOLD</v>
      </c>
      <c r="Z335" s="91">
        <f>IFERROR(IF($X335="","",INDEX(LLM_Data_Entry!$R$3:$R$548,MATCH($X335,INDEX(LLM_Data_Entry!$A$3:$A$548&amp;"|"&amp;LLM_Data_Entry!$C$3:$C$548&amp;"|"&amp;LLM_Data_Entry!$D$3:$D$548,0),0))),"")</f>
        <v>0</v>
      </c>
      <c r="AB335" t="s">
        <v>624</v>
      </c>
      <c r="AC335" t="s">
        <v>1538</v>
      </c>
      <c r="AD335" t="s">
        <v>1460</v>
      </c>
      <c r="AE335">
        <v>343.13</v>
      </c>
      <c r="AF335" t="s">
        <v>818</v>
      </c>
      <c r="AG335">
        <v>341.65</v>
      </c>
      <c r="AH335">
        <v>-4.3132660462030722E-3</v>
      </c>
      <c r="AI335" t="s">
        <v>579</v>
      </c>
      <c r="AJ335" t="s">
        <v>546</v>
      </c>
      <c r="AK335">
        <v>-5.313E-3</v>
      </c>
      <c r="AL335" t="str">
        <f>IF($A335="","",IFERROR(INDEX(Company_List!$G$3:$G$207,MATCH($A335,Company_List!$A$3:$A$207,0)),"unassigned"))</f>
        <v>P3</v>
      </c>
      <c r="AM335" t="s">
        <v>1555</v>
      </c>
      <c r="AN335" t="s">
        <v>1556</v>
      </c>
      <c r="AO335" t="s">
        <v>560</v>
      </c>
      <c r="AP335" t="str">
        <f>IF($A335="","",IF(COUNTIFS(LLM_Data_Entry!$A$3:$A$548,$A335)&gt;0,"YES","NO"))</f>
        <v>YES</v>
      </c>
      <c r="AQ335" t="str">
        <f>IF($A335="","",IF(COUNTIFS($A$3:$A335,$A335,$C$3:$C335,$C335,$D$3:$D335,$D335)=1,"YES","NO"))</f>
        <v>YES</v>
      </c>
      <c r="AR335" t="str">
        <f>IF($A335="","",IF(AND($C335&amp;"-"&amp;$D335&gt;=Settings!$B$19,$C335&amp;"-"&amp;$D335&lt;=Settings!$B$20),"IN","OUT"))</f>
        <v>IN</v>
      </c>
      <c r="AS335" t="str">
        <f t="shared" si="58"/>
        <v>transcript only</v>
      </c>
      <c r="AT335">
        <f t="shared" si="59"/>
        <v>-2.1000000000000003E-3</v>
      </c>
      <c r="AU335">
        <f t="shared" si="60"/>
        <v>-5.313E-3</v>
      </c>
      <c r="AV335">
        <f>IF(ISNUMBER($AT335),ABS(IF(ISNUMBER($I335),$I335,0)-Settings!$B$24),"")</f>
        <v>0.9</v>
      </c>
      <c r="AW335">
        <f t="shared" si="61"/>
        <v>-1.8900000000000004E-3</v>
      </c>
      <c r="AX335">
        <f>IF(ISNUMBER($AU335),ABS(IF(ISNUMBER($I335),$I335,0)-Settings!$B$24),"")</f>
        <v>0.9</v>
      </c>
      <c r="AY335" t="s">
        <v>1183</v>
      </c>
      <c r="AZ335" t="str">
        <f>IF($A335="","",IFERROR(INDEX(Company_List!$H$3:$H$207,MATCH($A335,Company_List!$A$3:$A$207,0)),"unassigned"))</f>
        <v>Information Technology</v>
      </c>
      <c r="BA335">
        <v>1</v>
      </c>
      <c r="BB335">
        <v>1</v>
      </c>
      <c r="BC335">
        <f>IF($A335="","",IF(COUNTIFS($A$3:$A335,$A335,$C$3:$C335,$C335,$D$3:$D335,$D335,$G$3:$G335,$G335)=1,1,0))</f>
        <v>1</v>
      </c>
      <c r="BD335">
        <v>15</v>
      </c>
      <c r="BG335" t="s">
        <v>550</v>
      </c>
      <c r="BJ335" t="s">
        <v>1519</v>
      </c>
      <c r="BK335">
        <f t="shared" si="62"/>
        <v>0</v>
      </c>
      <c r="BL335" t="s">
        <v>1520</v>
      </c>
      <c r="BM335">
        <v>1</v>
      </c>
      <c r="BN335" t="s">
        <v>595</v>
      </c>
      <c r="BO335" t="s">
        <v>596</v>
      </c>
      <c r="BP335" t="s">
        <v>550</v>
      </c>
      <c r="BQ335" t="s">
        <v>562</v>
      </c>
      <c r="BS335" t="s">
        <v>554</v>
      </c>
    </row>
    <row r="336" spans="1:71" x14ac:dyDescent="0.2">
      <c r="A336" s="1" t="s">
        <v>1513</v>
      </c>
      <c r="B336" s="142" t="str">
        <f>IF(A336="","",_xlfn.XLOOKUP(A336, Company_List!$A:$A, Company_List!$B:$B, ""))</f>
        <v>FCX</v>
      </c>
      <c r="C336" s="143">
        <v>2025</v>
      </c>
      <c r="D336" s="143" t="s">
        <v>569</v>
      </c>
      <c r="E336" s="98" t="s">
        <v>647</v>
      </c>
      <c r="F336" s="98" t="s">
        <v>538</v>
      </c>
      <c r="G336" s="143" t="s">
        <v>575</v>
      </c>
      <c r="H336" s="106" t="s">
        <v>540</v>
      </c>
      <c r="I336" s="145">
        <v>0.6</v>
      </c>
      <c r="J336" s="145" t="str">
        <f>IF(OR(I336="",Settings!$B$6=""),"",IF(I336&gt;Settings!$B$6,"BUY",IF(I336&lt;-Settings!$B$6,"SELL","HOLD")))</f>
        <v>BUY</v>
      </c>
      <c r="K336" s="145">
        <v>16</v>
      </c>
      <c r="L336" s="123">
        <v>46044</v>
      </c>
      <c r="M336" s="140" t="s">
        <v>1557</v>
      </c>
      <c r="N336" s="147">
        <v>55.106699999999996</v>
      </c>
      <c r="O336" s="140" t="s">
        <v>1558</v>
      </c>
      <c r="P336" s="145">
        <v>54.232900000000001</v>
      </c>
      <c r="Q336" s="151">
        <f t="shared" si="53"/>
        <v>-1.5900000000000001E-2</v>
      </c>
      <c r="R336" s="118" t="str">
        <f>IF(OR(N336="",P336=""),"",IF(Q336&gt;Settings!$B$3/100,"UP",IF(Q336&lt;-Settings!$B$3/100,"DOWN","FLAT")))</f>
        <v>FLAT</v>
      </c>
      <c r="S336" s="118" t="str">
        <f t="shared" si="54"/>
        <v>NO</v>
      </c>
      <c r="T336" s="119">
        <f t="shared" si="55"/>
        <v>1</v>
      </c>
      <c r="U336" s="150">
        <f>IFERROR(IF(OR(J336="",N336="",P336=""),"",IF(T336=0,0,T336*Q336-Settings!$B$4/10000-IF(T336&lt;0,Settings!$B$5/10000,0))),"")</f>
        <v>-1.6900000000000002E-2</v>
      </c>
      <c r="V336" t="s">
        <v>1559</v>
      </c>
      <c r="W336" s="21">
        <f t="shared" si="56"/>
        <v>960</v>
      </c>
      <c r="X336" s="91" t="str">
        <f t="shared" si="57"/>
        <v>Freeport-McMoRan|2025|Q4</v>
      </c>
      <c r="Y336" s="91" t="str">
        <f>IFERROR(IF($X336="","",INDEX(LLM_Data_Entry!$H$3:$H$548,MATCH($X336,INDEX(LLM_Data_Entry!$A$3:$A$548&amp;"|"&amp;LLM_Data_Entry!$C$3:$C$548&amp;"|"&amp;LLM_Data_Entry!$D$3:$D$548,0),0))),"")</f>
        <v>HOLD</v>
      </c>
      <c r="Z336" s="91">
        <f>IFERROR(IF($X336="","",INDEX(LLM_Data_Entry!$R$3:$R$548,MATCH($X336,INDEX(LLM_Data_Entry!$A$3:$A$548&amp;"|"&amp;LLM_Data_Entry!$C$3:$C$548&amp;"|"&amp;LLM_Data_Entry!$D$3:$D$548,0),0))),"")</f>
        <v>0</v>
      </c>
      <c r="AB336" t="s">
        <v>807</v>
      </c>
      <c r="AC336" t="s">
        <v>1516</v>
      </c>
      <c r="AD336" t="s">
        <v>571</v>
      </c>
      <c r="AE336">
        <v>60.3005</v>
      </c>
      <c r="AF336" t="s">
        <v>1560</v>
      </c>
      <c r="AG336">
        <v>60.499600000000001</v>
      </c>
      <c r="AH336">
        <v>3.3013737766025208E-3</v>
      </c>
      <c r="AI336" t="s">
        <v>579</v>
      </c>
      <c r="AJ336" t="s">
        <v>546</v>
      </c>
      <c r="AK336">
        <v>2.3010000000000001E-3</v>
      </c>
      <c r="AL336" t="str">
        <f>IF($A336="","",IFERROR(INDEX(Company_List!$G$3:$G$207,MATCH($A336,Company_List!$A$3:$A$207,0)),"unassigned"))</f>
        <v>P3</v>
      </c>
      <c r="AM336" t="s">
        <v>1561</v>
      </c>
      <c r="AN336" t="s">
        <v>1562</v>
      </c>
      <c r="AO336" t="s">
        <v>560</v>
      </c>
      <c r="AP336" t="str">
        <f>IF($A336="","",IF(COUNTIFS(LLM_Data_Entry!$A$3:$A$548,$A336)&gt;0,"YES","NO"))</f>
        <v>YES</v>
      </c>
      <c r="AQ336" t="str">
        <f>IF($A336="","",IF(COUNTIFS($A$3:$A336,$A336,$C$3:$C336,$C336,$D$3:$D336,$D336)=1,"YES","NO"))</f>
        <v>YES</v>
      </c>
      <c r="AR336" t="str">
        <f>IF($A336="","",IF(AND($C336&amp;"-"&amp;$D336&gt;=Settings!$B$19,$C336&amp;"-"&amp;$D336&lt;=Settings!$B$20),"IN","OUT"))</f>
        <v>IN</v>
      </c>
      <c r="AS336" t="str">
        <f t="shared" si="58"/>
        <v>transcript only</v>
      </c>
      <c r="AT336">
        <f t="shared" si="59"/>
        <v>-1.6900000000000002E-2</v>
      </c>
      <c r="AU336">
        <f t="shared" si="60"/>
        <v>2.3010000000000001E-3</v>
      </c>
      <c r="AV336">
        <f>IF(ISNUMBER($AT336),ABS(IF(ISNUMBER($I336),$I336,0)-Settings!$B$24),"")</f>
        <v>0.6</v>
      </c>
      <c r="AW336">
        <f t="shared" si="61"/>
        <v>-1.0140000000000001E-2</v>
      </c>
      <c r="AX336">
        <f>IF(ISNUMBER($AU336),ABS(IF(ISNUMBER($I336),$I336,0)-Settings!$B$24),"")</f>
        <v>0.6</v>
      </c>
      <c r="AY336" t="s">
        <v>1183</v>
      </c>
      <c r="AZ336" t="str">
        <f>IF($A336="","",IFERROR(INDEX(Company_List!$H$3:$H$207,MATCH($A336,Company_List!$A$3:$A$207,0)),"unassigned"))</f>
        <v>Materials</v>
      </c>
      <c r="BA336">
        <v>1</v>
      </c>
      <c r="BB336">
        <v>1</v>
      </c>
      <c r="BC336">
        <f>IF($A336="","",IF(COUNTIFS($A$3:$A336,$A336,$C$3:$C336,$C336,$D$3:$D336,$D336,$G$3:$G336,$G336)=1,1,0))</f>
        <v>1</v>
      </c>
      <c r="BD336">
        <v>16</v>
      </c>
      <c r="BG336" t="s">
        <v>550</v>
      </c>
      <c r="BJ336" t="s">
        <v>1519</v>
      </c>
      <c r="BK336">
        <f t="shared" si="62"/>
        <v>0</v>
      </c>
      <c r="BL336" t="s">
        <v>1520</v>
      </c>
      <c r="BM336">
        <v>1</v>
      </c>
      <c r="BN336" t="s">
        <v>595</v>
      </c>
      <c r="BO336" t="s">
        <v>596</v>
      </c>
      <c r="BP336" t="s">
        <v>550</v>
      </c>
      <c r="BQ336" t="s">
        <v>562</v>
      </c>
      <c r="BS336" t="s">
        <v>554</v>
      </c>
    </row>
    <row r="337" spans="1:72" x14ac:dyDescent="0.2">
      <c r="A337" s="1" t="s">
        <v>1505</v>
      </c>
      <c r="B337" s="142" t="str">
        <f>IF(A337="","",_xlfn.XLOOKUP(A337, Company_List!$A:$A, Company_List!$B:$B, ""))</f>
        <v>UNH</v>
      </c>
      <c r="C337" s="143">
        <v>2025</v>
      </c>
      <c r="D337" s="143" t="s">
        <v>569</v>
      </c>
      <c r="E337" s="98" t="s">
        <v>647</v>
      </c>
      <c r="F337" s="98" t="s">
        <v>538</v>
      </c>
      <c r="G337" s="143" t="s">
        <v>575</v>
      </c>
      <c r="H337" s="106" t="s">
        <v>540</v>
      </c>
      <c r="I337" s="145">
        <v>0.5</v>
      </c>
      <c r="J337" s="145" t="str">
        <f>IF(OR(I337="",Settings!$B$6=""),"",IF(I337&gt;Settings!$B$6,"BUY",IF(I337&lt;-Settings!$B$6,"SELL","HOLD")))</f>
        <v>BUY</v>
      </c>
      <c r="K337" s="145">
        <v>12</v>
      </c>
      <c r="L337" s="123">
        <v>46049</v>
      </c>
      <c r="M337" s="140">
        <v>46048</v>
      </c>
      <c r="N337" s="147">
        <v>351.64</v>
      </c>
      <c r="O337" s="140">
        <v>46049</v>
      </c>
      <c r="P337" s="145">
        <v>293.97000000000003</v>
      </c>
      <c r="Q337" s="151">
        <f t="shared" si="53"/>
        <v>-0.16400000000000001</v>
      </c>
      <c r="R337" s="118" t="str">
        <f>IF(OR(N337="",P337=""),"",IF(Q337&gt;Settings!$B$3/100,"UP",IF(Q337&lt;-Settings!$B$3/100,"DOWN","FLAT")))</f>
        <v>DOWN</v>
      </c>
      <c r="S337" s="118" t="str">
        <f t="shared" si="54"/>
        <v>NO</v>
      </c>
      <c r="T337" s="119">
        <f t="shared" si="55"/>
        <v>1</v>
      </c>
      <c r="U337" s="150">
        <f>IFERROR(IF(OR(J337="",N337="",P337=""),"",IF(T337=0,0,T337*Q337-Settings!$B$4/10000-IF(T337&lt;0,Settings!$B$5/10000,0))),"")</f>
        <v>-0.16500000000000001</v>
      </c>
      <c r="V337" t="s">
        <v>1563</v>
      </c>
      <c r="W337" s="21">
        <f t="shared" si="56"/>
        <v>720</v>
      </c>
      <c r="X337" s="91" t="str">
        <f t="shared" si="57"/>
        <v>UnitedHealth|2025|Q4</v>
      </c>
      <c r="Y337" s="91" t="str">
        <f>IFERROR(IF($X337="","",INDEX(LLM_Data_Entry!$H$3:$H$548,MATCH($X337,INDEX(LLM_Data_Entry!$A$3:$A$548&amp;"|"&amp;LLM_Data_Entry!$C$3:$C$548&amp;"|"&amp;LLM_Data_Entry!$D$3:$D$548,0),0))),"")</f>
        <v>SELL</v>
      </c>
      <c r="Z337" s="91" t="str">
        <f>IFERROR(IF($X337="","",INDEX(LLM_Data_Entry!$R$3:$R$548,MATCH($X337,INDEX(LLM_Data_Entry!$A$3:$A$548&amp;"|"&amp;LLM_Data_Entry!$C$3:$C$548&amp;"|"&amp;LLM_Data_Entry!$D$3:$D$548,0),0))),"")</f>
        <v>YES</v>
      </c>
      <c r="AB337" t="s">
        <v>541</v>
      </c>
      <c r="AC337" t="s">
        <v>1506</v>
      </c>
      <c r="AD337" t="s">
        <v>631</v>
      </c>
      <c r="AE337">
        <v>346.94580000000002</v>
      </c>
      <c r="AF337" t="s">
        <v>632</v>
      </c>
      <c r="AG337">
        <v>290.04559999999998</v>
      </c>
      <c r="AH337">
        <v>-0.16400299275233729</v>
      </c>
      <c r="AI337" t="s">
        <v>545</v>
      </c>
      <c r="AJ337" t="s">
        <v>546</v>
      </c>
      <c r="AK337">
        <v>-0.16500300000000001</v>
      </c>
      <c r="AL337" t="str">
        <f>IF($A337="","",IFERROR(INDEX(Company_List!$G$3:$G$207,MATCH($A337,Company_List!$A$3:$A$207,0)),"unassigned"))</f>
        <v>both</v>
      </c>
      <c r="AM337" t="s">
        <v>1511</v>
      </c>
      <c r="AN337" t="s">
        <v>1512</v>
      </c>
      <c r="AO337" t="s">
        <v>560</v>
      </c>
      <c r="AP337" t="str">
        <f>IF($A337="","",IF(COUNTIFS(LLM_Data_Entry!$A$3:$A$548,$A337)&gt;0,"YES","NO"))</f>
        <v>YES</v>
      </c>
      <c r="AQ337" t="str">
        <f>IF($A337="","",IF(COUNTIFS($A$3:$A337,$A337,$C$3:$C337,$C337,$D$3:$D337,$D337)=1,"YES","NO"))</f>
        <v>NO</v>
      </c>
      <c r="AR337" t="str">
        <f>IF($A337="","",IF(AND($C337&amp;"-"&amp;$D337&gt;=Settings!$B$19,$C337&amp;"-"&amp;$D337&lt;=Settings!$B$20),"IN","OUT"))</f>
        <v>IN</v>
      </c>
      <c r="AS337" t="str">
        <f t="shared" si="58"/>
        <v>transcript only</v>
      </c>
      <c r="AT337">
        <f t="shared" si="59"/>
        <v>-0.16500000000000001</v>
      </c>
      <c r="AU337">
        <f t="shared" si="60"/>
        <v>-0.16500300000000001</v>
      </c>
      <c r="AV337">
        <f>IF(ISNUMBER($AT337),ABS(IF(ISNUMBER($I337),$I337,0)-Settings!$B$24),"")</f>
        <v>0.5</v>
      </c>
      <c r="AW337">
        <f t="shared" si="61"/>
        <v>-8.2500000000000004E-2</v>
      </c>
      <c r="AX337">
        <f>IF(ISNUMBER($AU337),ABS(IF(ISNUMBER($I337),$I337,0)-Settings!$B$24),"")</f>
        <v>0.5</v>
      </c>
      <c r="AY337" t="s">
        <v>549</v>
      </c>
      <c r="AZ337" t="str">
        <f>IF($A337="","",IFERROR(INDEX(Company_List!$H$3:$H$207,MATCH($A337,Company_List!$A$3:$A$207,0)),"unassigned"))</f>
        <v>Health Care</v>
      </c>
      <c r="BA337">
        <v>1</v>
      </c>
      <c r="BB337">
        <v>1</v>
      </c>
      <c r="BC337">
        <f>IF($A337="","",IF(COUNTIFS($A$3:$A337,$A337,$C$3:$C337,$C337,$D$3:$D337,$D337,$G$3:$G337,$G337)=1,1,0))</f>
        <v>1</v>
      </c>
      <c r="BD337">
        <v>12</v>
      </c>
      <c r="BG337" t="s">
        <v>550</v>
      </c>
      <c r="BJ337" t="s">
        <v>1519</v>
      </c>
      <c r="BK337">
        <f t="shared" si="62"/>
        <v>0</v>
      </c>
      <c r="BL337" t="s">
        <v>1520</v>
      </c>
      <c r="BM337">
        <v>1</v>
      </c>
      <c r="BN337" t="s">
        <v>561</v>
      </c>
      <c r="BO337" t="s">
        <v>561</v>
      </c>
      <c r="BP337" t="s">
        <v>550</v>
      </c>
      <c r="BQ337" t="s">
        <v>562</v>
      </c>
      <c r="BS337" t="s">
        <v>554</v>
      </c>
    </row>
    <row r="338" spans="1:72" x14ac:dyDescent="0.2">
      <c r="A338" s="1" t="s">
        <v>1521</v>
      </c>
      <c r="B338" s="142" t="str">
        <f>IF(A338="","",_xlfn.XLOOKUP(A338, Company_List!$A:$A, Company_List!$B:$B, ""))</f>
        <v>UNP</v>
      </c>
      <c r="C338" s="143">
        <v>2025</v>
      </c>
      <c r="D338" s="143" t="s">
        <v>569</v>
      </c>
      <c r="E338" s="98" t="s">
        <v>647</v>
      </c>
      <c r="F338" s="98" t="s">
        <v>538</v>
      </c>
      <c r="G338" s="143" t="s">
        <v>575</v>
      </c>
      <c r="H338" s="106" t="s">
        <v>540</v>
      </c>
      <c r="I338" s="145">
        <v>0.5</v>
      </c>
      <c r="J338" s="145" t="str">
        <f>IF(OR(I338="",Settings!$B$6=""),"",IF(I338&gt;Settings!$B$6,"BUY",IF(I338&lt;-Settings!$B$6,"SELL","HOLD")))</f>
        <v>BUY</v>
      </c>
      <c r="K338" s="145">
        <v>12</v>
      </c>
      <c r="L338" s="123">
        <v>46049</v>
      </c>
      <c r="M338" s="140" t="s">
        <v>570</v>
      </c>
      <c r="N338" s="147">
        <v>219.39760000000001</v>
      </c>
      <c r="O338" s="140" t="s">
        <v>571</v>
      </c>
      <c r="P338" s="145">
        <v>221.1592</v>
      </c>
      <c r="Q338" s="151">
        <f t="shared" si="53"/>
        <v>8.0000000000000002E-3</v>
      </c>
      <c r="R338" s="118" t="str">
        <f>IF(OR(N338="",P338=""),"",IF(Q338&gt;Settings!$B$3/100,"UP",IF(Q338&lt;-Settings!$B$3/100,"DOWN","FLAT")))</f>
        <v>FLAT</v>
      </c>
      <c r="S338" s="118" t="str">
        <f t="shared" si="54"/>
        <v>NO</v>
      </c>
      <c r="T338" s="119">
        <f t="shared" si="55"/>
        <v>1</v>
      </c>
      <c r="U338" s="150">
        <f>IFERROR(IF(OR(J338="",N338="",P338=""),"",IF(T338=0,0,T338*Q338-Settings!$B$4/10000-IF(T338&lt;0,Settings!$B$5/10000,0))),"")</f>
        <v>7.0000000000000001E-3</v>
      </c>
      <c r="V338" t="s">
        <v>1564</v>
      </c>
      <c r="W338" s="21">
        <f t="shared" si="56"/>
        <v>720</v>
      </c>
      <c r="X338" s="91" t="str">
        <f t="shared" si="57"/>
        <v>Union Pacific|2025|Q4</v>
      </c>
      <c r="Y338" s="91" t="str">
        <f>IFERROR(IF($X338="","",INDEX(LLM_Data_Entry!$H$3:$H$548,MATCH($X338,INDEX(LLM_Data_Entry!$A$3:$A$548&amp;"|"&amp;LLM_Data_Entry!$C$3:$C$548&amp;"|"&amp;LLM_Data_Entry!$D$3:$D$548,0),0))),"")</f>
        <v>HOLD</v>
      </c>
      <c r="Z338" s="91">
        <f>IFERROR(IF($X338="","",INDEX(LLM_Data_Entry!$R$3:$R$548,MATCH($X338,INDEX(LLM_Data_Entry!$A$3:$A$548&amp;"|"&amp;LLM_Data_Entry!$C$3:$C$548&amp;"|"&amp;LLM_Data_Entry!$D$3:$D$548,0),0))),"")</f>
        <v>0</v>
      </c>
      <c r="AB338" t="s">
        <v>541</v>
      </c>
      <c r="AC338" t="s">
        <v>1523</v>
      </c>
      <c r="AD338" t="s">
        <v>631</v>
      </c>
      <c r="AE338">
        <v>228.5025</v>
      </c>
      <c r="AF338" t="s">
        <v>632</v>
      </c>
      <c r="AG338">
        <v>232.57</v>
      </c>
      <c r="AH338">
        <v>1.7800684825554591E-2</v>
      </c>
      <c r="AI338" t="s">
        <v>579</v>
      </c>
      <c r="AJ338" t="s">
        <v>546</v>
      </c>
      <c r="AK338">
        <v>1.6801E-2</v>
      </c>
      <c r="AL338" t="str">
        <f>IF($A338="","",IFERROR(INDEX(Company_List!$G$3:$G$207,MATCH($A338,Company_List!$A$3:$A$207,0)),"unassigned"))</f>
        <v>P3</v>
      </c>
      <c r="AM338" t="s">
        <v>1565</v>
      </c>
      <c r="AN338" t="s">
        <v>1566</v>
      </c>
      <c r="AO338" t="s">
        <v>560</v>
      </c>
      <c r="AP338" t="str">
        <f>IF($A338="","",IF(COUNTIFS(LLM_Data_Entry!$A$3:$A$548,$A338)&gt;0,"YES","NO"))</f>
        <v>YES</v>
      </c>
      <c r="AQ338" t="str">
        <f>IF($A338="","",IF(COUNTIFS($A$3:$A338,$A338,$C$3:$C338,$C338,$D$3:$D338,$D338)=1,"YES","NO"))</f>
        <v>YES</v>
      </c>
      <c r="AR338" t="str">
        <f>IF($A338="","",IF(AND($C338&amp;"-"&amp;$D338&gt;=Settings!$B$19,$C338&amp;"-"&amp;$D338&lt;=Settings!$B$20),"IN","OUT"))</f>
        <v>IN</v>
      </c>
      <c r="AS338" t="str">
        <f t="shared" si="58"/>
        <v>transcript only</v>
      </c>
      <c r="AT338">
        <f t="shared" si="59"/>
        <v>7.0000000000000001E-3</v>
      </c>
      <c r="AU338">
        <f t="shared" si="60"/>
        <v>1.6801E-2</v>
      </c>
      <c r="AV338">
        <f>IF(ISNUMBER($AT338),ABS(IF(ISNUMBER($I338),$I338,0)-Settings!$B$24),"")</f>
        <v>0.5</v>
      </c>
      <c r="AW338">
        <f t="shared" si="61"/>
        <v>3.5000000000000001E-3</v>
      </c>
      <c r="AX338">
        <f>IF(ISNUMBER($AU338),ABS(IF(ISNUMBER($I338),$I338,0)-Settings!$B$24),"")</f>
        <v>0.5</v>
      </c>
      <c r="AY338" t="s">
        <v>1183</v>
      </c>
      <c r="AZ338" t="str">
        <f>IF($A338="","",IFERROR(INDEX(Company_List!$H$3:$H$207,MATCH($A338,Company_List!$A$3:$A$207,0)),"unassigned"))</f>
        <v>Industrials</v>
      </c>
      <c r="BA338">
        <v>1</v>
      </c>
      <c r="BB338">
        <v>1</v>
      </c>
      <c r="BC338">
        <f>IF($A338="","",IF(COUNTIFS($A$3:$A338,$A338,$C$3:$C338,$C338,$D$3:$D338,$D338,$G$3:$G338,$G338)=1,1,0))</f>
        <v>1</v>
      </c>
      <c r="BD338">
        <v>12</v>
      </c>
      <c r="BG338" t="s">
        <v>550</v>
      </c>
      <c r="BJ338" t="s">
        <v>1519</v>
      </c>
      <c r="BK338">
        <f t="shared" si="62"/>
        <v>0</v>
      </c>
      <c r="BL338" t="s">
        <v>1520</v>
      </c>
      <c r="BM338">
        <v>1</v>
      </c>
      <c r="BN338" t="s">
        <v>595</v>
      </c>
      <c r="BO338" t="s">
        <v>596</v>
      </c>
      <c r="BP338" t="s">
        <v>550</v>
      </c>
      <c r="BQ338" t="s">
        <v>562</v>
      </c>
      <c r="BS338" t="s">
        <v>554</v>
      </c>
    </row>
    <row r="339" spans="1:72" x14ac:dyDescent="0.2">
      <c r="A339" s="1" t="s">
        <v>1475</v>
      </c>
      <c r="B339" s="142" t="str">
        <f>IF(A339="","",_xlfn.XLOOKUP(A339, Company_List!$A:$A, Company_List!$B:$B, ""))</f>
        <v>CAT</v>
      </c>
      <c r="C339" s="143">
        <v>2025</v>
      </c>
      <c r="D339" s="143" t="s">
        <v>569</v>
      </c>
      <c r="E339" s="98" t="s">
        <v>647</v>
      </c>
      <c r="F339" s="98" t="s">
        <v>538</v>
      </c>
      <c r="G339" s="143" t="s">
        <v>575</v>
      </c>
      <c r="H339" s="106" t="s">
        <v>540</v>
      </c>
      <c r="I339" s="145">
        <v>0.5</v>
      </c>
      <c r="J339" s="145" t="str">
        <f>IF(OR(I339="",Settings!$B$6=""),"",IF(I339&gt;Settings!$B$6,"BUY",IF(I339&lt;-Settings!$B$6,"SELL","HOLD")))</f>
        <v>BUY</v>
      </c>
      <c r="K339" s="145">
        <v>11</v>
      </c>
      <c r="L339" s="123">
        <v>46051</v>
      </c>
      <c r="M339" s="140">
        <v>46050</v>
      </c>
      <c r="N339" s="147">
        <v>643.28</v>
      </c>
      <c r="O339" s="140">
        <v>46051</v>
      </c>
      <c r="P339" s="145">
        <v>655.16999999999996</v>
      </c>
      <c r="Q339" s="151">
        <f t="shared" si="53"/>
        <v>1.8499999999999999E-2</v>
      </c>
      <c r="R339" s="118" t="str">
        <f>IF(OR(N339="",P339=""),"",IF(Q339&gt;Settings!$B$3/100,"UP",IF(Q339&lt;-Settings!$B$3/100,"DOWN","FLAT")))</f>
        <v>FLAT</v>
      </c>
      <c r="S339" s="118" t="str">
        <f t="shared" si="54"/>
        <v>NO</v>
      </c>
      <c r="T339" s="119">
        <f t="shared" si="55"/>
        <v>1</v>
      </c>
      <c r="U339" s="150">
        <f>IFERROR(IF(OR(J339="",N339="",P339=""),"",IF(T339=0,0,T339*Q339-Settings!$B$4/10000-IF(T339&lt;0,Settings!$B$5/10000,0))),"")</f>
        <v>1.7499999999999998E-2</v>
      </c>
      <c r="V339" t="s">
        <v>1567</v>
      </c>
      <c r="W339" s="21">
        <f t="shared" si="56"/>
        <v>660</v>
      </c>
      <c r="X339" s="91" t="str">
        <f t="shared" si="57"/>
        <v>Caterpillar|2025|Q4</v>
      </c>
      <c r="Y339" s="91" t="str">
        <f>IFERROR(IF($X339="","",INDEX(LLM_Data_Entry!$H$3:$H$548,MATCH($X339,INDEX(LLM_Data_Entry!$A$3:$A$548&amp;"|"&amp;LLM_Data_Entry!$C$3:$C$548&amp;"|"&amp;LLM_Data_Entry!$D$3:$D$548,0),0))),"")</f>
        <v>BUY</v>
      </c>
      <c r="Z339" s="91" t="str">
        <f>IFERROR(IF($X339="","",INDEX(LLM_Data_Entry!$R$3:$R$548,MATCH($X339,INDEX(LLM_Data_Entry!$A$3:$A$548&amp;"|"&amp;LLM_Data_Entry!$C$3:$C$548&amp;"|"&amp;LLM_Data_Entry!$D$3:$D$548,0),0))),"")</f>
        <v>NO</v>
      </c>
      <c r="AB339" t="s">
        <v>807</v>
      </c>
      <c r="AC339" t="s">
        <v>1477</v>
      </c>
      <c r="AD339" t="s">
        <v>776</v>
      </c>
      <c r="AE339">
        <v>640.86879999999996</v>
      </c>
      <c r="AF339" t="s">
        <v>694</v>
      </c>
      <c r="AG339">
        <v>652.71420000000001</v>
      </c>
      <c r="AH339">
        <v>1.8483385450332641E-2</v>
      </c>
      <c r="AI339" t="s">
        <v>579</v>
      </c>
      <c r="AJ339" t="s">
        <v>546</v>
      </c>
      <c r="AK339">
        <v>1.7482999999999999E-2</v>
      </c>
      <c r="AL339" t="str">
        <f>IF($A339="","",IFERROR(INDEX(Company_List!$G$3:$G$207,MATCH($A339,Company_List!$A$3:$A$207,0)),"unassigned"))</f>
        <v>both</v>
      </c>
      <c r="AM339" t="s">
        <v>1482</v>
      </c>
      <c r="AN339" t="s">
        <v>1483</v>
      </c>
      <c r="AO339" t="s">
        <v>560</v>
      </c>
      <c r="AP339" t="str">
        <f>IF($A339="","",IF(COUNTIFS(LLM_Data_Entry!$A$3:$A$548,$A339)&gt;0,"YES","NO"))</f>
        <v>YES</v>
      </c>
      <c r="AQ339" t="str">
        <f>IF($A339="","",IF(COUNTIFS($A$3:$A339,$A339,$C$3:$C339,$C339,$D$3:$D339,$D339)=1,"YES","NO"))</f>
        <v>NO</v>
      </c>
      <c r="AR339" t="str">
        <f>IF($A339="","",IF(AND($C339&amp;"-"&amp;$D339&gt;=Settings!$B$19,$C339&amp;"-"&amp;$D339&lt;=Settings!$B$20),"IN","OUT"))</f>
        <v>IN</v>
      </c>
      <c r="AS339" t="str">
        <f t="shared" si="58"/>
        <v>transcript only</v>
      </c>
      <c r="AT339">
        <f t="shared" si="59"/>
        <v>1.7499999999999998E-2</v>
      </c>
      <c r="AU339">
        <f t="shared" si="60"/>
        <v>1.7482999999999999E-2</v>
      </c>
      <c r="AV339">
        <f>IF(ISNUMBER($AT339),ABS(IF(ISNUMBER($I339),$I339,0)-Settings!$B$24),"")</f>
        <v>0.5</v>
      </c>
      <c r="AW339">
        <f t="shared" si="61"/>
        <v>8.7499999999999991E-3</v>
      </c>
      <c r="AX339">
        <f>IF(ISNUMBER($AU339),ABS(IF(ISNUMBER($I339),$I339,0)-Settings!$B$24),"")</f>
        <v>0.5</v>
      </c>
      <c r="AY339" t="s">
        <v>549</v>
      </c>
      <c r="AZ339" t="str">
        <f>IF($A339="","",IFERROR(INDEX(Company_List!$H$3:$H$207,MATCH($A339,Company_List!$A$3:$A$207,0)),"unassigned"))</f>
        <v>Industrials</v>
      </c>
      <c r="BA339">
        <v>1</v>
      </c>
      <c r="BB339">
        <v>1</v>
      </c>
      <c r="BC339">
        <f>IF($A339="","",IF(COUNTIFS($A$3:$A339,$A339,$C$3:$C339,$C339,$D$3:$D339,$D339,$G$3:$G339,$G339)=1,1,0))</f>
        <v>1</v>
      </c>
      <c r="BD339">
        <v>11</v>
      </c>
      <c r="BG339" t="s">
        <v>550</v>
      </c>
      <c r="BJ339" t="s">
        <v>1519</v>
      </c>
      <c r="BK339">
        <f t="shared" si="62"/>
        <v>1</v>
      </c>
      <c r="BL339" t="s">
        <v>1520</v>
      </c>
      <c r="BM339">
        <v>1</v>
      </c>
      <c r="BN339" t="s">
        <v>595</v>
      </c>
      <c r="BO339" t="s">
        <v>596</v>
      </c>
      <c r="BP339" t="s">
        <v>550</v>
      </c>
      <c r="BQ339" t="s">
        <v>562</v>
      </c>
      <c r="BS339" t="s">
        <v>554</v>
      </c>
    </row>
    <row r="340" spans="1:72" x14ac:dyDescent="0.2">
      <c r="A340" s="1" t="s">
        <v>1530</v>
      </c>
      <c r="B340" s="142" t="str">
        <f>IF(A340="","",_xlfn.XLOOKUP(A340, Company_List!$A:$A, Company_List!$B:$B, ""))</f>
        <v>HD</v>
      </c>
      <c r="C340" s="143">
        <v>2025</v>
      </c>
      <c r="D340" s="143" t="s">
        <v>569</v>
      </c>
      <c r="E340" s="98" t="s">
        <v>647</v>
      </c>
      <c r="F340" s="98" t="s">
        <v>538</v>
      </c>
      <c r="G340" s="143" t="s">
        <v>575</v>
      </c>
      <c r="H340" s="106" t="s">
        <v>540</v>
      </c>
      <c r="I340" s="145">
        <v>0.2</v>
      </c>
      <c r="J340" s="145" t="str">
        <f>IF(OR(I340="",Settings!$B$6=""),"",IF(I340&gt;Settings!$B$6,"BUY",IF(I340&lt;-Settings!$B$6,"SELL","HOLD")))</f>
        <v>HOLD</v>
      </c>
      <c r="K340" s="145">
        <v>10</v>
      </c>
      <c r="L340" s="123">
        <v>46077</v>
      </c>
      <c r="M340" s="140" t="s">
        <v>704</v>
      </c>
      <c r="N340" s="147">
        <v>375.65210000000002</v>
      </c>
      <c r="O340" s="140" t="s">
        <v>705</v>
      </c>
      <c r="P340" s="145">
        <v>378.42259999999999</v>
      </c>
      <c r="Q340" s="151">
        <f t="shared" si="53"/>
        <v>7.4000000000000003E-3</v>
      </c>
      <c r="R340" s="118" t="str">
        <f>IF(OR(N340="",P340=""),"",IF(Q340&gt;Settings!$B$3/100,"UP",IF(Q340&lt;-Settings!$B$3/100,"DOWN","FLAT")))</f>
        <v>FLAT</v>
      </c>
      <c r="S340" s="118" t="str">
        <f t="shared" si="54"/>
        <v>YES</v>
      </c>
      <c r="T340" s="119">
        <f t="shared" si="55"/>
        <v>0</v>
      </c>
      <c r="U340" s="150">
        <f>IFERROR(IF(OR(J340="",N340="",P340=""),"",IF(T340=0,0,T340*Q340-Settings!$B$4/10000-IF(T340&lt;0,Settings!$B$5/10000,0))),"")</f>
        <v>0</v>
      </c>
      <c r="V340" t="s">
        <v>1568</v>
      </c>
      <c r="W340" s="21">
        <f t="shared" si="56"/>
        <v>600</v>
      </c>
      <c r="X340" s="91" t="str">
        <f t="shared" si="57"/>
        <v>Home Depot|2025|Q4</v>
      </c>
      <c r="Y340" s="91" t="str">
        <f>IFERROR(IF($X340="","",INDEX(LLM_Data_Entry!$H$3:$H$548,MATCH($X340,INDEX(LLM_Data_Entry!$A$3:$A$548&amp;"|"&amp;LLM_Data_Entry!$C$3:$C$548&amp;"|"&amp;LLM_Data_Entry!$D$3:$D$548,0),0))),"")</f>
        <v>SELL</v>
      </c>
      <c r="Z340" s="91">
        <f>IFERROR(IF($X340="","",INDEX(LLM_Data_Entry!$R$3:$R$548,MATCH($X340,INDEX(LLM_Data_Entry!$A$3:$A$548&amp;"|"&amp;LLM_Data_Entry!$C$3:$C$548&amp;"|"&amp;LLM_Data_Entry!$D$3:$D$548,0),0))),"")</f>
        <v>0</v>
      </c>
      <c r="AB340" t="s">
        <v>685</v>
      </c>
      <c r="AC340" t="s">
        <v>1532</v>
      </c>
      <c r="AD340" t="s">
        <v>1569</v>
      </c>
      <c r="AE340">
        <v>371.69839999999999</v>
      </c>
      <c r="AF340" t="s">
        <v>925</v>
      </c>
      <c r="AG340">
        <v>383.64819999999997</v>
      </c>
      <c r="AH340">
        <v>3.2149383648665243E-2</v>
      </c>
      <c r="AI340" t="s">
        <v>591</v>
      </c>
      <c r="AJ340" t="s">
        <v>546</v>
      </c>
      <c r="AK340">
        <v>0</v>
      </c>
      <c r="AL340" t="str">
        <f>IF($A340="","",IFERROR(INDEX(Company_List!$G$3:$G$207,MATCH($A340,Company_List!$A$3:$A$207,0)),"unassigned"))</f>
        <v>P3</v>
      </c>
      <c r="AM340" t="s">
        <v>1570</v>
      </c>
      <c r="AN340" t="s">
        <v>1571</v>
      </c>
      <c r="AO340" t="s">
        <v>560</v>
      </c>
      <c r="AP340" t="str">
        <f>IF($A340="","",IF(COUNTIFS(LLM_Data_Entry!$A$3:$A$548,$A340)&gt;0,"YES","NO"))</f>
        <v>YES</v>
      </c>
      <c r="AQ340" t="str">
        <f>IF($A340="","",IF(COUNTIFS($A$3:$A340,$A340,$C$3:$C340,$C340,$D$3:$D340,$D340)=1,"YES","NO"))</f>
        <v>YES</v>
      </c>
      <c r="AR340" t="str">
        <f>IF($A340="","",IF(AND($C340&amp;"-"&amp;$D340&gt;=Settings!$B$19,$C340&amp;"-"&amp;$D340&lt;=Settings!$B$20),"IN","OUT"))</f>
        <v>IN</v>
      </c>
      <c r="AS340" t="str">
        <f t="shared" si="58"/>
        <v>transcript only</v>
      </c>
      <c r="AT340" t="str">
        <f t="shared" si="59"/>
        <v/>
      </c>
      <c r="AU340" t="str">
        <f t="shared" si="60"/>
        <v/>
      </c>
      <c r="AV340" t="str">
        <f>IF(ISNUMBER($AT340),ABS(IF(ISNUMBER($I340),$I340,0)-Settings!$B$24),"")</f>
        <v/>
      </c>
      <c r="AW340" t="str">
        <f t="shared" si="61"/>
        <v/>
      </c>
      <c r="AX340" t="str">
        <f>IF(ISNUMBER($AU340),ABS(IF(ISNUMBER($I340),$I340,0)-Settings!$B$24),"")</f>
        <v/>
      </c>
      <c r="AY340" t="s">
        <v>1183</v>
      </c>
      <c r="AZ340" t="str">
        <f>IF($A340="","",IFERROR(INDEX(Company_List!$H$3:$H$207,MATCH($A340,Company_List!$A$3:$A$207,0)),"unassigned"))</f>
        <v>Consumer Discretionary</v>
      </c>
      <c r="BA340">
        <v>1</v>
      </c>
      <c r="BB340">
        <v>1</v>
      </c>
      <c r="BC340">
        <f>IF($A340="","",IF(COUNTIFS($A$3:$A340,$A340,$C$3:$C340,$C340,$D$3:$D340,$D340,$G$3:$G340,$G340)=1,1,0))</f>
        <v>1</v>
      </c>
      <c r="BD340">
        <v>10</v>
      </c>
      <c r="BG340" t="s">
        <v>550</v>
      </c>
      <c r="BJ340" t="s">
        <v>1519</v>
      </c>
      <c r="BK340">
        <f t="shared" si="62"/>
        <v>0</v>
      </c>
      <c r="BL340" t="s">
        <v>1520</v>
      </c>
      <c r="BM340">
        <v>1</v>
      </c>
      <c r="BN340" t="s">
        <v>561</v>
      </c>
      <c r="BO340" t="s">
        <v>561</v>
      </c>
      <c r="BP340" t="s">
        <v>550</v>
      </c>
      <c r="BQ340" t="s">
        <v>562</v>
      </c>
      <c r="BS340" t="s">
        <v>554</v>
      </c>
    </row>
    <row r="341" spans="1:72" x14ac:dyDescent="0.2">
      <c r="A341" s="1" t="s">
        <v>1536</v>
      </c>
      <c r="B341" s="142" t="str">
        <f>IF(A341="","",_xlfn.XLOOKUP(A341, Company_List!$A:$A, Company_List!$B:$B, ""))</f>
        <v>ADBE</v>
      </c>
      <c r="C341" s="143">
        <v>2026</v>
      </c>
      <c r="D341" s="143" t="s">
        <v>537</v>
      </c>
      <c r="E341" s="98" t="s">
        <v>647</v>
      </c>
      <c r="F341" s="98" t="s">
        <v>538</v>
      </c>
      <c r="G341" s="143" t="s">
        <v>575</v>
      </c>
      <c r="H341" s="106" t="s">
        <v>540</v>
      </c>
      <c r="I341" s="145">
        <v>0.9</v>
      </c>
      <c r="J341" s="145" t="str">
        <f>IF(OR(I341="",Settings!$B$6=""),"",IF(I341&gt;Settings!$B$6,"BUY",IF(I341&lt;-Settings!$B$6,"SELL","HOLD")))</f>
        <v>BUY</v>
      </c>
      <c r="K341" s="145">
        <v>27</v>
      </c>
      <c r="L341" s="123">
        <v>46093</v>
      </c>
      <c r="M341" s="140" t="s">
        <v>926</v>
      </c>
      <c r="N341" s="147">
        <v>257.81</v>
      </c>
      <c r="O341" s="140" t="s">
        <v>1174</v>
      </c>
      <c r="P341" s="145">
        <v>261.58999999999997</v>
      </c>
      <c r="Q341" s="151">
        <f t="shared" si="53"/>
        <v>1.47E-2</v>
      </c>
      <c r="R341" s="118" t="str">
        <f>IF(OR(N341="",P341=""),"",IF(Q341&gt;Settings!$B$3/100,"UP",IF(Q341&lt;-Settings!$B$3/100,"DOWN","FLAT")))</f>
        <v>FLAT</v>
      </c>
      <c r="S341" s="118" t="str">
        <f t="shared" si="54"/>
        <v>NO</v>
      </c>
      <c r="T341" s="119">
        <f t="shared" si="55"/>
        <v>1</v>
      </c>
      <c r="U341" s="150">
        <f>IFERROR(IF(OR(J341="",N341="",P341=""),"",IF(T341=0,0,T341*Q341-Settings!$B$4/10000-IF(T341&lt;0,Settings!$B$5/10000,0))),"")</f>
        <v>1.37E-2</v>
      </c>
      <c r="V341" t="s">
        <v>1572</v>
      </c>
      <c r="W341" s="21">
        <f t="shared" si="56"/>
        <v>1620</v>
      </c>
      <c r="X341" s="91" t="str">
        <f t="shared" si="57"/>
        <v>Adobe|2026|Q1</v>
      </c>
      <c r="Y341" s="91" t="str">
        <f>IFERROR(IF($X341="","",INDEX(LLM_Data_Entry!$H$3:$H$548,MATCH($X341,INDEX(LLM_Data_Entry!$A$3:$A$548&amp;"|"&amp;LLM_Data_Entry!$C$3:$C$548&amp;"|"&amp;LLM_Data_Entry!$D$3:$D$548,0),0))),"")</f>
        <v>HOLD</v>
      </c>
      <c r="Z341" s="91">
        <f>IFERROR(IF($X341="","",INDEX(LLM_Data_Entry!$R$3:$R$548,MATCH($X341,INDEX(LLM_Data_Entry!$A$3:$A$548&amp;"|"&amp;LLM_Data_Entry!$C$3:$C$548&amp;"|"&amp;LLM_Data_Entry!$D$3:$D$548,0),0))),"")</f>
        <v>0</v>
      </c>
      <c r="AB341" t="s">
        <v>541</v>
      </c>
      <c r="AC341" t="s">
        <v>1538</v>
      </c>
      <c r="AD341" t="s">
        <v>1573</v>
      </c>
      <c r="AE341">
        <v>269.77999999999997</v>
      </c>
      <c r="AF341" t="s">
        <v>1574</v>
      </c>
      <c r="AG341">
        <v>249</v>
      </c>
      <c r="AH341">
        <v>-7.7025721243330486E-2</v>
      </c>
      <c r="AI341" t="s">
        <v>545</v>
      </c>
      <c r="AJ341" t="s">
        <v>546</v>
      </c>
      <c r="AK341">
        <v>-7.8025999999999998E-2</v>
      </c>
      <c r="AL341" t="str">
        <f>IF($A341="","",IFERROR(INDEX(Company_List!$G$3:$G$207,MATCH($A341,Company_List!$A$3:$A$207,0)),"unassigned"))</f>
        <v>P3</v>
      </c>
      <c r="AM341" t="s">
        <v>1575</v>
      </c>
      <c r="AN341" t="s">
        <v>1576</v>
      </c>
      <c r="AO341" t="s">
        <v>560</v>
      </c>
      <c r="AP341" t="str">
        <f>IF($A341="","",IF(COUNTIFS(LLM_Data_Entry!$A$3:$A$548,$A341)&gt;0,"YES","NO"))</f>
        <v>YES</v>
      </c>
      <c r="AQ341" t="str">
        <f>IF($A341="","",IF(COUNTIFS($A$3:$A341,$A341,$C$3:$C341,$C341,$D$3:$D341,$D341)=1,"YES","NO"))</f>
        <v>YES</v>
      </c>
      <c r="AR341" t="str">
        <f>IF($A341="","",IF(AND($C341&amp;"-"&amp;$D341&gt;=Settings!$B$19,$C341&amp;"-"&amp;$D341&lt;=Settings!$B$20),"IN","OUT"))</f>
        <v>IN</v>
      </c>
      <c r="AS341" t="str">
        <f t="shared" si="58"/>
        <v>transcript only</v>
      </c>
      <c r="AT341">
        <f t="shared" si="59"/>
        <v>1.37E-2</v>
      </c>
      <c r="AU341">
        <f t="shared" si="60"/>
        <v>-7.8025999999999998E-2</v>
      </c>
      <c r="AV341">
        <f>IF(ISNUMBER($AT341),ABS(IF(ISNUMBER($I341),$I341,0)-Settings!$B$24),"")</f>
        <v>0.9</v>
      </c>
      <c r="AW341">
        <f t="shared" si="61"/>
        <v>1.2330000000000001E-2</v>
      </c>
      <c r="AX341">
        <f>IF(ISNUMBER($AU341),ABS(IF(ISNUMBER($I341),$I341,0)-Settings!$B$24),"")</f>
        <v>0.9</v>
      </c>
      <c r="AY341" t="s">
        <v>1183</v>
      </c>
      <c r="AZ341" t="str">
        <f>IF($A341="","",IFERROR(INDEX(Company_List!$H$3:$H$207,MATCH($A341,Company_List!$A$3:$A$207,0)),"unassigned"))</f>
        <v>Information Technology</v>
      </c>
      <c r="BA341">
        <v>2</v>
      </c>
      <c r="BB341">
        <v>2</v>
      </c>
      <c r="BC341">
        <f>IF($A341="","",IF(COUNTIFS($A$3:$A341,$A341,$C$3:$C341,$C341,$D$3:$D341,$D341,$G$3:$G341,$G341)=1,1,0))</f>
        <v>1</v>
      </c>
      <c r="BD341">
        <v>15</v>
      </c>
      <c r="BE341">
        <v>12</v>
      </c>
      <c r="BF341">
        <v>0.9</v>
      </c>
      <c r="BG341" t="s">
        <v>550</v>
      </c>
      <c r="BJ341" t="s">
        <v>1519</v>
      </c>
      <c r="BK341">
        <f t="shared" si="62"/>
        <v>0</v>
      </c>
      <c r="BL341" t="s">
        <v>1520</v>
      </c>
      <c r="BM341">
        <v>1</v>
      </c>
      <c r="BN341" t="s">
        <v>595</v>
      </c>
      <c r="BO341" t="s">
        <v>596</v>
      </c>
      <c r="BP341" t="s">
        <v>550</v>
      </c>
      <c r="BQ341" t="s">
        <v>562</v>
      </c>
      <c r="BS341" t="s">
        <v>554</v>
      </c>
    </row>
    <row r="342" spans="1:72" x14ac:dyDescent="0.2">
      <c r="A342" s="1" t="s">
        <v>1505</v>
      </c>
      <c r="B342" s="142" t="str">
        <f>IF(A342="","",_xlfn.XLOOKUP(A342, Company_List!$A:$A, Company_List!$B:$B, ""))</f>
        <v>UNH</v>
      </c>
      <c r="C342" s="143">
        <v>2026</v>
      </c>
      <c r="D342" s="143" t="s">
        <v>537</v>
      </c>
      <c r="E342" s="98" t="s">
        <v>647</v>
      </c>
      <c r="F342" s="98" t="s">
        <v>538</v>
      </c>
      <c r="G342" s="143" t="s">
        <v>575</v>
      </c>
      <c r="H342" s="106" t="s">
        <v>540</v>
      </c>
      <c r="I342" s="145">
        <v>0.3</v>
      </c>
      <c r="J342" s="145" t="str">
        <f>IF(OR(I342="",Settings!$B$6=""),"",IF(I342&gt;Settings!$B$6,"BUY",IF(I342&lt;-Settings!$B$6,"SELL","HOLD")))</f>
        <v>BUY</v>
      </c>
      <c r="K342" s="145">
        <v>29</v>
      </c>
      <c r="L342" s="123">
        <v>46133</v>
      </c>
      <c r="M342" s="140">
        <v>46132</v>
      </c>
      <c r="N342" s="147">
        <v>323.48</v>
      </c>
      <c r="O342" s="140">
        <v>46133</v>
      </c>
      <c r="P342" s="145">
        <v>353.01</v>
      </c>
      <c r="Q342" s="151">
        <f t="shared" si="53"/>
        <v>9.1300000000000006E-2</v>
      </c>
      <c r="R342" s="118" t="str">
        <f>IF(OR(N342="",P342=""),"",IF(Q342&gt;Settings!$B$3/100,"UP",IF(Q342&lt;-Settings!$B$3/100,"DOWN","FLAT")))</f>
        <v>UP</v>
      </c>
      <c r="S342" s="118" t="str">
        <f t="shared" si="54"/>
        <v>YES</v>
      </c>
      <c r="T342" s="119">
        <f t="shared" si="55"/>
        <v>1</v>
      </c>
      <c r="U342" s="150">
        <f>IFERROR(IF(OR(J342="",N342="",P342=""),"",IF(T342=0,0,T342*Q342-Settings!$B$4/10000-IF(T342&lt;0,Settings!$B$5/10000,0))),"")</f>
        <v>9.0300000000000005E-2</v>
      </c>
      <c r="V342" t="s">
        <v>1577</v>
      </c>
      <c r="W342" s="21">
        <f t="shared" si="56"/>
        <v>1740</v>
      </c>
      <c r="X342" s="91" t="str">
        <f t="shared" si="57"/>
        <v>UnitedHealth|2026|Q1</v>
      </c>
      <c r="Y342" s="91" t="str">
        <f>IFERROR(IF($X342="","",INDEX(LLM_Data_Entry!$H$3:$H$548,MATCH($X342,INDEX(LLM_Data_Entry!$A$3:$A$548&amp;"|"&amp;LLM_Data_Entry!$C$3:$C$548&amp;"|"&amp;LLM_Data_Entry!$D$3:$D$548,0),0))),"")</f>
        <v/>
      </c>
      <c r="Z342" s="91" t="str">
        <f>IFERROR(IF($X342="","",INDEX(LLM_Data_Entry!$R$3:$R$548,MATCH($X342,INDEX(LLM_Data_Entry!$A$3:$A$548&amp;"|"&amp;LLM_Data_Entry!$C$3:$C$548&amp;"|"&amp;LLM_Data_Entry!$D$3:$D$548,0),0))),"")</f>
        <v/>
      </c>
      <c r="AB342" t="s">
        <v>541</v>
      </c>
      <c r="AC342" t="s">
        <v>1506</v>
      </c>
      <c r="AD342" t="s">
        <v>1403</v>
      </c>
      <c r="AE342">
        <v>321.64299999999997</v>
      </c>
      <c r="AF342" t="s">
        <v>1404</v>
      </c>
      <c r="AG342">
        <v>351.00529999999998</v>
      </c>
      <c r="AH342">
        <v>9.12884382925407E-2</v>
      </c>
      <c r="AI342" t="s">
        <v>591</v>
      </c>
      <c r="AJ342" t="s">
        <v>554</v>
      </c>
      <c r="AK342">
        <v>9.0287999999999993E-2</v>
      </c>
      <c r="AL342" t="str">
        <f>IF($A342="","",IFERROR(INDEX(Company_List!$G$3:$G$207,MATCH($A342,Company_List!$A$3:$A$207,0)),"unassigned"))</f>
        <v>both</v>
      </c>
      <c r="AM342" t="s">
        <v>1578</v>
      </c>
      <c r="AN342" t="s">
        <v>1579</v>
      </c>
      <c r="AO342" t="s">
        <v>560</v>
      </c>
      <c r="AP342" t="str">
        <f>IF($A342="","",IF(COUNTIFS(LLM_Data_Entry!$A$3:$A$548,$A342)&gt;0,"YES","NO"))</f>
        <v>YES</v>
      </c>
      <c r="AQ342" t="str">
        <f>IF($A342="","",IF(COUNTIFS($A$3:$A342,$A342,$C$3:$C342,$C342,$D$3:$D342,$D342)=1,"YES","NO"))</f>
        <v>YES</v>
      </c>
      <c r="AR342" t="str">
        <f>IF($A342="","",IF(AND($C342&amp;"-"&amp;$D342&gt;=Settings!$B$19,$C342&amp;"-"&amp;$D342&lt;=Settings!$B$20),"IN","OUT"))</f>
        <v>IN</v>
      </c>
      <c r="AS342" t="str">
        <f t="shared" si="58"/>
        <v>transcript only</v>
      </c>
      <c r="AT342">
        <f t="shared" si="59"/>
        <v>9.0300000000000005E-2</v>
      </c>
      <c r="AU342">
        <f t="shared" si="60"/>
        <v>9.0287999999999993E-2</v>
      </c>
      <c r="AV342">
        <f>IF(ISNUMBER($AT342),ABS(IF(ISNUMBER($I342),$I342,0)-Settings!$B$24),"")</f>
        <v>0.3</v>
      </c>
      <c r="AW342">
        <f t="shared" si="61"/>
        <v>2.7089999999999999E-2</v>
      </c>
      <c r="AX342">
        <f>IF(ISNUMBER($AU342),ABS(IF(ISNUMBER($I342),$I342,0)-Settings!$B$24),"")</f>
        <v>0.3</v>
      </c>
      <c r="AY342" t="s">
        <v>549</v>
      </c>
      <c r="AZ342" t="str">
        <f>IF($A342="","",IFERROR(INDEX(Company_List!$H$3:$H$207,MATCH($A342,Company_List!$A$3:$A$207,0)),"unassigned"))</f>
        <v>Health Care</v>
      </c>
      <c r="BA342">
        <v>2</v>
      </c>
      <c r="BB342">
        <v>2</v>
      </c>
      <c r="BC342">
        <f>IF($A342="","",IF(COUNTIFS($A$3:$A342,$A342,$C$3:$C342,$C342,$D$3:$D342,$D342,$G$3:$G342,$G342)=1,1,0))</f>
        <v>1</v>
      </c>
      <c r="BD342">
        <v>15</v>
      </c>
      <c r="BE342">
        <v>14</v>
      </c>
      <c r="BF342">
        <v>0.2</v>
      </c>
      <c r="BG342" t="s">
        <v>550</v>
      </c>
      <c r="BJ342" t="s">
        <v>1519</v>
      </c>
      <c r="BK342" t="str">
        <f t="shared" si="62"/>
        <v/>
      </c>
      <c r="BL342" t="s">
        <v>1520</v>
      </c>
      <c r="BM342">
        <v>1</v>
      </c>
      <c r="BN342" t="s">
        <v>561</v>
      </c>
      <c r="BO342" t="s">
        <v>561</v>
      </c>
      <c r="BP342" t="s">
        <v>550</v>
      </c>
      <c r="BQ342" t="s">
        <v>562</v>
      </c>
      <c r="BS342" t="s">
        <v>546</v>
      </c>
      <c r="BT342" t="s">
        <v>1110</v>
      </c>
    </row>
    <row r="343" spans="1:72" x14ac:dyDescent="0.2">
      <c r="A343" s="1" t="s">
        <v>1513</v>
      </c>
      <c r="B343" s="142" t="str">
        <f>IF(A343="","",_xlfn.XLOOKUP(A343, Company_List!$A:$A, Company_List!$B:$B, ""))</f>
        <v>FCX</v>
      </c>
      <c r="C343" s="143">
        <v>2026</v>
      </c>
      <c r="D343" s="143" t="s">
        <v>537</v>
      </c>
      <c r="E343" s="98" t="s">
        <v>647</v>
      </c>
      <c r="F343" s="98" t="s">
        <v>538</v>
      </c>
      <c r="G343" s="143" t="s">
        <v>575</v>
      </c>
      <c r="H343" s="106" t="s">
        <v>540</v>
      </c>
      <c r="I343" s="145">
        <v>0.8</v>
      </c>
      <c r="J343" s="145" t="str">
        <f>IF(OR(I343="",Settings!$B$6=""),"",IF(I343&gt;Settings!$B$6,"BUY",IF(I343&lt;-Settings!$B$6,"SELL","HOLD")))</f>
        <v>BUY</v>
      </c>
      <c r="K343" s="145">
        <v>21</v>
      </c>
      <c r="L343" s="123">
        <v>46135</v>
      </c>
      <c r="M343" s="140" t="s">
        <v>1580</v>
      </c>
      <c r="N343" s="147">
        <v>64.799700000000001</v>
      </c>
      <c r="O343" s="140" t="s">
        <v>1184</v>
      </c>
      <c r="P343" s="145">
        <v>64.899199999999993</v>
      </c>
      <c r="Q343" s="151">
        <f t="shared" si="53"/>
        <v>1.5E-3</v>
      </c>
      <c r="R343" s="118" t="str">
        <f>IF(OR(N343="",P343=""),"",IF(Q343&gt;Settings!$B$3/100,"UP",IF(Q343&lt;-Settings!$B$3/100,"DOWN","FLAT")))</f>
        <v>FLAT</v>
      </c>
      <c r="S343" s="118" t="str">
        <f t="shared" si="54"/>
        <v>NO</v>
      </c>
      <c r="T343" s="119">
        <f t="shared" si="55"/>
        <v>1</v>
      </c>
      <c r="U343" s="150">
        <f>IFERROR(IF(OR(J343="",N343="",P343=""),"",IF(T343=0,0,T343*Q343-Settings!$B$4/10000-IF(T343&lt;0,Settings!$B$5/10000,0))),"")</f>
        <v>5.0000000000000001E-4</v>
      </c>
      <c r="V343" t="s">
        <v>1581</v>
      </c>
      <c r="W343" s="21">
        <f t="shared" si="56"/>
        <v>1260</v>
      </c>
      <c r="X343" s="91" t="str">
        <f t="shared" si="57"/>
        <v>Freeport-McMoRan|2026|Q1</v>
      </c>
      <c r="Y343" s="91" t="str">
        <f>IFERROR(IF($X343="","",INDEX(LLM_Data_Entry!$H$3:$H$548,MATCH($X343,INDEX(LLM_Data_Entry!$A$3:$A$548&amp;"|"&amp;LLM_Data_Entry!$C$3:$C$548&amp;"|"&amp;LLM_Data_Entry!$D$3:$D$548,0),0))),"")</f>
        <v>SELL</v>
      </c>
      <c r="Z343" s="91">
        <f>IFERROR(IF($X343="","",INDEX(LLM_Data_Entry!$R$3:$R$548,MATCH($X343,INDEX(LLM_Data_Entry!$A$3:$A$548&amp;"|"&amp;LLM_Data_Entry!$C$3:$C$548&amp;"|"&amp;LLM_Data_Entry!$D$3:$D$548,0),0))),"")</f>
        <v>0</v>
      </c>
      <c r="AB343" t="s">
        <v>541</v>
      </c>
      <c r="AC343" t="s">
        <v>1516</v>
      </c>
      <c r="AD343" t="s">
        <v>779</v>
      </c>
      <c r="AE343">
        <v>70.189599999999999</v>
      </c>
      <c r="AF343" t="s">
        <v>780</v>
      </c>
      <c r="AG343">
        <v>62.119199999999999</v>
      </c>
      <c r="AH343">
        <v>-0.1149800779742858</v>
      </c>
      <c r="AI343" t="s">
        <v>545</v>
      </c>
      <c r="AJ343" t="s">
        <v>546</v>
      </c>
      <c r="AK343">
        <v>-0.11598</v>
      </c>
      <c r="AL343" t="str">
        <f>IF($A343="","",IFERROR(INDEX(Company_List!$G$3:$G$207,MATCH($A343,Company_List!$A$3:$A$207,0)),"unassigned"))</f>
        <v>P3</v>
      </c>
      <c r="AM343" t="s">
        <v>1582</v>
      </c>
      <c r="AN343" t="s">
        <v>1583</v>
      </c>
      <c r="AO343" t="s">
        <v>560</v>
      </c>
      <c r="AP343" t="str">
        <f>IF($A343="","",IF(COUNTIFS(LLM_Data_Entry!$A$3:$A$548,$A343)&gt;0,"YES","NO"))</f>
        <v>YES</v>
      </c>
      <c r="AQ343" t="str">
        <f>IF($A343="","",IF(COUNTIFS($A$3:$A343,$A343,$C$3:$C343,$C343,$D$3:$D343,$D343)=1,"YES","NO"))</f>
        <v>YES</v>
      </c>
      <c r="AR343" t="str">
        <f>IF($A343="","",IF(AND($C343&amp;"-"&amp;$D343&gt;=Settings!$B$19,$C343&amp;"-"&amp;$D343&lt;=Settings!$B$20),"IN","OUT"))</f>
        <v>IN</v>
      </c>
      <c r="AS343" t="str">
        <f t="shared" si="58"/>
        <v>transcript only</v>
      </c>
      <c r="AT343">
        <f t="shared" si="59"/>
        <v>5.0000000000000001E-4</v>
      </c>
      <c r="AU343">
        <f t="shared" si="60"/>
        <v>-0.11598</v>
      </c>
      <c r="AV343">
        <f>IF(ISNUMBER($AT343),ABS(IF(ISNUMBER($I343),$I343,0)-Settings!$B$24),"")</f>
        <v>0.8</v>
      </c>
      <c r="AW343">
        <f t="shared" si="61"/>
        <v>4.0000000000000002E-4</v>
      </c>
      <c r="AX343">
        <f>IF(ISNUMBER($AU343),ABS(IF(ISNUMBER($I343),$I343,0)-Settings!$B$24),"")</f>
        <v>0.8</v>
      </c>
      <c r="AY343" t="s">
        <v>1183</v>
      </c>
      <c r="AZ343" t="str">
        <f>IF($A343="","",IFERROR(INDEX(Company_List!$H$3:$H$207,MATCH($A343,Company_List!$A$3:$A$207,0)),"unassigned"))</f>
        <v>Materials</v>
      </c>
      <c r="BA343">
        <v>2</v>
      </c>
      <c r="BB343">
        <v>2</v>
      </c>
      <c r="BC343">
        <f>IF($A343="","",IF(COUNTIFS($A$3:$A343,$A343,$C$3:$C343,$C343,$D$3:$D343,$D343,$G$3:$G343,$G343)=1,1,0))</f>
        <v>1</v>
      </c>
      <c r="BD343">
        <v>10</v>
      </c>
      <c r="BE343">
        <v>11</v>
      </c>
      <c r="BF343">
        <v>0.8</v>
      </c>
      <c r="BG343" t="s">
        <v>550</v>
      </c>
      <c r="BJ343" t="s">
        <v>1519</v>
      </c>
      <c r="BK343">
        <f t="shared" si="62"/>
        <v>0</v>
      </c>
      <c r="BL343" t="s">
        <v>1520</v>
      </c>
      <c r="BM343">
        <v>1</v>
      </c>
      <c r="BN343" t="s">
        <v>595</v>
      </c>
      <c r="BO343" t="s">
        <v>596</v>
      </c>
      <c r="BP343" t="s">
        <v>550</v>
      </c>
      <c r="BQ343" t="s">
        <v>562</v>
      </c>
      <c r="BS343" t="s">
        <v>554</v>
      </c>
    </row>
    <row r="344" spans="1:72" x14ac:dyDescent="0.2">
      <c r="A344" s="1" t="s">
        <v>1521</v>
      </c>
      <c r="B344" s="142" t="str">
        <f>IF(A344="","",_xlfn.XLOOKUP(A344, Company_List!$A:$A, Company_List!$B:$B, ""))</f>
        <v>UNP</v>
      </c>
      <c r="C344" s="143">
        <v>2026</v>
      </c>
      <c r="D344" s="143" t="s">
        <v>537</v>
      </c>
      <c r="E344" s="98" t="s">
        <v>647</v>
      </c>
      <c r="F344" s="98" t="s">
        <v>538</v>
      </c>
      <c r="G344" s="143" t="s">
        <v>575</v>
      </c>
      <c r="H344" s="106" t="s">
        <v>540</v>
      </c>
      <c r="I344" s="145">
        <v>0.5</v>
      </c>
      <c r="J344" s="145" t="str">
        <f>IF(OR(I344="",Settings!$B$6=""),"",IF(I344&gt;Settings!$B$6,"BUY",IF(I344&lt;-Settings!$B$6,"SELL","HOLD")))</f>
        <v>BUY</v>
      </c>
      <c r="K344" s="145">
        <v>30</v>
      </c>
      <c r="L344" s="123">
        <v>46135</v>
      </c>
      <c r="M344" s="140" t="s">
        <v>1404</v>
      </c>
      <c r="N344" s="147">
        <v>249.95140000000001</v>
      </c>
      <c r="O344" s="140" t="s">
        <v>779</v>
      </c>
      <c r="P344" s="145">
        <v>251.93109999999999</v>
      </c>
      <c r="Q344" s="151">
        <f t="shared" si="53"/>
        <v>7.9000000000000008E-3</v>
      </c>
      <c r="R344" s="118" t="str">
        <f>IF(OR(N344="",P344=""),"",IF(Q344&gt;Settings!$B$3/100,"UP",IF(Q344&lt;-Settings!$B$3/100,"DOWN","FLAT")))</f>
        <v>FLAT</v>
      </c>
      <c r="S344" s="118" t="str">
        <f t="shared" si="54"/>
        <v>NO</v>
      </c>
      <c r="T344" s="119">
        <f t="shared" si="55"/>
        <v>1</v>
      </c>
      <c r="U344" s="150">
        <f>IFERROR(IF(OR(J344="",N344="",P344=""),"",IF(T344=0,0,T344*Q344-Settings!$B$4/10000-IF(T344&lt;0,Settings!$B$5/10000,0))),"")</f>
        <v>6.9000000000000008E-3</v>
      </c>
      <c r="V344" t="s">
        <v>1584</v>
      </c>
      <c r="W344" s="21">
        <f t="shared" si="56"/>
        <v>1800</v>
      </c>
      <c r="X344" s="91" t="str">
        <f t="shared" si="57"/>
        <v>Union Pacific|2026|Q1</v>
      </c>
      <c r="Y344" s="91" t="str">
        <f>IFERROR(IF($X344="","",INDEX(LLM_Data_Entry!$H$3:$H$548,MATCH($X344,INDEX(LLM_Data_Entry!$A$3:$A$548&amp;"|"&amp;LLM_Data_Entry!$C$3:$C$548&amp;"|"&amp;LLM_Data_Entry!$D$3:$D$548,0),0))),"")</f>
        <v>SELL</v>
      </c>
      <c r="Z344" s="91">
        <f>IFERROR(IF($X344="","",INDEX(LLM_Data_Entry!$R$3:$R$548,MATCH($X344,INDEX(LLM_Data_Entry!$A$3:$A$548&amp;"|"&amp;LLM_Data_Entry!$C$3:$C$548&amp;"|"&amp;LLM_Data_Entry!$D$3:$D$548,0),0))),"")</f>
        <v>0</v>
      </c>
      <c r="AB344" t="s">
        <v>541</v>
      </c>
      <c r="AC344" t="s">
        <v>1523</v>
      </c>
      <c r="AD344" t="s">
        <v>779</v>
      </c>
      <c r="AE344">
        <v>248.11099999999999</v>
      </c>
      <c r="AF344" t="s">
        <v>780</v>
      </c>
      <c r="AG344">
        <v>261.40190000000001</v>
      </c>
      <c r="AH344">
        <v>5.3568662032763108E-2</v>
      </c>
      <c r="AI344" t="s">
        <v>591</v>
      </c>
      <c r="AJ344" t="s">
        <v>554</v>
      </c>
      <c r="AK344">
        <v>5.2568999999999998E-2</v>
      </c>
      <c r="AL344" t="str">
        <f>IF($A344="","",IFERROR(INDEX(Company_List!$G$3:$G$207,MATCH($A344,Company_List!$A$3:$A$207,0)),"unassigned"))</f>
        <v>P3</v>
      </c>
      <c r="AM344" t="s">
        <v>1585</v>
      </c>
      <c r="AN344" t="s">
        <v>1586</v>
      </c>
      <c r="AO344" t="s">
        <v>560</v>
      </c>
      <c r="AP344" t="str">
        <f>IF($A344="","",IF(COUNTIFS(LLM_Data_Entry!$A$3:$A$548,$A344)&gt;0,"YES","NO"))</f>
        <v>YES</v>
      </c>
      <c r="AQ344" t="str">
        <f>IF($A344="","",IF(COUNTIFS($A$3:$A344,$A344,$C$3:$C344,$C344,$D$3:$D344,$D344)=1,"YES","NO"))</f>
        <v>YES</v>
      </c>
      <c r="AR344" t="str">
        <f>IF($A344="","",IF(AND($C344&amp;"-"&amp;$D344&gt;=Settings!$B$19,$C344&amp;"-"&amp;$D344&lt;=Settings!$B$20),"IN","OUT"))</f>
        <v>IN</v>
      </c>
      <c r="AS344" t="str">
        <f t="shared" si="58"/>
        <v>transcript only</v>
      </c>
      <c r="AT344">
        <f t="shared" si="59"/>
        <v>6.9000000000000008E-3</v>
      </c>
      <c r="AU344">
        <f t="shared" si="60"/>
        <v>5.2568999999999998E-2</v>
      </c>
      <c r="AV344">
        <f>IF(ISNUMBER($AT344),ABS(IF(ISNUMBER($I344),$I344,0)-Settings!$B$24),"")</f>
        <v>0.5</v>
      </c>
      <c r="AW344">
        <f t="shared" si="61"/>
        <v>3.4500000000000004E-3</v>
      </c>
      <c r="AX344">
        <f>IF(ISNUMBER($AU344),ABS(IF(ISNUMBER($I344),$I344,0)-Settings!$B$24),"")</f>
        <v>0.5</v>
      </c>
      <c r="AY344" t="s">
        <v>1183</v>
      </c>
      <c r="AZ344" t="str">
        <f>IF($A344="","",IFERROR(INDEX(Company_List!$H$3:$H$207,MATCH($A344,Company_List!$A$3:$A$207,0)),"unassigned"))</f>
        <v>Industrials</v>
      </c>
      <c r="BA344">
        <v>2</v>
      </c>
      <c r="BB344">
        <v>2</v>
      </c>
      <c r="BC344">
        <f>IF($A344="","",IF(COUNTIFS($A$3:$A344,$A344,$C$3:$C344,$C344,$D$3:$D344,$D344,$G$3:$G344,$G344)=1,1,0))</f>
        <v>1</v>
      </c>
      <c r="BD344">
        <v>12</v>
      </c>
      <c r="BE344">
        <v>18</v>
      </c>
      <c r="BF344">
        <v>0.5</v>
      </c>
      <c r="BG344" t="s">
        <v>550</v>
      </c>
      <c r="BJ344" t="s">
        <v>1519</v>
      </c>
      <c r="BK344">
        <f t="shared" si="62"/>
        <v>0</v>
      </c>
      <c r="BL344" t="s">
        <v>1520</v>
      </c>
      <c r="BM344">
        <v>1</v>
      </c>
      <c r="BN344" t="s">
        <v>595</v>
      </c>
      <c r="BO344" t="s">
        <v>596</v>
      </c>
      <c r="BP344" t="s">
        <v>550</v>
      </c>
      <c r="BQ344" t="s">
        <v>562</v>
      </c>
      <c r="BS344" t="s">
        <v>554</v>
      </c>
    </row>
    <row r="345" spans="1:72" x14ac:dyDescent="0.2">
      <c r="A345" s="1" t="s">
        <v>1475</v>
      </c>
      <c r="B345" s="142" t="str">
        <f>IF(A345="","",_xlfn.XLOOKUP(A345, Company_List!$A:$A, Company_List!$B:$B, ""))</f>
        <v>CAT</v>
      </c>
      <c r="C345" s="143">
        <v>2026</v>
      </c>
      <c r="D345" s="143" t="s">
        <v>537</v>
      </c>
      <c r="E345" s="98" t="s">
        <v>647</v>
      </c>
      <c r="F345" s="98" t="s">
        <v>538</v>
      </c>
      <c r="G345" s="143" t="s">
        <v>575</v>
      </c>
      <c r="H345" s="106" t="s">
        <v>540</v>
      </c>
      <c r="I345" s="145">
        <v>0.6</v>
      </c>
      <c r="J345" s="145" t="str">
        <f>IF(OR(I345="",Settings!$B$6=""),"",IF(I345&gt;Settings!$B$6,"BUY",IF(I345&lt;-Settings!$B$6,"SELL","HOLD")))</f>
        <v>BUY</v>
      </c>
      <c r="K345" s="145">
        <v>30</v>
      </c>
      <c r="L345" s="123">
        <v>46142</v>
      </c>
      <c r="M345" s="140">
        <v>46141</v>
      </c>
      <c r="N345" s="147">
        <v>810.05</v>
      </c>
      <c r="O345" s="140">
        <v>46142</v>
      </c>
      <c r="P345" s="145">
        <v>856.63</v>
      </c>
      <c r="Q345" s="151">
        <f t="shared" si="53"/>
        <v>5.7500000000000002E-2</v>
      </c>
      <c r="R345" s="118" t="str">
        <f>IF(OR(N345="",P345=""),"",IF(Q345&gt;Settings!$B$3/100,"UP",IF(Q345&lt;-Settings!$B$3/100,"DOWN","FLAT")))</f>
        <v>UP</v>
      </c>
      <c r="S345" s="118" t="str">
        <f t="shared" si="54"/>
        <v>YES</v>
      </c>
      <c r="T345" s="119">
        <f t="shared" si="55"/>
        <v>1</v>
      </c>
      <c r="U345" s="150">
        <f>IFERROR(IF(OR(J345="",N345="",P345=""),"",IF(T345=0,0,T345*Q345-Settings!$B$4/10000-IF(T345&lt;0,Settings!$B$5/10000,0))),"")</f>
        <v>5.6500000000000002E-2</v>
      </c>
      <c r="V345" t="s">
        <v>1587</v>
      </c>
      <c r="W345" s="21">
        <f t="shared" si="56"/>
        <v>1800</v>
      </c>
      <c r="X345" s="91" t="str">
        <f t="shared" si="57"/>
        <v>Caterpillar|2026|Q1</v>
      </c>
      <c r="Y345" s="91" t="str">
        <f>IFERROR(IF($X345="","",INDEX(LLM_Data_Entry!$H$3:$H$548,MATCH($X345,INDEX(LLM_Data_Entry!$A$3:$A$548&amp;"|"&amp;LLM_Data_Entry!$C$3:$C$548&amp;"|"&amp;LLM_Data_Entry!$D$3:$D$548,0),0))),"")</f>
        <v/>
      </c>
      <c r="Z345" s="91" t="str">
        <f>IFERROR(IF($X345="","",INDEX(LLM_Data_Entry!$R$3:$R$548,MATCH($X345,INDEX(LLM_Data_Entry!$A$3:$A$548&amp;"|"&amp;LLM_Data_Entry!$C$3:$C$548&amp;"|"&amp;LLM_Data_Entry!$D$3:$D$548,0),0))),"")</f>
        <v/>
      </c>
      <c r="AB345" t="s">
        <v>541</v>
      </c>
      <c r="AC345" t="s">
        <v>1477</v>
      </c>
      <c r="AD345" t="s">
        <v>656</v>
      </c>
      <c r="AE345">
        <v>808.55</v>
      </c>
      <c r="AF345" t="s">
        <v>657</v>
      </c>
      <c r="AG345">
        <v>855.04380000000003</v>
      </c>
      <c r="AH345">
        <v>5.7502633320679342E-2</v>
      </c>
      <c r="AI345" t="s">
        <v>591</v>
      </c>
      <c r="AJ345" t="s">
        <v>554</v>
      </c>
      <c r="AK345">
        <v>5.6502999999999998E-2</v>
      </c>
      <c r="AL345" t="str">
        <f>IF($A345="","",IFERROR(INDEX(Company_List!$G$3:$G$207,MATCH($A345,Company_List!$A$3:$A$207,0)),"unassigned"))</f>
        <v>both</v>
      </c>
      <c r="AM345" t="s">
        <v>1588</v>
      </c>
      <c r="AN345" t="s">
        <v>1589</v>
      </c>
      <c r="AO345" t="s">
        <v>560</v>
      </c>
      <c r="AP345" t="str">
        <f>IF($A345="","",IF(COUNTIFS(LLM_Data_Entry!$A$3:$A$548,$A345)&gt;0,"YES","NO"))</f>
        <v>YES</v>
      </c>
      <c r="AQ345" t="str">
        <f>IF($A345="","",IF(COUNTIFS($A$3:$A345,$A345,$C$3:$C345,$C345,$D$3:$D345,$D345)=1,"YES","NO"))</f>
        <v>YES</v>
      </c>
      <c r="AR345" t="str">
        <f>IF($A345="","",IF(AND($C345&amp;"-"&amp;$D345&gt;=Settings!$B$19,$C345&amp;"-"&amp;$D345&lt;=Settings!$B$20),"IN","OUT"))</f>
        <v>IN</v>
      </c>
      <c r="AS345" t="str">
        <f t="shared" si="58"/>
        <v>transcript only</v>
      </c>
      <c r="AT345">
        <f t="shared" si="59"/>
        <v>5.6500000000000002E-2</v>
      </c>
      <c r="AU345">
        <f t="shared" si="60"/>
        <v>5.6502999999999998E-2</v>
      </c>
      <c r="AV345">
        <f>IF(ISNUMBER($AT345),ABS(IF(ISNUMBER($I345),$I345,0)-Settings!$B$24),"")</f>
        <v>0.6</v>
      </c>
      <c r="AW345">
        <f t="shared" si="61"/>
        <v>3.39E-2</v>
      </c>
      <c r="AX345">
        <f>IF(ISNUMBER($AU345),ABS(IF(ISNUMBER($I345),$I345,0)-Settings!$B$24),"")</f>
        <v>0.6</v>
      </c>
      <c r="AY345" t="s">
        <v>549</v>
      </c>
      <c r="AZ345" t="str">
        <f>IF($A345="","",IFERROR(INDEX(Company_List!$H$3:$H$207,MATCH($A345,Company_List!$A$3:$A$207,0)),"unassigned"))</f>
        <v>Industrials</v>
      </c>
      <c r="BA345">
        <v>2</v>
      </c>
      <c r="BB345">
        <v>2</v>
      </c>
      <c r="BC345">
        <f>IF($A345="","",IF(COUNTIFS($A$3:$A345,$A345,$C$3:$C345,$C345,$D$3:$D345,$D345,$G$3:$G345,$G345)=1,1,0))</f>
        <v>1</v>
      </c>
      <c r="BD345">
        <v>16</v>
      </c>
      <c r="BE345">
        <v>14</v>
      </c>
      <c r="BF345">
        <v>0.6</v>
      </c>
      <c r="BG345" t="s">
        <v>550</v>
      </c>
      <c r="BJ345" t="s">
        <v>1519</v>
      </c>
      <c r="BK345" t="str">
        <f t="shared" si="62"/>
        <v/>
      </c>
      <c r="BL345" t="s">
        <v>1520</v>
      </c>
      <c r="BM345">
        <v>1</v>
      </c>
      <c r="BN345" t="s">
        <v>595</v>
      </c>
      <c r="BO345" t="s">
        <v>596</v>
      </c>
      <c r="BP345" t="s">
        <v>550</v>
      </c>
      <c r="BQ345" t="s">
        <v>562</v>
      </c>
      <c r="BS345" t="s">
        <v>546</v>
      </c>
      <c r="BT345" t="s">
        <v>1110</v>
      </c>
    </row>
    <row r="346" spans="1:72" x14ac:dyDescent="0.2">
      <c r="A346" s="1" t="s">
        <v>1530</v>
      </c>
      <c r="B346" s="142" t="str">
        <f>IF(A346="","",_xlfn.XLOOKUP(A346, Company_List!$A:$A, Company_List!$B:$B, ""))</f>
        <v>HD</v>
      </c>
      <c r="C346" s="143">
        <v>2026</v>
      </c>
      <c r="D346" s="143" t="s">
        <v>537</v>
      </c>
      <c r="E346" s="98" t="s">
        <v>647</v>
      </c>
      <c r="F346" s="98" t="s">
        <v>538</v>
      </c>
      <c r="G346" s="143" t="s">
        <v>575</v>
      </c>
      <c r="H346" s="106" t="s">
        <v>540</v>
      </c>
      <c r="I346" s="145">
        <v>0.4</v>
      </c>
      <c r="J346" s="145" t="str">
        <f>IF(OR(I346="",Settings!$B$6=""),"",IF(I346&gt;Settings!$B$6,"BUY",IF(I346&lt;-Settings!$B$6,"SELL","HOLD")))</f>
        <v>BUY</v>
      </c>
      <c r="K346" s="145">
        <v>25</v>
      </c>
      <c r="L346" s="123">
        <v>46161</v>
      </c>
      <c r="M346" s="140" t="s">
        <v>985</v>
      </c>
      <c r="N346" s="147">
        <v>310.09410000000003</v>
      </c>
      <c r="O346" s="140" t="s">
        <v>731</v>
      </c>
      <c r="P346" s="145">
        <v>311.07670000000002</v>
      </c>
      <c r="Q346" s="151">
        <f t="shared" si="53"/>
        <v>3.2000000000000002E-3</v>
      </c>
      <c r="R346" s="118" t="str">
        <f>IF(OR(N346="",P346=""),"",IF(Q346&gt;Settings!$B$3/100,"UP",IF(Q346&lt;-Settings!$B$3/100,"DOWN","FLAT")))</f>
        <v>FLAT</v>
      </c>
      <c r="S346" s="118" t="str">
        <f t="shared" si="54"/>
        <v>NO</v>
      </c>
      <c r="T346" s="119">
        <f t="shared" si="55"/>
        <v>1</v>
      </c>
      <c r="U346" s="150">
        <f>IFERROR(IF(OR(J346="",N346="",P346=""),"",IF(T346=0,0,T346*Q346-Settings!$B$4/10000-IF(T346&lt;0,Settings!$B$5/10000,0))),"")</f>
        <v>2.2000000000000001E-3</v>
      </c>
      <c r="V346" t="s">
        <v>1590</v>
      </c>
      <c r="W346" s="21">
        <f t="shared" si="56"/>
        <v>1500</v>
      </c>
      <c r="X346" s="91" t="str">
        <f t="shared" si="57"/>
        <v>Home Depot|2026|Q1</v>
      </c>
      <c r="Y346" s="91" t="str">
        <f>IFERROR(IF($X346="","",INDEX(LLM_Data_Entry!$H$3:$H$548,MATCH($X346,INDEX(LLM_Data_Entry!$A$3:$A$548&amp;"|"&amp;LLM_Data_Entry!$C$3:$C$548&amp;"|"&amp;LLM_Data_Entry!$D$3:$D$548,0),0))),"")</f>
        <v>SELL</v>
      </c>
      <c r="Z346" s="91">
        <f>IFERROR(IF($X346="","",INDEX(LLM_Data_Entry!$R$3:$R$548,MATCH($X346,INDEX(LLM_Data_Entry!$A$3:$A$548&amp;"|"&amp;LLM_Data_Entry!$C$3:$C$548&amp;"|"&amp;LLM_Data_Entry!$D$3:$D$548,0),0))),"")</f>
        <v>0</v>
      </c>
      <c r="AB346" t="s">
        <v>541</v>
      </c>
      <c r="AC346" t="s">
        <v>1532</v>
      </c>
      <c r="AD346" t="s">
        <v>1591</v>
      </c>
      <c r="AE346">
        <v>297.57799999999997</v>
      </c>
      <c r="AF346" t="s">
        <v>796</v>
      </c>
      <c r="AG346">
        <v>289.69709999999998</v>
      </c>
      <c r="AH346">
        <v>-2.6483485827108261E-2</v>
      </c>
      <c r="AI346" t="s">
        <v>545</v>
      </c>
      <c r="AJ346" t="s">
        <v>546</v>
      </c>
      <c r="AK346">
        <v>-2.7483E-2</v>
      </c>
      <c r="AL346" t="str">
        <f>IF($A346="","",IFERROR(INDEX(Company_List!$G$3:$G$207,MATCH($A346,Company_List!$A$3:$A$207,0)),"unassigned"))</f>
        <v>P3</v>
      </c>
      <c r="AM346" t="s">
        <v>1592</v>
      </c>
      <c r="AN346" t="s">
        <v>1593</v>
      </c>
      <c r="AO346" t="s">
        <v>560</v>
      </c>
      <c r="AP346" t="str">
        <f>IF($A346="","",IF(COUNTIFS(LLM_Data_Entry!$A$3:$A$548,$A346)&gt;0,"YES","NO"))</f>
        <v>YES</v>
      </c>
      <c r="AQ346" t="str">
        <f>IF($A346="","",IF(COUNTIFS($A$3:$A346,$A346,$C$3:$C346,$C346,$D$3:$D346,$D346)=1,"YES","NO"))</f>
        <v>YES</v>
      </c>
      <c r="AR346" t="str">
        <f>IF($A346="","",IF(AND($C346&amp;"-"&amp;$D346&gt;=Settings!$B$19,$C346&amp;"-"&amp;$D346&lt;=Settings!$B$20),"IN","OUT"))</f>
        <v>IN</v>
      </c>
      <c r="AS346" t="str">
        <f t="shared" si="58"/>
        <v>transcript only</v>
      </c>
      <c r="AT346">
        <f t="shared" si="59"/>
        <v>2.2000000000000001E-3</v>
      </c>
      <c r="AU346">
        <f t="shared" si="60"/>
        <v>-2.7483E-2</v>
      </c>
      <c r="AV346">
        <f>IF(ISNUMBER($AT346),ABS(IF(ISNUMBER($I346),$I346,0)-Settings!$B$24),"")</f>
        <v>0.4</v>
      </c>
      <c r="AW346">
        <f t="shared" si="61"/>
        <v>8.8000000000000014E-4</v>
      </c>
      <c r="AX346">
        <f>IF(ISNUMBER($AU346),ABS(IF(ISNUMBER($I346),$I346,0)-Settings!$B$24),"")</f>
        <v>0.4</v>
      </c>
      <c r="AY346" t="s">
        <v>1183</v>
      </c>
      <c r="AZ346" t="str">
        <f>IF($A346="","",IFERROR(INDEX(Company_List!$H$3:$H$207,MATCH($A346,Company_List!$A$3:$A$207,0)),"unassigned"))</f>
        <v>Consumer Discretionary</v>
      </c>
      <c r="BA346">
        <v>2</v>
      </c>
      <c r="BB346">
        <v>2</v>
      </c>
      <c r="BC346">
        <f>IF($A346="","",IF(COUNTIFS($A$3:$A346,$A346,$C$3:$C346,$C346,$D$3:$D346,$D346,$G$3:$G346,$G346)=1,1,0))</f>
        <v>1</v>
      </c>
      <c r="BD346">
        <v>13</v>
      </c>
      <c r="BE346">
        <v>12</v>
      </c>
      <c r="BF346">
        <v>0.4</v>
      </c>
      <c r="BG346" t="s">
        <v>550</v>
      </c>
      <c r="BJ346" t="s">
        <v>1519</v>
      </c>
      <c r="BK346">
        <f t="shared" si="62"/>
        <v>0</v>
      </c>
      <c r="BL346" t="s">
        <v>1520</v>
      </c>
      <c r="BM346">
        <v>1</v>
      </c>
      <c r="BN346" t="s">
        <v>561</v>
      </c>
      <c r="BO346" t="s">
        <v>561</v>
      </c>
      <c r="BP346" t="s">
        <v>550</v>
      </c>
      <c r="BQ346" t="s">
        <v>562</v>
      </c>
      <c r="BS346" t="s">
        <v>554</v>
      </c>
    </row>
    <row r="347" spans="1:72" x14ac:dyDescent="0.2">
      <c r="A347" s="1" t="s">
        <v>1536</v>
      </c>
      <c r="B347" s="142" t="str">
        <f>IF(A347="","",_xlfn.XLOOKUP(A347, Company_List!$A:$A, Company_List!$B:$B, ""))</f>
        <v>ADBE</v>
      </c>
      <c r="C347" s="143">
        <v>2026</v>
      </c>
      <c r="D347" s="143" t="s">
        <v>555</v>
      </c>
      <c r="E347" s="98" t="s">
        <v>647</v>
      </c>
      <c r="F347" s="98" t="s">
        <v>538</v>
      </c>
      <c r="G347" s="143" t="s">
        <v>575</v>
      </c>
      <c r="H347" s="106" t="s">
        <v>540</v>
      </c>
      <c r="I347" s="145">
        <v>0.9</v>
      </c>
      <c r="J347" s="145" t="str">
        <f>IF(OR(I347="",Settings!$B$6=""),"",IF(I347&gt;Settings!$B$6,"BUY",IF(I347&lt;-Settings!$B$6,"SELL","HOLD")))</f>
        <v>BUY</v>
      </c>
      <c r="K347" s="145">
        <v>33</v>
      </c>
      <c r="L347" s="123">
        <v>46184</v>
      </c>
      <c r="M347" s="140" t="s">
        <v>1594</v>
      </c>
      <c r="N347" s="147">
        <v>238.24</v>
      </c>
      <c r="O347" s="140" t="s">
        <v>1394</v>
      </c>
      <c r="P347" s="145">
        <v>239.57</v>
      </c>
      <c r="Q347" s="151">
        <f t="shared" si="53"/>
        <v>5.5999999999999999E-3</v>
      </c>
      <c r="R347" s="118" t="str">
        <f>IF(OR(N347="",P347=""),"",IF(Q347&gt;Settings!$B$3/100,"UP",IF(Q347&lt;-Settings!$B$3/100,"DOWN","FLAT")))</f>
        <v>FLAT</v>
      </c>
      <c r="S347" s="118" t="str">
        <f t="shared" si="54"/>
        <v>NO</v>
      </c>
      <c r="T347" s="119">
        <f t="shared" si="55"/>
        <v>1</v>
      </c>
      <c r="U347" s="150">
        <f>IFERROR(IF(OR(J347="",N347="",P347=""),"",IF(T347=0,0,T347*Q347-Settings!$B$4/10000-IF(T347&lt;0,Settings!$B$5/10000,0))),"")</f>
        <v>4.5999999999999999E-3</v>
      </c>
      <c r="V347" t="s">
        <v>1595</v>
      </c>
      <c r="W347" s="21">
        <f t="shared" si="56"/>
        <v>1980</v>
      </c>
      <c r="X347" s="91" t="str">
        <f t="shared" si="57"/>
        <v>Adobe|2026|Q2</v>
      </c>
      <c r="Y347" s="91" t="str">
        <f>IFERROR(IF($X347="","",INDEX(LLM_Data_Entry!$H$3:$H$548,MATCH($X347,INDEX(LLM_Data_Entry!$A$3:$A$548&amp;"|"&amp;LLM_Data_Entry!$C$3:$C$548&amp;"|"&amp;LLM_Data_Entry!$D$3:$D$548,0),0))),"")</f>
        <v>HOLD</v>
      </c>
      <c r="Z347" s="91">
        <f>IFERROR(IF($X347="","",INDEX(LLM_Data_Entry!$R$3:$R$548,MATCH($X347,INDEX(LLM_Data_Entry!$A$3:$A$548&amp;"|"&amp;LLM_Data_Entry!$C$3:$C$548&amp;"|"&amp;LLM_Data_Entry!$D$3:$D$548,0),0))),"")</f>
        <v>0</v>
      </c>
      <c r="AB347" t="s">
        <v>685</v>
      </c>
      <c r="AC347" t="s">
        <v>1538</v>
      </c>
      <c r="AD347" t="s">
        <v>1596</v>
      </c>
      <c r="AE347">
        <v>218.8</v>
      </c>
      <c r="AF347" t="s">
        <v>1597</v>
      </c>
      <c r="AG347">
        <v>202.4</v>
      </c>
      <c r="AH347">
        <v>-7.4954336266622498E-2</v>
      </c>
      <c r="AI347" t="s">
        <v>545</v>
      </c>
      <c r="AJ347" t="s">
        <v>546</v>
      </c>
      <c r="AK347">
        <v>-7.5953999999999994E-2</v>
      </c>
      <c r="AL347" t="str">
        <f>IF($A347="","",IFERROR(INDEX(Company_List!$G$3:$G$207,MATCH($A347,Company_List!$A$3:$A$207,0)),"unassigned"))</f>
        <v>P3</v>
      </c>
      <c r="AM347" t="s">
        <v>1598</v>
      </c>
      <c r="AN347" t="s">
        <v>1599</v>
      </c>
      <c r="AO347" t="s">
        <v>560</v>
      </c>
      <c r="AP347" t="str">
        <f>IF($A347="","",IF(COUNTIFS(LLM_Data_Entry!$A$3:$A$548,$A347)&gt;0,"YES","NO"))</f>
        <v>YES</v>
      </c>
      <c r="AQ347" t="str">
        <f>IF($A347="","",IF(COUNTIFS($A$3:$A347,$A347,$C$3:$C347,$C347,$D$3:$D347,$D347)=1,"YES","NO"))</f>
        <v>YES</v>
      </c>
      <c r="AR347" t="str">
        <f>IF($A347="","",IF(AND($C347&amp;"-"&amp;$D347&gt;=Settings!$B$19,$C347&amp;"-"&amp;$D347&lt;=Settings!$B$20),"IN","OUT"))</f>
        <v>IN</v>
      </c>
      <c r="AS347" t="str">
        <f t="shared" si="58"/>
        <v>transcript only</v>
      </c>
      <c r="AT347">
        <f t="shared" si="59"/>
        <v>4.5999999999999999E-3</v>
      </c>
      <c r="AU347">
        <f t="shared" si="60"/>
        <v>-7.5953999999999994E-2</v>
      </c>
      <c r="AV347">
        <f>IF(ISNUMBER($AT347),ABS(IF(ISNUMBER($I347),$I347,0)-Settings!$B$24),"")</f>
        <v>0.9</v>
      </c>
      <c r="AW347">
        <f t="shared" si="61"/>
        <v>4.1400000000000005E-3</v>
      </c>
      <c r="AX347">
        <f>IF(ISNUMBER($AU347),ABS(IF(ISNUMBER($I347),$I347,0)-Settings!$B$24),"")</f>
        <v>0.9</v>
      </c>
      <c r="AY347" t="s">
        <v>1183</v>
      </c>
      <c r="AZ347" t="str">
        <f>IF($A347="","",IFERROR(INDEX(Company_List!$H$3:$H$207,MATCH($A347,Company_List!$A$3:$A$207,0)),"unassigned"))</f>
        <v>Information Technology</v>
      </c>
      <c r="BA347">
        <v>2</v>
      </c>
      <c r="BB347">
        <v>2</v>
      </c>
      <c r="BC347">
        <f>IF($A347="","",IF(COUNTIFS($A$3:$A347,$A347,$C$3:$C347,$C347,$D$3:$D347,$D347,$G$3:$G347,$G347)=1,1,0))</f>
        <v>1</v>
      </c>
      <c r="BD347">
        <v>15</v>
      </c>
      <c r="BE347">
        <v>18</v>
      </c>
      <c r="BF347">
        <v>0.8</v>
      </c>
      <c r="BG347" t="s">
        <v>550</v>
      </c>
      <c r="BJ347" t="s">
        <v>1519</v>
      </c>
      <c r="BK347">
        <f t="shared" si="62"/>
        <v>0</v>
      </c>
      <c r="BL347" t="s">
        <v>1520</v>
      </c>
      <c r="BM347">
        <v>1</v>
      </c>
      <c r="BN347" t="s">
        <v>595</v>
      </c>
      <c r="BO347" t="s">
        <v>596</v>
      </c>
      <c r="BP347" t="s">
        <v>550</v>
      </c>
      <c r="BQ347" t="s">
        <v>562</v>
      </c>
      <c r="BS347" t="s">
        <v>554</v>
      </c>
    </row>
    <row r="348" spans="1:72" x14ac:dyDescent="0.2">
      <c r="A348" s="1" t="s">
        <v>1600</v>
      </c>
      <c r="B348" s="142" t="str">
        <f>IF(A348="","",_xlfn.XLOOKUP(A348, Company_List!$A:$A, Company_List!$B:$B, ""))</f>
        <v>PEP</v>
      </c>
      <c r="C348" s="143">
        <v>2023</v>
      </c>
      <c r="D348" s="143" t="s">
        <v>537</v>
      </c>
      <c r="E348" s="98" t="s">
        <v>538</v>
      </c>
      <c r="F348" s="98" t="s">
        <v>538</v>
      </c>
      <c r="G348" s="143" t="s">
        <v>575</v>
      </c>
      <c r="H348" s="106" t="s">
        <v>540</v>
      </c>
      <c r="I348" s="145">
        <v>0.2</v>
      </c>
      <c r="J348" s="145" t="str">
        <f>IF(OR(I348="",Settings!$B$6=""),"",IF(I348&gt;Settings!$B$6,"BUY",IF(I348&lt;-Settings!$B$6,"SELL","HOLD")))</f>
        <v>HOLD</v>
      </c>
      <c r="K348" s="145">
        <v>22</v>
      </c>
      <c r="L348" s="123">
        <v>45041</v>
      </c>
      <c r="M348" s="140">
        <v>45040</v>
      </c>
      <c r="N348" s="147">
        <v>185.5</v>
      </c>
      <c r="O348" s="140">
        <v>45041</v>
      </c>
      <c r="P348" s="145">
        <v>186.56</v>
      </c>
      <c r="Q348" s="151">
        <f t="shared" si="53"/>
        <v>5.7000000000000002E-3</v>
      </c>
      <c r="R348" s="118" t="str">
        <f>IF(OR(N348="",P348=""),"",IF(Q348&gt;Settings!$B$3/100,"UP",IF(Q348&lt;-Settings!$B$3/100,"DOWN","FLAT")))</f>
        <v>FLAT</v>
      </c>
      <c r="S348" s="118" t="str">
        <f t="shared" si="54"/>
        <v>YES</v>
      </c>
      <c r="T348" s="119">
        <f t="shared" si="55"/>
        <v>0</v>
      </c>
      <c r="U348" s="150">
        <f>IFERROR(IF(OR(J348="",N348="",P348=""),"",IF(T348=0,0,T348*Q348-Settings!$B$4/10000-IF(T348&lt;0,Settings!$B$5/10000,0))),"")</f>
        <v>0</v>
      </c>
      <c r="V348" t="s">
        <v>1601</v>
      </c>
      <c r="W348" s="21">
        <f t="shared" si="56"/>
        <v>1320</v>
      </c>
      <c r="X348" s="91" t="str">
        <f t="shared" si="57"/>
        <v>PepsiCo|2023|Q1</v>
      </c>
      <c r="Y348" s="91" t="str">
        <f>IFERROR(IF($X348="","",INDEX(LLM_Data_Entry!$H$3:$H$548,MATCH($X348,INDEX(LLM_Data_Entry!$A$3:$A$548&amp;"|"&amp;LLM_Data_Entry!$C$3:$C$548&amp;"|"&amp;LLM_Data_Entry!$D$3:$D$548,0),0))),"")</f>
        <v>BUY</v>
      </c>
      <c r="Z348" s="91" t="str">
        <f>IFERROR(IF($X348="","",INDEX(LLM_Data_Entry!$R$3:$R$548,MATCH($X348,INDEX(LLM_Data_Entry!$A$3:$A$548&amp;"|"&amp;LLM_Data_Entry!$C$3:$C$548&amp;"|"&amp;LLM_Data_Entry!$D$3:$D$548,0),0))),"")</f>
        <v>NO</v>
      </c>
      <c r="AB348" t="s">
        <v>636</v>
      </c>
      <c r="AC348" t="s">
        <v>1602</v>
      </c>
      <c r="AD348" t="s">
        <v>1603</v>
      </c>
      <c r="AE348">
        <v>165.90600000000001</v>
      </c>
      <c r="AF348" t="s">
        <v>1604</v>
      </c>
      <c r="AG348">
        <v>166.85409999999999</v>
      </c>
      <c r="AH348">
        <v>5.7143160602478133E-3</v>
      </c>
      <c r="AI348" t="s">
        <v>579</v>
      </c>
      <c r="AJ348" t="s">
        <v>554</v>
      </c>
      <c r="AK348">
        <v>0</v>
      </c>
      <c r="AL348" t="str">
        <f>IF($A348="","",IFERROR(INDEX(Company_List!$G$3:$G$207,MATCH($A348,Company_List!$A$3:$A$207,0)),"unassigned"))</f>
        <v>P2</v>
      </c>
      <c r="AM348" t="s">
        <v>1605</v>
      </c>
      <c r="AN348" t="s">
        <v>1606</v>
      </c>
      <c r="AO348" t="s">
        <v>754</v>
      </c>
      <c r="AP348" t="str">
        <f>IF($A348="","",IF(COUNTIFS(LLM_Data_Entry!$A$3:$A$548,$A348)&gt;0,"YES","NO"))</f>
        <v>YES</v>
      </c>
      <c r="AQ348" t="str">
        <f>IF($A348="","",IF(COUNTIFS($A$3:$A348,$A348,$C$3:$C348,$C348,$D$3:$D348,$D348)=1,"YES","NO"))</f>
        <v>YES</v>
      </c>
      <c r="AR348" t="str">
        <f>IF($A348="","",IF(AND($C348&amp;"-"&amp;$D348&gt;=Settings!$B$19,$C348&amp;"-"&amp;$D348&lt;=Settings!$B$20),"IN","OUT"))</f>
        <v>IN</v>
      </c>
      <c r="AS348" t="str">
        <f t="shared" si="58"/>
        <v>full</v>
      </c>
      <c r="AT348" t="str">
        <f t="shared" si="59"/>
        <v/>
      </c>
      <c r="AU348" t="str">
        <f t="shared" si="60"/>
        <v/>
      </c>
      <c r="AV348" t="str">
        <f>IF(ISNUMBER($AT348),ABS(IF(ISNUMBER($I348),$I348,0)-Settings!$B$24),"")</f>
        <v/>
      </c>
      <c r="AW348" t="str">
        <f t="shared" si="61"/>
        <v/>
      </c>
      <c r="AX348" t="str">
        <f>IF(ISNUMBER($AU348),ABS(IF(ISNUMBER($I348),$I348,0)-Settings!$B$24),"")</f>
        <v/>
      </c>
      <c r="AY348" t="s">
        <v>549</v>
      </c>
      <c r="AZ348" t="str">
        <f>IF($A348="","",IFERROR(INDEX(Company_List!$H$3:$H$207,MATCH($A348,Company_List!$A$3:$A$207,0)),"unassigned"))</f>
        <v>Consumer Staples</v>
      </c>
      <c r="BC348">
        <f>IF($A348="","",IF(COUNTIFS($A$3:$A348,$A348,$C$3:$C348,$C348,$D$3:$D348,$D348,$G$3:$G348,$G348)=1,1,0))</f>
        <v>1</v>
      </c>
      <c r="BG348" t="s">
        <v>550</v>
      </c>
      <c r="BK348">
        <f t="shared" si="62"/>
        <v>0</v>
      </c>
      <c r="BL348" t="s">
        <v>551</v>
      </c>
      <c r="BM348">
        <v>2</v>
      </c>
      <c r="BN348" t="s">
        <v>882</v>
      </c>
      <c r="BO348" t="s">
        <v>596</v>
      </c>
      <c r="BP348" t="s">
        <v>550</v>
      </c>
      <c r="BQ348" t="s">
        <v>562</v>
      </c>
      <c r="BS348" t="s">
        <v>554</v>
      </c>
    </row>
    <row r="349" spans="1:72" x14ac:dyDescent="0.2">
      <c r="A349" s="1" t="s">
        <v>1600</v>
      </c>
      <c r="B349" s="142" t="str">
        <f>IF(A349="","",_xlfn.XLOOKUP(A349, Company_List!$A:$A, Company_List!$B:$B, ""))</f>
        <v>PEP</v>
      </c>
      <c r="C349" s="143">
        <v>2023</v>
      </c>
      <c r="D349" s="143" t="s">
        <v>555</v>
      </c>
      <c r="E349" s="98" t="s">
        <v>538</v>
      </c>
      <c r="F349" s="98" t="s">
        <v>538</v>
      </c>
      <c r="G349" s="143" t="s">
        <v>575</v>
      </c>
      <c r="H349" s="106" t="s">
        <v>540</v>
      </c>
      <c r="I349" s="145">
        <v>0.2</v>
      </c>
      <c r="J349" s="145" t="str">
        <f>IF(OR(I349="",Settings!$B$6=""),"",IF(I349&gt;Settings!$B$6,"BUY",IF(I349&lt;-Settings!$B$6,"SELL","HOLD")))</f>
        <v>HOLD</v>
      </c>
      <c r="K349" s="145">
        <v>21</v>
      </c>
      <c r="L349" s="123">
        <v>45120</v>
      </c>
      <c r="M349" s="140">
        <v>45119</v>
      </c>
      <c r="N349" s="147">
        <v>183.17</v>
      </c>
      <c r="O349" s="140">
        <v>45120</v>
      </c>
      <c r="P349" s="145">
        <v>185.8</v>
      </c>
      <c r="Q349" s="151">
        <f t="shared" si="53"/>
        <v>1.44E-2</v>
      </c>
      <c r="R349" s="118" t="str">
        <f>IF(OR(N349="",P349=""),"",IF(Q349&gt;Settings!$B$3/100,"UP",IF(Q349&lt;-Settings!$B$3/100,"DOWN","FLAT")))</f>
        <v>FLAT</v>
      </c>
      <c r="S349" s="118" t="str">
        <f t="shared" si="54"/>
        <v>YES</v>
      </c>
      <c r="T349" s="119">
        <f t="shared" si="55"/>
        <v>0</v>
      </c>
      <c r="U349" s="150">
        <f>IFERROR(IF(OR(J349="",N349="",P349=""),"",IF(T349=0,0,T349*Q349-Settings!$B$4/10000-IF(T349&lt;0,Settings!$B$5/10000,0))),"")</f>
        <v>0</v>
      </c>
      <c r="V349" t="s">
        <v>1607</v>
      </c>
      <c r="W349" s="21">
        <f t="shared" si="56"/>
        <v>1260</v>
      </c>
      <c r="X349" s="91" t="str">
        <f t="shared" si="57"/>
        <v>PepsiCo|2023|Q2</v>
      </c>
      <c r="Y349" s="91" t="str">
        <f>IFERROR(IF($X349="","",INDEX(LLM_Data_Entry!$H$3:$H$548,MATCH($X349,INDEX(LLM_Data_Entry!$A$3:$A$548&amp;"|"&amp;LLM_Data_Entry!$C$3:$C$548&amp;"|"&amp;LLM_Data_Entry!$D$3:$D$548,0),0))),"")</f>
        <v>BUY</v>
      </c>
      <c r="Z349" s="91" t="str">
        <f>IFERROR(IF($X349="","",INDEX(LLM_Data_Entry!$R$3:$R$548,MATCH($X349,INDEX(LLM_Data_Entry!$A$3:$A$548&amp;"|"&amp;LLM_Data_Entry!$C$3:$C$548&amp;"|"&amp;LLM_Data_Entry!$D$3:$D$548,0),0))),"")</f>
        <v>NO</v>
      </c>
      <c r="AB349" t="s">
        <v>636</v>
      </c>
      <c r="AC349" t="s">
        <v>1602</v>
      </c>
      <c r="AD349" t="s">
        <v>1608</v>
      </c>
      <c r="AE349">
        <v>164.9666</v>
      </c>
      <c r="AF349" t="s">
        <v>1609</v>
      </c>
      <c r="AG349">
        <v>167.33519999999999</v>
      </c>
      <c r="AH349">
        <v>1.4358322849737081E-2</v>
      </c>
      <c r="AI349" t="s">
        <v>579</v>
      </c>
      <c r="AJ349" t="s">
        <v>554</v>
      </c>
      <c r="AK349">
        <v>0</v>
      </c>
      <c r="AL349" t="str">
        <f>IF($A349="","",IFERROR(INDEX(Company_List!$G$3:$G$207,MATCH($A349,Company_List!$A$3:$A$207,0)),"unassigned"))</f>
        <v>P2</v>
      </c>
      <c r="AM349" t="s">
        <v>1610</v>
      </c>
      <c r="AN349" t="s">
        <v>1611</v>
      </c>
      <c r="AO349" t="s">
        <v>754</v>
      </c>
      <c r="AP349" t="str">
        <f>IF($A349="","",IF(COUNTIFS(LLM_Data_Entry!$A$3:$A$548,$A349)&gt;0,"YES","NO"))</f>
        <v>YES</v>
      </c>
      <c r="AQ349" t="str">
        <f>IF($A349="","",IF(COUNTIFS($A$3:$A349,$A349,$C$3:$C349,$C349,$D$3:$D349,$D349)=1,"YES","NO"))</f>
        <v>YES</v>
      </c>
      <c r="AR349" t="str">
        <f>IF($A349="","",IF(AND($C349&amp;"-"&amp;$D349&gt;=Settings!$B$19,$C349&amp;"-"&amp;$D349&lt;=Settings!$B$20),"IN","OUT"))</f>
        <v>IN</v>
      </c>
      <c r="AS349" t="str">
        <f t="shared" si="58"/>
        <v>full</v>
      </c>
      <c r="AT349" t="str">
        <f t="shared" si="59"/>
        <v/>
      </c>
      <c r="AU349" t="str">
        <f t="shared" si="60"/>
        <v/>
      </c>
      <c r="AV349" t="str">
        <f>IF(ISNUMBER($AT349),ABS(IF(ISNUMBER($I349),$I349,0)-Settings!$B$24),"")</f>
        <v/>
      </c>
      <c r="AW349" t="str">
        <f t="shared" si="61"/>
        <v/>
      </c>
      <c r="AX349" t="str">
        <f>IF(ISNUMBER($AU349),ABS(IF(ISNUMBER($I349),$I349,0)-Settings!$B$24),"")</f>
        <v/>
      </c>
      <c r="AY349" t="s">
        <v>549</v>
      </c>
      <c r="AZ349" t="str">
        <f>IF($A349="","",IFERROR(INDEX(Company_List!$H$3:$H$207,MATCH($A349,Company_List!$A$3:$A$207,0)),"unassigned"))</f>
        <v>Consumer Staples</v>
      </c>
      <c r="BC349">
        <f>IF($A349="","",IF(COUNTIFS($A$3:$A349,$A349,$C$3:$C349,$C349,$D$3:$D349,$D349,$G$3:$G349,$G349)=1,1,0))</f>
        <v>1</v>
      </c>
      <c r="BG349" t="s">
        <v>550</v>
      </c>
      <c r="BK349">
        <f t="shared" si="62"/>
        <v>0</v>
      </c>
      <c r="BL349" t="s">
        <v>551</v>
      </c>
      <c r="BM349">
        <v>2</v>
      </c>
      <c r="BN349" t="s">
        <v>882</v>
      </c>
      <c r="BO349" t="s">
        <v>596</v>
      </c>
      <c r="BP349" t="s">
        <v>550</v>
      </c>
      <c r="BQ349" t="s">
        <v>562</v>
      </c>
      <c r="BS349" t="s">
        <v>554</v>
      </c>
    </row>
    <row r="350" spans="1:72" x14ac:dyDescent="0.2">
      <c r="A350" s="1" t="s">
        <v>1600</v>
      </c>
      <c r="B350" s="142" t="str">
        <f>IF(A350="","",_xlfn.XLOOKUP(A350, Company_List!$A:$A, Company_List!$B:$B, ""))</f>
        <v>PEP</v>
      </c>
      <c r="C350" s="143">
        <v>2023</v>
      </c>
      <c r="D350" s="143" t="s">
        <v>563</v>
      </c>
      <c r="E350" s="98" t="s">
        <v>538</v>
      </c>
      <c r="F350" s="98" t="s">
        <v>538</v>
      </c>
      <c r="G350" s="143" t="s">
        <v>575</v>
      </c>
      <c r="H350" s="106" t="s">
        <v>540</v>
      </c>
      <c r="I350" s="145">
        <v>0.2</v>
      </c>
      <c r="J350" s="145" t="str">
        <f>IF(OR(I350="",Settings!$B$6=""),"",IF(I350&gt;Settings!$B$6,"BUY",IF(I350&lt;-Settings!$B$6,"SELL","HOLD")))</f>
        <v>HOLD</v>
      </c>
      <c r="K350" s="145">
        <v>20</v>
      </c>
      <c r="L350" s="123">
        <v>45209</v>
      </c>
      <c r="M350" s="140">
        <v>45208</v>
      </c>
      <c r="N350" s="147">
        <v>161.36000000000001</v>
      </c>
      <c r="O350" s="140">
        <v>45209</v>
      </c>
      <c r="P350" s="145">
        <v>164.25</v>
      </c>
      <c r="Q350" s="151">
        <f t="shared" si="53"/>
        <v>1.7899999999999999E-2</v>
      </c>
      <c r="R350" s="118" t="str">
        <f>IF(OR(N350="",P350=""),"",IF(Q350&gt;Settings!$B$3/100,"UP",IF(Q350&lt;-Settings!$B$3/100,"DOWN","FLAT")))</f>
        <v>FLAT</v>
      </c>
      <c r="S350" s="118" t="str">
        <f t="shared" si="54"/>
        <v>YES</v>
      </c>
      <c r="T350" s="119">
        <f t="shared" si="55"/>
        <v>0</v>
      </c>
      <c r="U350" s="150">
        <f>IFERROR(IF(OR(J350="",N350="",P350=""),"",IF(T350=0,0,T350*Q350-Settings!$B$4/10000-IF(T350&lt;0,Settings!$B$5/10000,0))),"")</f>
        <v>0</v>
      </c>
      <c r="V350" t="s">
        <v>1612</v>
      </c>
      <c r="W350" s="21">
        <f t="shared" si="56"/>
        <v>1200</v>
      </c>
      <c r="X350" s="91" t="str">
        <f t="shared" si="57"/>
        <v>PepsiCo|2023|Q3</v>
      </c>
      <c r="Y350" s="91" t="str">
        <f>IFERROR(IF($X350="","",INDEX(LLM_Data_Entry!$H$3:$H$548,MATCH($X350,INDEX(LLM_Data_Entry!$A$3:$A$548&amp;"|"&amp;LLM_Data_Entry!$C$3:$C$548&amp;"|"&amp;LLM_Data_Entry!$D$3:$D$548,0),0))),"")</f>
        <v>BUY</v>
      </c>
      <c r="Z350" s="91" t="str">
        <f>IFERROR(IF($X350="","",INDEX(LLM_Data_Entry!$R$3:$R$548,MATCH($X350,INDEX(LLM_Data_Entry!$A$3:$A$548&amp;"|"&amp;LLM_Data_Entry!$C$3:$C$548&amp;"|"&amp;LLM_Data_Entry!$D$3:$D$548,0),0))),"")</f>
        <v>NO</v>
      </c>
      <c r="AB350" t="s">
        <v>636</v>
      </c>
      <c r="AC350" t="s">
        <v>1602</v>
      </c>
      <c r="AD350" t="s">
        <v>1613</v>
      </c>
      <c r="AE350">
        <v>146.34639999999999</v>
      </c>
      <c r="AF350" t="s">
        <v>1614</v>
      </c>
      <c r="AG350">
        <v>148.9675</v>
      </c>
      <c r="AH350">
        <v>1.7909956955248382E-2</v>
      </c>
      <c r="AI350" t="s">
        <v>579</v>
      </c>
      <c r="AJ350" t="s">
        <v>554</v>
      </c>
      <c r="AK350">
        <v>0</v>
      </c>
      <c r="AL350" t="str">
        <f>IF($A350="","",IFERROR(INDEX(Company_List!$G$3:$G$207,MATCH($A350,Company_List!$A$3:$A$207,0)),"unassigned"))</f>
        <v>P2</v>
      </c>
      <c r="AM350" t="s">
        <v>1615</v>
      </c>
      <c r="AN350" t="s">
        <v>1616</v>
      </c>
      <c r="AO350" t="s">
        <v>754</v>
      </c>
      <c r="AP350" t="str">
        <f>IF($A350="","",IF(COUNTIFS(LLM_Data_Entry!$A$3:$A$548,$A350)&gt;0,"YES","NO"))</f>
        <v>YES</v>
      </c>
      <c r="AQ350" t="str">
        <f>IF($A350="","",IF(COUNTIFS($A$3:$A350,$A350,$C$3:$C350,$C350,$D$3:$D350,$D350)=1,"YES","NO"))</f>
        <v>YES</v>
      </c>
      <c r="AR350" t="str">
        <f>IF($A350="","",IF(AND($C350&amp;"-"&amp;$D350&gt;=Settings!$B$19,$C350&amp;"-"&amp;$D350&lt;=Settings!$B$20),"IN","OUT"))</f>
        <v>IN</v>
      </c>
      <c r="AS350" t="str">
        <f t="shared" si="58"/>
        <v>full</v>
      </c>
      <c r="AT350" t="str">
        <f t="shared" si="59"/>
        <v/>
      </c>
      <c r="AU350" t="str">
        <f t="shared" si="60"/>
        <v/>
      </c>
      <c r="AV350" t="str">
        <f>IF(ISNUMBER($AT350),ABS(IF(ISNUMBER($I350),$I350,0)-Settings!$B$24),"")</f>
        <v/>
      </c>
      <c r="AW350" t="str">
        <f t="shared" si="61"/>
        <v/>
      </c>
      <c r="AX350" t="str">
        <f>IF(ISNUMBER($AU350),ABS(IF(ISNUMBER($I350),$I350,0)-Settings!$B$24),"")</f>
        <v/>
      </c>
      <c r="AY350" t="s">
        <v>549</v>
      </c>
      <c r="AZ350" t="str">
        <f>IF($A350="","",IFERROR(INDEX(Company_List!$H$3:$H$207,MATCH($A350,Company_List!$A$3:$A$207,0)),"unassigned"))</f>
        <v>Consumer Staples</v>
      </c>
      <c r="BC350">
        <f>IF($A350="","",IF(COUNTIFS($A$3:$A350,$A350,$C$3:$C350,$C350,$D$3:$D350,$D350,$G$3:$G350,$G350)=1,1,0))</f>
        <v>1</v>
      </c>
      <c r="BG350" t="s">
        <v>550</v>
      </c>
      <c r="BK350">
        <f t="shared" si="62"/>
        <v>0</v>
      </c>
      <c r="BL350" t="s">
        <v>551</v>
      </c>
      <c r="BM350">
        <v>2</v>
      </c>
      <c r="BN350" t="s">
        <v>882</v>
      </c>
      <c r="BO350" t="s">
        <v>596</v>
      </c>
      <c r="BP350" t="s">
        <v>550</v>
      </c>
      <c r="BQ350" t="s">
        <v>562</v>
      </c>
      <c r="BS350" t="s">
        <v>554</v>
      </c>
    </row>
    <row r="351" spans="1:72" x14ac:dyDescent="0.2">
      <c r="A351" s="1" t="s">
        <v>1600</v>
      </c>
      <c r="B351" s="142" t="str">
        <f>IF(A351="","",_xlfn.XLOOKUP(A351, Company_List!$A:$A, Company_List!$B:$B, ""))</f>
        <v>PEP</v>
      </c>
      <c r="C351" s="143">
        <v>2023</v>
      </c>
      <c r="D351" s="143" t="s">
        <v>569</v>
      </c>
      <c r="E351" s="98" t="s">
        <v>538</v>
      </c>
      <c r="F351" s="98" t="s">
        <v>538</v>
      </c>
      <c r="G351" s="143" t="s">
        <v>575</v>
      </c>
      <c r="H351" s="106" t="s">
        <v>540</v>
      </c>
      <c r="I351" s="145">
        <v>0.2</v>
      </c>
      <c r="J351" s="145" t="str">
        <f>IF(OR(I351="",Settings!$B$6=""),"",IF(I351&gt;Settings!$B$6,"BUY",IF(I351&lt;-Settings!$B$6,"SELL","HOLD")))</f>
        <v>HOLD</v>
      </c>
      <c r="K351" s="145">
        <v>18</v>
      </c>
      <c r="L351" s="123">
        <v>45331</v>
      </c>
      <c r="M351" s="140">
        <v>45330</v>
      </c>
      <c r="N351" s="147">
        <v>173.85</v>
      </c>
      <c r="O351" s="140">
        <v>45331</v>
      </c>
      <c r="P351" s="145">
        <v>171.2</v>
      </c>
      <c r="Q351" s="151">
        <f t="shared" si="53"/>
        <v>-1.52E-2</v>
      </c>
      <c r="R351" s="118" t="str">
        <f>IF(OR(N351="",P351=""),"",IF(Q351&gt;Settings!$B$3/100,"UP",IF(Q351&lt;-Settings!$B$3/100,"DOWN","FLAT")))</f>
        <v>FLAT</v>
      </c>
      <c r="S351" s="118" t="str">
        <f t="shared" si="54"/>
        <v>YES</v>
      </c>
      <c r="T351" s="119">
        <f t="shared" si="55"/>
        <v>0</v>
      </c>
      <c r="U351" s="150">
        <f>IFERROR(IF(OR(J351="",N351="",P351=""),"",IF(T351=0,0,T351*Q351-Settings!$B$4/10000-IF(T351&lt;0,Settings!$B$5/10000,0))),"")</f>
        <v>0</v>
      </c>
      <c r="V351" t="s">
        <v>1617</v>
      </c>
      <c r="W351" s="21">
        <f t="shared" si="56"/>
        <v>1080</v>
      </c>
      <c r="X351" s="91" t="str">
        <f t="shared" si="57"/>
        <v>PepsiCo|2023|Q4</v>
      </c>
      <c r="Y351" s="91" t="str">
        <f>IFERROR(IF($X351="","",INDEX(LLM_Data_Entry!$H$3:$H$548,MATCH($X351,INDEX(LLM_Data_Entry!$A$3:$A$548&amp;"|"&amp;LLM_Data_Entry!$C$3:$C$548&amp;"|"&amp;LLM_Data_Entry!$D$3:$D$548,0),0))),"")</f>
        <v>SELL</v>
      </c>
      <c r="Z351" s="91" t="str">
        <f>IFERROR(IF($X351="","",INDEX(LLM_Data_Entry!$R$3:$R$548,MATCH($X351,INDEX(LLM_Data_Entry!$A$3:$A$548&amp;"|"&amp;LLM_Data_Entry!$C$3:$C$548&amp;"|"&amp;LLM_Data_Entry!$D$3:$D$548,0),0))),"")</f>
        <v>NO</v>
      </c>
      <c r="AB351" t="s">
        <v>636</v>
      </c>
      <c r="AC351" t="s">
        <v>1602</v>
      </c>
      <c r="AD351" t="s">
        <v>1618</v>
      </c>
      <c r="AE351">
        <v>158.8766</v>
      </c>
      <c r="AF351" t="s">
        <v>1619</v>
      </c>
      <c r="AG351">
        <v>156.45480000000001</v>
      </c>
      <c r="AH351">
        <v>-1.524309010372187E-2</v>
      </c>
      <c r="AI351" t="s">
        <v>579</v>
      </c>
      <c r="AJ351" t="s">
        <v>554</v>
      </c>
      <c r="AK351">
        <v>0</v>
      </c>
      <c r="AL351" t="str">
        <f>IF($A351="","",IFERROR(INDEX(Company_List!$G$3:$G$207,MATCH($A351,Company_List!$A$3:$A$207,0)),"unassigned"))</f>
        <v>P2</v>
      </c>
      <c r="AM351" t="s">
        <v>1620</v>
      </c>
      <c r="AN351" t="s">
        <v>1621</v>
      </c>
      <c r="AO351" t="s">
        <v>754</v>
      </c>
      <c r="AP351" t="str">
        <f>IF($A351="","",IF(COUNTIFS(LLM_Data_Entry!$A$3:$A$548,$A351)&gt;0,"YES","NO"))</f>
        <v>YES</v>
      </c>
      <c r="AQ351" t="str">
        <f>IF($A351="","",IF(COUNTIFS($A$3:$A351,$A351,$C$3:$C351,$C351,$D$3:$D351,$D351)=1,"YES","NO"))</f>
        <v>YES</v>
      </c>
      <c r="AR351" t="str">
        <f>IF($A351="","",IF(AND($C351&amp;"-"&amp;$D351&gt;=Settings!$B$19,$C351&amp;"-"&amp;$D351&lt;=Settings!$B$20),"IN","OUT"))</f>
        <v>IN</v>
      </c>
      <c r="AS351" t="str">
        <f t="shared" si="58"/>
        <v>full</v>
      </c>
      <c r="AT351" t="str">
        <f t="shared" si="59"/>
        <v/>
      </c>
      <c r="AU351" t="str">
        <f t="shared" si="60"/>
        <v/>
      </c>
      <c r="AV351" t="str">
        <f>IF(ISNUMBER($AT351),ABS(IF(ISNUMBER($I351),$I351,0)-Settings!$B$24),"")</f>
        <v/>
      </c>
      <c r="AW351" t="str">
        <f t="shared" si="61"/>
        <v/>
      </c>
      <c r="AX351" t="str">
        <f>IF(ISNUMBER($AU351),ABS(IF(ISNUMBER($I351),$I351,0)-Settings!$B$24),"")</f>
        <v/>
      </c>
      <c r="AY351" t="s">
        <v>549</v>
      </c>
      <c r="AZ351" t="str">
        <f>IF($A351="","",IFERROR(INDEX(Company_List!$H$3:$H$207,MATCH($A351,Company_List!$A$3:$A$207,0)),"unassigned"))</f>
        <v>Consumer Staples</v>
      </c>
      <c r="BC351">
        <f>IF($A351="","",IF(COUNTIFS($A$3:$A351,$A351,$C$3:$C351,$C351,$D$3:$D351,$D351,$G$3:$G351,$G351)=1,1,0))</f>
        <v>1</v>
      </c>
      <c r="BG351" t="s">
        <v>550</v>
      </c>
      <c r="BK351">
        <f t="shared" si="62"/>
        <v>0</v>
      </c>
      <c r="BL351" t="s">
        <v>551</v>
      </c>
      <c r="BM351">
        <v>2</v>
      </c>
      <c r="BN351" t="s">
        <v>882</v>
      </c>
      <c r="BO351" t="s">
        <v>596</v>
      </c>
      <c r="BP351" t="s">
        <v>550</v>
      </c>
      <c r="BQ351" t="s">
        <v>562</v>
      </c>
      <c r="BS351" t="s">
        <v>554</v>
      </c>
    </row>
    <row r="352" spans="1:72" x14ac:dyDescent="0.2">
      <c r="A352" s="1" t="s">
        <v>1600</v>
      </c>
      <c r="B352" s="142" t="str">
        <f>IF(A352="","",_xlfn.XLOOKUP(A352, Company_List!$A:$A, Company_List!$B:$B, ""))</f>
        <v>PEP</v>
      </c>
      <c r="C352" s="143">
        <v>2024</v>
      </c>
      <c r="D352" s="143" t="s">
        <v>537</v>
      </c>
      <c r="E352" s="98" t="s">
        <v>538</v>
      </c>
      <c r="F352" s="98" t="s">
        <v>538</v>
      </c>
      <c r="G352" s="143" t="s">
        <v>575</v>
      </c>
      <c r="H352" s="106" t="s">
        <v>540</v>
      </c>
      <c r="I352" s="145">
        <v>0.5</v>
      </c>
      <c r="J352" s="145" t="str">
        <f>IF(OR(I352="",Settings!$B$6=""),"",IF(I352&gt;Settings!$B$6,"BUY",IF(I352&lt;-Settings!$B$6,"SELL","HOLD")))</f>
        <v>BUY</v>
      </c>
      <c r="K352" s="145">
        <v>15</v>
      </c>
      <c r="L352" s="123">
        <v>45405</v>
      </c>
      <c r="M352" s="140">
        <v>45404</v>
      </c>
      <c r="N352" s="147">
        <v>176.46</v>
      </c>
      <c r="O352" s="140">
        <v>45405</v>
      </c>
      <c r="P352" s="145">
        <v>174.7</v>
      </c>
      <c r="Q352" s="151">
        <f t="shared" si="53"/>
        <v>-0.01</v>
      </c>
      <c r="R352" s="118" t="str">
        <f>IF(OR(N352="",P352=""),"",IF(Q352&gt;Settings!$B$3/100,"UP",IF(Q352&lt;-Settings!$B$3/100,"DOWN","FLAT")))</f>
        <v>FLAT</v>
      </c>
      <c r="S352" s="118" t="str">
        <f t="shared" si="54"/>
        <v>NO</v>
      </c>
      <c r="T352" s="119">
        <f t="shared" si="55"/>
        <v>1</v>
      </c>
      <c r="U352" s="150">
        <f>IFERROR(IF(OR(J352="",N352="",P352=""),"",IF(T352=0,0,T352*Q352-Settings!$B$4/10000-IF(T352&lt;0,Settings!$B$5/10000,0))),"")</f>
        <v>-1.0999999999999999E-2</v>
      </c>
      <c r="V352" t="s">
        <v>1622</v>
      </c>
      <c r="W352" s="21">
        <f t="shared" si="56"/>
        <v>900</v>
      </c>
      <c r="X352" s="91" t="str">
        <f t="shared" si="57"/>
        <v>PepsiCo|2024|Q1</v>
      </c>
      <c r="Y352" s="91" t="str">
        <f>IFERROR(IF($X352="","",INDEX(LLM_Data_Entry!$H$3:$H$548,MATCH($X352,INDEX(LLM_Data_Entry!$A$3:$A$548&amp;"|"&amp;LLM_Data_Entry!$C$3:$C$548&amp;"|"&amp;LLM_Data_Entry!$D$3:$D$548,0),0))),"")</f>
        <v>HOLD</v>
      </c>
      <c r="Z352" s="91" t="str">
        <f>IFERROR(IF($X352="","",INDEX(LLM_Data_Entry!$R$3:$R$548,MATCH($X352,INDEX(LLM_Data_Entry!$A$3:$A$548&amp;"|"&amp;LLM_Data_Entry!$C$3:$C$548&amp;"|"&amp;LLM_Data_Entry!$D$3:$D$548,0),0))),"")</f>
        <v>YES</v>
      </c>
      <c r="AB352" t="s">
        <v>636</v>
      </c>
      <c r="AC352" t="s">
        <v>1602</v>
      </c>
      <c r="AD352" t="s">
        <v>1623</v>
      </c>
      <c r="AE352">
        <v>162.4924</v>
      </c>
      <c r="AF352" t="s">
        <v>1232</v>
      </c>
      <c r="AG352">
        <v>160.8717</v>
      </c>
      <c r="AH352">
        <v>-9.9738227750599436E-3</v>
      </c>
      <c r="AI352" t="s">
        <v>579</v>
      </c>
      <c r="AJ352" t="s">
        <v>546</v>
      </c>
      <c r="AK352">
        <v>-1.0973999999999999E-2</v>
      </c>
      <c r="AL352" t="str">
        <f>IF($A352="","",IFERROR(INDEX(Company_List!$G$3:$G$207,MATCH($A352,Company_List!$A$3:$A$207,0)),"unassigned"))</f>
        <v>P2</v>
      </c>
      <c r="AM352" t="s">
        <v>1624</v>
      </c>
      <c r="AN352" t="s">
        <v>1625</v>
      </c>
      <c r="AO352" t="s">
        <v>754</v>
      </c>
      <c r="AP352" t="str">
        <f>IF($A352="","",IF(COUNTIFS(LLM_Data_Entry!$A$3:$A$548,$A352)&gt;0,"YES","NO"))</f>
        <v>YES</v>
      </c>
      <c r="AQ352" t="str">
        <f>IF($A352="","",IF(COUNTIFS($A$3:$A352,$A352,$C$3:$C352,$C352,$D$3:$D352,$D352)=1,"YES","NO"))</f>
        <v>YES</v>
      </c>
      <c r="AR352" t="str">
        <f>IF($A352="","",IF(AND($C352&amp;"-"&amp;$D352&gt;=Settings!$B$19,$C352&amp;"-"&amp;$D352&lt;=Settings!$B$20),"IN","OUT"))</f>
        <v>IN</v>
      </c>
      <c r="AS352" t="str">
        <f t="shared" si="58"/>
        <v>full</v>
      </c>
      <c r="AT352">
        <f t="shared" si="59"/>
        <v>-1.0999999999999999E-2</v>
      </c>
      <c r="AU352">
        <f t="shared" si="60"/>
        <v>-1.0973999999999999E-2</v>
      </c>
      <c r="AV352">
        <f>IF(ISNUMBER($AT352),ABS(IF(ISNUMBER($I352),$I352,0)-Settings!$B$24),"")</f>
        <v>0.5</v>
      </c>
      <c r="AW352">
        <f t="shared" si="61"/>
        <v>-5.4999999999999997E-3</v>
      </c>
      <c r="AX352">
        <f>IF(ISNUMBER($AU352),ABS(IF(ISNUMBER($I352),$I352,0)-Settings!$B$24),"")</f>
        <v>0.5</v>
      </c>
      <c r="AY352" t="s">
        <v>549</v>
      </c>
      <c r="AZ352" t="str">
        <f>IF($A352="","",IFERROR(INDEX(Company_List!$H$3:$H$207,MATCH($A352,Company_List!$A$3:$A$207,0)),"unassigned"))</f>
        <v>Consumer Staples</v>
      </c>
      <c r="BC352">
        <f>IF($A352="","",IF(COUNTIFS($A$3:$A352,$A352,$C$3:$C352,$C352,$D$3:$D352,$D352,$G$3:$G352,$G352)=1,1,0))</f>
        <v>1</v>
      </c>
      <c r="BG352" t="s">
        <v>550</v>
      </c>
      <c r="BK352">
        <f t="shared" si="62"/>
        <v>0</v>
      </c>
      <c r="BL352" t="s">
        <v>551</v>
      </c>
      <c r="BM352">
        <v>2</v>
      </c>
      <c r="BN352" t="s">
        <v>882</v>
      </c>
      <c r="BO352" t="s">
        <v>596</v>
      </c>
      <c r="BP352" t="s">
        <v>550</v>
      </c>
      <c r="BQ352" t="s">
        <v>562</v>
      </c>
      <c r="BS352" t="s">
        <v>554</v>
      </c>
    </row>
    <row r="353" spans="1:71" x14ac:dyDescent="0.2">
      <c r="A353" s="1" t="s">
        <v>1600</v>
      </c>
      <c r="B353" s="142" t="str">
        <f>IF(A353="","",_xlfn.XLOOKUP(A353, Company_List!$A:$A, Company_List!$B:$B, ""))</f>
        <v>PEP</v>
      </c>
      <c r="C353" s="143">
        <v>2024</v>
      </c>
      <c r="D353" s="143" t="s">
        <v>555</v>
      </c>
      <c r="E353" s="98" t="s">
        <v>538</v>
      </c>
      <c r="F353" s="98" t="s">
        <v>538</v>
      </c>
      <c r="G353" s="143" t="s">
        <v>575</v>
      </c>
      <c r="H353" s="106" t="s">
        <v>540</v>
      </c>
      <c r="I353" s="145">
        <v>0.6</v>
      </c>
      <c r="J353" s="145" t="str">
        <f>IF(OR(I353="",Settings!$B$6=""),"",IF(I353&gt;Settings!$B$6,"BUY",IF(I353&lt;-Settings!$B$6,"SELL","HOLD")))</f>
        <v>BUY</v>
      </c>
      <c r="K353" s="145">
        <v>19</v>
      </c>
      <c r="L353" s="123">
        <v>45484</v>
      </c>
      <c r="M353" s="140">
        <v>45483</v>
      </c>
      <c r="N353" s="147">
        <v>163.59</v>
      </c>
      <c r="O353" s="140">
        <v>45484</v>
      </c>
      <c r="P353" s="145">
        <v>159.1</v>
      </c>
      <c r="Q353" s="151">
        <f t="shared" si="53"/>
        <v>-2.7400000000000001E-2</v>
      </c>
      <c r="R353" s="118" t="str">
        <f>IF(OR(N353="",P353=""),"",IF(Q353&gt;Settings!$B$3/100,"UP",IF(Q353&lt;-Settings!$B$3/100,"DOWN","FLAT")))</f>
        <v>DOWN</v>
      </c>
      <c r="S353" s="118" t="str">
        <f t="shared" si="54"/>
        <v>NO</v>
      </c>
      <c r="T353" s="119">
        <f t="shared" si="55"/>
        <v>1</v>
      </c>
      <c r="U353" s="150">
        <f>IFERROR(IF(OR(J353="",N353="",P353=""),"",IF(T353=0,0,T353*Q353-Settings!$B$4/10000-IF(T353&lt;0,Settings!$B$5/10000,0))),"")</f>
        <v>-2.8400000000000002E-2</v>
      </c>
      <c r="V353" t="s">
        <v>1626</v>
      </c>
      <c r="W353" s="21">
        <f t="shared" si="56"/>
        <v>1140</v>
      </c>
      <c r="X353" s="91" t="str">
        <f t="shared" si="57"/>
        <v>PepsiCo|2024|Q2</v>
      </c>
      <c r="Y353" s="91" t="str">
        <f>IFERROR(IF($X353="","",INDEX(LLM_Data_Entry!$H$3:$H$548,MATCH($X353,INDEX(LLM_Data_Entry!$A$3:$A$548&amp;"|"&amp;LLM_Data_Entry!$C$3:$C$548&amp;"|"&amp;LLM_Data_Entry!$D$3:$D$548,0),0))),"")</f>
        <v>SELL</v>
      </c>
      <c r="Z353" s="91" t="str">
        <f>IFERROR(IF($X353="","",INDEX(LLM_Data_Entry!$R$3:$R$548,MATCH($X353,INDEX(LLM_Data_Entry!$A$3:$A$548&amp;"|"&amp;LLM_Data_Entry!$C$3:$C$548&amp;"|"&amp;LLM_Data_Entry!$D$3:$D$548,0),0))),"")</f>
        <v>YES</v>
      </c>
      <c r="AB353" t="s">
        <v>636</v>
      </c>
      <c r="AC353" t="s">
        <v>1602</v>
      </c>
      <c r="AD353" t="s">
        <v>1627</v>
      </c>
      <c r="AE353">
        <v>151.8289</v>
      </c>
      <c r="AF353" t="s">
        <v>1628</v>
      </c>
      <c r="AG353">
        <v>147.6617</v>
      </c>
      <c r="AH353">
        <v>-2.744678580892352E-2</v>
      </c>
      <c r="AI353" t="s">
        <v>545</v>
      </c>
      <c r="AJ353" t="s">
        <v>546</v>
      </c>
      <c r="AK353">
        <v>-2.8447E-2</v>
      </c>
      <c r="AL353" t="str">
        <f>IF($A353="","",IFERROR(INDEX(Company_List!$G$3:$G$207,MATCH($A353,Company_List!$A$3:$A$207,0)),"unassigned"))</f>
        <v>P2</v>
      </c>
      <c r="AM353" t="s">
        <v>1629</v>
      </c>
      <c r="AN353" t="s">
        <v>1630</v>
      </c>
      <c r="AO353" t="s">
        <v>754</v>
      </c>
      <c r="AP353" t="str">
        <f>IF($A353="","",IF(COUNTIFS(LLM_Data_Entry!$A$3:$A$548,$A353)&gt;0,"YES","NO"))</f>
        <v>YES</v>
      </c>
      <c r="AQ353" t="str">
        <f>IF($A353="","",IF(COUNTIFS($A$3:$A353,$A353,$C$3:$C353,$C353,$D$3:$D353,$D353)=1,"YES","NO"))</f>
        <v>YES</v>
      </c>
      <c r="AR353" t="str">
        <f>IF($A353="","",IF(AND($C353&amp;"-"&amp;$D353&gt;=Settings!$B$19,$C353&amp;"-"&amp;$D353&lt;=Settings!$B$20),"IN","OUT"))</f>
        <v>IN</v>
      </c>
      <c r="AS353" t="str">
        <f t="shared" si="58"/>
        <v>full</v>
      </c>
      <c r="AT353">
        <f t="shared" si="59"/>
        <v>-2.8400000000000002E-2</v>
      </c>
      <c r="AU353">
        <f t="shared" si="60"/>
        <v>-2.8447E-2</v>
      </c>
      <c r="AV353">
        <f>IF(ISNUMBER($AT353),ABS(IF(ISNUMBER($I353),$I353,0)-Settings!$B$24),"")</f>
        <v>0.6</v>
      </c>
      <c r="AW353">
        <f t="shared" si="61"/>
        <v>-1.704E-2</v>
      </c>
      <c r="AX353">
        <f>IF(ISNUMBER($AU353),ABS(IF(ISNUMBER($I353),$I353,0)-Settings!$B$24),"")</f>
        <v>0.6</v>
      </c>
      <c r="AY353" t="s">
        <v>549</v>
      </c>
      <c r="AZ353" t="str">
        <f>IF($A353="","",IFERROR(INDEX(Company_List!$H$3:$H$207,MATCH($A353,Company_List!$A$3:$A$207,0)),"unassigned"))</f>
        <v>Consumer Staples</v>
      </c>
      <c r="BC353">
        <f>IF($A353="","",IF(COUNTIFS($A$3:$A353,$A353,$C$3:$C353,$C353,$D$3:$D353,$D353,$G$3:$G353,$G353)=1,1,0))</f>
        <v>1</v>
      </c>
      <c r="BG353" t="s">
        <v>550</v>
      </c>
      <c r="BK353">
        <f t="shared" si="62"/>
        <v>0</v>
      </c>
      <c r="BL353" t="s">
        <v>551</v>
      </c>
      <c r="BM353">
        <v>2</v>
      </c>
      <c r="BN353" t="s">
        <v>882</v>
      </c>
      <c r="BO353" t="s">
        <v>596</v>
      </c>
      <c r="BP353" t="s">
        <v>550</v>
      </c>
      <c r="BQ353" t="s">
        <v>562</v>
      </c>
      <c r="BS353" t="s">
        <v>554</v>
      </c>
    </row>
    <row r="354" spans="1:71" x14ac:dyDescent="0.2">
      <c r="A354" s="1" t="s">
        <v>1600</v>
      </c>
      <c r="B354" s="142" t="str">
        <f>IF(A354="","",_xlfn.XLOOKUP(A354, Company_List!$A:$A, Company_List!$B:$B, ""))</f>
        <v>PEP</v>
      </c>
      <c r="C354" s="143">
        <v>2024</v>
      </c>
      <c r="D354" s="143" t="s">
        <v>563</v>
      </c>
      <c r="E354" s="98" t="s">
        <v>538</v>
      </c>
      <c r="F354" s="98" t="s">
        <v>538</v>
      </c>
      <c r="G354" s="143" t="s">
        <v>575</v>
      </c>
      <c r="H354" s="106" t="s">
        <v>540</v>
      </c>
      <c r="I354" s="145">
        <v>0.2</v>
      </c>
      <c r="J354" s="145" t="str">
        <f>IF(OR(I354="",Settings!$B$6=""),"",IF(I354&gt;Settings!$B$6,"BUY",IF(I354&lt;-Settings!$B$6,"SELL","HOLD")))</f>
        <v>HOLD</v>
      </c>
      <c r="K354" s="145">
        <v>22</v>
      </c>
      <c r="L354" s="123">
        <v>45573</v>
      </c>
      <c r="M354" s="140">
        <v>45572</v>
      </c>
      <c r="N354" s="147">
        <v>167.21</v>
      </c>
      <c r="O354" s="140">
        <v>45573</v>
      </c>
      <c r="P354" s="145">
        <v>167.72</v>
      </c>
      <c r="Q354" s="151">
        <f t="shared" si="53"/>
        <v>3.0999999999999999E-3</v>
      </c>
      <c r="R354" s="118" t="str">
        <f>IF(OR(N354="",P354=""),"",IF(Q354&gt;Settings!$B$3/100,"UP",IF(Q354&lt;-Settings!$B$3/100,"DOWN","FLAT")))</f>
        <v>FLAT</v>
      </c>
      <c r="S354" s="118" t="str">
        <f t="shared" si="54"/>
        <v>YES</v>
      </c>
      <c r="T354" s="119">
        <f t="shared" si="55"/>
        <v>0</v>
      </c>
      <c r="U354" s="150">
        <f>IFERROR(IF(OR(J354="",N354="",P354=""),"",IF(T354=0,0,T354*Q354-Settings!$B$4/10000-IF(T354&lt;0,Settings!$B$5/10000,0))),"")</f>
        <v>0</v>
      </c>
      <c r="V354" t="s">
        <v>1631</v>
      </c>
      <c r="W354" s="21">
        <f t="shared" si="56"/>
        <v>1320</v>
      </c>
      <c r="X354" s="91" t="str">
        <f t="shared" si="57"/>
        <v>PepsiCo|2024|Q3</v>
      </c>
      <c r="Y354" s="91" t="str">
        <f>IFERROR(IF($X354="","",INDEX(LLM_Data_Entry!$H$3:$H$548,MATCH($X354,INDEX(LLM_Data_Entry!$A$3:$A$548&amp;"|"&amp;LLM_Data_Entry!$C$3:$C$548&amp;"|"&amp;LLM_Data_Entry!$D$3:$D$548,0),0))),"")</f>
        <v>SELL</v>
      </c>
      <c r="Z354" s="91" t="str">
        <f>IFERROR(IF($X354="","",INDEX(LLM_Data_Entry!$R$3:$R$548,MATCH($X354,INDEX(LLM_Data_Entry!$A$3:$A$548&amp;"|"&amp;LLM_Data_Entry!$C$3:$C$548&amp;"|"&amp;LLM_Data_Entry!$D$3:$D$548,0),0))),"")</f>
        <v>NO</v>
      </c>
      <c r="AB354" t="s">
        <v>636</v>
      </c>
      <c r="AC354" t="s">
        <v>1602</v>
      </c>
      <c r="AD354" t="s">
        <v>1632</v>
      </c>
      <c r="AE354">
        <v>156.37039999999999</v>
      </c>
      <c r="AF354" t="s">
        <v>1633</v>
      </c>
      <c r="AG354">
        <v>156.84729999999999</v>
      </c>
      <c r="AH354">
        <v>3.0499750038358001E-3</v>
      </c>
      <c r="AI354" t="s">
        <v>579</v>
      </c>
      <c r="AJ354" t="s">
        <v>554</v>
      </c>
      <c r="AK354">
        <v>0</v>
      </c>
      <c r="AL354" t="str">
        <f>IF($A354="","",IFERROR(INDEX(Company_List!$G$3:$G$207,MATCH($A354,Company_List!$A$3:$A$207,0)),"unassigned"))</f>
        <v>P2</v>
      </c>
      <c r="AM354" t="s">
        <v>1634</v>
      </c>
      <c r="AN354" t="s">
        <v>1635</v>
      </c>
      <c r="AO354" t="s">
        <v>754</v>
      </c>
      <c r="AP354" t="str">
        <f>IF($A354="","",IF(COUNTIFS(LLM_Data_Entry!$A$3:$A$548,$A354)&gt;0,"YES","NO"))</f>
        <v>YES</v>
      </c>
      <c r="AQ354" t="str">
        <f>IF($A354="","",IF(COUNTIFS($A$3:$A354,$A354,$C$3:$C354,$C354,$D$3:$D354,$D354)=1,"YES","NO"))</f>
        <v>YES</v>
      </c>
      <c r="AR354" t="str">
        <f>IF($A354="","",IF(AND($C354&amp;"-"&amp;$D354&gt;=Settings!$B$19,$C354&amp;"-"&amp;$D354&lt;=Settings!$B$20),"IN","OUT"))</f>
        <v>IN</v>
      </c>
      <c r="AS354" t="str">
        <f t="shared" si="58"/>
        <v>full</v>
      </c>
      <c r="AT354" t="str">
        <f t="shared" si="59"/>
        <v/>
      </c>
      <c r="AU354" t="str">
        <f t="shared" si="60"/>
        <v/>
      </c>
      <c r="AV354" t="str">
        <f>IF(ISNUMBER($AT354),ABS(IF(ISNUMBER($I354),$I354,0)-Settings!$B$24),"")</f>
        <v/>
      </c>
      <c r="AW354" t="str">
        <f t="shared" si="61"/>
        <v/>
      </c>
      <c r="AX354" t="str">
        <f>IF(ISNUMBER($AU354),ABS(IF(ISNUMBER($I354),$I354,0)-Settings!$B$24),"")</f>
        <v/>
      </c>
      <c r="AY354" t="s">
        <v>549</v>
      </c>
      <c r="AZ354" t="str">
        <f>IF($A354="","",IFERROR(INDEX(Company_List!$H$3:$H$207,MATCH($A354,Company_List!$A$3:$A$207,0)),"unassigned"))</f>
        <v>Consumer Staples</v>
      </c>
      <c r="BC354">
        <f>IF($A354="","",IF(COUNTIFS($A$3:$A354,$A354,$C$3:$C354,$C354,$D$3:$D354,$D354,$G$3:$G354,$G354)=1,1,0))</f>
        <v>1</v>
      </c>
      <c r="BG354" t="s">
        <v>550</v>
      </c>
      <c r="BK354">
        <f t="shared" si="62"/>
        <v>0</v>
      </c>
      <c r="BL354" t="s">
        <v>551</v>
      </c>
      <c r="BM354">
        <v>2</v>
      </c>
      <c r="BN354" t="s">
        <v>882</v>
      </c>
      <c r="BO354" t="s">
        <v>596</v>
      </c>
      <c r="BP354" t="s">
        <v>550</v>
      </c>
      <c r="BQ354" t="s">
        <v>562</v>
      </c>
      <c r="BS354" t="s">
        <v>554</v>
      </c>
    </row>
    <row r="355" spans="1:71" x14ac:dyDescent="0.2">
      <c r="A355" s="1" t="s">
        <v>1600</v>
      </c>
      <c r="B355" s="142" t="str">
        <f>IF(A355="","",_xlfn.XLOOKUP(A355, Company_List!$A:$A, Company_List!$B:$B, ""))</f>
        <v>PEP</v>
      </c>
      <c r="C355" s="143">
        <v>2024</v>
      </c>
      <c r="D355" s="143" t="s">
        <v>569</v>
      </c>
      <c r="E355" s="98" t="s">
        <v>538</v>
      </c>
      <c r="F355" s="98" t="s">
        <v>538</v>
      </c>
      <c r="G355" s="143" t="s">
        <v>575</v>
      </c>
      <c r="H355" s="106" t="s">
        <v>540</v>
      </c>
      <c r="I355" s="145">
        <v>0.4</v>
      </c>
      <c r="J355" s="145" t="str">
        <f>IF(OR(I355="",Settings!$B$6=""),"",IF(I355&gt;Settings!$B$6,"BUY",IF(I355&lt;-Settings!$B$6,"SELL","HOLD")))</f>
        <v>BUY</v>
      </c>
      <c r="K355" s="145">
        <v>23</v>
      </c>
      <c r="L355" s="123">
        <v>45692</v>
      </c>
      <c r="M355" s="140">
        <v>45691</v>
      </c>
      <c r="N355" s="147">
        <v>150.27000000000001</v>
      </c>
      <c r="O355" s="140">
        <v>45692</v>
      </c>
      <c r="P355" s="145">
        <v>146.1</v>
      </c>
      <c r="Q355" s="151">
        <f t="shared" si="53"/>
        <v>-2.7799999999999998E-2</v>
      </c>
      <c r="R355" s="118" t="str">
        <f>IF(OR(N355="",P355=""),"",IF(Q355&gt;Settings!$B$3/100,"UP",IF(Q355&lt;-Settings!$B$3/100,"DOWN","FLAT")))</f>
        <v>DOWN</v>
      </c>
      <c r="S355" s="118" t="str">
        <f t="shared" si="54"/>
        <v>NO</v>
      </c>
      <c r="T355" s="119">
        <f t="shared" si="55"/>
        <v>1</v>
      </c>
      <c r="U355" s="150">
        <f>IFERROR(IF(OR(J355="",N355="",P355=""),"",IF(T355=0,0,T355*Q355-Settings!$B$4/10000-IF(T355&lt;0,Settings!$B$5/10000,0))),"")</f>
        <v>-2.8799999999999999E-2</v>
      </c>
      <c r="V355" t="s">
        <v>1636</v>
      </c>
      <c r="W355" s="21">
        <f t="shared" si="56"/>
        <v>1380</v>
      </c>
      <c r="X355" s="91" t="str">
        <f t="shared" si="57"/>
        <v>PepsiCo|2024|Q4</v>
      </c>
      <c r="Y355" s="91" t="str">
        <f>IFERROR(IF($X355="","",INDEX(LLM_Data_Entry!$H$3:$H$548,MATCH($X355,INDEX(LLM_Data_Entry!$A$3:$A$548&amp;"|"&amp;LLM_Data_Entry!$C$3:$C$548&amp;"|"&amp;LLM_Data_Entry!$D$3:$D$548,0),0))),"")</f>
        <v>SELL</v>
      </c>
      <c r="Z355" s="91" t="str">
        <f>IFERROR(IF($X355="","",INDEX(LLM_Data_Entry!$R$3:$R$548,MATCH($X355,INDEX(LLM_Data_Entry!$A$3:$A$548&amp;"|"&amp;LLM_Data_Entry!$C$3:$C$548&amp;"|"&amp;LLM_Data_Entry!$D$3:$D$548,0),0))),"")</f>
        <v>YES</v>
      </c>
      <c r="AB355" t="s">
        <v>636</v>
      </c>
      <c r="AC355" t="s">
        <v>1602</v>
      </c>
      <c r="AD355" t="s">
        <v>1637</v>
      </c>
      <c r="AE355">
        <v>141.7251</v>
      </c>
      <c r="AF355" t="s">
        <v>638</v>
      </c>
      <c r="AG355">
        <v>137.79230000000001</v>
      </c>
      <c r="AH355">
        <v>-2.7750069551326952E-2</v>
      </c>
      <c r="AI355" t="s">
        <v>545</v>
      </c>
      <c r="AJ355" t="s">
        <v>546</v>
      </c>
      <c r="AK355">
        <v>-2.8750000000000001E-2</v>
      </c>
      <c r="AL355" t="str">
        <f>IF($A355="","",IFERROR(INDEX(Company_List!$G$3:$G$207,MATCH($A355,Company_List!$A$3:$A$207,0)),"unassigned"))</f>
        <v>P2</v>
      </c>
      <c r="AM355" t="s">
        <v>1638</v>
      </c>
      <c r="AN355" t="s">
        <v>1639</v>
      </c>
      <c r="AO355" t="s">
        <v>754</v>
      </c>
      <c r="AP355" t="str">
        <f>IF($A355="","",IF(COUNTIFS(LLM_Data_Entry!$A$3:$A$548,$A355)&gt;0,"YES","NO"))</f>
        <v>YES</v>
      </c>
      <c r="AQ355" t="str">
        <f>IF($A355="","",IF(COUNTIFS($A$3:$A355,$A355,$C$3:$C355,$C355,$D$3:$D355,$D355)=1,"YES","NO"))</f>
        <v>YES</v>
      </c>
      <c r="AR355" t="str">
        <f>IF($A355="","",IF(AND($C355&amp;"-"&amp;$D355&gt;=Settings!$B$19,$C355&amp;"-"&amp;$D355&lt;=Settings!$B$20),"IN","OUT"))</f>
        <v>IN</v>
      </c>
      <c r="AS355" t="str">
        <f t="shared" si="58"/>
        <v>full</v>
      </c>
      <c r="AT355">
        <f t="shared" si="59"/>
        <v>-2.8799999999999999E-2</v>
      </c>
      <c r="AU355">
        <f t="shared" si="60"/>
        <v>-2.8750000000000001E-2</v>
      </c>
      <c r="AV355">
        <f>IF(ISNUMBER($AT355),ABS(IF(ISNUMBER($I355),$I355,0)-Settings!$B$24),"")</f>
        <v>0.4</v>
      </c>
      <c r="AW355">
        <f t="shared" si="61"/>
        <v>-1.1520000000000001E-2</v>
      </c>
      <c r="AX355">
        <f>IF(ISNUMBER($AU355),ABS(IF(ISNUMBER($I355),$I355,0)-Settings!$B$24),"")</f>
        <v>0.4</v>
      </c>
      <c r="AY355" t="s">
        <v>549</v>
      </c>
      <c r="AZ355" t="str">
        <f>IF($A355="","",IFERROR(INDEX(Company_List!$H$3:$H$207,MATCH($A355,Company_List!$A$3:$A$207,0)),"unassigned"))</f>
        <v>Consumer Staples</v>
      </c>
      <c r="BC355">
        <f>IF($A355="","",IF(COUNTIFS($A$3:$A355,$A355,$C$3:$C355,$C355,$D$3:$D355,$D355,$G$3:$G355,$G355)=1,1,0))</f>
        <v>1</v>
      </c>
      <c r="BG355" t="s">
        <v>550</v>
      </c>
      <c r="BK355">
        <f t="shared" si="62"/>
        <v>0</v>
      </c>
      <c r="BL355" t="s">
        <v>551</v>
      </c>
      <c r="BM355">
        <v>2</v>
      </c>
      <c r="BN355" t="s">
        <v>882</v>
      </c>
      <c r="BO355" t="s">
        <v>596</v>
      </c>
      <c r="BP355" t="s">
        <v>550</v>
      </c>
      <c r="BQ355" t="s">
        <v>562</v>
      </c>
      <c r="BS355" t="s">
        <v>554</v>
      </c>
    </row>
    <row r="356" spans="1:71" x14ac:dyDescent="0.2">
      <c r="A356" s="1" t="s">
        <v>1600</v>
      </c>
      <c r="B356" s="142" t="str">
        <f>IF(A356="","",_xlfn.XLOOKUP(A356, Company_List!$A:$A, Company_List!$B:$B, ""))</f>
        <v>PEP</v>
      </c>
      <c r="C356" s="143">
        <v>2025</v>
      </c>
      <c r="D356" s="143" t="s">
        <v>537</v>
      </c>
      <c r="E356" s="98" t="s">
        <v>538</v>
      </c>
      <c r="F356" s="98" t="s">
        <v>538</v>
      </c>
      <c r="G356" s="143" t="s">
        <v>575</v>
      </c>
      <c r="H356" s="106" t="s">
        <v>540</v>
      </c>
      <c r="I356" s="145">
        <v>0</v>
      </c>
      <c r="J356" s="145" t="str">
        <f>IF(OR(I356="",Settings!$B$6=""),"",IF(I356&gt;Settings!$B$6,"BUY",IF(I356&lt;-Settings!$B$6,"SELL","HOLD")))</f>
        <v>HOLD</v>
      </c>
      <c r="K356" s="145">
        <v>25</v>
      </c>
      <c r="L356" s="123">
        <v>45771</v>
      </c>
      <c r="M356" s="140">
        <v>45770</v>
      </c>
      <c r="N356" s="147">
        <v>142.26</v>
      </c>
      <c r="O356" s="140">
        <v>45771</v>
      </c>
      <c r="P356" s="145">
        <v>141.44999999999999</v>
      </c>
      <c r="Q356" s="151">
        <f t="shared" si="53"/>
        <v>-5.7000000000000002E-3</v>
      </c>
      <c r="R356" s="118" t="str">
        <f>IF(OR(N356="",P356=""),"",IF(Q356&gt;Settings!$B$3/100,"UP",IF(Q356&lt;-Settings!$B$3/100,"DOWN","FLAT")))</f>
        <v>FLAT</v>
      </c>
      <c r="S356" s="118" t="str">
        <f t="shared" si="54"/>
        <v>YES</v>
      </c>
      <c r="T356" s="119">
        <f t="shared" si="55"/>
        <v>0</v>
      </c>
      <c r="U356" s="150">
        <f>IFERROR(IF(OR(J356="",N356="",P356=""),"",IF(T356=0,0,T356*Q356-Settings!$B$4/10000-IF(T356&lt;0,Settings!$B$5/10000,0))),"")</f>
        <v>0</v>
      </c>
      <c r="V356" t="s">
        <v>1640</v>
      </c>
      <c r="W356" s="21">
        <f t="shared" si="56"/>
        <v>1500</v>
      </c>
      <c r="X356" s="91" t="str">
        <f t="shared" si="57"/>
        <v>PepsiCo|2025|Q1</v>
      </c>
      <c r="Y356" s="91" t="str">
        <f>IFERROR(IF($X356="","",INDEX(LLM_Data_Entry!$H$3:$H$548,MATCH($X356,INDEX(LLM_Data_Entry!$A$3:$A$548&amp;"|"&amp;LLM_Data_Entry!$C$3:$C$548&amp;"|"&amp;LLM_Data_Entry!$D$3:$D$548,0),0))),"")</f>
        <v>SELL</v>
      </c>
      <c r="Z356" s="91" t="str">
        <f>IFERROR(IF($X356="","",INDEX(LLM_Data_Entry!$R$3:$R$548,MATCH($X356,INDEX(LLM_Data_Entry!$A$3:$A$548&amp;"|"&amp;LLM_Data_Entry!$C$3:$C$548&amp;"|"&amp;LLM_Data_Entry!$D$3:$D$548,0),0))),"")</f>
        <v>NO</v>
      </c>
      <c r="AB356" t="s">
        <v>636</v>
      </c>
      <c r="AC356" t="s">
        <v>1602</v>
      </c>
      <c r="AD356" t="s">
        <v>615</v>
      </c>
      <c r="AE356">
        <v>135.3569</v>
      </c>
      <c r="AF356" t="s">
        <v>1131</v>
      </c>
      <c r="AG356">
        <v>134.58619999999999</v>
      </c>
      <c r="AH356">
        <v>-5.6937664720270046E-3</v>
      </c>
      <c r="AI356" t="s">
        <v>579</v>
      </c>
      <c r="AJ356" t="s">
        <v>554</v>
      </c>
      <c r="AK356">
        <v>0</v>
      </c>
      <c r="AL356" t="str">
        <f>IF($A356="","",IFERROR(INDEX(Company_List!$G$3:$G$207,MATCH($A356,Company_List!$A$3:$A$207,0)),"unassigned"))</f>
        <v>P2</v>
      </c>
      <c r="AM356" t="s">
        <v>1641</v>
      </c>
      <c r="AN356" t="s">
        <v>1642</v>
      </c>
      <c r="AO356" t="s">
        <v>754</v>
      </c>
      <c r="AP356" t="str">
        <f>IF($A356="","",IF(COUNTIFS(LLM_Data_Entry!$A$3:$A$548,$A356)&gt;0,"YES","NO"))</f>
        <v>YES</v>
      </c>
      <c r="AQ356" t="str">
        <f>IF($A356="","",IF(COUNTIFS($A$3:$A356,$A356,$C$3:$C356,$C356,$D$3:$D356,$D356)=1,"YES","NO"))</f>
        <v>YES</v>
      </c>
      <c r="AR356" t="str">
        <f>IF($A356="","",IF(AND($C356&amp;"-"&amp;$D356&gt;=Settings!$B$19,$C356&amp;"-"&amp;$D356&lt;=Settings!$B$20),"IN","OUT"))</f>
        <v>IN</v>
      </c>
      <c r="AS356" t="str">
        <f t="shared" si="58"/>
        <v>full</v>
      </c>
      <c r="AT356" t="str">
        <f t="shared" si="59"/>
        <v/>
      </c>
      <c r="AU356" t="str">
        <f t="shared" si="60"/>
        <v/>
      </c>
      <c r="AV356" t="str">
        <f>IF(ISNUMBER($AT356),ABS(IF(ISNUMBER($I356),$I356,0)-Settings!$B$24),"")</f>
        <v/>
      </c>
      <c r="AW356" t="str">
        <f t="shared" si="61"/>
        <v/>
      </c>
      <c r="AX356" t="str">
        <f>IF(ISNUMBER($AU356),ABS(IF(ISNUMBER($I356),$I356,0)-Settings!$B$24),"")</f>
        <v/>
      </c>
      <c r="AY356" t="s">
        <v>549</v>
      </c>
      <c r="AZ356" t="str">
        <f>IF($A356="","",IFERROR(INDEX(Company_List!$H$3:$H$207,MATCH($A356,Company_List!$A$3:$A$207,0)),"unassigned"))</f>
        <v>Consumer Staples</v>
      </c>
      <c r="BC356">
        <f>IF($A356="","",IF(COUNTIFS($A$3:$A356,$A356,$C$3:$C356,$C356,$D$3:$D356,$D356,$G$3:$G356,$G356)=1,1,0))</f>
        <v>1</v>
      </c>
      <c r="BG356" t="s">
        <v>550</v>
      </c>
      <c r="BK356">
        <f t="shared" si="62"/>
        <v>0</v>
      </c>
      <c r="BL356" t="s">
        <v>551</v>
      </c>
      <c r="BM356">
        <v>2</v>
      </c>
      <c r="BN356" t="s">
        <v>882</v>
      </c>
      <c r="BO356" t="s">
        <v>596</v>
      </c>
      <c r="BP356" t="s">
        <v>550</v>
      </c>
      <c r="BQ356" t="s">
        <v>562</v>
      </c>
      <c r="BS356" t="s">
        <v>554</v>
      </c>
    </row>
    <row r="357" spans="1:71" x14ac:dyDescent="0.2">
      <c r="A357" s="1" t="s">
        <v>1600</v>
      </c>
      <c r="B357" s="142" t="str">
        <f>IF(A357="","",_xlfn.XLOOKUP(A357, Company_List!$A:$A, Company_List!$B:$B, ""))</f>
        <v>PEP</v>
      </c>
      <c r="C357" s="143">
        <v>2025</v>
      </c>
      <c r="D357" s="143" t="s">
        <v>555</v>
      </c>
      <c r="E357" s="98" t="s">
        <v>538</v>
      </c>
      <c r="F357" s="98" t="s">
        <v>538</v>
      </c>
      <c r="G357" s="143" t="s">
        <v>575</v>
      </c>
      <c r="H357" s="106" t="s">
        <v>540</v>
      </c>
      <c r="I357" s="145">
        <v>-0.2</v>
      </c>
      <c r="J357" s="145" t="str">
        <f>IF(OR(I357="",Settings!$B$6=""),"",IF(I357&gt;Settings!$B$6,"BUY",IF(I357&lt;-Settings!$B$6,"SELL","HOLD")))</f>
        <v>HOLD</v>
      </c>
      <c r="K357" s="145">
        <v>20</v>
      </c>
      <c r="L357" s="123">
        <v>45855</v>
      </c>
      <c r="M357" s="140">
        <v>45854</v>
      </c>
      <c r="N357" s="147">
        <v>135.35</v>
      </c>
      <c r="O357" s="140">
        <v>45855</v>
      </c>
      <c r="P357" s="145">
        <v>141.69999999999999</v>
      </c>
      <c r="Q357" s="151">
        <f t="shared" si="53"/>
        <v>4.6899999999999997E-2</v>
      </c>
      <c r="R357" s="118" t="str">
        <f>IF(OR(N357="",P357=""),"",IF(Q357&gt;Settings!$B$3/100,"UP",IF(Q357&lt;-Settings!$B$3/100,"DOWN","FLAT")))</f>
        <v>UP</v>
      </c>
      <c r="S357" s="118" t="str">
        <f t="shared" si="54"/>
        <v>NO</v>
      </c>
      <c r="T357" s="119">
        <f t="shared" si="55"/>
        <v>0</v>
      </c>
      <c r="U357" s="150">
        <f>IFERROR(IF(OR(J357="",N357="",P357=""),"",IF(T357=0,0,T357*Q357-Settings!$B$4/10000-IF(T357&lt;0,Settings!$B$5/10000,0))),"")</f>
        <v>0</v>
      </c>
      <c r="V357" t="s">
        <v>1643</v>
      </c>
      <c r="W357" s="21">
        <f t="shared" si="56"/>
        <v>1200</v>
      </c>
      <c r="X357" s="91" t="str">
        <f t="shared" si="57"/>
        <v>PepsiCo|2025|Q2</v>
      </c>
      <c r="Y357" s="91" t="str">
        <f>IFERROR(IF($X357="","",INDEX(LLM_Data_Entry!$H$3:$H$548,MATCH($X357,INDEX(LLM_Data_Entry!$A$3:$A$548&amp;"|"&amp;LLM_Data_Entry!$C$3:$C$548&amp;"|"&amp;LLM_Data_Entry!$D$3:$D$548,0),0))),"")</f>
        <v>HOLD</v>
      </c>
      <c r="Z357" s="91" t="str">
        <f>IFERROR(IF($X357="","",INDEX(LLM_Data_Entry!$R$3:$R$548,MATCH($X357,INDEX(LLM_Data_Entry!$A$3:$A$548&amp;"|"&amp;LLM_Data_Entry!$C$3:$C$548&amp;"|"&amp;LLM_Data_Entry!$D$3:$D$548,0),0))),"")</f>
        <v>NO</v>
      </c>
      <c r="AB357" t="s">
        <v>636</v>
      </c>
      <c r="AC357" t="s">
        <v>1602</v>
      </c>
      <c r="AD357" t="s">
        <v>884</v>
      </c>
      <c r="AE357">
        <v>130.1953</v>
      </c>
      <c r="AF357" t="s">
        <v>556</v>
      </c>
      <c r="AG357">
        <v>136.30340000000001</v>
      </c>
      <c r="AH357">
        <v>4.6915311776041392E-2</v>
      </c>
      <c r="AI357" t="s">
        <v>591</v>
      </c>
      <c r="AJ357" t="s">
        <v>546</v>
      </c>
      <c r="AK357">
        <v>0</v>
      </c>
      <c r="AL357" t="str">
        <f>IF($A357="","",IFERROR(INDEX(Company_List!$G$3:$G$207,MATCH($A357,Company_List!$A$3:$A$207,0)),"unassigned"))</f>
        <v>P2</v>
      </c>
      <c r="AM357" t="s">
        <v>1644</v>
      </c>
      <c r="AN357" t="s">
        <v>1645</v>
      </c>
      <c r="AO357" t="s">
        <v>754</v>
      </c>
      <c r="AP357" t="str">
        <f>IF($A357="","",IF(COUNTIFS(LLM_Data_Entry!$A$3:$A$548,$A357)&gt;0,"YES","NO"))</f>
        <v>YES</v>
      </c>
      <c r="AQ357" t="str">
        <f>IF($A357="","",IF(COUNTIFS($A$3:$A357,$A357,$C$3:$C357,$C357,$D$3:$D357,$D357)=1,"YES","NO"))</f>
        <v>YES</v>
      </c>
      <c r="AR357" t="str">
        <f>IF($A357="","",IF(AND($C357&amp;"-"&amp;$D357&gt;=Settings!$B$19,$C357&amp;"-"&amp;$D357&lt;=Settings!$B$20),"IN","OUT"))</f>
        <v>IN</v>
      </c>
      <c r="AS357" t="str">
        <f t="shared" si="58"/>
        <v>full</v>
      </c>
      <c r="AT357" t="str">
        <f t="shared" si="59"/>
        <v/>
      </c>
      <c r="AU357" t="str">
        <f t="shared" si="60"/>
        <v/>
      </c>
      <c r="AV357" t="str">
        <f>IF(ISNUMBER($AT357),ABS(IF(ISNUMBER($I357),$I357,0)-Settings!$B$24),"")</f>
        <v/>
      </c>
      <c r="AW357" t="str">
        <f t="shared" si="61"/>
        <v/>
      </c>
      <c r="AX357" t="str">
        <f>IF(ISNUMBER($AU357),ABS(IF(ISNUMBER($I357),$I357,0)-Settings!$B$24),"")</f>
        <v/>
      </c>
      <c r="AY357" t="s">
        <v>549</v>
      </c>
      <c r="AZ357" t="str">
        <f>IF($A357="","",IFERROR(INDEX(Company_List!$H$3:$H$207,MATCH($A357,Company_List!$A$3:$A$207,0)),"unassigned"))</f>
        <v>Consumer Staples</v>
      </c>
      <c r="BC357">
        <f>IF($A357="","",IF(COUNTIFS($A$3:$A357,$A357,$C$3:$C357,$C357,$D$3:$D357,$D357,$G$3:$G357,$G357)=1,1,0))</f>
        <v>1</v>
      </c>
      <c r="BG357" t="s">
        <v>550</v>
      </c>
      <c r="BK357">
        <f t="shared" si="62"/>
        <v>1</v>
      </c>
      <c r="BL357" t="s">
        <v>551</v>
      </c>
      <c r="BM357">
        <v>2</v>
      </c>
      <c r="BN357" t="s">
        <v>882</v>
      </c>
      <c r="BO357" t="s">
        <v>596</v>
      </c>
      <c r="BP357" t="s">
        <v>550</v>
      </c>
      <c r="BQ357" t="s">
        <v>562</v>
      </c>
      <c r="BS357" t="s">
        <v>554</v>
      </c>
    </row>
    <row r="358" spans="1:71" x14ac:dyDescent="0.2">
      <c r="A358" s="1" t="s">
        <v>1600</v>
      </c>
      <c r="B358" s="142" t="str">
        <f>IF(A358="","",_xlfn.XLOOKUP(A358, Company_List!$A:$A, Company_List!$B:$B, ""))</f>
        <v>PEP</v>
      </c>
      <c r="C358" s="143">
        <v>2025</v>
      </c>
      <c r="D358" s="143" t="s">
        <v>563</v>
      </c>
      <c r="E358" s="98" t="s">
        <v>538</v>
      </c>
      <c r="F358" s="98" t="s">
        <v>538</v>
      </c>
      <c r="G358" s="143" t="s">
        <v>575</v>
      </c>
      <c r="H358" s="106" t="s">
        <v>540</v>
      </c>
      <c r="I358" s="145">
        <v>0.1</v>
      </c>
      <c r="J358" s="145" t="str">
        <f>IF(OR(I358="",Settings!$B$6=""),"",IF(I358&gt;Settings!$B$6,"BUY",IF(I358&lt;-Settings!$B$6,"SELL","HOLD")))</f>
        <v>HOLD</v>
      </c>
      <c r="K358" s="145">
        <v>18</v>
      </c>
      <c r="L358" s="123">
        <v>45939</v>
      </c>
      <c r="M358" s="140">
        <v>45938</v>
      </c>
      <c r="N358" s="147">
        <v>138.84</v>
      </c>
      <c r="O358" s="140">
        <v>45939</v>
      </c>
      <c r="P358" s="145">
        <v>140.46</v>
      </c>
      <c r="Q358" s="151">
        <f t="shared" si="53"/>
        <v>1.17E-2</v>
      </c>
      <c r="R358" s="118" t="str">
        <f>IF(OR(N358="",P358=""),"",IF(Q358&gt;Settings!$B$3/100,"UP",IF(Q358&lt;-Settings!$B$3/100,"DOWN","FLAT")))</f>
        <v>FLAT</v>
      </c>
      <c r="S358" s="118" t="str">
        <f t="shared" si="54"/>
        <v>YES</v>
      </c>
      <c r="T358" s="119">
        <f t="shared" si="55"/>
        <v>0</v>
      </c>
      <c r="U358" s="150">
        <f>IFERROR(IF(OR(J358="",N358="",P358=""),"",IF(T358=0,0,T358*Q358-Settings!$B$4/10000-IF(T358&lt;0,Settings!$B$5/10000,0))),"")</f>
        <v>0</v>
      </c>
      <c r="V358" t="s">
        <v>1646</v>
      </c>
      <c r="W358" s="21">
        <f t="shared" si="56"/>
        <v>1080</v>
      </c>
      <c r="X358" s="91" t="str">
        <f t="shared" si="57"/>
        <v>PepsiCo|2025|Q3</v>
      </c>
      <c r="Y358" s="91" t="str">
        <f>IFERROR(IF($X358="","",INDEX(LLM_Data_Entry!$H$3:$H$548,MATCH($X358,INDEX(LLM_Data_Entry!$A$3:$A$548&amp;"|"&amp;LLM_Data_Entry!$C$3:$C$548&amp;"|"&amp;LLM_Data_Entry!$D$3:$D$548,0),0))),"")</f>
        <v>HOLD</v>
      </c>
      <c r="Z358" s="91" t="str">
        <f>IFERROR(IF($X358="","",INDEX(LLM_Data_Entry!$R$3:$R$548,MATCH($X358,INDEX(LLM_Data_Entry!$A$3:$A$548&amp;"|"&amp;LLM_Data_Entry!$C$3:$C$548&amp;"|"&amp;LLM_Data_Entry!$D$3:$D$548,0),0))),"")</f>
        <v>YES</v>
      </c>
      <c r="AB358" t="s">
        <v>636</v>
      </c>
      <c r="AC358" t="s">
        <v>1602</v>
      </c>
      <c r="AD358" t="s">
        <v>1282</v>
      </c>
      <c r="AE358">
        <v>134.8588</v>
      </c>
      <c r="AF358" t="s">
        <v>1283</v>
      </c>
      <c r="AG358">
        <v>136.4323</v>
      </c>
      <c r="AH358">
        <v>1.1668198846777019E-2</v>
      </c>
      <c r="AI358" t="s">
        <v>579</v>
      </c>
      <c r="AJ358" t="s">
        <v>554</v>
      </c>
      <c r="AK358">
        <v>0</v>
      </c>
      <c r="AL358" t="str">
        <f>IF($A358="","",IFERROR(INDEX(Company_List!$G$3:$G$207,MATCH($A358,Company_List!$A$3:$A$207,0)),"unassigned"))</f>
        <v>P2</v>
      </c>
      <c r="AM358" t="s">
        <v>1647</v>
      </c>
      <c r="AN358" t="s">
        <v>1648</v>
      </c>
      <c r="AO358" t="s">
        <v>754</v>
      </c>
      <c r="AP358" t="str">
        <f>IF($A358="","",IF(COUNTIFS(LLM_Data_Entry!$A$3:$A$548,$A358)&gt;0,"YES","NO"))</f>
        <v>YES</v>
      </c>
      <c r="AQ358" t="str">
        <f>IF($A358="","",IF(COUNTIFS($A$3:$A358,$A358,$C$3:$C358,$C358,$D$3:$D358,$D358)=1,"YES","NO"))</f>
        <v>YES</v>
      </c>
      <c r="AR358" t="str">
        <f>IF($A358="","",IF(AND($C358&amp;"-"&amp;$D358&gt;=Settings!$B$19,$C358&amp;"-"&amp;$D358&lt;=Settings!$B$20),"IN","OUT"))</f>
        <v>IN</v>
      </c>
      <c r="AS358" t="str">
        <f t="shared" si="58"/>
        <v>full</v>
      </c>
      <c r="AT358" t="str">
        <f t="shared" si="59"/>
        <v/>
      </c>
      <c r="AU358" t="str">
        <f t="shared" si="60"/>
        <v/>
      </c>
      <c r="AV358" t="str">
        <f>IF(ISNUMBER($AT358),ABS(IF(ISNUMBER($I358),$I358,0)-Settings!$B$24),"")</f>
        <v/>
      </c>
      <c r="AW358" t="str">
        <f t="shared" si="61"/>
        <v/>
      </c>
      <c r="AX358" t="str">
        <f>IF(ISNUMBER($AU358),ABS(IF(ISNUMBER($I358),$I358,0)-Settings!$B$24),"")</f>
        <v/>
      </c>
      <c r="AY358" t="s">
        <v>549</v>
      </c>
      <c r="AZ358" t="str">
        <f>IF($A358="","",IFERROR(INDEX(Company_List!$H$3:$H$207,MATCH($A358,Company_List!$A$3:$A$207,0)),"unassigned"))</f>
        <v>Consumer Staples</v>
      </c>
      <c r="BC358">
        <f>IF($A358="","",IF(COUNTIFS($A$3:$A358,$A358,$C$3:$C358,$C358,$D$3:$D358,$D358,$G$3:$G358,$G358)=1,1,0))</f>
        <v>1</v>
      </c>
      <c r="BG358" t="s">
        <v>550</v>
      </c>
      <c r="BK358">
        <f t="shared" si="62"/>
        <v>1</v>
      </c>
      <c r="BL358" t="s">
        <v>551</v>
      </c>
      <c r="BM358">
        <v>2</v>
      </c>
      <c r="BN358" t="s">
        <v>882</v>
      </c>
      <c r="BO358" t="s">
        <v>596</v>
      </c>
      <c r="BP358" t="s">
        <v>550</v>
      </c>
      <c r="BQ358" t="s">
        <v>562</v>
      </c>
      <c r="BS358" t="s">
        <v>554</v>
      </c>
    </row>
    <row r="359" spans="1:71" x14ac:dyDescent="0.2">
      <c r="A359" s="1" t="s">
        <v>1600</v>
      </c>
      <c r="B359" s="142" t="str">
        <f>IF(A359="","",_xlfn.XLOOKUP(A359, Company_List!$A:$A, Company_List!$B:$B, ""))</f>
        <v>PEP</v>
      </c>
      <c r="C359" s="143">
        <v>2025</v>
      </c>
      <c r="D359" s="143" t="s">
        <v>569</v>
      </c>
      <c r="E359" s="98" t="s">
        <v>538</v>
      </c>
      <c r="F359" s="98" t="s">
        <v>538</v>
      </c>
      <c r="G359" s="143" t="s">
        <v>575</v>
      </c>
      <c r="H359" s="106" t="s">
        <v>540</v>
      </c>
      <c r="I359" s="145">
        <v>0.4</v>
      </c>
      <c r="J359" s="145" t="str">
        <f>IF(OR(I359="",Settings!$B$6=""),"",IF(I359&gt;Settings!$B$6,"BUY",IF(I359&lt;-Settings!$B$6,"SELL","HOLD")))</f>
        <v>BUY</v>
      </c>
      <c r="K359" s="145">
        <v>15</v>
      </c>
      <c r="L359" s="123">
        <v>46056</v>
      </c>
      <c r="M359" s="140">
        <v>46055</v>
      </c>
      <c r="N359" s="147">
        <v>155.19999999999999</v>
      </c>
      <c r="O359" s="140">
        <v>46056</v>
      </c>
      <c r="P359" s="145">
        <v>156.6</v>
      </c>
      <c r="Q359" s="151">
        <f t="shared" si="53"/>
        <v>8.9999999999999993E-3</v>
      </c>
      <c r="R359" s="118" t="str">
        <f>IF(OR(N359="",P359=""),"",IF(Q359&gt;Settings!$B$3/100,"UP",IF(Q359&lt;-Settings!$B$3/100,"DOWN","FLAT")))</f>
        <v>FLAT</v>
      </c>
      <c r="S359" s="118" t="str">
        <f t="shared" si="54"/>
        <v>NO</v>
      </c>
      <c r="T359" s="119">
        <f t="shared" si="55"/>
        <v>1</v>
      </c>
      <c r="U359" s="150">
        <f>IFERROR(IF(OR(J359="",N359="",P359=""),"",IF(T359=0,0,T359*Q359-Settings!$B$4/10000-IF(T359&lt;0,Settings!$B$5/10000,0))),"")</f>
        <v>8.0000000000000002E-3</v>
      </c>
      <c r="V359" t="s">
        <v>1649</v>
      </c>
      <c r="W359" s="21">
        <f t="shared" si="56"/>
        <v>900</v>
      </c>
      <c r="X359" s="91" t="str">
        <f t="shared" si="57"/>
        <v>PepsiCo|2025|Q4</v>
      </c>
      <c r="Y359" s="91" t="str">
        <f>IFERROR(IF($X359="","",INDEX(LLM_Data_Entry!$H$3:$H$548,MATCH($X359,INDEX(LLM_Data_Entry!$A$3:$A$548&amp;"|"&amp;LLM_Data_Entry!$C$3:$C$548&amp;"|"&amp;LLM_Data_Entry!$D$3:$D$548,0),0))),"")</f>
        <v>HOLD</v>
      </c>
      <c r="Z359" s="91" t="str">
        <f>IFERROR(IF($X359="","",INDEX(LLM_Data_Entry!$R$3:$R$548,MATCH($X359,INDEX(LLM_Data_Entry!$A$3:$A$548&amp;"|"&amp;LLM_Data_Entry!$C$3:$C$548&amp;"|"&amp;LLM_Data_Entry!$D$3:$D$548,0),0))),"")</f>
        <v>YES</v>
      </c>
      <c r="AB359" t="s">
        <v>636</v>
      </c>
      <c r="AC359" t="s">
        <v>1602</v>
      </c>
      <c r="AD359" t="s">
        <v>983</v>
      </c>
      <c r="AE359">
        <v>152.22409999999999</v>
      </c>
      <c r="AF359" t="s">
        <v>736</v>
      </c>
      <c r="AG359">
        <v>153.59729999999999</v>
      </c>
      <c r="AH359">
        <v>9.0206896429256851E-3</v>
      </c>
      <c r="AI359" t="s">
        <v>579</v>
      </c>
      <c r="AJ359" t="s">
        <v>546</v>
      </c>
      <c r="AK359">
        <v>8.0210000000000004E-3</v>
      </c>
      <c r="AL359" t="str">
        <f>IF($A359="","",IFERROR(INDEX(Company_List!$G$3:$G$207,MATCH($A359,Company_List!$A$3:$A$207,0)),"unassigned"))</f>
        <v>P2</v>
      </c>
      <c r="AM359" t="s">
        <v>1650</v>
      </c>
      <c r="AN359" t="s">
        <v>1651</v>
      </c>
      <c r="AO359" t="s">
        <v>754</v>
      </c>
      <c r="AP359" t="str">
        <f>IF($A359="","",IF(COUNTIFS(LLM_Data_Entry!$A$3:$A$548,$A359)&gt;0,"YES","NO"))</f>
        <v>YES</v>
      </c>
      <c r="AQ359" t="str">
        <f>IF($A359="","",IF(COUNTIFS($A$3:$A359,$A359,$C$3:$C359,$C359,$D$3:$D359,$D359)=1,"YES","NO"))</f>
        <v>YES</v>
      </c>
      <c r="AR359" t="str">
        <f>IF($A359="","",IF(AND($C359&amp;"-"&amp;$D359&gt;=Settings!$B$19,$C359&amp;"-"&amp;$D359&lt;=Settings!$B$20),"IN","OUT"))</f>
        <v>IN</v>
      </c>
      <c r="AS359" t="str">
        <f t="shared" si="58"/>
        <v>full</v>
      </c>
      <c r="AT359">
        <f t="shared" si="59"/>
        <v>8.0000000000000002E-3</v>
      </c>
      <c r="AU359">
        <f t="shared" si="60"/>
        <v>8.0210000000000004E-3</v>
      </c>
      <c r="AV359">
        <f>IF(ISNUMBER($AT359),ABS(IF(ISNUMBER($I359),$I359,0)-Settings!$B$24),"")</f>
        <v>0.4</v>
      </c>
      <c r="AW359">
        <f t="shared" si="61"/>
        <v>3.2000000000000002E-3</v>
      </c>
      <c r="AX359">
        <f>IF(ISNUMBER($AU359),ABS(IF(ISNUMBER($I359),$I359,0)-Settings!$B$24),"")</f>
        <v>0.4</v>
      </c>
      <c r="AY359" t="s">
        <v>549</v>
      </c>
      <c r="AZ359" t="str">
        <f>IF($A359="","",IFERROR(INDEX(Company_List!$H$3:$H$207,MATCH($A359,Company_List!$A$3:$A$207,0)),"unassigned"))</f>
        <v>Consumer Staples</v>
      </c>
      <c r="BC359">
        <f>IF($A359="","",IF(COUNTIFS($A$3:$A359,$A359,$C$3:$C359,$C359,$D$3:$D359,$D359,$G$3:$G359,$G359)=1,1,0))</f>
        <v>1</v>
      </c>
      <c r="BG359" t="s">
        <v>550</v>
      </c>
      <c r="BK359">
        <f t="shared" si="62"/>
        <v>0</v>
      </c>
      <c r="BL359" t="s">
        <v>551</v>
      </c>
      <c r="BM359">
        <v>2</v>
      </c>
      <c r="BN359" t="s">
        <v>882</v>
      </c>
      <c r="BO359" t="s">
        <v>596</v>
      </c>
      <c r="BP359" t="s">
        <v>550</v>
      </c>
      <c r="BQ359" t="s">
        <v>562</v>
      </c>
      <c r="BS359" t="s">
        <v>554</v>
      </c>
    </row>
    <row r="360" spans="1:71" x14ac:dyDescent="0.2">
      <c r="A360" s="1" t="s">
        <v>1600</v>
      </c>
      <c r="B360" s="142" t="str">
        <f>IF(A360="","",_xlfn.XLOOKUP(A360, Company_List!$A:$A, Company_List!$B:$B, ""))</f>
        <v>PEP</v>
      </c>
      <c r="C360" s="143">
        <v>2026</v>
      </c>
      <c r="D360" s="143" t="s">
        <v>537</v>
      </c>
      <c r="E360" s="98" t="s">
        <v>538</v>
      </c>
      <c r="F360" s="98" t="s">
        <v>538</v>
      </c>
      <c r="G360" s="143" t="s">
        <v>575</v>
      </c>
      <c r="H360" s="106" t="s">
        <v>540</v>
      </c>
      <c r="I360" s="145">
        <v>0.7</v>
      </c>
      <c r="J360" s="145" t="str">
        <f>IF(OR(I360="",Settings!$B$6=""),"",IF(I360&gt;Settings!$B$6,"BUY",IF(I360&lt;-Settings!$B$6,"SELL","HOLD")))</f>
        <v>BUY</v>
      </c>
      <c r="K360" s="145">
        <v>19</v>
      </c>
      <c r="L360" s="123">
        <v>46128</v>
      </c>
      <c r="M360" s="140">
        <v>46127</v>
      </c>
      <c r="N360" s="147">
        <v>154.85</v>
      </c>
      <c r="O360" s="140">
        <v>46128</v>
      </c>
      <c r="P360" s="145">
        <v>155.54</v>
      </c>
      <c r="Q360" s="151">
        <f t="shared" si="53"/>
        <v>4.4999999999999997E-3</v>
      </c>
      <c r="R360" s="118" t="str">
        <f>IF(OR(N360="",P360=""),"",IF(Q360&gt;Settings!$B$3/100,"UP",IF(Q360&lt;-Settings!$B$3/100,"DOWN","FLAT")))</f>
        <v>FLAT</v>
      </c>
      <c r="S360" s="118" t="str">
        <f t="shared" si="54"/>
        <v>NO</v>
      </c>
      <c r="T360" s="119">
        <f t="shared" si="55"/>
        <v>1</v>
      </c>
      <c r="U360" s="150">
        <f>IFERROR(IF(OR(J360="",N360="",P360=""),"",IF(T360=0,0,T360*Q360-Settings!$B$4/10000-IF(T360&lt;0,Settings!$B$5/10000,0))),"")</f>
        <v>3.4999999999999996E-3</v>
      </c>
      <c r="V360" t="s">
        <v>1652</v>
      </c>
      <c r="W360" s="21">
        <f t="shared" si="56"/>
        <v>1140</v>
      </c>
      <c r="X360" s="91" t="str">
        <f t="shared" si="57"/>
        <v>PepsiCo|2026|Q1</v>
      </c>
      <c r="Y360" s="91" t="str">
        <f>IFERROR(IF($X360="","",INDEX(LLM_Data_Entry!$H$3:$H$548,MATCH($X360,INDEX(LLM_Data_Entry!$A$3:$A$548&amp;"|"&amp;LLM_Data_Entry!$C$3:$C$548&amp;"|"&amp;LLM_Data_Entry!$D$3:$D$548,0),0))),"")</f>
        <v>SELL</v>
      </c>
      <c r="Z360" s="91" t="str">
        <f>IFERROR(IF($X360="","",INDEX(LLM_Data_Entry!$R$3:$R$548,MATCH($X360,INDEX(LLM_Data_Entry!$A$3:$A$548&amp;"|"&amp;LLM_Data_Entry!$C$3:$C$548&amp;"|"&amp;LLM_Data_Entry!$D$3:$D$548,0),0))),"")</f>
        <v>NO</v>
      </c>
      <c r="AB360" t="s">
        <v>636</v>
      </c>
      <c r="AC360" t="s">
        <v>1602</v>
      </c>
      <c r="AD360" t="s">
        <v>920</v>
      </c>
      <c r="AE360">
        <v>153.23779999999999</v>
      </c>
      <c r="AF360" t="s">
        <v>543</v>
      </c>
      <c r="AG360">
        <v>153.92060000000001</v>
      </c>
      <c r="AH360">
        <v>4.4558008953424879E-3</v>
      </c>
      <c r="AI360" t="s">
        <v>579</v>
      </c>
      <c r="AJ360" t="s">
        <v>546</v>
      </c>
      <c r="AK360">
        <v>3.4559999999999999E-3</v>
      </c>
      <c r="AL360" t="str">
        <f>IF($A360="","",IFERROR(INDEX(Company_List!$G$3:$G$207,MATCH($A360,Company_List!$A$3:$A$207,0)),"unassigned"))</f>
        <v>P2</v>
      </c>
      <c r="AM360" t="s">
        <v>1653</v>
      </c>
      <c r="AN360" t="s">
        <v>1654</v>
      </c>
      <c r="AO360" t="s">
        <v>754</v>
      </c>
      <c r="AP360" t="str">
        <f>IF($A360="","",IF(COUNTIFS(LLM_Data_Entry!$A$3:$A$548,$A360)&gt;0,"YES","NO"))</f>
        <v>YES</v>
      </c>
      <c r="AQ360" t="str">
        <f>IF($A360="","",IF(COUNTIFS($A$3:$A360,$A360,$C$3:$C360,$C360,$D$3:$D360,$D360)=1,"YES","NO"))</f>
        <v>YES</v>
      </c>
      <c r="AR360" t="str">
        <f>IF($A360="","",IF(AND($C360&amp;"-"&amp;$D360&gt;=Settings!$B$19,$C360&amp;"-"&amp;$D360&lt;=Settings!$B$20),"IN","OUT"))</f>
        <v>IN</v>
      </c>
      <c r="AS360" t="str">
        <f t="shared" si="58"/>
        <v>full</v>
      </c>
      <c r="AT360">
        <f t="shared" si="59"/>
        <v>3.4999999999999996E-3</v>
      </c>
      <c r="AU360">
        <f t="shared" si="60"/>
        <v>3.4559999999999999E-3</v>
      </c>
      <c r="AV360">
        <f>IF(ISNUMBER($AT360),ABS(IF(ISNUMBER($I360),$I360,0)-Settings!$B$24),"")</f>
        <v>0.7</v>
      </c>
      <c r="AW360">
        <f t="shared" si="61"/>
        <v>2.4499999999999995E-3</v>
      </c>
      <c r="AX360">
        <f>IF(ISNUMBER($AU360),ABS(IF(ISNUMBER($I360),$I360,0)-Settings!$B$24),"")</f>
        <v>0.7</v>
      </c>
      <c r="AY360" t="s">
        <v>549</v>
      </c>
      <c r="AZ360" t="str">
        <f>IF($A360="","",IFERROR(INDEX(Company_List!$H$3:$H$207,MATCH($A360,Company_List!$A$3:$A$207,0)),"unassigned"))</f>
        <v>Consumer Staples</v>
      </c>
      <c r="BC360">
        <f>IF($A360="","",IF(COUNTIFS($A$3:$A360,$A360,$C$3:$C360,$C360,$D$3:$D360,$D360,$G$3:$G360,$G360)=1,1,0))</f>
        <v>1</v>
      </c>
      <c r="BG360" t="s">
        <v>550</v>
      </c>
      <c r="BK360">
        <f t="shared" si="62"/>
        <v>0</v>
      </c>
      <c r="BL360" t="s">
        <v>551</v>
      </c>
      <c r="BM360">
        <v>2</v>
      </c>
      <c r="BN360" t="s">
        <v>595</v>
      </c>
      <c r="BO360" t="s">
        <v>596</v>
      </c>
      <c r="BP360" t="s">
        <v>550</v>
      </c>
      <c r="BQ360" t="s">
        <v>562</v>
      </c>
      <c r="BS360" t="s">
        <v>554</v>
      </c>
    </row>
    <row r="361" spans="1:71" x14ac:dyDescent="0.2">
      <c r="A361" s="1" t="s">
        <v>1600</v>
      </c>
      <c r="B361" s="142" t="str">
        <f>IF(A361="","",_xlfn.XLOOKUP(A361, Company_List!$A:$A, Company_List!$B:$B, ""))</f>
        <v>PEP</v>
      </c>
      <c r="C361" s="143">
        <v>2026</v>
      </c>
      <c r="D361" s="143" t="s">
        <v>555</v>
      </c>
      <c r="E361" s="98" t="s">
        <v>538</v>
      </c>
      <c r="F361" s="98" t="s">
        <v>538</v>
      </c>
      <c r="G361" s="143" t="s">
        <v>575</v>
      </c>
      <c r="H361" s="106" t="s">
        <v>540</v>
      </c>
      <c r="I361" s="145">
        <v>0.6</v>
      </c>
      <c r="J361" s="145" t="str">
        <f>IF(OR(I361="",Settings!$B$6=""),"",IF(I361&gt;Settings!$B$6,"BUY",IF(I361&lt;-Settings!$B$6,"SELL","HOLD")))</f>
        <v>BUY</v>
      </c>
      <c r="K361" s="145">
        <v>16</v>
      </c>
      <c r="L361" s="123">
        <v>46212</v>
      </c>
      <c r="M361" s="140">
        <v>46211</v>
      </c>
      <c r="N361" s="147">
        <v>142.51</v>
      </c>
      <c r="O361" s="140">
        <v>46212</v>
      </c>
      <c r="P361" s="145">
        <v>137.09</v>
      </c>
      <c r="Q361" s="151">
        <f t="shared" si="53"/>
        <v>-3.7999999999999999E-2</v>
      </c>
      <c r="R361" s="118" t="str">
        <f>IF(OR(N361="",P361=""),"",IF(Q361&gt;Settings!$B$3/100,"UP",IF(Q361&lt;-Settings!$B$3/100,"DOWN","FLAT")))</f>
        <v>DOWN</v>
      </c>
      <c r="S361" s="118" t="str">
        <f t="shared" si="54"/>
        <v>NO</v>
      </c>
      <c r="T361" s="119">
        <f t="shared" si="55"/>
        <v>1</v>
      </c>
      <c r="U361" s="150">
        <f>IFERROR(IF(OR(J361="",N361="",P361=""),"",IF(T361=0,0,T361*Q361-Settings!$B$4/10000-IF(T361&lt;0,Settings!$B$5/10000,0))),"")</f>
        <v>-3.9E-2</v>
      </c>
      <c r="V361" t="s">
        <v>1655</v>
      </c>
      <c r="W361" s="21">
        <f t="shared" si="56"/>
        <v>960</v>
      </c>
      <c r="X361" s="91" t="str">
        <f t="shared" si="57"/>
        <v>PepsiCo|2026|Q2</v>
      </c>
      <c r="Y361" s="91" t="str">
        <f>IFERROR(IF($X361="","",INDEX(LLM_Data_Entry!$H$3:$H$548,MATCH($X361,INDEX(LLM_Data_Entry!$A$3:$A$548&amp;"|"&amp;LLM_Data_Entry!$C$3:$C$548&amp;"|"&amp;LLM_Data_Entry!$D$3:$D$548,0),0))),"")</f>
        <v>SELL</v>
      </c>
      <c r="Z361" s="91" t="str">
        <f>IFERROR(IF($X361="","",INDEX(LLM_Data_Entry!$R$3:$R$548,MATCH($X361,INDEX(LLM_Data_Entry!$A$3:$A$548&amp;"|"&amp;LLM_Data_Entry!$C$3:$C$548&amp;"|"&amp;LLM_Data_Entry!$D$3:$D$548,0),0))),"")</f>
        <v>YES</v>
      </c>
      <c r="AB361" t="s">
        <v>636</v>
      </c>
      <c r="AC361" t="s">
        <v>1602</v>
      </c>
      <c r="AD361" t="s">
        <v>1656</v>
      </c>
      <c r="AE361">
        <v>142.51</v>
      </c>
      <c r="AF361" t="s">
        <v>1657</v>
      </c>
      <c r="AG361">
        <v>137.09</v>
      </c>
      <c r="AH361">
        <v>-3.8032413094955128E-2</v>
      </c>
      <c r="AI361" t="s">
        <v>545</v>
      </c>
      <c r="AJ361" t="s">
        <v>546</v>
      </c>
      <c r="AK361">
        <v>-3.9031999999999997E-2</v>
      </c>
      <c r="AL361" t="str">
        <f>IF($A361="","",IFERROR(INDEX(Company_List!$G$3:$G$207,MATCH($A361,Company_List!$A$3:$A$207,0)),"unassigned"))</f>
        <v>P2</v>
      </c>
      <c r="AM361" t="s">
        <v>1658</v>
      </c>
      <c r="AN361" t="s">
        <v>1659</v>
      </c>
      <c r="AO361" t="s">
        <v>754</v>
      </c>
      <c r="AP361" t="str">
        <f>IF($A361="","",IF(COUNTIFS(LLM_Data_Entry!$A$3:$A$548,$A361)&gt;0,"YES","NO"))</f>
        <v>YES</v>
      </c>
      <c r="AQ361" t="str">
        <f>IF($A361="","",IF(COUNTIFS($A$3:$A361,$A361,$C$3:$C361,$C361,$D$3:$D361,$D361)=1,"YES","NO"))</f>
        <v>YES</v>
      </c>
      <c r="AR361" t="str">
        <f>IF($A361="","",IF(AND($C361&amp;"-"&amp;$D361&gt;=Settings!$B$19,$C361&amp;"-"&amp;$D361&lt;=Settings!$B$20),"IN","OUT"))</f>
        <v>IN</v>
      </c>
      <c r="AS361" t="str">
        <f t="shared" si="58"/>
        <v>full</v>
      </c>
      <c r="AT361">
        <f t="shared" si="59"/>
        <v>-3.9E-2</v>
      </c>
      <c r="AU361">
        <f t="shared" si="60"/>
        <v>-3.9031999999999997E-2</v>
      </c>
      <c r="AV361">
        <f>IF(ISNUMBER($AT361),ABS(IF(ISNUMBER($I361),$I361,0)-Settings!$B$24),"")</f>
        <v>0.6</v>
      </c>
      <c r="AW361">
        <f t="shared" si="61"/>
        <v>-2.3400000000000001E-2</v>
      </c>
      <c r="AX361">
        <f>IF(ISNUMBER($AU361),ABS(IF(ISNUMBER($I361),$I361,0)-Settings!$B$24),"")</f>
        <v>0.6</v>
      </c>
      <c r="AY361" t="s">
        <v>549</v>
      </c>
      <c r="AZ361" t="str">
        <f>IF($A361="","",IFERROR(INDEX(Company_List!$H$3:$H$207,MATCH($A361,Company_List!$A$3:$A$207,0)),"unassigned"))</f>
        <v>Consumer Staples</v>
      </c>
      <c r="BC361">
        <f>IF($A361="","",IF(COUNTIFS($A$3:$A361,$A361,$C$3:$C361,$C361,$D$3:$D361,$D361,$G$3:$G361,$G361)=1,1,0))</f>
        <v>1</v>
      </c>
      <c r="BG361" t="s">
        <v>550</v>
      </c>
      <c r="BK361">
        <f t="shared" si="62"/>
        <v>0</v>
      </c>
      <c r="BL361" t="s">
        <v>551</v>
      </c>
      <c r="BM361">
        <v>2</v>
      </c>
      <c r="BN361" t="s">
        <v>561</v>
      </c>
      <c r="BO361" t="s">
        <v>561</v>
      </c>
      <c r="BP361" t="s">
        <v>550</v>
      </c>
      <c r="BQ361" t="s">
        <v>562</v>
      </c>
      <c r="BS361" t="s">
        <v>554</v>
      </c>
    </row>
    <row r="362" spans="1:71" x14ac:dyDescent="0.2">
      <c r="A362" s="1" t="s">
        <v>1660</v>
      </c>
      <c r="B362" s="142" t="str">
        <f>IF(A362="","",_xlfn.XLOOKUP(A362, Company_List!$A:$A, Company_List!$B:$B, ""))</f>
        <v>DUK</v>
      </c>
      <c r="C362" s="143">
        <v>2023</v>
      </c>
      <c r="D362" s="143" t="s">
        <v>537</v>
      </c>
      <c r="E362" s="98" t="s">
        <v>538</v>
      </c>
      <c r="F362" s="98" t="s">
        <v>538</v>
      </c>
      <c r="G362" s="143" t="s">
        <v>575</v>
      </c>
      <c r="H362" s="106" t="s">
        <v>540</v>
      </c>
      <c r="I362" s="145">
        <v>0.1</v>
      </c>
      <c r="J362" s="145" t="str">
        <f>IF(OR(I362="",Settings!$B$6=""),"",IF(I362&gt;Settings!$B$6,"BUY",IF(I362&lt;-Settings!$B$6,"SELL","HOLD")))</f>
        <v>HOLD</v>
      </c>
      <c r="K362" s="145">
        <v>21</v>
      </c>
      <c r="L362" s="123">
        <v>45055</v>
      </c>
      <c r="M362" s="140" t="s">
        <v>1603</v>
      </c>
      <c r="N362" s="147">
        <v>87.229299999999995</v>
      </c>
      <c r="O362" s="140" t="s">
        <v>1604</v>
      </c>
      <c r="P362" s="145">
        <v>87.326300000000003</v>
      </c>
      <c r="Q362" s="151">
        <f t="shared" si="53"/>
        <v>1.1000000000000001E-3</v>
      </c>
      <c r="R362" s="118" t="str">
        <f>IF(OR(N362="",P362=""),"",IF(Q362&gt;Settings!$B$3/100,"UP",IF(Q362&lt;-Settings!$B$3/100,"DOWN","FLAT")))</f>
        <v>FLAT</v>
      </c>
      <c r="S362" s="118" t="str">
        <f t="shared" si="54"/>
        <v>YES</v>
      </c>
      <c r="T362" s="119">
        <f t="shared" si="55"/>
        <v>0</v>
      </c>
      <c r="U362" s="150">
        <f>IFERROR(IF(OR(J362="",N362="",P362=""),"",IF(T362=0,0,T362*Q362-Settings!$B$4/10000-IF(T362&lt;0,Settings!$B$5/10000,0))),"")</f>
        <v>0</v>
      </c>
      <c r="V362" t="s">
        <v>1661</v>
      </c>
      <c r="W362" s="21">
        <f t="shared" si="56"/>
        <v>1260</v>
      </c>
      <c r="X362" s="91" t="str">
        <f t="shared" si="57"/>
        <v>Duke Energy|2023|Q1</v>
      </c>
      <c r="Y362" s="91" t="str">
        <f>IFERROR(IF($X362="","",INDEX(LLM_Data_Entry!$H$3:$H$548,MATCH($X362,INDEX(LLM_Data_Entry!$A$3:$A$548&amp;"|"&amp;LLM_Data_Entry!$C$3:$C$548&amp;"|"&amp;LLM_Data_Entry!$D$3:$D$548,0),0))),"")</f>
        <v>HOLD</v>
      </c>
      <c r="Z362" s="91">
        <f>IFERROR(IF($X362="","",INDEX(LLM_Data_Entry!$R$3:$R$548,MATCH($X362,INDEX(LLM_Data_Entry!$A$3:$A$548&amp;"|"&amp;LLM_Data_Entry!$C$3:$C$548&amp;"|"&amp;LLM_Data_Entry!$D$3:$D$548,0),0))),"")</f>
        <v>0</v>
      </c>
      <c r="AB362" t="s">
        <v>853</v>
      </c>
      <c r="AC362" t="s">
        <v>1662</v>
      </c>
      <c r="AD362" t="s">
        <v>1663</v>
      </c>
      <c r="AE362">
        <v>87.229299999999995</v>
      </c>
      <c r="AF362" t="s">
        <v>1664</v>
      </c>
      <c r="AG362">
        <v>86.188500000000005</v>
      </c>
      <c r="AH362">
        <v>-1.193117785575892E-2</v>
      </c>
      <c r="AI362" t="s">
        <v>579</v>
      </c>
      <c r="AJ362" t="s">
        <v>554</v>
      </c>
      <c r="AK362">
        <v>0</v>
      </c>
      <c r="AL362" t="str">
        <f>IF($A362="","",IFERROR(INDEX(Company_List!$G$3:$G$207,MATCH($A362,Company_List!$A$3:$A$207,0)),"unassigned"))</f>
        <v>P2</v>
      </c>
      <c r="AM362" t="s">
        <v>1665</v>
      </c>
      <c r="AN362" t="s">
        <v>1666</v>
      </c>
      <c r="AO362" t="s">
        <v>754</v>
      </c>
      <c r="AP362" t="str">
        <f>IF($A362="","",IF(COUNTIFS(LLM_Data_Entry!$A$3:$A$548,$A362)&gt;0,"YES","NO"))</f>
        <v>YES</v>
      </c>
      <c r="AQ362" t="str">
        <f>IF($A362="","",IF(COUNTIFS($A$3:$A362,$A362,$C$3:$C362,$C362,$D$3:$D362,$D362)=1,"YES","NO"))</f>
        <v>YES</v>
      </c>
      <c r="AR362" t="str">
        <f>IF($A362="","",IF(AND($C362&amp;"-"&amp;$D362&gt;=Settings!$B$19,$C362&amp;"-"&amp;$D362&lt;=Settings!$B$20),"IN","OUT"))</f>
        <v>IN</v>
      </c>
      <c r="AS362" t="str">
        <f t="shared" si="58"/>
        <v>full</v>
      </c>
      <c r="AT362" t="str">
        <f t="shared" si="59"/>
        <v/>
      </c>
      <c r="AU362" t="str">
        <f t="shared" si="60"/>
        <v/>
      </c>
      <c r="AV362" t="str">
        <f>IF(ISNUMBER($AT362),ABS(IF(ISNUMBER($I362),$I362,0)-Settings!$B$24),"")</f>
        <v/>
      </c>
      <c r="AW362" t="str">
        <f t="shared" si="61"/>
        <v/>
      </c>
      <c r="AX362" t="str">
        <f>IF(ISNUMBER($AU362),ABS(IF(ISNUMBER($I362),$I362,0)-Settings!$B$24),"")</f>
        <v/>
      </c>
      <c r="AY362" t="s">
        <v>1183</v>
      </c>
      <c r="AZ362" t="str">
        <f>IF($A362="","",IFERROR(INDEX(Company_List!$H$3:$H$207,MATCH($A362,Company_List!$A$3:$A$207,0)),"unassigned"))</f>
        <v>Utilities</v>
      </c>
      <c r="BC362">
        <f>IF($A362="","",IF(COUNTIFS($A$3:$A362,$A362,$C$3:$C362,$C362,$D$3:$D362,$D362,$G$3:$G362,$G362)=1,1,0))</f>
        <v>1</v>
      </c>
      <c r="BG362" t="s">
        <v>550</v>
      </c>
      <c r="BK362">
        <f t="shared" si="62"/>
        <v>1</v>
      </c>
      <c r="BL362" t="s">
        <v>551</v>
      </c>
      <c r="BM362">
        <v>2</v>
      </c>
      <c r="BN362" t="s">
        <v>561</v>
      </c>
      <c r="BO362" t="s">
        <v>561</v>
      </c>
      <c r="BP362" t="s">
        <v>550</v>
      </c>
      <c r="BQ362" t="s">
        <v>562</v>
      </c>
      <c r="BS362" t="s">
        <v>554</v>
      </c>
    </row>
    <row r="363" spans="1:71" x14ac:dyDescent="0.2">
      <c r="A363" s="1" t="s">
        <v>1660</v>
      </c>
      <c r="B363" s="142" t="str">
        <f>IF(A363="","",_xlfn.XLOOKUP(A363, Company_List!$A:$A, Company_List!$B:$B, ""))</f>
        <v>DUK</v>
      </c>
      <c r="C363" s="143">
        <v>2023</v>
      </c>
      <c r="D363" s="143" t="s">
        <v>555</v>
      </c>
      <c r="E363" s="98" t="s">
        <v>538</v>
      </c>
      <c r="F363" s="98" t="s">
        <v>538</v>
      </c>
      <c r="G363" s="143" t="s">
        <v>575</v>
      </c>
      <c r="H363" s="106" t="s">
        <v>540</v>
      </c>
      <c r="I363" s="145">
        <v>0</v>
      </c>
      <c r="J363" s="145" t="str">
        <f>IF(OR(I363="",Settings!$B$6=""),"",IF(I363&gt;Settings!$B$6,"BUY",IF(I363&lt;-Settings!$B$6,"SELL","HOLD")))</f>
        <v>HOLD</v>
      </c>
      <c r="K363" s="145">
        <v>24</v>
      </c>
      <c r="L363" s="123">
        <v>45146</v>
      </c>
      <c r="M363" s="140" t="s">
        <v>1667</v>
      </c>
      <c r="N363" s="147">
        <v>84.442599999999999</v>
      </c>
      <c r="O363" s="140" t="s">
        <v>1668</v>
      </c>
      <c r="P363" s="145">
        <v>84.255499999999998</v>
      </c>
      <c r="Q363" s="151">
        <f t="shared" si="53"/>
        <v>-2.2000000000000001E-3</v>
      </c>
      <c r="R363" s="118" t="str">
        <f>IF(OR(N363="",P363=""),"",IF(Q363&gt;Settings!$B$3/100,"UP",IF(Q363&lt;-Settings!$B$3/100,"DOWN","FLAT")))</f>
        <v>FLAT</v>
      </c>
      <c r="S363" s="118" t="str">
        <f t="shared" si="54"/>
        <v>YES</v>
      </c>
      <c r="T363" s="119">
        <f t="shared" si="55"/>
        <v>0</v>
      </c>
      <c r="U363" s="150">
        <f>IFERROR(IF(OR(J363="",N363="",P363=""),"",IF(T363=0,0,T363*Q363-Settings!$B$4/10000-IF(T363&lt;0,Settings!$B$5/10000,0))),"")</f>
        <v>0</v>
      </c>
      <c r="V363" t="s">
        <v>1669</v>
      </c>
      <c r="W363" s="21">
        <f t="shared" si="56"/>
        <v>1440</v>
      </c>
      <c r="X363" s="91" t="str">
        <f t="shared" si="57"/>
        <v>Duke Energy|2023|Q2</v>
      </c>
      <c r="Y363" s="91" t="str">
        <f>IFERROR(IF($X363="","",INDEX(LLM_Data_Entry!$H$3:$H$548,MATCH($X363,INDEX(LLM_Data_Entry!$A$3:$A$548&amp;"|"&amp;LLM_Data_Entry!$C$3:$C$548&amp;"|"&amp;LLM_Data_Entry!$D$3:$D$548,0),0))),"")</f>
        <v>SELL</v>
      </c>
      <c r="Z363" s="91">
        <f>IFERROR(IF($X363="","",INDEX(LLM_Data_Entry!$R$3:$R$548,MATCH($X363,INDEX(LLM_Data_Entry!$A$3:$A$548&amp;"|"&amp;LLM_Data_Entry!$C$3:$C$548&amp;"|"&amp;LLM_Data_Entry!$D$3:$D$548,0),0))),"")</f>
        <v>0</v>
      </c>
      <c r="AB363" t="s">
        <v>748</v>
      </c>
      <c r="AC363" t="s">
        <v>1662</v>
      </c>
      <c r="AD363" t="s">
        <v>1670</v>
      </c>
      <c r="AE363">
        <v>79.889499999999998</v>
      </c>
      <c r="AF363" t="s">
        <v>1671</v>
      </c>
      <c r="AG363">
        <v>80.441900000000004</v>
      </c>
      <c r="AH363">
        <v>6.9149320833074247E-3</v>
      </c>
      <c r="AI363" t="s">
        <v>579</v>
      </c>
      <c r="AJ363" t="s">
        <v>554</v>
      </c>
      <c r="AK363">
        <v>0</v>
      </c>
      <c r="AL363" t="str">
        <f>IF($A363="","",IFERROR(INDEX(Company_List!$G$3:$G$207,MATCH($A363,Company_List!$A$3:$A$207,0)),"unassigned"))</f>
        <v>P2</v>
      </c>
      <c r="AM363" t="s">
        <v>1672</v>
      </c>
      <c r="AN363" t="s">
        <v>1673</v>
      </c>
      <c r="AO363" t="s">
        <v>754</v>
      </c>
      <c r="AP363" t="str">
        <f>IF($A363="","",IF(COUNTIFS(LLM_Data_Entry!$A$3:$A$548,$A363)&gt;0,"YES","NO"))</f>
        <v>YES</v>
      </c>
      <c r="AQ363" t="str">
        <f>IF($A363="","",IF(COUNTIFS($A$3:$A363,$A363,$C$3:$C363,$C363,$D$3:$D363,$D363)=1,"YES","NO"))</f>
        <v>YES</v>
      </c>
      <c r="AR363" t="str">
        <f>IF($A363="","",IF(AND($C363&amp;"-"&amp;$D363&gt;=Settings!$B$19,$C363&amp;"-"&amp;$D363&lt;=Settings!$B$20),"IN","OUT"))</f>
        <v>IN</v>
      </c>
      <c r="AS363" t="str">
        <f t="shared" si="58"/>
        <v>full</v>
      </c>
      <c r="AT363" t="str">
        <f t="shared" si="59"/>
        <v/>
      </c>
      <c r="AU363" t="str">
        <f t="shared" si="60"/>
        <v/>
      </c>
      <c r="AV363" t="str">
        <f>IF(ISNUMBER($AT363),ABS(IF(ISNUMBER($I363),$I363,0)-Settings!$B$24),"")</f>
        <v/>
      </c>
      <c r="AW363" t="str">
        <f t="shared" si="61"/>
        <v/>
      </c>
      <c r="AX363" t="str">
        <f>IF(ISNUMBER($AU363),ABS(IF(ISNUMBER($I363),$I363,0)-Settings!$B$24),"")</f>
        <v/>
      </c>
      <c r="AY363" t="s">
        <v>1183</v>
      </c>
      <c r="AZ363" t="str">
        <f>IF($A363="","",IFERROR(INDEX(Company_List!$H$3:$H$207,MATCH($A363,Company_List!$A$3:$A$207,0)),"unassigned"))</f>
        <v>Utilities</v>
      </c>
      <c r="BC363">
        <f>IF($A363="","",IF(COUNTIFS($A$3:$A363,$A363,$C$3:$C363,$C363,$D$3:$D363,$D363,$G$3:$G363,$G363)=1,1,0))</f>
        <v>1</v>
      </c>
      <c r="BG363" t="s">
        <v>550</v>
      </c>
      <c r="BK363">
        <f t="shared" si="62"/>
        <v>0</v>
      </c>
      <c r="BL363" t="s">
        <v>551</v>
      </c>
      <c r="BM363">
        <v>2</v>
      </c>
      <c r="BN363" t="s">
        <v>882</v>
      </c>
      <c r="BO363" t="s">
        <v>596</v>
      </c>
      <c r="BP363" t="s">
        <v>550</v>
      </c>
      <c r="BQ363" t="s">
        <v>562</v>
      </c>
      <c r="BS363" t="s">
        <v>554</v>
      </c>
    </row>
    <row r="364" spans="1:71" x14ac:dyDescent="0.2">
      <c r="A364" s="1" t="s">
        <v>1660</v>
      </c>
      <c r="B364" s="142" t="str">
        <f>IF(A364="","",_xlfn.XLOOKUP(A364, Company_List!$A:$A, Company_List!$B:$B, ""))</f>
        <v>DUK</v>
      </c>
      <c r="C364" s="143">
        <v>2023</v>
      </c>
      <c r="D364" s="143" t="s">
        <v>563</v>
      </c>
      <c r="E364" s="98" t="s">
        <v>538</v>
      </c>
      <c r="F364" s="98" t="s">
        <v>538</v>
      </c>
      <c r="G364" s="143" t="s">
        <v>575</v>
      </c>
      <c r="H364" s="106" t="s">
        <v>540</v>
      </c>
      <c r="I364" s="145">
        <v>0.3</v>
      </c>
      <c r="J364" s="145" t="str">
        <f>IF(OR(I364="",Settings!$B$6=""),"",IF(I364&gt;Settings!$B$6,"BUY",IF(I364&lt;-Settings!$B$6,"SELL","HOLD")))</f>
        <v>BUY</v>
      </c>
      <c r="K364" s="145">
        <v>22</v>
      </c>
      <c r="L364" s="123">
        <v>45232</v>
      </c>
      <c r="M364" s="140" t="s">
        <v>1674</v>
      </c>
      <c r="N364" s="147">
        <v>79.468000000000004</v>
      </c>
      <c r="O364" s="140" t="s">
        <v>1675</v>
      </c>
      <c r="P364" s="145">
        <v>79.224699999999999</v>
      </c>
      <c r="Q364" s="151">
        <f t="shared" si="53"/>
        <v>-3.0999999999999999E-3</v>
      </c>
      <c r="R364" s="118" t="str">
        <f>IF(OR(N364="",P364=""),"",IF(Q364&gt;Settings!$B$3/100,"UP",IF(Q364&lt;-Settings!$B$3/100,"DOWN","FLAT")))</f>
        <v>FLAT</v>
      </c>
      <c r="S364" s="118" t="str">
        <f t="shared" si="54"/>
        <v>NO</v>
      </c>
      <c r="T364" s="119">
        <f t="shared" si="55"/>
        <v>1</v>
      </c>
      <c r="U364" s="150">
        <f>IFERROR(IF(OR(J364="",N364="",P364=""),"",IF(T364=0,0,T364*Q364-Settings!$B$4/10000-IF(T364&lt;0,Settings!$B$5/10000,0))),"")</f>
        <v>-4.0999999999999995E-3</v>
      </c>
      <c r="V364" t="s">
        <v>1676</v>
      </c>
      <c r="W364" s="21">
        <f t="shared" si="56"/>
        <v>1320</v>
      </c>
      <c r="X364" s="91" t="str">
        <f t="shared" si="57"/>
        <v>Duke Energy|2023|Q3</v>
      </c>
      <c r="Y364" s="91" t="str">
        <f>IFERROR(IF($X364="","",INDEX(LLM_Data_Entry!$H$3:$H$548,MATCH($X364,INDEX(LLM_Data_Entry!$A$3:$A$548&amp;"|"&amp;LLM_Data_Entry!$C$3:$C$548&amp;"|"&amp;LLM_Data_Entry!$D$3:$D$548,0),0))),"")</f>
        <v>HOLD</v>
      </c>
      <c r="Z364" s="91">
        <f>IFERROR(IF($X364="","",INDEX(LLM_Data_Entry!$R$3:$R$548,MATCH($X364,INDEX(LLM_Data_Entry!$A$3:$A$548&amp;"|"&amp;LLM_Data_Entry!$C$3:$C$548&amp;"|"&amp;LLM_Data_Entry!$D$3:$D$548,0),0))),"")</f>
        <v>0</v>
      </c>
      <c r="AB364" t="s">
        <v>748</v>
      </c>
      <c r="AC364" t="s">
        <v>1662</v>
      </c>
      <c r="AD364" t="s">
        <v>1340</v>
      </c>
      <c r="AE364">
        <v>80.999799999999993</v>
      </c>
      <c r="AF364" t="s">
        <v>1677</v>
      </c>
      <c r="AG364">
        <v>82.144199999999998</v>
      </c>
      <c r="AH364">
        <v>1.412838710719222E-2</v>
      </c>
      <c r="AI364" t="s">
        <v>579</v>
      </c>
      <c r="AJ364" t="s">
        <v>546</v>
      </c>
      <c r="AK364">
        <v>1.3128000000000001E-2</v>
      </c>
      <c r="AL364" t="str">
        <f>IF($A364="","",IFERROR(INDEX(Company_List!$G$3:$G$207,MATCH($A364,Company_List!$A$3:$A$207,0)),"unassigned"))</f>
        <v>P2</v>
      </c>
      <c r="AM364" t="s">
        <v>1678</v>
      </c>
      <c r="AN364" t="s">
        <v>1679</v>
      </c>
      <c r="AO364" t="s">
        <v>754</v>
      </c>
      <c r="AP364" t="str">
        <f>IF($A364="","",IF(COUNTIFS(LLM_Data_Entry!$A$3:$A$548,$A364)&gt;0,"YES","NO"))</f>
        <v>YES</v>
      </c>
      <c r="AQ364" t="str">
        <f>IF($A364="","",IF(COUNTIFS($A$3:$A364,$A364,$C$3:$C364,$C364,$D$3:$D364,$D364)=1,"YES","NO"))</f>
        <v>YES</v>
      </c>
      <c r="AR364" t="str">
        <f>IF($A364="","",IF(AND($C364&amp;"-"&amp;$D364&gt;=Settings!$B$19,$C364&amp;"-"&amp;$D364&lt;=Settings!$B$20),"IN","OUT"))</f>
        <v>IN</v>
      </c>
      <c r="AS364" t="str">
        <f t="shared" si="58"/>
        <v>full</v>
      </c>
      <c r="AT364">
        <f t="shared" si="59"/>
        <v>-4.0999999999999995E-3</v>
      </c>
      <c r="AU364">
        <f t="shared" si="60"/>
        <v>1.3128000000000001E-2</v>
      </c>
      <c r="AV364">
        <f>IF(ISNUMBER($AT364),ABS(IF(ISNUMBER($I364),$I364,0)-Settings!$B$24),"")</f>
        <v>0.3</v>
      </c>
      <c r="AW364">
        <f t="shared" si="61"/>
        <v>-1.2299999999999998E-3</v>
      </c>
      <c r="AX364">
        <f>IF(ISNUMBER($AU364),ABS(IF(ISNUMBER($I364),$I364,0)-Settings!$B$24),"")</f>
        <v>0.3</v>
      </c>
      <c r="AY364" t="s">
        <v>1183</v>
      </c>
      <c r="AZ364" t="str">
        <f>IF($A364="","",IFERROR(INDEX(Company_List!$H$3:$H$207,MATCH($A364,Company_List!$A$3:$A$207,0)),"unassigned"))</f>
        <v>Utilities</v>
      </c>
      <c r="BC364">
        <f>IF($A364="","",IF(COUNTIFS($A$3:$A364,$A364,$C$3:$C364,$C364,$D$3:$D364,$D364,$G$3:$G364,$G364)=1,1,0))</f>
        <v>1</v>
      </c>
      <c r="BG364" t="s">
        <v>550</v>
      </c>
      <c r="BK364">
        <f t="shared" si="62"/>
        <v>0</v>
      </c>
      <c r="BL364" t="s">
        <v>551</v>
      </c>
      <c r="BM364">
        <v>2</v>
      </c>
      <c r="BN364" t="s">
        <v>882</v>
      </c>
      <c r="BO364" t="s">
        <v>596</v>
      </c>
      <c r="BP364" t="s">
        <v>550</v>
      </c>
      <c r="BQ364" t="s">
        <v>562</v>
      </c>
      <c r="BS364" t="s">
        <v>554</v>
      </c>
    </row>
    <row r="365" spans="1:71" x14ac:dyDescent="0.2">
      <c r="A365" s="1" t="s">
        <v>1660</v>
      </c>
      <c r="B365" s="142" t="str">
        <f>IF(A365="","",_xlfn.XLOOKUP(A365, Company_List!$A:$A, Company_List!$B:$B, ""))</f>
        <v>DUK</v>
      </c>
      <c r="C365" s="143">
        <v>2023</v>
      </c>
      <c r="D365" s="143" t="s">
        <v>569</v>
      </c>
      <c r="E365" s="98" t="s">
        <v>538</v>
      </c>
      <c r="F365" s="98" t="s">
        <v>538</v>
      </c>
      <c r="G365" s="143" t="s">
        <v>575</v>
      </c>
      <c r="H365" s="106" t="s">
        <v>540</v>
      </c>
      <c r="I365" s="145">
        <v>0.2</v>
      </c>
      <c r="J365" s="145" t="str">
        <f>IF(OR(I365="",Settings!$B$6=""),"",IF(I365&gt;Settings!$B$6,"BUY",IF(I365&lt;-Settings!$B$6,"SELL","HOLD")))</f>
        <v>HOLD</v>
      </c>
      <c r="K365" s="145">
        <v>21</v>
      </c>
      <c r="L365" s="123">
        <v>45330</v>
      </c>
      <c r="M365" s="140" t="s">
        <v>1680</v>
      </c>
      <c r="N365" s="147">
        <v>86.175700000000006</v>
      </c>
      <c r="O365" s="140" t="s">
        <v>1681</v>
      </c>
      <c r="P365" s="145">
        <v>87.096299999999999</v>
      </c>
      <c r="Q365" s="151">
        <f t="shared" si="53"/>
        <v>1.0699999999999999E-2</v>
      </c>
      <c r="R365" s="118" t="str">
        <f>IF(OR(N365="",P365=""),"",IF(Q365&gt;Settings!$B$3/100,"UP",IF(Q365&lt;-Settings!$B$3/100,"DOWN","FLAT")))</f>
        <v>FLAT</v>
      </c>
      <c r="S365" s="118" t="str">
        <f t="shared" si="54"/>
        <v>YES</v>
      </c>
      <c r="T365" s="119">
        <f t="shared" si="55"/>
        <v>0</v>
      </c>
      <c r="U365" s="150">
        <f>IFERROR(IF(OR(J365="",N365="",P365=""),"",IF(T365=0,0,T365*Q365-Settings!$B$4/10000-IF(T365&lt;0,Settings!$B$5/10000,0))),"")</f>
        <v>0</v>
      </c>
      <c r="V365" t="s">
        <v>1682</v>
      </c>
      <c r="W365" s="21">
        <f t="shared" si="56"/>
        <v>1260</v>
      </c>
      <c r="X365" s="91" t="str">
        <f t="shared" si="57"/>
        <v>Duke Energy|2023|Q4</v>
      </c>
      <c r="Y365" s="91" t="str">
        <f>IFERROR(IF($X365="","",INDEX(LLM_Data_Entry!$H$3:$H$548,MATCH($X365,INDEX(LLM_Data_Entry!$A$3:$A$548&amp;"|"&amp;LLM_Data_Entry!$C$3:$C$548&amp;"|"&amp;LLM_Data_Entry!$D$3:$D$548,0),0))),"")</f>
        <v>BUY</v>
      </c>
      <c r="Z365" s="91">
        <f>IFERROR(IF($X365="","",INDEX(LLM_Data_Entry!$R$3:$R$548,MATCH($X365,INDEX(LLM_Data_Entry!$A$3:$A$548&amp;"|"&amp;LLM_Data_Entry!$C$3:$C$548&amp;"|"&amp;LLM_Data_Entry!$D$3:$D$548,0),0))),"")</f>
        <v>0</v>
      </c>
      <c r="AB365" t="s">
        <v>853</v>
      </c>
      <c r="AC365" t="s">
        <v>1662</v>
      </c>
      <c r="AD365" t="s">
        <v>1683</v>
      </c>
      <c r="AE365">
        <v>87.050700000000006</v>
      </c>
      <c r="AF365" t="s">
        <v>1618</v>
      </c>
      <c r="AG365">
        <v>86.358000000000004</v>
      </c>
      <c r="AH365">
        <v>-7.9580523983748559E-3</v>
      </c>
      <c r="AI365" t="s">
        <v>579</v>
      </c>
      <c r="AJ365" t="s">
        <v>554</v>
      </c>
      <c r="AK365">
        <v>0</v>
      </c>
      <c r="AL365" t="str">
        <f>IF($A365="","",IFERROR(INDEX(Company_List!$G$3:$G$207,MATCH($A365,Company_List!$A$3:$A$207,0)),"unassigned"))</f>
        <v>P2</v>
      </c>
      <c r="AM365" t="s">
        <v>1684</v>
      </c>
      <c r="AN365" t="s">
        <v>1685</v>
      </c>
      <c r="AO365" t="s">
        <v>754</v>
      </c>
      <c r="AP365" t="str">
        <f>IF($A365="","",IF(COUNTIFS(LLM_Data_Entry!$A$3:$A$548,$A365)&gt;0,"YES","NO"))</f>
        <v>YES</v>
      </c>
      <c r="AQ365" t="str">
        <f>IF($A365="","",IF(COUNTIFS($A$3:$A365,$A365,$C$3:$C365,$C365,$D$3:$D365,$D365)=1,"YES","NO"))</f>
        <v>YES</v>
      </c>
      <c r="AR365" t="str">
        <f>IF($A365="","",IF(AND($C365&amp;"-"&amp;$D365&gt;=Settings!$B$19,$C365&amp;"-"&amp;$D365&lt;=Settings!$B$20),"IN","OUT"))</f>
        <v>IN</v>
      </c>
      <c r="AS365" t="str">
        <f t="shared" si="58"/>
        <v>full</v>
      </c>
      <c r="AT365" t="str">
        <f t="shared" si="59"/>
        <v/>
      </c>
      <c r="AU365" t="str">
        <f t="shared" si="60"/>
        <v/>
      </c>
      <c r="AV365" t="str">
        <f>IF(ISNUMBER($AT365),ABS(IF(ISNUMBER($I365),$I365,0)-Settings!$B$24),"")</f>
        <v/>
      </c>
      <c r="AW365" t="str">
        <f t="shared" si="61"/>
        <v/>
      </c>
      <c r="AX365" t="str">
        <f>IF(ISNUMBER($AU365),ABS(IF(ISNUMBER($I365),$I365,0)-Settings!$B$24),"")</f>
        <v/>
      </c>
      <c r="AY365" t="s">
        <v>1183</v>
      </c>
      <c r="AZ365" t="str">
        <f>IF($A365="","",IFERROR(INDEX(Company_List!$H$3:$H$207,MATCH($A365,Company_List!$A$3:$A$207,0)),"unassigned"))</f>
        <v>Utilities</v>
      </c>
      <c r="BC365">
        <f>IF($A365="","",IF(COUNTIFS($A$3:$A365,$A365,$C$3:$C365,$C365,$D$3:$D365,$D365,$G$3:$G365,$G365)=1,1,0))</f>
        <v>1</v>
      </c>
      <c r="BG365" t="s">
        <v>550</v>
      </c>
      <c r="BK365">
        <f t="shared" si="62"/>
        <v>0</v>
      </c>
      <c r="BL365" t="s">
        <v>551</v>
      </c>
      <c r="BM365">
        <v>2</v>
      </c>
      <c r="BN365" t="s">
        <v>882</v>
      </c>
      <c r="BO365" t="s">
        <v>596</v>
      </c>
      <c r="BP365" t="s">
        <v>550</v>
      </c>
      <c r="BQ365" t="s">
        <v>562</v>
      </c>
      <c r="BS365" t="s">
        <v>554</v>
      </c>
    </row>
    <row r="366" spans="1:71" x14ac:dyDescent="0.2">
      <c r="A366" s="1" t="s">
        <v>1660</v>
      </c>
      <c r="B366" s="142" t="str">
        <f>IF(A366="","",_xlfn.XLOOKUP(A366, Company_List!$A:$A, Company_List!$B:$B, ""))</f>
        <v>DUK</v>
      </c>
      <c r="C366" s="143">
        <v>2024</v>
      </c>
      <c r="D366" s="143" t="s">
        <v>537</v>
      </c>
      <c r="E366" s="98" t="s">
        <v>538</v>
      </c>
      <c r="F366" s="98" t="s">
        <v>538</v>
      </c>
      <c r="G366" s="143" t="s">
        <v>575</v>
      </c>
      <c r="H366" s="106" t="s">
        <v>540</v>
      </c>
      <c r="I366" s="145">
        <v>0.7</v>
      </c>
      <c r="J366" s="145" t="str">
        <f>IF(OR(I366="",Settings!$B$6=""),"",IF(I366&gt;Settings!$B$6,"BUY",IF(I366&lt;-Settings!$B$6,"SELL","HOLD")))</f>
        <v>BUY</v>
      </c>
      <c r="K366" s="145">
        <v>17</v>
      </c>
      <c r="L366" s="123">
        <v>45419</v>
      </c>
      <c r="M366" s="140" t="s">
        <v>1623</v>
      </c>
      <c r="N366" s="147">
        <v>90.453999999999994</v>
      </c>
      <c r="O366" s="140" t="s">
        <v>1232</v>
      </c>
      <c r="P366" s="145">
        <v>90.444800000000001</v>
      </c>
      <c r="Q366" s="151">
        <f t="shared" si="53"/>
        <v>-1E-4</v>
      </c>
      <c r="R366" s="118" t="str">
        <f>IF(OR(N366="",P366=""),"",IF(Q366&gt;Settings!$B$3/100,"UP",IF(Q366&lt;-Settings!$B$3/100,"DOWN","FLAT")))</f>
        <v>FLAT</v>
      </c>
      <c r="S366" s="118" t="str">
        <f t="shared" si="54"/>
        <v>NO</v>
      </c>
      <c r="T366" s="119">
        <f t="shared" si="55"/>
        <v>1</v>
      </c>
      <c r="U366" s="150">
        <f>IFERROR(IF(OR(J366="",N366="",P366=""),"",IF(T366=0,0,T366*Q366-Settings!$B$4/10000-IF(T366&lt;0,Settings!$B$5/10000,0))),"")</f>
        <v>-1.1000000000000001E-3</v>
      </c>
      <c r="V366" t="s">
        <v>1686</v>
      </c>
      <c r="W366" s="21">
        <f t="shared" si="56"/>
        <v>1020</v>
      </c>
      <c r="X366" s="91" t="str">
        <f t="shared" si="57"/>
        <v>Duke Energy|2024|Q1</v>
      </c>
      <c r="Y366" s="91" t="str">
        <f>IFERROR(IF($X366="","",INDEX(LLM_Data_Entry!$H$3:$H$548,MATCH($X366,INDEX(LLM_Data_Entry!$A$3:$A$548&amp;"|"&amp;LLM_Data_Entry!$C$3:$C$548&amp;"|"&amp;LLM_Data_Entry!$D$3:$D$548,0),0))),"")</f>
        <v>HOLD</v>
      </c>
      <c r="Z366" s="91">
        <f>IFERROR(IF($X366="","",INDEX(LLM_Data_Entry!$R$3:$R$548,MATCH($X366,INDEX(LLM_Data_Entry!$A$3:$A$548&amp;"|"&amp;LLM_Data_Entry!$C$3:$C$548&amp;"|"&amp;LLM_Data_Entry!$D$3:$D$548,0),0))),"")</f>
        <v>0</v>
      </c>
      <c r="AB366" t="s">
        <v>853</v>
      </c>
      <c r="AC366" t="s">
        <v>1662</v>
      </c>
      <c r="AD366" t="s">
        <v>1687</v>
      </c>
      <c r="AE366">
        <v>92.574299999999994</v>
      </c>
      <c r="AF366" t="s">
        <v>1688</v>
      </c>
      <c r="AG366">
        <v>93.108999999999995</v>
      </c>
      <c r="AH366">
        <v>5.7757364923483809E-3</v>
      </c>
      <c r="AI366" t="s">
        <v>579</v>
      </c>
      <c r="AJ366" t="s">
        <v>546</v>
      </c>
      <c r="AK366">
        <v>4.7759999999999999E-3</v>
      </c>
      <c r="AL366" t="str">
        <f>IF($A366="","",IFERROR(INDEX(Company_List!$G$3:$G$207,MATCH($A366,Company_List!$A$3:$A$207,0)),"unassigned"))</f>
        <v>P2</v>
      </c>
      <c r="AM366" t="s">
        <v>1689</v>
      </c>
      <c r="AN366" t="s">
        <v>1690</v>
      </c>
      <c r="AO366" t="s">
        <v>754</v>
      </c>
      <c r="AP366" t="str">
        <f>IF($A366="","",IF(COUNTIFS(LLM_Data_Entry!$A$3:$A$548,$A366)&gt;0,"YES","NO"))</f>
        <v>YES</v>
      </c>
      <c r="AQ366" t="str">
        <f>IF($A366="","",IF(COUNTIFS($A$3:$A366,$A366,$C$3:$C366,$C366,$D$3:$D366,$D366)=1,"YES","NO"))</f>
        <v>YES</v>
      </c>
      <c r="AR366" t="str">
        <f>IF($A366="","",IF(AND($C366&amp;"-"&amp;$D366&gt;=Settings!$B$19,$C366&amp;"-"&amp;$D366&lt;=Settings!$B$20),"IN","OUT"))</f>
        <v>IN</v>
      </c>
      <c r="AS366" t="str">
        <f t="shared" si="58"/>
        <v>full</v>
      </c>
      <c r="AT366">
        <f t="shared" si="59"/>
        <v>-1.1000000000000001E-3</v>
      </c>
      <c r="AU366">
        <f t="shared" si="60"/>
        <v>4.7759999999999999E-3</v>
      </c>
      <c r="AV366">
        <f>IF(ISNUMBER($AT366),ABS(IF(ISNUMBER($I366),$I366,0)-Settings!$B$24),"")</f>
        <v>0.7</v>
      </c>
      <c r="AW366">
        <f t="shared" si="61"/>
        <v>-7.6999999999999996E-4</v>
      </c>
      <c r="AX366">
        <f>IF(ISNUMBER($AU366),ABS(IF(ISNUMBER($I366),$I366,0)-Settings!$B$24),"")</f>
        <v>0.7</v>
      </c>
      <c r="AY366" t="s">
        <v>1183</v>
      </c>
      <c r="AZ366" t="str">
        <f>IF($A366="","",IFERROR(INDEX(Company_List!$H$3:$H$207,MATCH($A366,Company_List!$A$3:$A$207,0)),"unassigned"))</f>
        <v>Utilities</v>
      </c>
      <c r="BC366">
        <f>IF($A366="","",IF(COUNTIFS($A$3:$A366,$A366,$C$3:$C366,$C366,$D$3:$D366,$D366,$G$3:$G366,$G366)=1,1,0))</f>
        <v>1</v>
      </c>
      <c r="BG366" t="s">
        <v>550</v>
      </c>
      <c r="BK366">
        <f t="shared" si="62"/>
        <v>0</v>
      </c>
      <c r="BL366" t="s">
        <v>551</v>
      </c>
      <c r="BM366">
        <v>2</v>
      </c>
      <c r="BN366" t="s">
        <v>882</v>
      </c>
      <c r="BO366" t="s">
        <v>596</v>
      </c>
      <c r="BP366" t="s">
        <v>550</v>
      </c>
      <c r="BQ366" t="s">
        <v>562</v>
      </c>
      <c r="BS366" t="s">
        <v>554</v>
      </c>
    </row>
    <row r="367" spans="1:71" x14ac:dyDescent="0.2">
      <c r="A367" s="1" t="s">
        <v>1660</v>
      </c>
      <c r="B367" s="142" t="str">
        <f>IF(A367="","",_xlfn.XLOOKUP(A367, Company_List!$A:$A, Company_List!$B:$B, ""))</f>
        <v>DUK</v>
      </c>
      <c r="C367" s="143">
        <v>2024</v>
      </c>
      <c r="D367" s="143" t="s">
        <v>555</v>
      </c>
      <c r="E367" s="98" t="s">
        <v>538</v>
      </c>
      <c r="F367" s="98" t="s">
        <v>538</v>
      </c>
      <c r="G367" s="143" t="s">
        <v>575</v>
      </c>
      <c r="H367" s="106" t="s">
        <v>540</v>
      </c>
      <c r="I367" s="145">
        <v>0.1</v>
      </c>
      <c r="J367" s="145" t="str">
        <f>IF(OR(I367="",Settings!$B$6=""),"",IF(I367&gt;Settings!$B$6,"BUY",IF(I367&lt;-Settings!$B$6,"SELL","HOLD")))</f>
        <v>HOLD</v>
      </c>
      <c r="K367" s="145">
        <v>19</v>
      </c>
      <c r="L367" s="123">
        <v>45510</v>
      </c>
      <c r="M367" s="140" t="s">
        <v>1691</v>
      </c>
      <c r="N367" s="147">
        <v>100.1311</v>
      </c>
      <c r="O367" s="140" t="s">
        <v>1692</v>
      </c>
      <c r="P367" s="145">
        <v>100.0752</v>
      </c>
      <c r="Q367" s="151">
        <f t="shared" si="53"/>
        <v>-5.9999999999999995E-4</v>
      </c>
      <c r="R367" s="118" t="str">
        <f>IF(OR(N367="",P367=""),"",IF(Q367&gt;Settings!$B$3/100,"UP",IF(Q367&lt;-Settings!$B$3/100,"DOWN","FLAT")))</f>
        <v>FLAT</v>
      </c>
      <c r="S367" s="118" t="str">
        <f t="shared" si="54"/>
        <v>YES</v>
      </c>
      <c r="T367" s="119">
        <f t="shared" si="55"/>
        <v>0</v>
      </c>
      <c r="U367" s="150">
        <f>IFERROR(IF(OR(J367="",N367="",P367=""),"",IF(T367=0,0,T367*Q367-Settings!$B$4/10000-IF(T367&lt;0,Settings!$B$5/10000,0))),"")</f>
        <v>0</v>
      </c>
      <c r="V367" t="s">
        <v>1693</v>
      </c>
      <c r="W367" s="21">
        <f t="shared" si="56"/>
        <v>1140</v>
      </c>
      <c r="X367" s="91" t="str">
        <f t="shared" si="57"/>
        <v>Duke Energy|2024|Q2</v>
      </c>
      <c r="Y367" s="91" t="str">
        <f>IFERROR(IF($X367="","",INDEX(LLM_Data_Entry!$H$3:$H$548,MATCH($X367,INDEX(LLM_Data_Entry!$A$3:$A$548&amp;"|"&amp;LLM_Data_Entry!$C$3:$C$548&amp;"|"&amp;LLM_Data_Entry!$D$3:$D$548,0),0))),"")</f>
        <v>HOLD</v>
      </c>
      <c r="Z367" s="91">
        <f>IFERROR(IF($X367="","",INDEX(LLM_Data_Entry!$R$3:$R$548,MATCH($X367,INDEX(LLM_Data_Entry!$A$3:$A$548&amp;"|"&amp;LLM_Data_Entry!$C$3:$C$548&amp;"|"&amp;LLM_Data_Entry!$D$3:$D$548,0),0))),"")</f>
        <v>0</v>
      </c>
      <c r="AB367" t="s">
        <v>748</v>
      </c>
      <c r="AC367" t="s">
        <v>1662</v>
      </c>
      <c r="AD367" t="s">
        <v>1694</v>
      </c>
      <c r="AE367">
        <v>103.36199999999999</v>
      </c>
      <c r="AF367" t="s">
        <v>1695</v>
      </c>
      <c r="AG367">
        <v>104.7401</v>
      </c>
      <c r="AH367">
        <v>1.333206940345277E-2</v>
      </c>
      <c r="AI367" t="s">
        <v>579</v>
      </c>
      <c r="AJ367" t="s">
        <v>554</v>
      </c>
      <c r="AK367">
        <v>0</v>
      </c>
      <c r="AL367" t="str">
        <f>IF($A367="","",IFERROR(INDEX(Company_List!$G$3:$G$207,MATCH($A367,Company_List!$A$3:$A$207,0)),"unassigned"))</f>
        <v>P2</v>
      </c>
      <c r="AM367" t="s">
        <v>1696</v>
      </c>
      <c r="AN367" t="s">
        <v>1697</v>
      </c>
      <c r="AO367" t="s">
        <v>754</v>
      </c>
      <c r="AP367" t="str">
        <f>IF($A367="","",IF(COUNTIFS(LLM_Data_Entry!$A$3:$A$548,$A367)&gt;0,"YES","NO"))</f>
        <v>YES</v>
      </c>
      <c r="AQ367" t="str">
        <f>IF($A367="","",IF(COUNTIFS($A$3:$A367,$A367,$C$3:$C367,$C367,$D$3:$D367,$D367)=1,"YES","NO"))</f>
        <v>YES</v>
      </c>
      <c r="AR367" t="str">
        <f>IF($A367="","",IF(AND($C367&amp;"-"&amp;$D367&gt;=Settings!$B$19,$C367&amp;"-"&amp;$D367&lt;=Settings!$B$20),"IN","OUT"))</f>
        <v>IN</v>
      </c>
      <c r="AS367" t="str">
        <f t="shared" si="58"/>
        <v>full</v>
      </c>
      <c r="AT367" t="str">
        <f t="shared" si="59"/>
        <v/>
      </c>
      <c r="AU367" t="str">
        <f t="shared" si="60"/>
        <v/>
      </c>
      <c r="AV367" t="str">
        <f>IF(ISNUMBER($AT367),ABS(IF(ISNUMBER($I367),$I367,0)-Settings!$B$24),"")</f>
        <v/>
      </c>
      <c r="AW367" t="str">
        <f t="shared" si="61"/>
        <v/>
      </c>
      <c r="AX367" t="str">
        <f>IF(ISNUMBER($AU367),ABS(IF(ISNUMBER($I367),$I367,0)-Settings!$B$24),"")</f>
        <v/>
      </c>
      <c r="AY367" t="s">
        <v>1183</v>
      </c>
      <c r="AZ367" t="str">
        <f>IF($A367="","",IFERROR(INDEX(Company_List!$H$3:$H$207,MATCH($A367,Company_List!$A$3:$A$207,0)),"unassigned"))</f>
        <v>Utilities</v>
      </c>
      <c r="BC367">
        <f>IF($A367="","",IF(COUNTIFS($A$3:$A367,$A367,$C$3:$C367,$C367,$D$3:$D367,$D367,$G$3:$G367,$G367)=1,1,0))</f>
        <v>1</v>
      </c>
      <c r="BG367" t="s">
        <v>550</v>
      </c>
      <c r="BK367">
        <f t="shared" si="62"/>
        <v>1</v>
      </c>
      <c r="BL367" t="s">
        <v>551</v>
      </c>
      <c r="BM367">
        <v>2</v>
      </c>
      <c r="BN367" t="s">
        <v>561</v>
      </c>
      <c r="BO367" t="s">
        <v>561</v>
      </c>
      <c r="BP367" t="s">
        <v>550</v>
      </c>
      <c r="BQ367" t="s">
        <v>562</v>
      </c>
      <c r="BS367" t="s">
        <v>554</v>
      </c>
    </row>
    <row r="368" spans="1:71" x14ac:dyDescent="0.2">
      <c r="A368" s="1" t="s">
        <v>1660</v>
      </c>
      <c r="B368" s="142" t="str">
        <f>IF(A368="","",_xlfn.XLOOKUP(A368, Company_List!$A:$A, Company_List!$B:$B, ""))</f>
        <v>DUK</v>
      </c>
      <c r="C368" s="143">
        <v>2024</v>
      </c>
      <c r="D368" s="143" t="s">
        <v>563</v>
      </c>
      <c r="E368" s="98" t="s">
        <v>538</v>
      </c>
      <c r="F368" s="98" t="s">
        <v>538</v>
      </c>
      <c r="G368" s="143" t="s">
        <v>575</v>
      </c>
      <c r="H368" s="106" t="s">
        <v>540</v>
      </c>
      <c r="I368" s="145">
        <v>0.3</v>
      </c>
      <c r="J368" s="145" t="str">
        <f>IF(OR(I368="",Settings!$B$6=""),"",IF(I368&gt;Settings!$B$6,"BUY",IF(I368&lt;-Settings!$B$6,"SELL","HOLD")))</f>
        <v>BUY</v>
      </c>
      <c r="K368" s="145">
        <v>22</v>
      </c>
      <c r="L368" s="123">
        <v>45603</v>
      </c>
      <c r="M368" s="140" t="s">
        <v>1075</v>
      </c>
      <c r="N368" s="147">
        <v>113.31019999999999</v>
      </c>
      <c r="O368" s="140" t="s">
        <v>1698</v>
      </c>
      <c r="P368" s="145">
        <v>113.5264</v>
      </c>
      <c r="Q368" s="151">
        <f t="shared" si="53"/>
        <v>1.9E-3</v>
      </c>
      <c r="R368" s="118" t="str">
        <f>IF(OR(N368="",P368=""),"",IF(Q368&gt;Settings!$B$3/100,"UP",IF(Q368&lt;-Settings!$B$3/100,"DOWN","FLAT")))</f>
        <v>FLAT</v>
      </c>
      <c r="S368" s="118" t="str">
        <f t="shared" si="54"/>
        <v>NO</v>
      </c>
      <c r="T368" s="119">
        <f t="shared" si="55"/>
        <v>1</v>
      </c>
      <c r="U368" s="150">
        <f>IFERROR(IF(OR(J368="",N368="",P368=""),"",IF(T368=0,0,T368*Q368-Settings!$B$4/10000-IF(T368&lt;0,Settings!$B$5/10000,0))),"")</f>
        <v>8.9999999999999998E-4</v>
      </c>
      <c r="V368" t="s">
        <v>1699</v>
      </c>
      <c r="W368" s="21">
        <f t="shared" si="56"/>
        <v>1320</v>
      </c>
      <c r="X368" s="91" t="str">
        <f t="shared" si="57"/>
        <v>Duke Energy|2024|Q3</v>
      </c>
      <c r="Y368" s="91" t="str">
        <f>IFERROR(IF($X368="","",INDEX(LLM_Data_Entry!$H$3:$H$548,MATCH($X368,INDEX(LLM_Data_Entry!$A$3:$A$548&amp;"|"&amp;LLM_Data_Entry!$C$3:$C$548&amp;"|"&amp;LLM_Data_Entry!$D$3:$D$548,0),0))),"")</f>
        <v>SELL</v>
      </c>
      <c r="Z368" s="91">
        <f>IFERROR(IF($X368="","",INDEX(LLM_Data_Entry!$R$3:$R$548,MATCH($X368,INDEX(LLM_Data_Entry!$A$3:$A$548&amp;"|"&amp;LLM_Data_Entry!$C$3:$C$548&amp;"|"&amp;LLM_Data_Entry!$D$3:$D$548,0),0))),"")</f>
        <v>0</v>
      </c>
      <c r="AB368" t="s">
        <v>612</v>
      </c>
      <c r="AC368" t="s">
        <v>1662</v>
      </c>
      <c r="AD368" t="s">
        <v>1700</v>
      </c>
      <c r="AE368">
        <v>106.7881</v>
      </c>
      <c r="AF368" t="s">
        <v>1701</v>
      </c>
      <c r="AG368">
        <v>105.85769999999999</v>
      </c>
      <c r="AH368">
        <v>-8.7124635772576099E-3</v>
      </c>
      <c r="AI368" t="s">
        <v>579</v>
      </c>
      <c r="AJ368" t="s">
        <v>546</v>
      </c>
      <c r="AK368">
        <v>-9.7120000000000001E-3</v>
      </c>
      <c r="AL368" t="str">
        <f>IF($A368="","",IFERROR(INDEX(Company_List!$G$3:$G$207,MATCH($A368,Company_List!$A$3:$A$207,0)),"unassigned"))</f>
        <v>P2</v>
      </c>
      <c r="AM368" t="s">
        <v>1702</v>
      </c>
      <c r="AN368" t="s">
        <v>1703</v>
      </c>
      <c r="AO368" t="s">
        <v>754</v>
      </c>
      <c r="AP368" t="str">
        <f>IF($A368="","",IF(COUNTIFS(LLM_Data_Entry!$A$3:$A$548,$A368)&gt;0,"YES","NO"))</f>
        <v>YES</v>
      </c>
      <c r="AQ368" t="str">
        <f>IF($A368="","",IF(COUNTIFS($A$3:$A368,$A368,$C$3:$C368,$C368,$D$3:$D368,$D368)=1,"YES","NO"))</f>
        <v>YES</v>
      </c>
      <c r="AR368" t="str">
        <f>IF($A368="","",IF(AND($C368&amp;"-"&amp;$D368&gt;=Settings!$B$19,$C368&amp;"-"&amp;$D368&lt;=Settings!$B$20),"IN","OUT"))</f>
        <v>IN</v>
      </c>
      <c r="AS368" t="str">
        <f t="shared" si="58"/>
        <v>full</v>
      </c>
      <c r="AT368">
        <f t="shared" si="59"/>
        <v>8.9999999999999998E-4</v>
      </c>
      <c r="AU368">
        <f t="shared" si="60"/>
        <v>-9.7120000000000001E-3</v>
      </c>
      <c r="AV368">
        <f>IF(ISNUMBER($AT368),ABS(IF(ISNUMBER($I368),$I368,0)-Settings!$B$24),"")</f>
        <v>0.3</v>
      </c>
      <c r="AW368">
        <f t="shared" si="61"/>
        <v>2.7E-4</v>
      </c>
      <c r="AX368">
        <f>IF(ISNUMBER($AU368),ABS(IF(ISNUMBER($I368),$I368,0)-Settings!$B$24),"")</f>
        <v>0.3</v>
      </c>
      <c r="AY368" t="s">
        <v>1183</v>
      </c>
      <c r="AZ368" t="str">
        <f>IF($A368="","",IFERROR(INDEX(Company_List!$H$3:$H$207,MATCH($A368,Company_List!$A$3:$A$207,0)),"unassigned"))</f>
        <v>Utilities</v>
      </c>
      <c r="BC368">
        <f>IF($A368="","",IF(COUNTIFS($A$3:$A368,$A368,$C$3:$C368,$C368,$D$3:$D368,$D368,$G$3:$G368,$G368)=1,1,0))</f>
        <v>1</v>
      </c>
      <c r="BG368" t="s">
        <v>550</v>
      </c>
      <c r="BK368">
        <f t="shared" si="62"/>
        <v>0</v>
      </c>
      <c r="BL368" t="s">
        <v>551</v>
      </c>
      <c r="BM368">
        <v>2</v>
      </c>
      <c r="BN368" t="s">
        <v>882</v>
      </c>
      <c r="BO368" t="s">
        <v>596</v>
      </c>
      <c r="BP368" t="s">
        <v>550</v>
      </c>
      <c r="BQ368" t="s">
        <v>562</v>
      </c>
      <c r="BS368" t="s">
        <v>554</v>
      </c>
    </row>
    <row r="369" spans="1:71" x14ac:dyDescent="0.2">
      <c r="A369" s="1" t="s">
        <v>1660</v>
      </c>
      <c r="B369" s="142" t="str">
        <f>IF(A369="","",_xlfn.XLOOKUP(A369, Company_List!$A:$A, Company_List!$B:$B, ""))</f>
        <v>DUK</v>
      </c>
      <c r="C369" s="143">
        <v>2024</v>
      </c>
      <c r="D369" s="143" t="s">
        <v>569</v>
      </c>
      <c r="E369" s="98" t="s">
        <v>538</v>
      </c>
      <c r="F369" s="98" t="s">
        <v>538</v>
      </c>
      <c r="G369" s="143" t="s">
        <v>575</v>
      </c>
      <c r="H369" s="106" t="s">
        <v>540</v>
      </c>
      <c r="I369" s="145">
        <v>0.2</v>
      </c>
      <c r="J369" s="145" t="str">
        <f>IF(OR(I369="",Settings!$B$6=""),"",IF(I369&gt;Settings!$B$6,"BUY",IF(I369&lt;-Settings!$B$6,"SELL","HOLD")))</f>
        <v>HOLD</v>
      </c>
      <c r="K369" s="145">
        <v>24</v>
      </c>
      <c r="L369" s="123">
        <v>45701</v>
      </c>
      <c r="M369" s="140" t="s">
        <v>993</v>
      </c>
      <c r="N369" s="147">
        <v>104.9502</v>
      </c>
      <c r="O369" s="140" t="s">
        <v>994</v>
      </c>
      <c r="P369" s="145">
        <v>106.27849999999999</v>
      </c>
      <c r="Q369" s="151">
        <f t="shared" si="53"/>
        <v>1.2699999999999999E-2</v>
      </c>
      <c r="R369" s="118" t="str">
        <f>IF(OR(N369="",P369=""),"",IF(Q369&gt;Settings!$B$3/100,"UP",IF(Q369&lt;-Settings!$B$3/100,"DOWN","FLAT")))</f>
        <v>FLAT</v>
      </c>
      <c r="S369" s="118" t="str">
        <f t="shared" si="54"/>
        <v>YES</v>
      </c>
      <c r="T369" s="119">
        <f t="shared" si="55"/>
        <v>0</v>
      </c>
      <c r="U369" s="150">
        <f>IFERROR(IF(OR(J369="",N369="",P369=""),"",IF(T369=0,0,T369*Q369-Settings!$B$4/10000-IF(T369&lt;0,Settings!$B$5/10000,0))),"")</f>
        <v>0</v>
      </c>
      <c r="V369" t="s">
        <v>1704</v>
      </c>
      <c r="W369" s="21">
        <f t="shared" si="56"/>
        <v>1440</v>
      </c>
      <c r="X369" s="91" t="str">
        <f t="shared" si="57"/>
        <v>Duke Energy|2024|Q4</v>
      </c>
      <c r="Y369" s="91" t="str">
        <f>IFERROR(IF($X369="","",INDEX(LLM_Data_Entry!$H$3:$H$548,MATCH($X369,INDEX(LLM_Data_Entry!$A$3:$A$548&amp;"|"&amp;LLM_Data_Entry!$C$3:$C$548&amp;"|"&amp;LLM_Data_Entry!$D$3:$D$548,0),0))),"")</f>
        <v>BUY</v>
      </c>
      <c r="Z369" s="91">
        <f>IFERROR(IF($X369="","",INDEX(LLM_Data_Entry!$R$3:$R$548,MATCH($X369,INDEX(LLM_Data_Entry!$A$3:$A$548&amp;"|"&amp;LLM_Data_Entry!$C$3:$C$548&amp;"|"&amp;LLM_Data_Entry!$D$3:$D$548,0),0))),"")</f>
        <v>0</v>
      </c>
      <c r="AB369" t="s">
        <v>748</v>
      </c>
      <c r="AC369" t="s">
        <v>1662</v>
      </c>
      <c r="AD369" t="s">
        <v>1149</v>
      </c>
      <c r="AE369">
        <v>110.4055</v>
      </c>
      <c r="AF369" t="s">
        <v>1705</v>
      </c>
      <c r="AG369">
        <v>109.3904</v>
      </c>
      <c r="AH369">
        <v>-9.1948510871884982E-3</v>
      </c>
      <c r="AI369" t="s">
        <v>579</v>
      </c>
      <c r="AJ369" t="s">
        <v>554</v>
      </c>
      <c r="AK369">
        <v>0</v>
      </c>
      <c r="AL369" t="str">
        <f>IF($A369="","",IFERROR(INDEX(Company_List!$G$3:$G$207,MATCH($A369,Company_List!$A$3:$A$207,0)),"unassigned"))</f>
        <v>P2</v>
      </c>
      <c r="AM369" t="s">
        <v>1706</v>
      </c>
      <c r="AN369" t="s">
        <v>1707</v>
      </c>
      <c r="AO369" t="s">
        <v>754</v>
      </c>
      <c r="AP369" t="str">
        <f>IF($A369="","",IF(COUNTIFS(LLM_Data_Entry!$A$3:$A$548,$A369)&gt;0,"YES","NO"))</f>
        <v>YES</v>
      </c>
      <c r="AQ369" t="str">
        <f>IF($A369="","",IF(COUNTIFS($A$3:$A369,$A369,$C$3:$C369,$C369,$D$3:$D369,$D369)=1,"YES","NO"))</f>
        <v>YES</v>
      </c>
      <c r="AR369" t="str">
        <f>IF($A369="","",IF(AND($C369&amp;"-"&amp;$D369&gt;=Settings!$B$19,$C369&amp;"-"&amp;$D369&lt;=Settings!$B$20),"IN","OUT"))</f>
        <v>IN</v>
      </c>
      <c r="AS369" t="str">
        <f t="shared" si="58"/>
        <v>full</v>
      </c>
      <c r="AT369" t="str">
        <f t="shared" si="59"/>
        <v/>
      </c>
      <c r="AU369" t="str">
        <f t="shared" si="60"/>
        <v/>
      </c>
      <c r="AV369" t="str">
        <f>IF(ISNUMBER($AT369),ABS(IF(ISNUMBER($I369),$I369,0)-Settings!$B$24),"")</f>
        <v/>
      </c>
      <c r="AW369" t="str">
        <f t="shared" si="61"/>
        <v/>
      </c>
      <c r="AX369" t="str">
        <f>IF(ISNUMBER($AU369),ABS(IF(ISNUMBER($I369),$I369,0)-Settings!$B$24),"")</f>
        <v/>
      </c>
      <c r="AY369" t="s">
        <v>1183</v>
      </c>
      <c r="AZ369" t="str">
        <f>IF($A369="","",IFERROR(INDEX(Company_List!$H$3:$H$207,MATCH($A369,Company_List!$A$3:$A$207,0)),"unassigned"))</f>
        <v>Utilities</v>
      </c>
      <c r="BC369">
        <f>IF($A369="","",IF(COUNTIFS($A$3:$A369,$A369,$C$3:$C369,$C369,$D$3:$D369,$D369,$G$3:$G369,$G369)=1,1,0))</f>
        <v>1</v>
      </c>
      <c r="BG369" t="s">
        <v>550</v>
      </c>
      <c r="BK369">
        <f t="shared" si="62"/>
        <v>0</v>
      </c>
      <c r="BL369" t="s">
        <v>551</v>
      </c>
      <c r="BM369">
        <v>2</v>
      </c>
      <c r="BN369" t="s">
        <v>882</v>
      </c>
      <c r="BO369" t="s">
        <v>596</v>
      </c>
      <c r="BP369" t="s">
        <v>550</v>
      </c>
      <c r="BQ369" t="s">
        <v>562</v>
      </c>
      <c r="BS369" t="s">
        <v>554</v>
      </c>
    </row>
    <row r="370" spans="1:71" x14ac:dyDescent="0.2">
      <c r="A370" s="1" t="s">
        <v>1660</v>
      </c>
      <c r="B370" s="142" t="str">
        <f>IF(A370="","",_xlfn.XLOOKUP(A370, Company_List!$A:$A, Company_List!$B:$B, ""))</f>
        <v>DUK</v>
      </c>
      <c r="C370" s="143">
        <v>2025</v>
      </c>
      <c r="D370" s="143" t="s">
        <v>537</v>
      </c>
      <c r="E370" s="98" t="s">
        <v>538</v>
      </c>
      <c r="F370" s="98" t="s">
        <v>538</v>
      </c>
      <c r="G370" s="143" t="s">
        <v>575</v>
      </c>
      <c r="H370" s="106" t="s">
        <v>540</v>
      </c>
      <c r="I370" s="145">
        <v>0.7</v>
      </c>
      <c r="J370" s="145" t="str">
        <f>IF(OR(I370="",Settings!$B$6=""),"",IF(I370&gt;Settings!$B$6,"BUY",IF(I370&lt;-Settings!$B$6,"SELL","HOLD")))</f>
        <v>BUY</v>
      </c>
      <c r="K370" s="145">
        <v>20</v>
      </c>
      <c r="L370" s="123">
        <v>45783</v>
      </c>
      <c r="M370" s="140" t="s">
        <v>578</v>
      </c>
      <c r="N370" s="147">
        <v>115.066</v>
      </c>
      <c r="O370" s="140" t="s">
        <v>614</v>
      </c>
      <c r="P370" s="145">
        <v>116.2246</v>
      </c>
      <c r="Q370" s="151">
        <f t="shared" si="53"/>
        <v>1.01E-2</v>
      </c>
      <c r="R370" s="118" t="str">
        <f>IF(OR(N370="",P370=""),"",IF(Q370&gt;Settings!$B$3/100,"UP",IF(Q370&lt;-Settings!$B$3/100,"DOWN","FLAT")))</f>
        <v>FLAT</v>
      </c>
      <c r="S370" s="118" t="str">
        <f t="shared" si="54"/>
        <v>NO</v>
      </c>
      <c r="T370" s="119">
        <f t="shared" si="55"/>
        <v>1</v>
      </c>
      <c r="U370" s="150">
        <f>IFERROR(IF(OR(J370="",N370="",P370=""),"",IF(T370=0,0,T370*Q370-Settings!$B$4/10000-IF(T370&lt;0,Settings!$B$5/10000,0))),"")</f>
        <v>9.1000000000000004E-3</v>
      </c>
      <c r="V370" t="s">
        <v>1708</v>
      </c>
      <c r="W370" s="21">
        <f t="shared" si="56"/>
        <v>1200</v>
      </c>
      <c r="X370" s="91" t="str">
        <f t="shared" si="57"/>
        <v>Duke Energy|2025|Q1</v>
      </c>
      <c r="Y370" s="91" t="str">
        <f>IFERROR(IF($X370="","",INDEX(LLM_Data_Entry!$H$3:$H$548,MATCH($X370,INDEX(LLM_Data_Entry!$A$3:$A$548&amp;"|"&amp;LLM_Data_Entry!$C$3:$C$548&amp;"|"&amp;LLM_Data_Entry!$D$3:$D$548,0),0))),"")</f>
        <v>HOLD</v>
      </c>
      <c r="Z370" s="91">
        <f>IFERROR(IF($X370="","",INDEX(LLM_Data_Entry!$R$3:$R$548,MATCH($X370,INDEX(LLM_Data_Entry!$A$3:$A$548&amp;"|"&amp;LLM_Data_Entry!$C$3:$C$548&amp;"|"&amp;LLM_Data_Entry!$D$3:$D$548,0),0))),"")</f>
        <v>0</v>
      </c>
      <c r="AB370" t="s">
        <v>748</v>
      </c>
      <c r="AC370" t="s">
        <v>1662</v>
      </c>
      <c r="AD370" t="s">
        <v>1709</v>
      </c>
      <c r="AE370">
        <v>115.62139999999999</v>
      </c>
      <c r="AF370" t="s">
        <v>937</v>
      </c>
      <c r="AG370">
        <v>116.8279</v>
      </c>
      <c r="AH370">
        <v>1.0434861554990691E-2</v>
      </c>
      <c r="AI370" t="s">
        <v>579</v>
      </c>
      <c r="AJ370" t="s">
        <v>546</v>
      </c>
      <c r="AK370">
        <v>9.4350000000000007E-3</v>
      </c>
      <c r="AL370" t="str">
        <f>IF($A370="","",IFERROR(INDEX(Company_List!$G$3:$G$207,MATCH($A370,Company_List!$A$3:$A$207,0)),"unassigned"))</f>
        <v>P2</v>
      </c>
      <c r="AM370" t="s">
        <v>1710</v>
      </c>
      <c r="AN370" t="s">
        <v>1711</v>
      </c>
      <c r="AO370" t="s">
        <v>754</v>
      </c>
      <c r="AP370" t="str">
        <f>IF($A370="","",IF(COUNTIFS(LLM_Data_Entry!$A$3:$A$548,$A370)&gt;0,"YES","NO"))</f>
        <v>YES</v>
      </c>
      <c r="AQ370" t="str">
        <f>IF($A370="","",IF(COUNTIFS($A$3:$A370,$A370,$C$3:$C370,$C370,$D$3:$D370,$D370)=1,"YES","NO"))</f>
        <v>YES</v>
      </c>
      <c r="AR370" t="str">
        <f>IF($A370="","",IF(AND($C370&amp;"-"&amp;$D370&gt;=Settings!$B$19,$C370&amp;"-"&amp;$D370&lt;=Settings!$B$20),"IN","OUT"))</f>
        <v>IN</v>
      </c>
      <c r="AS370" t="str">
        <f t="shared" si="58"/>
        <v>full</v>
      </c>
      <c r="AT370">
        <f t="shared" si="59"/>
        <v>9.1000000000000004E-3</v>
      </c>
      <c r="AU370">
        <f t="shared" si="60"/>
        <v>9.4350000000000007E-3</v>
      </c>
      <c r="AV370">
        <f>IF(ISNUMBER($AT370),ABS(IF(ISNUMBER($I370),$I370,0)-Settings!$B$24),"")</f>
        <v>0.7</v>
      </c>
      <c r="AW370">
        <f t="shared" si="61"/>
        <v>6.3699999999999998E-3</v>
      </c>
      <c r="AX370">
        <f>IF(ISNUMBER($AU370),ABS(IF(ISNUMBER($I370),$I370,0)-Settings!$B$24),"")</f>
        <v>0.7</v>
      </c>
      <c r="AY370" t="s">
        <v>1183</v>
      </c>
      <c r="AZ370" t="str">
        <f>IF($A370="","",IFERROR(INDEX(Company_List!$H$3:$H$207,MATCH($A370,Company_List!$A$3:$A$207,0)),"unassigned"))</f>
        <v>Utilities</v>
      </c>
      <c r="BC370">
        <f>IF($A370="","",IF(COUNTIFS($A$3:$A370,$A370,$C$3:$C370,$C370,$D$3:$D370,$D370,$G$3:$G370,$G370)=1,1,0))</f>
        <v>1</v>
      </c>
      <c r="BG370" t="s">
        <v>550</v>
      </c>
      <c r="BK370">
        <f t="shared" si="62"/>
        <v>0</v>
      </c>
      <c r="BL370" t="s">
        <v>551</v>
      </c>
      <c r="BM370">
        <v>2</v>
      </c>
      <c r="BN370" t="s">
        <v>882</v>
      </c>
      <c r="BO370" t="s">
        <v>596</v>
      </c>
      <c r="BP370" t="s">
        <v>550</v>
      </c>
      <c r="BQ370" t="s">
        <v>562</v>
      </c>
      <c r="BS370" t="s">
        <v>554</v>
      </c>
    </row>
    <row r="371" spans="1:71" x14ac:dyDescent="0.2">
      <c r="A371" s="1" t="s">
        <v>1660</v>
      </c>
      <c r="B371" s="142" t="str">
        <f>IF(A371="","",_xlfn.XLOOKUP(A371, Company_List!$A:$A, Company_List!$B:$B, ""))</f>
        <v>DUK</v>
      </c>
      <c r="C371" s="143">
        <v>2025</v>
      </c>
      <c r="D371" s="143" t="s">
        <v>555</v>
      </c>
      <c r="E371" s="98" t="s">
        <v>538</v>
      </c>
      <c r="F371" s="98" t="s">
        <v>538</v>
      </c>
      <c r="G371" s="143" t="s">
        <v>575</v>
      </c>
      <c r="H371" s="106" t="s">
        <v>540</v>
      </c>
      <c r="I371" s="145">
        <v>0.5</v>
      </c>
      <c r="J371" s="145" t="str">
        <f>IF(OR(I371="",Settings!$B$6=""),"",IF(I371&gt;Settings!$B$6,"BUY",IF(I371&lt;-Settings!$B$6,"SELL","HOLD")))</f>
        <v>BUY</v>
      </c>
      <c r="K371" s="145">
        <v>26</v>
      </c>
      <c r="L371" s="123">
        <v>45874</v>
      </c>
      <c r="M371" s="140" t="s">
        <v>700</v>
      </c>
      <c r="N371" s="147">
        <v>115.78400000000001</v>
      </c>
      <c r="O371" s="140" t="s">
        <v>701</v>
      </c>
      <c r="P371" s="145">
        <v>116.0643</v>
      </c>
      <c r="Q371" s="151">
        <f t="shared" si="53"/>
        <v>2.3999999999999998E-3</v>
      </c>
      <c r="R371" s="118" t="str">
        <f>IF(OR(N371="",P371=""),"",IF(Q371&gt;Settings!$B$3/100,"UP",IF(Q371&lt;-Settings!$B$3/100,"DOWN","FLAT")))</f>
        <v>FLAT</v>
      </c>
      <c r="S371" s="118" t="str">
        <f t="shared" si="54"/>
        <v>NO</v>
      </c>
      <c r="T371" s="119">
        <f t="shared" si="55"/>
        <v>1</v>
      </c>
      <c r="U371" s="150">
        <f>IFERROR(IF(OR(J371="",N371="",P371=""),"",IF(T371=0,0,T371*Q371-Settings!$B$4/10000-IF(T371&lt;0,Settings!$B$5/10000,0))),"")</f>
        <v>1.3999999999999998E-3</v>
      </c>
      <c r="V371" t="s">
        <v>1712</v>
      </c>
      <c r="W371" s="21">
        <f t="shared" si="56"/>
        <v>1560</v>
      </c>
      <c r="X371" s="91" t="str">
        <f t="shared" si="57"/>
        <v>Duke Energy|2025|Q2</v>
      </c>
      <c r="Y371" s="91" t="str">
        <f>IFERROR(IF($X371="","",INDEX(LLM_Data_Entry!$H$3:$H$548,MATCH($X371,INDEX(LLM_Data_Entry!$A$3:$A$548&amp;"|"&amp;LLM_Data_Entry!$C$3:$C$548&amp;"|"&amp;LLM_Data_Entry!$D$3:$D$548,0),0))),"")</f>
        <v>HOLD</v>
      </c>
      <c r="Z371" s="91">
        <f>IFERROR(IF($X371="","",INDEX(LLM_Data_Entry!$R$3:$R$548,MATCH($X371,INDEX(LLM_Data_Entry!$A$3:$A$548&amp;"|"&amp;LLM_Data_Entry!$C$3:$C$548&amp;"|"&amp;LLM_Data_Entry!$D$3:$D$548,0),0))),"")</f>
        <v>0</v>
      </c>
      <c r="AB371" t="s">
        <v>748</v>
      </c>
      <c r="AC371" t="s">
        <v>1662</v>
      </c>
      <c r="AD371" t="s">
        <v>981</v>
      </c>
      <c r="AE371">
        <v>119.97750000000001</v>
      </c>
      <c r="AF371" t="s">
        <v>641</v>
      </c>
      <c r="AG371">
        <v>122.68300000000001</v>
      </c>
      <c r="AH371">
        <v>2.2549798757769201E-2</v>
      </c>
      <c r="AI371" t="s">
        <v>591</v>
      </c>
      <c r="AJ371" t="s">
        <v>554</v>
      </c>
      <c r="AK371">
        <v>2.155E-2</v>
      </c>
      <c r="AL371" t="str">
        <f>IF($A371="","",IFERROR(INDEX(Company_List!$G$3:$G$207,MATCH($A371,Company_List!$A$3:$A$207,0)),"unassigned"))</f>
        <v>P2</v>
      </c>
      <c r="AM371" t="s">
        <v>1713</v>
      </c>
      <c r="AN371" t="s">
        <v>1714</v>
      </c>
      <c r="AO371" t="s">
        <v>754</v>
      </c>
      <c r="AP371" t="str">
        <f>IF($A371="","",IF(COUNTIFS(LLM_Data_Entry!$A$3:$A$548,$A371)&gt;0,"YES","NO"))</f>
        <v>YES</v>
      </c>
      <c r="AQ371" t="str">
        <f>IF($A371="","",IF(COUNTIFS($A$3:$A371,$A371,$C$3:$C371,$C371,$D$3:$D371,$D371)=1,"YES","NO"))</f>
        <v>YES</v>
      </c>
      <c r="AR371" t="str">
        <f>IF($A371="","",IF(AND($C371&amp;"-"&amp;$D371&gt;=Settings!$B$19,$C371&amp;"-"&amp;$D371&lt;=Settings!$B$20),"IN","OUT"))</f>
        <v>IN</v>
      </c>
      <c r="AS371" t="str">
        <f t="shared" si="58"/>
        <v>full</v>
      </c>
      <c r="AT371">
        <f t="shared" si="59"/>
        <v>1.3999999999999998E-3</v>
      </c>
      <c r="AU371">
        <f t="shared" si="60"/>
        <v>2.155E-2</v>
      </c>
      <c r="AV371">
        <f>IF(ISNUMBER($AT371),ABS(IF(ISNUMBER($I371),$I371,0)-Settings!$B$24),"")</f>
        <v>0.5</v>
      </c>
      <c r="AW371">
        <f t="shared" si="61"/>
        <v>6.9999999999999988E-4</v>
      </c>
      <c r="AX371">
        <f>IF(ISNUMBER($AU371),ABS(IF(ISNUMBER($I371),$I371,0)-Settings!$B$24),"")</f>
        <v>0.5</v>
      </c>
      <c r="AY371" t="s">
        <v>1183</v>
      </c>
      <c r="AZ371" t="str">
        <f>IF($A371="","",IFERROR(INDEX(Company_List!$H$3:$H$207,MATCH($A371,Company_List!$A$3:$A$207,0)),"unassigned"))</f>
        <v>Utilities</v>
      </c>
      <c r="BC371">
        <f>IF($A371="","",IF(COUNTIFS($A$3:$A371,$A371,$C$3:$C371,$C371,$D$3:$D371,$D371,$G$3:$G371,$G371)=1,1,0))</f>
        <v>1</v>
      </c>
      <c r="BG371" t="s">
        <v>550</v>
      </c>
      <c r="BK371">
        <f t="shared" si="62"/>
        <v>0</v>
      </c>
      <c r="BL371" t="s">
        <v>551</v>
      </c>
      <c r="BM371">
        <v>2</v>
      </c>
      <c r="BN371" t="s">
        <v>882</v>
      </c>
      <c r="BO371" t="s">
        <v>596</v>
      </c>
      <c r="BP371" t="s">
        <v>550</v>
      </c>
      <c r="BQ371" t="s">
        <v>562</v>
      </c>
      <c r="BS371" t="s">
        <v>554</v>
      </c>
    </row>
    <row r="372" spans="1:71" x14ac:dyDescent="0.2">
      <c r="A372" s="1" t="s">
        <v>1660</v>
      </c>
      <c r="B372" s="142" t="str">
        <f>IF(A372="","",_xlfn.XLOOKUP(A372, Company_List!$A:$A, Company_List!$B:$B, ""))</f>
        <v>DUK</v>
      </c>
      <c r="C372" s="143">
        <v>2025</v>
      </c>
      <c r="D372" s="143" t="s">
        <v>563</v>
      </c>
      <c r="E372" s="98" t="s">
        <v>538</v>
      </c>
      <c r="F372" s="98" t="s">
        <v>538</v>
      </c>
      <c r="G372" s="143" t="s">
        <v>575</v>
      </c>
      <c r="H372" s="106" t="s">
        <v>540</v>
      </c>
      <c r="I372" s="145">
        <v>0.5</v>
      </c>
      <c r="J372" s="145" t="str">
        <f>IF(OR(I372="",Settings!$B$6=""),"",IF(I372&gt;Settings!$B$6,"BUY",IF(I372&lt;-Settings!$B$6,"SELL","HOLD")))</f>
        <v>BUY</v>
      </c>
      <c r="K372" s="145">
        <v>18</v>
      </c>
      <c r="L372" s="123">
        <v>45968</v>
      </c>
      <c r="M372" s="140" t="s">
        <v>971</v>
      </c>
      <c r="N372" s="147">
        <v>124.0262</v>
      </c>
      <c r="O372" s="140" t="s">
        <v>1715</v>
      </c>
      <c r="P372" s="145">
        <v>124.0652</v>
      </c>
      <c r="Q372" s="151">
        <f t="shared" si="53"/>
        <v>2.9999999999999997E-4</v>
      </c>
      <c r="R372" s="118" t="str">
        <f>IF(OR(N372="",P372=""),"",IF(Q372&gt;Settings!$B$3/100,"UP",IF(Q372&lt;-Settings!$B$3/100,"DOWN","FLAT")))</f>
        <v>FLAT</v>
      </c>
      <c r="S372" s="118" t="str">
        <f t="shared" si="54"/>
        <v>NO</v>
      </c>
      <c r="T372" s="119">
        <f t="shared" si="55"/>
        <v>1</v>
      </c>
      <c r="U372" s="150">
        <f>IFERROR(IF(OR(J372="",N372="",P372=""),"",IF(T372=0,0,T372*Q372-Settings!$B$4/10000-IF(T372&lt;0,Settings!$B$5/10000,0))),"")</f>
        <v>-7.000000000000001E-4</v>
      </c>
      <c r="V372" t="s">
        <v>1716</v>
      </c>
      <c r="W372" s="21">
        <f t="shared" si="56"/>
        <v>1080</v>
      </c>
      <c r="X372" s="91" t="str">
        <f t="shared" si="57"/>
        <v>Duke Energy|2025|Q3</v>
      </c>
      <c r="Y372" s="91" t="str">
        <f>IFERROR(IF($X372="","",INDEX(LLM_Data_Entry!$H$3:$H$548,MATCH($X372,INDEX(LLM_Data_Entry!$A$3:$A$548&amp;"|"&amp;LLM_Data_Entry!$C$3:$C$548&amp;"|"&amp;LLM_Data_Entry!$D$3:$D$548,0),0))),"")</f>
        <v>BUY</v>
      </c>
      <c r="Z372" s="91">
        <f>IFERROR(IF($X372="","",INDEX(LLM_Data_Entry!$R$3:$R$548,MATCH($X372,INDEX(LLM_Data_Entry!$A$3:$A$548&amp;"|"&amp;LLM_Data_Entry!$C$3:$C$548&amp;"|"&amp;LLM_Data_Entry!$D$3:$D$548,0),0))),"")</f>
        <v>0</v>
      </c>
      <c r="AB372" t="s">
        <v>541</v>
      </c>
      <c r="AC372" t="s">
        <v>1662</v>
      </c>
      <c r="AD372" t="s">
        <v>745</v>
      </c>
      <c r="AE372">
        <v>120.5177</v>
      </c>
      <c r="AF372" t="s">
        <v>1717</v>
      </c>
      <c r="AG372">
        <v>119.92319999999999</v>
      </c>
      <c r="AH372">
        <v>-4.9329734204585059E-3</v>
      </c>
      <c r="AI372" t="s">
        <v>579</v>
      </c>
      <c r="AJ372" t="s">
        <v>546</v>
      </c>
      <c r="AK372">
        <v>-5.9329999999999999E-3</v>
      </c>
      <c r="AL372" t="str">
        <f>IF($A372="","",IFERROR(INDEX(Company_List!$G$3:$G$207,MATCH($A372,Company_List!$A$3:$A$207,0)),"unassigned"))</f>
        <v>P2</v>
      </c>
      <c r="AM372" t="s">
        <v>1718</v>
      </c>
      <c r="AN372" t="s">
        <v>1719</v>
      </c>
      <c r="AO372" t="s">
        <v>754</v>
      </c>
      <c r="AP372" t="str">
        <f>IF($A372="","",IF(COUNTIFS(LLM_Data_Entry!$A$3:$A$548,$A372)&gt;0,"YES","NO"))</f>
        <v>YES</v>
      </c>
      <c r="AQ372" t="str">
        <f>IF($A372="","",IF(COUNTIFS($A$3:$A372,$A372,$C$3:$C372,$C372,$D$3:$D372,$D372)=1,"YES","NO"))</f>
        <v>YES</v>
      </c>
      <c r="AR372" t="str">
        <f>IF($A372="","",IF(AND($C372&amp;"-"&amp;$D372&gt;=Settings!$B$19,$C372&amp;"-"&amp;$D372&lt;=Settings!$B$20),"IN","OUT"))</f>
        <v>IN</v>
      </c>
      <c r="AS372" t="str">
        <f t="shared" si="58"/>
        <v>full</v>
      </c>
      <c r="AT372">
        <f t="shared" si="59"/>
        <v>-7.000000000000001E-4</v>
      </c>
      <c r="AU372">
        <f t="shared" si="60"/>
        <v>-5.9329999999999999E-3</v>
      </c>
      <c r="AV372">
        <f>IF(ISNUMBER($AT372),ABS(IF(ISNUMBER($I372),$I372,0)-Settings!$B$24),"")</f>
        <v>0.5</v>
      </c>
      <c r="AW372">
        <f t="shared" si="61"/>
        <v>-3.5000000000000005E-4</v>
      </c>
      <c r="AX372">
        <f>IF(ISNUMBER($AU372),ABS(IF(ISNUMBER($I372),$I372,0)-Settings!$B$24),"")</f>
        <v>0.5</v>
      </c>
      <c r="AY372" t="s">
        <v>1183</v>
      </c>
      <c r="AZ372" t="str">
        <f>IF($A372="","",IFERROR(INDEX(Company_List!$H$3:$H$207,MATCH($A372,Company_List!$A$3:$A$207,0)),"unassigned"))</f>
        <v>Utilities</v>
      </c>
      <c r="BC372">
        <f>IF($A372="","",IF(COUNTIFS($A$3:$A372,$A372,$C$3:$C372,$C372,$D$3:$D372,$D372,$G$3:$G372,$G372)=1,1,0))</f>
        <v>1</v>
      </c>
      <c r="BG372" t="s">
        <v>550</v>
      </c>
      <c r="BK372">
        <f t="shared" si="62"/>
        <v>1</v>
      </c>
      <c r="BL372" t="s">
        <v>551</v>
      </c>
      <c r="BM372">
        <v>2</v>
      </c>
      <c r="BN372" t="s">
        <v>882</v>
      </c>
      <c r="BO372" t="s">
        <v>596</v>
      </c>
      <c r="BP372" t="s">
        <v>550</v>
      </c>
      <c r="BQ372" t="s">
        <v>562</v>
      </c>
      <c r="BS372" t="s">
        <v>554</v>
      </c>
    </row>
    <row r="373" spans="1:71" x14ac:dyDescent="0.2">
      <c r="A373" s="1" t="s">
        <v>1660</v>
      </c>
      <c r="B373" s="142" t="str">
        <f>IF(A373="","",_xlfn.XLOOKUP(A373, Company_List!$A:$A, Company_List!$B:$B, ""))</f>
        <v>DUK</v>
      </c>
      <c r="C373" s="143">
        <v>2025</v>
      </c>
      <c r="D373" s="143" t="s">
        <v>569</v>
      </c>
      <c r="E373" s="98" t="s">
        <v>538</v>
      </c>
      <c r="F373" s="98" t="s">
        <v>538</v>
      </c>
      <c r="G373" s="143" t="s">
        <v>575</v>
      </c>
      <c r="H373" s="106" t="s">
        <v>540</v>
      </c>
      <c r="I373" s="145">
        <v>0.3</v>
      </c>
      <c r="J373" s="145" t="str">
        <f>IF(OR(I373="",Settings!$B$6=""),"",IF(I373&gt;Settings!$B$6,"BUY",IF(I373&lt;-Settings!$B$6,"SELL","HOLD")))</f>
        <v>BUY</v>
      </c>
      <c r="K373" s="145">
        <v>17</v>
      </c>
      <c r="L373" s="123">
        <v>46063</v>
      </c>
      <c r="M373" s="140" t="s">
        <v>631</v>
      </c>
      <c r="N373" s="147">
        <v>116.7679</v>
      </c>
      <c r="O373" s="140" t="s">
        <v>632</v>
      </c>
      <c r="P373" s="145">
        <v>116.7679</v>
      </c>
      <c r="Q373" s="151">
        <f t="shared" si="53"/>
        <v>0</v>
      </c>
      <c r="R373" s="118" t="str">
        <f>IF(OR(N373="",P373=""),"",IF(Q373&gt;Settings!$B$3/100,"UP",IF(Q373&lt;-Settings!$B$3/100,"DOWN","FLAT")))</f>
        <v>FLAT</v>
      </c>
      <c r="S373" s="118" t="str">
        <f t="shared" si="54"/>
        <v>NO</v>
      </c>
      <c r="T373" s="119">
        <f t="shared" si="55"/>
        <v>1</v>
      </c>
      <c r="U373" s="150">
        <f>IFERROR(IF(OR(J373="",N373="",P373=""),"",IF(T373=0,0,T373*Q373-Settings!$B$4/10000-IF(T373&lt;0,Settings!$B$5/10000,0))),"")</f>
        <v>-1E-3</v>
      </c>
      <c r="V373" t="s">
        <v>1720</v>
      </c>
      <c r="W373" s="21">
        <f t="shared" si="56"/>
        <v>1020</v>
      </c>
      <c r="X373" s="91" t="str">
        <f t="shared" si="57"/>
        <v>Duke Energy|2025|Q4</v>
      </c>
      <c r="Y373" s="91" t="str">
        <f>IFERROR(IF($X373="","",INDEX(LLM_Data_Entry!$H$3:$H$548,MATCH($X373,INDEX(LLM_Data_Entry!$A$3:$A$548&amp;"|"&amp;LLM_Data_Entry!$C$3:$C$548&amp;"|"&amp;LLM_Data_Entry!$D$3:$D$548,0),0))),"")</f>
        <v>BUY</v>
      </c>
      <c r="Z373" s="91">
        <f>IFERROR(IF($X373="","",INDEX(LLM_Data_Entry!$R$3:$R$548,MATCH($X373,INDEX(LLM_Data_Entry!$A$3:$A$548&amp;"|"&amp;LLM_Data_Entry!$C$3:$C$548&amp;"|"&amp;LLM_Data_Entry!$D$3:$D$548,0),0))),"")</f>
        <v>0</v>
      </c>
      <c r="AB373" t="s">
        <v>853</v>
      </c>
      <c r="AC373" t="s">
        <v>1662</v>
      </c>
      <c r="AD373" t="s">
        <v>704</v>
      </c>
      <c r="AE373">
        <v>119.6581</v>
      </c>
      <c r="AF373" t="s">
        <v>705</v>
      </c>
      <c r="AG373">
        <v>120.12990000000001</v>
      </c>
      <c r="AH373">
        <v>3.9434491166229794E-3</v>
      </c>
      <c r="AI373" t="s">
        <v>579</v>
      </c>
      <c r="AJ373" t="s">
        <v>546</v>
      </c>
      <c r="AK373">
        <v>2.9429999999999999E-3</v>
      </c>
      <c r="AL373" t="str">
        <f>IF($A373="","",IFERROR(INDEX(Company_List!$G$3:$G$207,MATCH($A373,Company_List!$A$3:$A$207,0)),"unassigned"))</f>
        <v>P2</v>
      </c>
      <c r="AM373" t="s">
        <v>1721</v>
      </c>
      <c r="AN373" t="s">
        <v>1722</v>
      </c>
      <c r="AO373" t="s">
        <v>754</v>
      </c>
      <c r="AP373" t="str">
        <f>IF($A373="","",IF(COUNTIFS(LLM_Data_Entry!$A$3:$A$548,$A373)&gt;0,"YES","NO"))</f>
        <v>YES</v>
      </c>
      <c r="AQ373" t="str">
        <f>IF($A373="","",IF(COUNTIFS($A$3:$A373,$A373,$C$3:$C373,$C373,$D$3:$D373,$D373)=1,"YES","NO"))</f>
        <v>YES</v>
      </c>
      <c r="AR373" t="str">
        <f>IF($A373="","",IF(AND($C373&amp;"-"&amp;$D373&gt;=Settings!$B$19,$C373&amp;"-"&amp;$D373&lt;=Settings!$B$20),"IN","OUT"))</f>
        <v>IN</v>
      </c>
      <c r="AS373" t="str">
        <f t="shared" si="58"/>
        <v>full</v>
      </c>
      <c r="AT373">
        <f t="shared" si="59"/>
        <v>-1E-3</v>
      </c>
      <c r="AU373">
        <f t="shared" si="60"/>
        <v>2.9429999999999999E-3</v>
      </c>
      <c r="AV373">
        <f>IF(ISNUMBER($AT373),ABS(IF(ISNUMBER($I373),$I373,0)-Settings!$B$24),"")</f>
        <v>0.3</v>
      </c>
      <c r="AW373">
        <f t="shared" si="61"/>
        <v>-2.9999999999999997E-4</v>
      </c>
      <c r="AX373">
        <f>IF(ISNUMBER($AU373),ABS(IF(ISNUMBER($I373),$I373,0)-Settings!$B$24),"")</f>
        <v>0.3</v>
      </c>
      <c r="AY373" t="s">
        <v>1183</v>
      </c>
      <c r="AZ373" t="str">
        <f>IF($A373="","",IFERROR(INDEX(Company_List!$H$3:$H$207,MATCH($A373,Company_List!$A$3:$A$207,0)),"unassigned"))</f>
        <v>Utilities</v>
      </c>
      <c r="BC373">
        <f>IF($A373="","",IF(COUNTIFS($A$3:$A373,$A373,$C$3:$C373,$C373,$D$3:$D373,$D373,$G$3:$G373,$G373)=1,1,0))</f>
        <v>1</v>
      </c>
      <c r="BG373" t="s">
        <v>550</v>
      </c>
      <c r="BK373">
        <f t="shared" si="62"/>
        <v>1</v>
      </c>
      <c r="BL373" t="s">
        <v>551</v>
      </c>
      <c r="BM373">
        <v>2</v>
      </c>
      <c r="BN373" t="s">
        <v>882</v>
      </c>
      <c r="BO373" t="s">
        <v>596</v>
      </c>
      <c r="BP373" t="s">
        <v>550</v>
      </c>
      <c r="BQ373" t="s">
        <v>562</v>
      </c>
      <c r="BS373" t="s">
        <v>554</v>
      </c>
    </row>
    <row r="374" spans="1:71" x14ac:dyDescent="0.2">
      <c r="A374" s="1" t="s">
        <v>1660</v>
      </c>
      <c r="B374" s="142" t="str">
        <f>IF(A374="","",_xlfn.XLOOKUP(A374, Company_List!$A:$A, Company_List!$B:$B, ""))</f>
        <v>DUK</v>
      </c>
      <c r="C374" s="143">
        <v>2026</v>
      </c>
      <c r="D374" s="143" t="s">
        <v>537</v>
      </c>
      <c r="E374" s="98" t="s">
        <v>538</v>
      </c>
      <c r="F374" s="98" t="s">
        <v>538</v>
      </c>
      <c r="G374" s="143" t="s">
        <v>575</v>
      </c>
      <c r="H374" s="106" t="s">
        <v>540</v>
      </c>
      <c r="I374" s="145">
        <v>0.8</v>
      </c>
      <c r="J374" s="145" t="str">
        <f>IF(OR(I374="",Settings!$B$6=""),"",IF(I374&gt;Settings!$B$6,"BUY",IF(I374&lt;-Settings!$B$6,"SELL","HOLD")))</f>
        <v>BUY</v>
      </c>
      <c r="K374" s="145">
        <v>15</v>
      </c>
      <c r="L374" s="123">
        <v>46147</v>
      </c>
      <c r="M374" s="140" t="s">
        <v>1403</v>
      </c>
      <c r="N374" s="147">
        <v>126.7646</v>
      </c>
      <c r="O374" s="140" t="s">
        <v>1404</v>
      </c>
      <c r="P374" s="145">
        <v>127.3694</v>
      </c>
      <c r="Q374" s="151">
        <f t="shared" si="53"/>
        <v>4.7999999999999996E-3</v>
      </c>
      <c r="R374" s="118" t="str">
        <f>IF(OR(N374="",P374=""),"",IF(Q374&gt;Settings!$B$3/100,"UP",IF(Q374&lt;-Settings!$B$3/100,"DOWN","FLAT")))</f>
        <v>FLAT</v>
      </c>
      <c r="S374" s="118" t="str">
        <f t="shared" si="54"/>
        <v>NO</v>
      </c>
      <c r="T374" s="119">
        <f t="shared" si="55"/>
        <v>1</v>
      </c>
      <c r="U374" s="150">
        <f>IFERROR(IF(OR(J374="",N374="",P374=""),"",IF(T374=0,0,T374*Q374-Settings!$B$4/10000-IF(T374&lt;0,Settings!$B$5/10000,0))),"")</f>
        <v>3.7999999999999996E-3</v>
      </c>
      <c r="V374" t="s">
        <v>1723</v>
      </c>
      <c r="W374" s="21">
        <f t="shared" si="56"/>
        <v>900</v>
      </c>
      <c r="X374" s="91" t="str">
        <f t="shared" si="57"/>
        <v>Duke Energy|2026|Q1</v>
      </c>
      <c r="Y374" s="91" t="str">
        <f>IFERROR(IF($X374="","",INDEX(LLM_Data_Entry!$H$3:$H$548,MATCH($X374,INDEX(LLM_Data_Entry!$A$3:$A$548&amp;"|"&amp;LLM_Data_Entry!$C$3:$C$548&amp;"|"&amp;LLM_Data_Entry!$D$3:$D$548,0),0))),"")</f>
        <v>HOLD</v>
      </c>
      <c r="Z374" s="91">
        <f>IFERROR(IF($X374="","",INDEX(LLM_Data_Entry!$R$3:$R$548,MATCH($X374,INDEX(LLM_Data_Entry!$A$3:$A$548&amp;"|"&amp;LLM_Data_Entry!$C$3:$C$548&amp;"|"&amp;LLM_Data_Entry!$D$3:$D$548,0),0))),"")</f>
        <v>0</v>
      </c>
      <c r="AB374" t="s">
        <v>541</v>
      </c>
      <c r="AC374" t="s">
        <v>1662</v>
      </c>
      <c r="AD374" t="s">
        <v>731</v>
      </c>
      <c r="AE374">
        <v>126.48699999999999</v>
      </c>
      <c r="AF374" t="s">
        <v>680</v>
      </c>
      <c r="AG374">
        <v>125.9516</v>
      </c>
      <c r="AH374">
        <v>-4.2326957366927041E-3</v>
      </c>
      <c r="AI374" t="s">
        <v>579</v>
      </c>
      <c r="AJ374" t="s">
        <v>546</v>
      </c>
      <c r="AK374">
        <v>-5.2329999999999998E-3</v>
      </c>
      <c r="AL374" t="str">
        <f>IF($A374="","",IFERROR(INDEX(Company_List!$G$3:$G$207,MATCH($A374,Company_List!$A$3:$A$207,0)),"unassigned"))</f>
        <v>P2</v>
      </c>
      <c r="AM374" t="s">
        <v>1724</v>
      </c>
      <c r="AN374" t="s">
        <v>1725</v>
      </c>
      <c r="AO374" t="s">
        <v>754</v>
      </c>
      <c r="AP374" t="str">
        <f>IF($A374="","",IF(COUNTIFS(LLM_Data_Entry!$A$3:$A$548,$A374)&gt;0,"YES","NO"))</f>
        <v>YES</v>
      </c>
      <c r="AQ374" t="str">
        <f>IF($A374="","",IF(COUNTIFS($A$3:$A374,$A374,$C$3:$C374,$C374,$D$3:$D374,$D374)=1,"YES","NO"))</f>
        <v>YES</v>
      </c>
      <c r="AR374" t="str">
        <f>IF($A374="","",IF(AND($C374&amp;"-"&amp;$D374&gt;=Settings!$B$19,$C374&amp;"-"&amp;$D374&lt;=Settings!$B$20),"IN","OUT"))</f>
        <v>IN</v>
      </c>
      <c r="AS374" t="str">
        <f t="shared" si="58"/>
        <v>full</v>
      </c>
      <c r="AT374">
        <f t="shared" si="59"/>
        <v>3.7999999999999996E-3</v>
      </c>
      <c r="AU374">
        <f t="shared" si="60"/>
        <v>-5.2329999999999998E-3</v>
      </c>
      <c r="AV374">
        <f>IF(ISNUMBER($AT374),ABS(IF(ISNUMBER($I374),$I374,0)-Settings!$B$24),"")</f>
        <v>0.8</v>
      </c>
      <c r="AW374">
        <f t="shared" si="61"/>
        <v>3.0399999999999997E-3</v>
      </c>
      <c r="AX374">
        <f>IF(ISNUMBER($AU374),ABS(IF(ISNUMBER($I374),$I374,0)-Settings!$B$24),"")</f>
        <v>0.8</v>
      </c>
      <c r="AY374" t="s">
        <v>1183</v>
      </c>
      <c r="AZ374" t="str">
        <f>IF($A374="","",IFERROR(INDEX(Company_List!$H$3:$H$207,MATCH($A374,Company_List!$A$3:$A$207,0)),"unassigned"))</f>
        <v>Utilities</v>
      </c>
      <c r="BC374">
        <f>IF($A374="","",IF(COUNTIFS($A$3:$A374,$A374,$C$3:$C374,$C374,$D$3:$D374,$D374,$G$3:$G374,$G374)=1,1,0))</f>
        <v>1</v>
      </c>
      <c r="BG374" t="s">
        <v>550</v>
      </c>
      <c r="BK374">
        <f t="shared" si="62"/>
        <v>0</v>
      </c>
      <c r="BL374" t="s">
        <v>551</v>
      </c>
      <c r="BM374">
        <v>2</v>
      </c>
      <c r="BN374" t="s">
        <v>595</v>
      </c>
      <c r="BO374" t="s">
        <v>596</v>
      </c>
      <c r="BP374" t="s">
        <v>550</v>
      </c>
      <c r="BQ374" t="s">
        <v>562</v>
      </c>
      <c r="BS374" t="s">
        <v>554</v>
      </c>
    </row>
    <row r="375" spans="1:71" x14ac:dyDescent="0.2">
      <c r="A375" s="1" t="s">
        <v>1726</v>
      </c>
      <c r="B375" s="142" t="str">
        <f>IF(A375="","",_xlfn.XLOOKUP(A375, Company_List!$A:$A, Company_List!$B:$B, ""))</f>
        <v>XOM</v>
      </c>
      <c r="C375" s="143">
        <v>2023</v>
      </c>
      <c r="D375" s="143" t="s">
        <v>537</v>
      </c>
      <c r="E375" s="98" t="s">
        <v>538</v>
      </c>
      <c r="F375" s="98" t="s">
        <v>538</v>
      </c>
      <c r="G375" s="143" t="s">
        <v>575</v>
      </c>
      <c r="H375" s="106" t="s">
        <v>540</v>
      </c>
      <c r="I375" s="145">
        <v>-0.1</v>
      </c>
      <c r="J375" s="145" t="str">
        <f>IF(OR(I375="",Settings!$B$6=""),"",IF(I375&gt;Settings!$B$6,"BUY",IF(I375&lt;-Settings!$B$6,"SELL","HOLD")))</f>
        <v>HOLD</v>
      </c>
      <c r="K375" s="145">
        <v>19</v>
      </c>
      <c r="L375" s="123">
        <v>45044</v>
      </c>
      <c r="M375" s="140" t="s">
        <v>1727</v>
      </c>
      <c r="N375" s="147">
        <v>103.8248</v>
      </c>
      <c r="O375" s="140" t="s">
        <v>1728</v>
      </c>
      <c r="P375" s="145">
        <v>103.9414</v>
      </c>
      <c r="Q375" s="151">
        <f t="shared" si="53"/>
        <v>1.1000000000000001E-3</v>
      </c>
      <c r="R375" s="118" t="str">
        <f>IF(OR(N375="",P375=""),"",IF(Q375&gt;Settings!$B$3/100,"UP",IF(Q375&lt;-Settings!$B$3/100,"DOWN","FLAT")))</f>
        <v>FLAT</v>
      </c>
      <c r="S375" s="118" t="str">
        <f t="shared" si="54"/>
        <v>YES</v>
      </c>
      <c r="T375" s="119">
        <f t="shared" si="55"/>
        <v>0</v>
      </c>
      <c r="U375" s="150">
        <f>IFERROR(IF(OR(J375="",N375="",P375=""),"",IF(T375=0,0,T375*Q375-Settings!$B$4/10000-IF(T375&lt;0,Settings!$B$5/10000,0))),"")</f>
        <v>0</v>
      </c>
      <c r="V375" t="s">
        <v>1729</v>
      </c>
      <c r="W375" s="21">
        <f t="shared" si="56"/>
        <v>1140</v>
      </c>
      <c r="X375" s="91" t="str">
        <f t="shared" si="57"/>
        <v>ExxonMobil|2023|Q1</v>
      </c>
      <c r="Y375" s="91" t="str">
        <f>IFERROR(IF($X375="","",INDEX(LLM_Data_Entry!$H$3:$H$548,MATCH($X375,INDEX(LLM_Data_Entry!$A$3:$A$548&amp;"|"&amp;LLM_Data_Entry!$C$3:$C$548&amp;"|"&amp;LLM_Data_Entry!$D$3:$D$548,0),0))),"")</f>
        <v>HOLD</v>
      </c>
      <c r="Z375" s="91">
        <f>IFERROR(IF($X375="","",INDEX(LLM_Data_Entry!$R$3:$R$548,MATCH($X375,INDEX(LLM_Data_Entry!$A$3:$A$548&amp;"|"&amp;LLM_Data_Entry!$C$3:$C$548&amp;"|"&amp;LLM_Data_Entry!$D$3:$D$548,0),0))),"")</f>
        <v>0</v>
      </c>
      <c r="AB375" t="s">
        <v>636</v>
      </c>
      <c r="AC375" t="s">
        <v>1730</v>
      </c>
      <c r="AD375" t="s">
        <v>1731</v>
      </c>
      <c r="AE375">
        <v>104.7754</v>
      </c>
      <c r="AF375" t="s">
        <v>1732</v>
      </c>
      <c r="AG375">
        <v>105.152</v>
      </c>
      <c r="AH375">
        <v>3.594906008784724E-3</v>
      </c>
      <c r="AI375" t="s">
        <v>579</v>
      </c>
      <c r="AJ375" t="s">
        <v>554</v>
      </c>
      <c r="AK375">
        <v>0</v>
      </c>
      <c r="AL375" t="str">
        <f>IF($A375="","",IFERROR(INDEX(Company_List!$G$3:$G$207,MATCH($A375,Company_List!$A$3:$A$207,0)),"unassigned"))</f>
        <v>P2</v>
      </c>
      <c r="AM375" t="s">
        <v>1733</v>
      </c>
      <c r="AN375" t="s">
        <v>1734</v>
      </c>
      <c r="AO375" t="s">
        <v>754</v>
      </c>
      <c r="AP375" t="str">
        <f>IF($A375="","",IF(COUNTIFS(LLM_Data_Entry!$A$3:$A$548,$A375)&gt;0,"YES","NO"))</f>
        <v>YES</v>
      </c>
      <c r="AQ375" t="str">
        <f>IF($A375="","",IF(COUNTIFS($A$3:$A375,$A375,$C$3:$C375,$C375,$D$3:$D375,$D375)=1,"YES","NO"))</f>
        <v>YES</v>
      </c>
      <c r="AR375" t="str">
        <f>IF($A375="","",IF(AND($C375&amp;"-"&amp;$D375&gt;=Settings!$B$19,$C375&amp;"-"&amp;$D375&lt;=Settings!$B$20),"IN","OUT"))</f>
        <v>IN</v>
      </c>
      <c r="AS375" t="str">
        <f t="shared" si="58"/>
        <v>full</v>
      </c>
      <c r="AT375" t="str">
        <f t="shared" si="59"/>
        <v/>
      </c>
      <c r="AU375" t="str">
        <f t="shared" si="60"/>
        <v/>
      </c>
      <c r="AV375" t="str">
        <f>IF(ISNUMBER($AT375),ABS(IF(ISNUMBER($I375),$I375,0)-Settings!$B$24),"")</f>
        <v/>
      </c>
      <c r="AW375" t="str">
        <f t="shared" si="61"/>
        <v/>
      </c>
      <c r="AX375" t="str">
        <f>IF(ISNUMBER($AU375),ABS(IF(ISNUMBER($I375),$I375,0)-Settings!$B$24),"")</f>
        <v/>
      </c>
      <c r="AY375" t="s">
        <v>1183</v>
      </c>
      <c r="AZ375" t="str">
        <f>IF($A375="","",IFERROR(INDEX(Company_List!$H$3:$H$207,MATCH($A375,Company_List!$A$3:$A$207,0)),"unassigned"))</f>
        <v>Energy</v>
      </c>
      <c r="BC375">
        <f>IF($A375="","",IF(COUNTIFS($A$3:$A375,$A375,$C$3:$C375,$C375,$D$3:$D375,$D375,$G$3:$G375,$G375)=1,1,0))</f>
        <v>1</v>
      </c>
      <c r="BG375" t="s">
        <v>550</v>
      </c>
      <c r="BK375">
        <f t="shared" si="62"/>
        <v>1</v>
      </c>
      <c r="BL375" t="s">
        <v>551</v>
      </c>
      <c r="BM375">
        <v>3</v>
      </c>
      <c r="BN375" t="s">
        <v>595</v>
      </c>
      <c r="BO375" t="s">
        <v>596</v>
      </c>
      <c r="BP375" t="s">
        <v>550</v>
      </c>
      <c r="BQ375" t="s">
        <v>562</v>
      </c>
      <c r="BS375" t="s">
        <v>554</v>
      </c>
    </row>
    <row r="376" spans="1:71" x14ac:dyDescent="0.2">
      <c r="A376" s="1" t="s">
        <v>1726</v>
      </c>
      <c r="B376" s="142" t="str">
        <f>IF(A376="","",_xlfn.XLOOKUP(A376, Company_List!$A:$A, Company_List!$B:$B, ""))</f>
        <v>XOM</v>
      </c>
      <c r="C376" s="143">
        <v>2023</v>
      </c>
      <c r="D376" s="143" t="s">
        <v>555</v>
      </c>
      <c r="E376" s="98" t="s">
        <v>538</v>
      </c>
      <c r="F376" s="98" t="s">
        <v>538</v>
      </c>
      <c r="G376" s="143" t="s">
        <v>575</v>
      </c>
      <c r="H376" s="106" t="s">
        <v>540</v>
      </c>
      <c r="I376" s="145">
        <v>-0.1</v>
      </c>
      <c r="J376" s="145" t="str">
        <f>IF(OR(I376="",Settings!$B$6=""),"",IF(I376&gt;Settings!$B$6,"BUY",IF(I376&lt;-Settings!$B$6,"SELL","HOLD")))</f>
        <v>HOLD</v>
      </c>
      <c r="K376" s="145">
        <v>22</v>
      </c>
      <c r="L376" s="123">
        <v>45135</v>
      </c>
      <c r="M376" s="140" t="s">
        <v>1609</v>
      </c>
      <c r="N376" s="147">
        <v>94.566999999999993</v>
      </c>
      <c r="O376" s="140" t="s">
        <v>1735</v>
      </c>
      <c r="P376" s="145">
        <v>94.123800000000003</v>
      </c>
      <c r="Q376" s="151">
        <f t="shared" si="53"/>
        <v>-4.7000000000000002E-3</v>
      </c>
      <c r="R376" s="118" t="str">
        <f>IF(OR(N376="",P376=""),"",IF(Q376&gt;Settings!$B$3/100,"UP",IF(Q376&lt;-Settings!$B$3/100,"DOWN","FLAT")))</f>
        <v>FLAT</v>
      </c>
      <c r="S376" s="118" t="str">
        <f t="shared" si="54"/>
        <v>YES</v>
      </c>
      <c r="T376" s="119">
        <f t="shared" si="55"/>
        <v>0</v>
      </c>
      <c r="U376" s="150">
        <f>IFERROR(IF(OR(J376="",N376="",P376=""),"",IF(T376=0,0,T376*Q376-Settings!$B$4/10000-IF(T376&lt;0,Settings!$B$5/10000,0))),"")</f>
        <v>0</v>
      </c>
      <c r="V376" t="s">
        <v>1736</v>
      </c>
      <c r="W376" s="21">
        <f t="shared" si="56"/>
        <v>1320</v>
      </c>
      <c r="X376" s="91" t="str">
        <f t="shared" si="57"/>
        <v>ExxonMobil|2023|Q2</v>
      </c>
      <c r="Y376" s="91" t="str">
        <f>IFERROR(IF($X376="","",INDEX(LLM_Data_Entry!$H$3:$H$548,MATCH($X376,INDEX(LLM_Data_Entry!$A$3:$A$548&amp;"|"&amp;LLM_Data_Entry!$C$3:$C$548&amp;"|"&amp;LLM_Data_Entry!$D$3:$D$548,0),0))),"")</f>
        <v>HOLD</v>
      </c>
      <c r="Z376" s="91">
        <f>IFERROR(IF($X376="","",INDEX(LLM_Data_Entry!$R$3:$R$548,MATCH($X376,INDEX(LLM_Data_Entry!$A$3:$A$548&amp;"|"&amp;LLM_Data_Entry!$C$3:$C$548&amp;"|"&amp;LLM_Data_Entry!$D$3:$D$548,0),0))),"")</f>
        <v>0</v>
      </c>
      <c r="AB376" t="s">
        <v>853</v>
      </c>
      <c r="AC376" t="s">
        <v>1730</v>
      </c>
      <c r="AD376" t="s">
        <v>1737</v>
      </c>
      <c r="AE376">
        <v>95.363100000000003</v>
      </c>
      <c r="AF376" t="s">
        <v>1738</v>
      </c>
      <c r="AG376">
        <v>95.082700000000003</v>
      </c>
      <c r="AH376">
        <v>-2.9405242625044161E-3</v>
      </c>
      <c r="AI376" t="s">
        <v>579</v>
      </c>
      <c r="AJ376" t="s">
        <v>554</v>
      </c>
      <c r="AK376">
        <v>0</v>
      </c>
      <c r="AL376" t="str">
        <f>IF($A376="","",IFERROR(INDEX(Company_List!$G$3:$G$207,MATCH($A376,Company_List!$A$3:$A$207,0)),"unassigned"))</f>
        <v>P2</v>
      </c>
      <c r="AM376" t="s">
        <v>1739</v>
      </c>
      <c r="AN376" t="s">
        <v>1740</v>
      </c>
      <c r="AO376" t="s">
        <v>754</v>
      </c>
      <c r="AP376" t="str">
        <f>IF($A376="","",IF(COUNTIFS(LLM_Data_Entry!$A$3:$A$548,$A376)&gt;0,"YES","NO"))</f>
        <v>YES</v>
      </c>
      <c r="AQ376" t="str">
        <f>IF($A376="","",IF(COUNTIFS($A$3:$A376,$A376,$C$3:$C376,$C376,$D$3:$D376,$D376)=1,"YES","NO"))</f>
        <v>YES</v>
      </c>
      <c r="AR376" t="str">
        <f>IF($A376="","",IF(AND($C376&amp;"-"&amp;$D376&gt;=Settings!$B$19,$C376&amp;"-"&amp;$D376&lt;=Settings!$B$20),"IN","OUT"))</f>
        <v>IN</v>
      </c>
      <c r="AS376" t="str">
        <f t="shared" si="58"/>
        <v>full</v>
      </c>
      <c r="AT376" t="str">
        <f t="shared" si="59"/>
        <v/>
      </c>
      <c r="AU376" t="str">
        <f t="shared" si="60"/>
        <v/>
      </c>
      <c r="AV376" t="str">
        <f>IF(ISNUMBER($AT376),ABS(IF(ISNUMBER($I376),$I376,0)-Settings!$B$24),"")</f>
        <v/>
      </c>
      <c r="AW376" t="str">
        <f t="shared" si="61"/>
        <v/>
      </c>
      <c r="AX376" t="str">
        <f>IF(ISNUMBER($AU376),ABS(IF(ISNUMBER($I376),$I376,0)-Settings!$B$24),"")</f>
        <v/>
      </c>
      <c r="AY376" t="s">
        <v>1183</v>
      </c>
      <c r="AZ376" t="str">
        <f>IF($A376="","",IFERROR(INDEX(Company_List!$H$3:$H$207,MATCH($A376,Company_List!$A$3:$A$207,0)),"unassigned"))</f>
        <v>Energy</v>
      </c>
      <c r="BC376">
        <f>IF($A376="","",IF(COUNTIFS($A$3:$A376,$A376,$C$3:$C376,$C376,$D$3:$D376,$D376,$G$3:$G376,$G376)=1,1,0))</f>
        <v>1</v>
      </c>
      <c r="BG376" t="s">
        <v>550</v>
      </c>
      <c r="BK376">
        <f t="shared" si="62"/>
        <v>1</v>
      </c>
      <c r="BL376" t="s">
        <v>551</v>
      </c>
      <c r="BM376">
        <v>3</v>
      </c>
      <c r="BN376" t="s">
        <v>882</v>
      </c>
      <c r="BO376" t="s">
        <v>596</v>
      </c>
      <c r="BP376" t="s">
        <v>550</v>
      </c>
      <c r="BQ376" t="s">
        <v>562</v>
      </c>
      <c r="BS376" t="s">
        <v>554</v>
      </c>
    </row>
    <row r="377" spans="1:71" x14ac:dyDescent="0.2">
      <c r="A377" s="1" t="s">
        <v>1726</v>
      </c>
      <c r="B377" s="142" t="str">
        <f>IF(A377="","",_xlfn.XLOOKUP(A377, Company_List!$A:$A, Company_List!$B:$B, ""))</f>
        <v>XOM</v>
      </c>
      <c r="C377" s="143">
        <v>2023</v>
      </c>
      <c r="D377" s="143" t="s">
        <v>563</v>
      </c>
      <c r="E377" s="98" t="s">
        <v>538</v>
      </c>
      <c r="F377" s="98" t="s">
        <v>538</v>
      </c>
      <c r="G377" s="143" t="s">
        <v>575</v>
      </c>
      <c r="H377" s="106" t="s">
        <v>540</v>
      </c>
      <c r="I377" s="145">
        <v>0.1</v>
      </c>
      <c r="J377" s="145" t="str">
        <f>IF(OR(I377="",Settings!$B$6=""),"",IF(I377&gt;Settings!$B$6,"BUY",IF(I377&lt;-Settings!$B$6,"SELL","HOLD")))</f>
        <v>HOLD</v>
      </c>
      <c r="K377" s="145">
        <v>21</v>
      </c>
      <c r="L377" s="123">
        <v>45226</v>
      </c>
      <c r="M377" s="140" t="s">
        <v>1741</v>
      </c>
      <c r="N377" s="147">
        <v>97.102400000000003</v>
      </c>
      <c r="O377" s="140" t="s">
        <v>1742</v>
      </c>
      <c r="P377" s="145">
        <v>98.525199999999998</v>
      </c>
      <c r="Q377" s="151">
        <f t="shared" si="53"/>
        <v>1.47E-2</v>
      </c>
      <c r="R377" s="118" t="str">
        <f>IF(OR(N377="",P377=""),"",IF(Q377&gt;Settings!$B$3/100,"UP",IF(Q377&lt;-Settings!$B$3/100,"DOWN","FLAT")))</f>
        <v>FLAT</v>
      </c>
      <c r="S377" s="118" t="str">
        <f t="shared" si="54"/>
        <v>YES</v>
      </c>
      <c r="T377" s="119">
        <f t="shared" si="55"/>
        <v>0</v>
      </c>
      <c r="U377" s="150">
        <f>IFERROR(IF(OR(J377="",N377="",P377=""),"",IF(T377=0,0,T377*Q377-Settings!$B$4/10000-IF(T377&lt;0,Settings!$B$5/10000,0))),"")</f>
        <v>0</v>
      </c>
      <c r="V377" t="s">
        <v>1743</v>
      </c>
      <c r="W377" s="21">
        <f t="shared" si="56"/>
        <v>1260</v>
      </c>
      <c r="X377" s="91" t="str">
        <f t="shared" si="57"/>
        <v>ExxonMobil|2023|Q3</v>
      </c>
      <c r="Y377" s="91" t="str">
        <f>IFERROR(IF($X377="","",INDEX(LLM_Data_Entry!$H$3:$H$548,MATCH($X377,INDEX(LLM_Data_Entry!$A$3:$A$548&amp;"|"&amp;LLM_Data_Entry!$C$3:$C$548&amp;"|"&amp;LLM_Data_Entry!$D$3:$D$548,0),0))),"")</f>
        <v>HOLD</v>
      </c>
      <c r="Z377" s="91">
        <f>IFERROR(IF($X377="","",INDEX(LLM_Data_Entry!$R$3:$R$548,MATCH($X377,INDEX(LLM_Data_Entry!$A$3:$A$548&amp;"|"&amp;LLM_Data_Entry!$C$3:$C$548&amp;"|"&amp;LLM_Data_Entry!$D$3:$D$548,0),0))),"")</f>
        <v>0</v>
      </c>
      <c r="AB377" t="s">
        <v>636</v>
      </c>
      <c r="AC377" t="s">
        <v>1730</v>
      </c>
      <c r="AD377" t="s">
        <v>1744</v>
      </c>
      <c r="AE377">
        <v>98.132999999999996</v>
      </c>
      <c r="AF377" t="s">
        <v>1745</v>
      </c>
      <c r="AG377">
        <v>99.3095</v>
      </c>
      <c r="AH377">
        <v>1.198902046479213E-2</v>
      </c>
      <c r="AI377" t="s">
        <v>579</v>
      </c>
      <c r="AJ377" t="s">
        <v>554</v>
      </c>
      <c r="AK377">
        <v>0</v>
      </c>
      <c r="AL377" t="str">
        <f>IF($A377="","",IFERROR(INDEX(Company_List!$G$3:$G$207,MATCH($A377,Company_List!$A$3:$A$207,0)),"unassigned"))</f>
        <v>P2</v>
      </c>
      <c r="AM377" t="s">
        <v>1746</v>
      </c>
      <c r="AN377" t="s">
        <v>1747</v>
      </c>
      <c r="AO377" t="s">
        <v>754</v>
      </c>
      <c r="AP377" t="str">
        <f>IF($A377="","",IF(COUNTIFS(LLM_Data_Entry!$A$3:$A$548,$A377)&gt;0,"YES","NO"))</f>
        <v>YES</v>
      </c>
      <c r="AQ377" t="str">
        <f>IF($A377="","",IF(COUNTIFS($A$3:$A377,$A377,$C$3:$C377,$C377,$D$3:$D377,$D377)=1,"YES","NO"))</f>
        <v>YES</v>
      </c>
      <c r="AR377" t="str">
        <f>IF($A377="","",IF(AND($C377&amp;"-"&amp;$D377&gt;=Settings!$B$19,$C377&amp;"-"&amp;$D377&lt;=Settings!$B$20),"IN","OUT"))</f>
        <v>IN</v>
      </c>
      <c r="AS377" t="str">
        <f t="shared" si="58"/>
        <v>full</v>
      </c>
      <c r="AT377" t="str">
        <f t="shared" si="59"/>
        <v/>
      </c>
      <c r="AU377" t="str">
        <f t="shared" si="60"/>
        <v/>
      </c>
      <c r="AV377" t="str">
        <f>IF(ISNUMBER($AT377),ABS(IF(ISNUMBER($I377),$I377,0)-Settings!$B$24),"")</f>
        <v/>
      </c>
      <c r="AW377" t="str">
        <f t="shared" si="61"/>
        <v/>
      </c>
      <c r="AX377" t="str">
        <f>IF(ISNUMBER($AU377),ABS(IF(ISNUMBER($I377),$I377,0)-Settings!$B$24),"")</f>
        <v/>
      </c>
      <c r="AY377" t="s">
        <v>1183</v>
      </c>
      <c r="AZ377" t="str">
        <f>IF($A377="","",IFERROR(INDEX(Company_List!$H$3:$H$207,MATCH($A377,Company_List!$A$3:$A$207,0)),"unassigned"))</f>
        <v>Energy</v>
      </c>
      <c r="BC377">
        <f>IF($A377="","",IF(COUNTIFS($A$3:$A377,$A377,$C$3:$C377,$C377,$D$3:$D377,$D377,$G$3:$G377,$G377)=1,1,0))</f>
        <v>1</v>
      </c>
      <c r="BG377" t="s">
        <v>550</v>
      </c>
      <c r="BK377">
        <f t="shared" si="62"/>
        <v>1</v>
      </c>
      <c r="BL377" t="s">
        <v>551</v>
      </c>
      <c r="BM377">
        <v>3</v>
      </c>
      <c r="BN377" t="s">
        <v>595</v>
      </c>
      <c r="BO377" t="s">
        <v>596</v>
      </c>
      <c r="BP377" t="s">
        <v>550</v>
      </c>
      <c r="BQ377" t="s">
        <v>562</v>
      </c>
      <c r="BS377" t="s">
        <v>554</v>
      </c>
    </row>
    <row r="378" spans="1:71" x14ac:dyDescent="0.2">
      <c r="A378" s="1" t="s">
        <v>1726</v>
      </c>
      <c r="B378" s="142" t="str">
        <f>IF(A378="","",_xlfn.XLOOKUP(A378, Company_List!$A:$A, Company_List!$B:$B, ""))</f>
        <v>XOM</v>
      </c>
      <c r="C378" s="143">
        <v>2023</v>
      </c>
      <c r="D378" s="143" t="s">
        <v>569</v>
      </c>
      <c r="E378" s="98" t="s">
        <v>538</v>
      </c>
      <c r="F378" s="98" t="s">
        <v>538</v>
      </c>
      <c r="G378" s="143" t="s">
        <v>575</v>
      </c>
      <c r="H378" s="106" t="s">
        <v>540</v>
      </c>
      <c r="I378" s="145">
        <v>-0.1</v>
      </c>
      <c r="J378" s="145" t="str">
        <f>IF(OR(I378="",Settings!$B$6=""),"",IF(I378&gt;Settings!$B$6,"BUY",IF(I378&lt;-Settings!$B$6,"SELL","HOLD")))</f>
        <v>HOLD</v>
      </c>
      <c r="K378" s="145">
        <v>23</v>
      </c>
      <c r="L378" s="123">
        <v>45324</v>
      </c>
      <c r="M378" s="140" t="s">
        <v>1748</v>
      </c>
      <c r="N378" s="147">
        <v>89.090500000000006</v>
      </c>
      <c r="O378" s="140" t="s">
        <v>1749</v>
      </c>
      <c r="P378" s="145">
        <v>89.016900000000007</v>
      </c>
      <c r="Q378" s="151">
        <f t="shared" si="53"/>
        <v>-8.0000000000000004E-4</v>
      </c>
      <c r="R378" s="118" t="str">
        <f>IF(OR(N378="",P378=""),"",IF(Q378&gt;Settings!$B$3/100,"UP",IF(Q378&lt;-Settings!$B$3/100,"DOWN","FLAT")))</f>
        <v>FLAT</v>
      </c>
      <c r="S378" s="118" t="str">
        <f t="shared" si="54"/>
        <v>YES</v>
      </c>
      <c r="T378" s="119">
        <f t="shared" si="55"/>
        <v>0</v>
      </c>
      <c r="U378" s="150">
        <f>IFERROR(IF(OR(J378="",N378="",P378=""),"",IF(T378=0,0,T378*Q378-Settings!$B$4/10000-IF(T378&lt;0,Settings!$B$5/10000,0))),"")</f>
        <v>0</v>
      </c>
      <c r="V378" t="s">
        <v>1750</v>
      </c>
      <c r="W378" s="21">
        <f t="shared" si="56"/>
        <v>1380</v>
      </c>
      <c r="X378" s="91" t="str">
        <f t="shared" si="57"/>
        <v>ExxonMobil|2023|Q4</v>
      </c>
      <c r="Y378" s="91" t="str">
        <f>IFERROR(IF($X378="","",INDEX(LLM_Data_Entry!$H$3:$H$548,MATCH($X378,INDEX(LLM_Data_Entry!$A$3:$A$548&amp;"|"&amp;LLM_Data_Entry!$C$3:$C$548&amp;"|"&amp;LLM_Data_Entry!$D$3:$D$548,0),0))),"")</f>
        <v>HOLD</v>
      </c>
      <c r="Z378" s="91">
        <f>IFERROR(IF($X378="","",INDEX(LLM_Data_Entry!$R$3:$R$548,MATCH($X378,INDEX(LLM_Data_Entry!$A$3:$A$548&amp;"|"&amp;LLM_Data_Entry!$C$3:$C$548&amp;"|"&amp;LLM_Data_Entry!$D$3:$D$548,0),0))),"")</f>
        <v>0</v>
      </c>
      <c r="AB378" t="s">
        <v>748</v>
      </c>
      <c r="AC378" t="s">
        <v>1730</v>
      </c>
      <c r="AD378" t="s">
        <v>1344</v>
      </c>
      <c r="AE378">
        <v>94.235299999999995</v>
      </c>
      <c r="AF378" t="s">
        <v>1751</v>
      </c>
      <c r="AG378">
        <v>95.486999999999995</v>
      </c>
      <c r="AH378">
        <v>1.328252329581465E-2</v>
      </c>
      <c r="AI378" t="s">
        <v>579</v>
      </c>
      <c r="AJ378" t="s">
        <v>554</v>
      </c>
      <c r="AK378">
        <v>0</v>
      </c>
      <c r="AL378" t="str">
        <f>IF($A378="","",IFERROR(INDEX(Company_List!$G$3:$G$207,MATCH($A378,Company_List!$A$3:$A$207,0)),"unassigned"))</f>
        <v>P2</v>
      </c>
      <c r="AM378" t="s">
        <v>1752</v>
      </c>
      <c r="AN378" t="s">
        <v>1753</v>
      </c>
      <c r="AO378" t="s">
        <v>754</v>
      </c>
      <c r="AP378" t="str">
        <f>IF($A378="","",IF(COUNTIFS(LLM_Data_Entry!$A$3:$A$548,$A378)&gt;0,"YES","NO"))</f>
        <v>YES</v>
      </c>
      <c r="AQ378" t="str">
        <f>IF($A378="","",IF(COUNTIFS($A$3:$A378,$A378,$C$3:$C378,$C378,$D$3:$D378,$D378)=1,"YES","NO"))</f>
        <v>YES</v>
      </c>
      <c r="AR378" t="str">
        <f>IF($A378="","",IF(AND($C378&amp;"-"&amp;$D378&gt;=Settings!$B$19,$C378&amp;"-"&amp;$D378&lt;=Settings!$B$20),"IN","OUT"))</f>
        <v>IN</v>
      </c>
      <c r="AS378" t="str">
        <f t="shared" si="58"/>
        <v>full</v>
      </c>
      <c r="AT378" t="str">
        <f t="shared" si="59"/>
        <v/>
      </c>
      <c r="AU378" t="str">
        <f t="shared" si="60"/>
        <v/>
      </c>
      <c r="AV378" t="str">
        <f>IF(ISNUMBER($AT378),ABS(IF(ISNUMBER($I378),$I378,0)-Settings!$B$24),"")</f>
        <v/>
      </c>
      <c r="AW378" t="str">
        <f t="shared" si="61"/>
        <v/>
      </c>
      <c r="AX378" t="str">
        <f>IF(ISNUMBER($AU378),ABS(IF(ISNUMBER($I378),$I378,0)-Settings!$B$24),"")</f>
        <v/>
      </c>
      <c r="AY378" t="s">
        <v>1183</v>
      </c>
      <c r="AZ378" t="str">
        <f>IF($A378="","",IFERROR(INDEX(Company_List!$H$3:$H$207,MATCH($A378,Company_List!$A$3:$A$207,0)),"unassigned"))</f>
        <v>Energy</v>
      </c>
      <c r="BC378">
        <f>IF($A378="","",IF(COUNTIFS($A$3:$A378,$A378,$C$3:$C378,$C378,$D$3:$D378,$D378,$G$3:$G378,$G378)=1,1,0))</f>
        <v>1</v>
      </c>
      <c r="BG378" t="s">
        <v>550</v>
      </c>
      <c r="BK378">
        <f t="shared" si="62"/>
        <v>1</v>
      </c>
      <c r="BL378" t="s">
        <v>551</v>
      </c>
      <c r="BM378">
        <v>3</v>
      </c>
      <c r="BN378" t="s">
        <v>882</v>
      </c>
      <c r="BO378" t="s">
        <v>596</v>
      </c>
      <c r="BP378" t="s">
        <v>550</v>
      </c>
      <c r="BQ378" t="s">
        <v>562</v>
      </c>
      <c r="BS378" t="s">
        <v>554</v>
      </c>
    </row>
    <row r="379" spans="1:71" x14ac:dyDescent="0.2">
      <c r="A379" s="1" t="s">
        <v>1726</v>
      </c>
      <c r="B379" s="142" t="str">
        <f>IF(A379="","",_xlfn.XLOOKUP(A379, Company_List!$A:$A, Company_List!$B:$B, ""))</f>
        <v>XOM</v>
      </c>
      <c r="C379" s="143">
        <v>2024</v>
      </c>
      <c r="D379" s="143" t="s">
        <v>537</v>
      </c>
      <c r="E379" s="98" t="s">
        <v>538</v>
      </c>
      <c r="F379" s="98" t="s">
        <v>538</v>
      </c>
      <c r="G379" s="143" t="s">
        <v>575</v>
      </c>
      <c r="H379" s="106" t="s">
        <v>540</v>
      </c>
      <c r="I379" s="145">
        <v>0.2</v>
      </c>
      <c r="J379" s="145" t="str">
        <f>IF(OR(I379="",Settings!$B$6=""),"",IF(I379&gt;Settings!$B$6,"BUY",IF(I379&lt;-Settings!$B$6,"SELL","HOLD")))</f>
        <v>HOLD</v>
      </c>
      <c r="K379" s="145">
        <v>21</v>
      </c>
      <c r="L379" s="123">
        <v>45408</v>
      </c>
      <c r="M379" s="140" t="s">
        <v>1754</v>
      </c>
      <c r="N379" s="147">
        <v>113.13200000000001</v>
      </c>
      <c r="O379" s="140" t="s">
        <v>1755</v>
      </c>
      <c r="P379" s="145">
        <v>114.20950000000001</v>
      </c>
      <c r="Q379" s="151">
        <f t="shared" si="53"/>
        <v>9.4999999999999998E-3</v>
      </c>
      <c r="R379" s="118" t="str">
        <f>IF(OR(N379="",P379=""),"",IF(Q379&gt;Settings!$B$3/100,"UP",IF(Q379&lt;-Settings!$B$3/100,"DOWN","FLAT")))</f>
        <v>FLAT</v>
      </c>
      <c r="S379" s="118" t="str">
        <f t="shared" si="54"/>
        <v>YES</v>
      </c>
      <c r="T379" s="119">
        <f t="shared" si="55"/>
        <v>0</v>
      </c>
      <c r="U379" s="150">
        <f>IFERROR(IF(OR(J379="",N379="",P379=""),"",IF(T379=0,0,T379*Q379-Settings!$B$4/10000-IF(T379&lt;0,Settings!$B$5/10000,0))),"")</f>
        <v>0</v>
      </c>
      <c r="V379" t="s">
        <v>1756</v>
      </c>
      <c r="W379" s="21">
        <f t="shared" si="56"/>
        <v>1260</v>
      </c>
      <c r="X379" s="91" t="str">
        <f t="shared" si="57"/>
        <v>ExxonMobil|2024|Q1</v>
      </c>
      <c r="Y379" s="91" t="str">
        <f>IFERROR(IF($X379="","",INDEX(LLM_Data_Entry!$H$3:$H$548,MATCH($X379,INDEX(LLM_Data_Entry!$A$3:$A$548&amp;"|"&amp;LLM_Data_Entry!$C$3:$C$548&amp;"|"&amp;LLM_Data_Entry!$D$3:$D$548,0),0))),"")</f>
        <v>HOLD</v>
      </c>
      <c r="Z379" s="91">
        <f>IFERROR(IF($X379="","",INDEX(LLM_Data_Entry!$R$3:$R$548,MATCH($X379,INDEX(LLM_Data_Entry!$A$3:$A$548&amp;"|"&amp;LLM_Data_Entry!$C$3:$C$548&amp;"|"&amp;LLM_Data_Entry!$D$3:$D$548,0),0))),"")</f>
        <v>0</v>
      </c>
      <c r="AB379" t="s">
        <v>636</v>
      </c>
      <c r="AC379" t="s">
        <v>1730</v>
      </c>
      <c r="AD379" t="s">
        <v>1757</v>
      </c>
      <c r="AE379">
        <v>112.7047</v>
      </c>
      <c r="AF379" t="s">
        <v>1758</v>
      </c>
      <c r="AG379">
        <v>110.5403</v>
      </c>
      <c r="AH379">
        <v>-1.9203863232373362E-2</v>
      </c>
      <c r="AI379" t="s">
        <v>579</v>
      </c>
      <c r="AJ379" t="s">
        <v>554</v>
      </c>
      <c r="AK379">
        <v>0</v>
      </c>
      <c r="AL379" t="str">
        <f>IF($A379="","",IFERROR(INDEX(Company_List!$G$3:$G$207,MATCH($A379,Company_List!$A$3:$A$207,0)),"unassigned"))</f>
        <v>P2</v>
      </c>
      <c r="AM379" t="s">
        <v>1759</v>
      </c>
      <c r="AN379" t="s">
        <v>1760</v>
      </c>
      <c r="AO379" t="s">
        <v>754</v>
      </c>
      <c r="AP379" t="str">
        <f>IF($A379="","",IF(COUNTIFS(LLM_Data_Entry!$A$3:$A$548,$A379)&gt;0,"YES","NO"))</f>
        <v>YES</v>
      </c>
      <c r="AQ379" t="str">
        <f>IF($A379="","",IF(COUNTIFS($A$3:$A379,$A379,$C$3:$C379,$C379,$D$3:$D379,$D379)=1,"YES","NO"))</f>
        <v>YES</v>
      </c>
      <c r="AR379" t="str">
        <f>IF($A379="","",IF(AND($C379&amp;"-"&amp;$D379&gt;=Settings!$B$19,$C379&amp;"-"&amp;$D379&lt;=Settings!$B$20),"IN","OUT"))</f>
        <v>IN</v>
      </c>
      <c r="AS379" t="str">
        <f t="shared" si="58"/>
        <v>full</v>
      </c>
      <c r="AT379" t="str">
        <f t="shared" si="59"/>
        <v/>
      </c>
      <c r="AU379" t="str">
        <f t="shared" si="60"/>
        <v/>
      </c>
      <c r="AV379" t="str">
        <f>IF(ISNUMBER($AT379),ABS(IF(ISNUMBER($I379),$I379,0)-Settings!$B$24),"")</f>
        <v/>
      </c>
      <c r="AW379" t="str">
        <f t="shared" si="61"/>
        <v/>
      </c>
      <c r="AX379" t="str">
        <f>IF(ISNUMBER($AU379),ABS(IF(ISNUMBER($I379),$I379,0)-Settings!$B$24),"")</f>
        <v/>
      </c>
      <c r="AY379" t="s">
        <v>1183</v>
      </c>
      <c r="AZ379" t="str">
        <f>IF($A379="","",IFERROR(INDEX(Company_List!$H$3:$H$207,MATCH($A379,Company_List!$A$3:$A$207,0)),"unassigned"))</f>
        <v>Energy</v>
      </c>
      <c r="BC379">
        <f>IF($A379="","",IF(COUNTIFS($A$3:$A379,$A379,$C$3:$C379,$C379,$D$3:$D379,$D379,$G$3:$G379,$G379)=1,1,0))</f>
        <v>1</v>
      </c>
      <c r="BG379" t="s">
        <v>550</v>
      </c>
      <c r="BK379">
        <f t="shared" si="62"/>
        <v>1</v>
      </c>
      <c r="BL379" t="s">
        <v>551</v>
      </c>
      <c r="BM379">
        <v>3</v>
      </c>
      <c r="BN379" t="s">
        <v>595</v>
      </c>
      <c r="BO379" t="s">
        <v>596</v>
      </c>
      <c r="BP379" t="s">
        <v>550</v>
      </c>
      <c r="BQ379" t="s">
        <v>562</v>
      </c>
      <c r="BS379" t="s">
        <v>554</v>
      </c>
    </row>
    <row r="380" spans="1:71" x14ac:dyDescent="0.2">
      <c r="A380" s="1" t="s">
        <v>1726</v>
      </c>
      <c r="B380" s="142" t="str">
        <f>IF(A380="","",_xlfn.XLOOKUP(A380, Company_List!$A:$A, Company_List!$B:$B, ""))</f>
        <v>XOM</v>
      </c>
      <c r="C380" s="143">
        <v>2024</v>
      </c>
      <c r="D380" s="143" t="s">
        <v>555</v>
      </c>
      <c r="E380" s="98" t="s">
        <v>538</v>
      </c>
      <c r="F380" s="98" t="s">
        <v>538</v>
      </c>
      <c r="G380" s="143" t="s">
        <v>575</v>
      </c>
      <c r="H380" s="106" t="s">
        <v>540</v>
      </c>
      <c r="I380" s="145">
        <v>0.6</v>
      </c>
      <c r="J380" s="145" t="str">
        <f>IF(OR(I380="",Settings!$B$6=""),"",IF(I380&gt;Settings!$B$6,"BUY",IF(I380&lt;-Settings!$B$6,"SELL","HOLD")))</f>
        <v>BUY</v>
      </c>
      <c r="K380" s="145">
        <v>19</v>
      </c>
      <c r="L380" s="123">
        <v>45506</v>
      </c>
      <c r="M380" s="140" t="s">
        <v>1761</v>
      </c>
      <c r="N380" s="147">
        <v>111.2509</v>
      </c>
      <c r="O380" s="140" t="s">
        <v>1762</v>
      </c>
      <c r="P380" s="145">
        <v>111.05419999999999</v>
      </c>
      <c r="Q380" s="151">
        <f t="shared" si="53"/>
        <v>-1.8E-3</v>
      </c>
      <c r="R380" s="118" t="str">
        <f>IF(OR(N380="",P380=""),"",IF(Q380&gt;Settings!$B$3/100,"UP",IF(Q380&lt;-Settings!$B$3/100,"DOWN","FLAT")))</f>
        <v>FLAT</v>
      </c>
      <c r="S380" s="118" t="str">
        <f t="shared" si="54"/>
        <v>NO</v>
      </c>
      <c r="T380" s="119">
        <f t="shared" si="55"/>
        <v>1</v>
      </c>
      <c r="U380" s="150">
        <f>IFERROR(IF(OR(J380="",N380="",P380=""),"",IF(T380=0,0,T380*Q380-Settings!$B$4/10000-IF(T380&lt;0,Settings!$B$5/10000,0))),"")</f>
        <v>-2.8E-3</v>
      </c>
      <c r="V380" t="s">
        <v>1763</v>
      </c>
      <c r="W380" s="21">
        <f t="shared" si="56"/>
        <v>1140</v>
      </c>
      <c r="X380" s="91" t="str">
        <f t="shared" si="57"/>
        <v>ExxonMobil|2024|Q2</v>
      </c>
      <c r="Y380" s="91" t="str">
        <f>IFERROR(IF($X380="","",INDEX(LLM_Data_Entry!$H$3:$H$548,MATCH($X380,INDEX(LLM_Data_Entry!$A$3:$A$548&amp;"|"&amp;LLM_Data_Entry!$C$3:$C$548&amp;"|"&amp;LLM_Data_Entry!$D$3:$D$548,0),0))),"")</f>
        <v>HOLD</v>
      </c>
      <c r="Z380" s="91">
        <f>IFERROR(IF($X380="","",INDEX(LLM_Data_Entry!$R$3:$R$548,MATCH($X380,INDEX(LLM_Data_Entry!$A$3:$A$548&amp;"|"&amp;LLM_Data_Entry!$C$3:$C$548&amp;"|"&amp;LLM_Data_Entry!$D$3:$D$548,0),0))),"")</f>
        <v>0</v>
      </c>
      <c r="AB380" t="s">
        <v>541</v>
      </c>
      <c r="AC380" t="s">
        <v>1730</v>
      </c>
      <c r="AD380" t="s">
        <v>1764</v>
      </c>
      <c r="AE380">
        <v>109.4529</v>
      </c>
      <c r="AF380" t="s">
        <v>1694</v>
      </c>
      <c r="AG380">
        <v>108.19799999999999</v>
      </c>
      <c r="AH380">
        <v>-1.146473410969592E-2</v>
      </c>
      <c r="AI380" t="s">
        <v>579</v>
      </c>
      <c r="AJ380" t="s">
        <v>546</v>
      </c>
      <c r="AK380">
        <v>-1.2465E-2</v>
      </c>
      <c r="AL380" t="str">
        <f>IF($A380="","",IFERROR(INDEX(Company_List!$G$3:$G$207,MATCH($A380,Company_List!$A$3:$A$207,0)),"unassigned"))</f>
        <v>P2</v>
      </c>
      <c r="AM380" t="s">
        <v>1765</v>
      </c>
      <c r="AN380" t="s">
        <v>1766</v>
      </c>
      <c r="AO380" t="s">
        <v>754</v>
      </c>
      <c r="AP380" t="str">
        <f>IF($A380="","",IF(COUNTIFS(LLM_Data_Entry!$A$3:$A$548,$A380)&gt;0,"YES","NO"))</f>
        <v>YES</v>
      </c>
      <c r="AQ380" t="str">
        <f>IF($A380="","",IF(COUNTIFS($A$3:$A380,$A380,$C$3:$C380,$C380,$D$3:$D380,$D380)=1,"YES","NO"))</f>
        <v>YES</v>
      </c>
      <c r="AR380" t="str">
        <f>IF($A380="","",IF(AND($C380&amp;"-"&amp;$D380&gt;=Settings!$B$19,$C380&amp;"-"&amp;$D380&lt;=Settings!$B$20),"IN","OUT"))</f>
        <v>IN</v>
      </c>
      <c r="AS380" t="str">
        <f t="shared" si="58"/>
        <v>full</v>
      </c>
      <c r="AT380">
        <f t="shared" si="59"/>
        <v>-2.8E-3</v>
      </c>
      <c r="AU380">
        <f t="shared" si="60"/>
        <v>-1.2465E-2</v>
      </c>
      <c r="AV380">
        <f>IF(ISNUMBER($AT380),ABS(IF(ISNUMBER($I380),$I380,0)-Settings!$B$24),"")</f>
        <v>0.6</v>
      </c>
      <c r="AW380">
        <f t="shared" si="61"/>
        <v>-1.6799999999999999E-3</v>
      </c>
      <c r="AX380">
        <f>IF(ISNUMBER($AU380),ABS(IF(ISNUMBER($I380),$I380,0)-Settings!$B$24),"")</f>
        <v>0.6</v>
      </c>
      <c r="AY380" t="s">
        <v>1183</v>
      </c>
      <c r="AZ380" t="str">
        <f>IF($A380="","",IFERROR(INDEX(Company_List!$H$3:$H$207,MATCH($A380,Company_List!$A$3:$A$207,0)),"unassigned"))</f>
        <v>Energy</v>
      </c>
      <c r="BC380">
        <f>IF($A380="","",IF(COUNTIFS($A$3:$A380,$A380,$C$3:$C380,$C380,$D$3:$D380,$D380,$G$3:$G380,$G380)=1,1,0))</f>
        <v>1</v>
      </c>
      <c r="BG380" t="s">
        <v>550</v>
      </c>
      <c r="BK380">
        <f t="shared" si="62"/>
        <v>0</v>
      </c>
      <c r="BL380" t="s">
        <v>551</v>
      </c>
      <c r="BM380">
        <v>3</v>
      </c>
      <c r="BN380" t="s">
        <v>561</v>
      </c>
      <c r="BO380" t="s">
        <v>561</v>
      </c>
      <c r="BP380" t="s">
        <v>550</v>
      </c>
      <c r="BQ380" t="s">
        <v>562</v>
      </c>
      <c r="BS380" t="s">
        <v>554</v>
      </c>
    </row>
    <row r="381" spans="1:71" x14ac:dyDescent="0.2">
      <c r="A381" s="1" t="s">
        <v>1726</v>
      </c>
      <c r="B381" s="142" t="str">
        <f>IF(A381="","",_xlfn.XLOOKUP(A381, Company_List!$A:$A, Company_List!$B:$B, ""))</f>
        <v>XOM</v>
      </c>
      <c r="C381" s="143">
        <v>2024</v>
      </c>
      <c r="D381" s="143" t="s">
        <v>563</v>
      </c>
      <c r="E381" s="98" t="s">
        <v>538</v>
      </c>
      <c r="F381" s="98" t="s">
        <v>538</v>
      </c>
      <c r="G381" s="143" t="s">
        <v>575</v>
      </c>
      <c r="H381" s="106" t="s">
        <v>540</v>
      </c>
      <c r="I381" s="145">
        <v>0.6</v>
      </c>
      <c r="J381" s="145" t="str">
        <f>IF(OR(I381="",Settings!$B$6=""),"",IF(I381&gt;Settings!$B$6,"BUY",IF(I381&lt;-Settings!$B$6,"SELL","HOLD")))</f>
        <v>BUY</v>
      </c>
      <c r="K381" s="145">
        <v>15</v>
      </c>
      <c r="L381" s="123">
        <v>45597</v>
      </c>
      <c r="M381" s="140" t="s">
        <v>1425</v>
      </c>
      <c r="N381" s="147">
        <v>113.6097</v>
      </c>
      <c r="O381" s="140" t="s">
        <v>1767</v>
      </c>
      <c r="P381" s="145">
        <v>113.6947</v>
      </c>
      <c r="Q381" s="151">
        <f t="shared" si="53"/>
        <v>6.9999999999999999E-4</v>
      </c>
      <c r="R381" s="118" t="str">
        <f>IF(OR(N381="",P381=""),"",IF(Q381&gt;Settings!$B$3/100,"UP",IF(Q381&lt;-Settings!$B$3/100,"DOWN","FLAT")))</f>
        <v>FLAT</v>
      </c>
      <c r="S381" s="118" t="str">
        <f t="shared" si="54"/>
        <v>NO</v>
      </c>
      <c r="T381" s="119">
        <f t="shared" si="55"/>
        <v>1</v>
      </c>
      <c r="U381" s="150">
        <f>IFERROR(IF(OR(J381="",N381="",P381=""),"",IF(T381=0,0,T381*Q381-Settings!$B$4/10000-IF(T381&lt;0,Settings!$B$5/10000,0))),"")</f>
        <v>-3.0000000000000003E-4</v>
      </c>
      <c r="V381" t="s">
        <v>1768</v>
      </c>
      <c r="W381" s="21">
        <f t="shared" si="56"/>
        <v>900</v>
      </c>
      <c r="X381" s="91" t="str">
        <f t="shared" si="57"/>
        <v>ExxonMobil|2024|Q3</v>
      </c>
      <c r="Y381" s="91" t="str">
        <f>IFERROR(IF($X381="","",INDEX(LLM_Data_Entry!$H$3:$H$548,MATCH($X381,INDEX(LLM_Data_Entry!$A$3:$A$548&amp;"|"&amp;LLM_Data_Entry!$C$3:$C$548&amp;"|"&amp;LLM_Data_Entry!$D$3:$D$548,0),0))),"")</f>
        <v>HOLD</v>
      </c>
      <c r="Z381" s="91">
        <f>IFERROR(IF($X381="","",INDEX(LLM_Data_Entry!$R$3:$R$548,MATCH($X381,INDEX(LLM_Data_Entry!$A$3:$A$548&amp;"|"&amp;LLM_Data_Entry!$C$3:$C$548&amp;"|"&amp;LLM_Data_Entry!$D$3:$D$548,0),0))),"")</f>
        <v>0</v>
      </c>
      <c r="AB381" t="s">
        <v>748</v>
      </c>
      <c r="AC381" t="s">
        <v>1730</v>
      </c>
      <c r="AD381" t="s">
        <v>990</v>
      </c>
      <c r="AE381">
        <v>110.2396</v>
      </c>
      <c r="AF381" t="s">
        <v>1769</v>
      </c>
      <c r="AG381">
        <v>113.2132</v>
      </c>
      <c r="AH381">
        <v>2.6973836257419379E-2</v>
      </c>
      <c r="AI381" t="s">
        <v>591</v>
      </c>
      <c r="AJ381" t="s">
        <v>554</v>
      </c>
      <c r="AK381">
        <v>2.5974000000000001E-2</v>
      </c>
      <c r="AL381" t="str">
        <f>IF($A381="","",IFERROR(INDEX(Company_List!$G$3:$G$207,MATCH($A381,Company_List!$A$3:$A$207,0)),"unassigned"))</f>
        <v>P2</v>
      </c>
      <c r="AM381" t="s">
        <v>1770</v>
      </c>
      <c r="AN381" t="s">
        <v>1771</v>
      </c>
      <c r="AO381" t="s">
        <v>754</v>
      </c>
      <c r="AP381" t="str">
        <f>IF($A381="","",IF(COUNTIFS(LLM_Data_Entry!$A$3:$A$548,$A381)&gt;0,"YES","NO"))</f>
        <v>YES</v>
      </c>
      <c r="AQ381" t="str">
        <f>IF($A381="","",IF(COUNTIFS($A$3:$A381,$A381,$C$3:$C381,$C381,$D$3:$D381,$D381)=1,"YES","NO"))</f>
        <v>YES</v>
      </c>
      <c r="AR381" t="str">
        <f>IF($A381="","",IF(AND($C381&amp;"-"&amp;$D381&gt;=Settings!$B$19,$C381&amp;"-"&amp;$D381&lt;=Settings!$B$20),"IN","OUT"))</f>
        <v>IN</v>
      </c>
      <c r="AS381" t="str">
        <f t="shared" si="58"/>
        <v>full</v>
      </c>
      <c r="AT381">
        <f t="shared" si="59"/>
        <v>-3.0000000000000003E-4</v>
      </c>
      <c r="AU381">
        <f t="shared" si="60"/>
        <v>2.5974000000000001E-2</v>
      </c>
      <c r="AV381">
        <f>IF(ISNUMBER($AT381),ABS(IF(ISNUMBER($I381),$I381,0)-Settings!$B$24),"")</f>
        <v>0.6</v>
      </c>
      <c r="AW381">
        <f t="shared" si="61"/>
        <v>-1.8000000000000001E-4</v>
      </c>
      <c r="AX381">
        <f>IF(ISNUMBER($AU381),ABS(IF(ISNUMBER($I381),$I381,0)-Settings!$B$24),"")</f>
        <v>0.6</v>
      </c>
      <c r="AY381" t="s">
        <v>1183</v>
      </c>
      <c r="AZ381" t="str">
        <f>IF($A381="","",IFERROR(INDEX(Company_List!$H$3:$H$207,MATCH($A381,Company_List!$A$3:$A$207,0)),"unassigned"))</f>
        <v>Energy</v>
      </c>
      <c r="BC381">
        <f>IF($A381="","",IF(COUNTIFS($A$3:$A381,$A381,$C$3:$C381,$C381,$D$3:$D381,$D381,$G$3:$G381,$G381)=1,1,0))</f>
        <v>1</v>
      </c>
      <c r="BG381" t="s">
        <v>550</v>
      </c>
      <c r="BK381">
        <f t="shared" si="62"/>
        <v>0</v>
      </c>
      <c r="BL381" t="s">
        <v>551</v>
      </c>
      <c r="BM381">
        <v>3</v>
      </c>
      <c r="BN381" t="s">
        <v>882</v>
      </c>
      <c r="BO381" t="s">
        <v>596</v>
      </c>
      <c r="BP381" t="s">
        <v>550</v>
      </c>
      <c r="BQ381" t="s">
        <v>562</v>
      </c>
      <c r="BS381" t="s">
        <v>554</v>
      </c>
    </row>
    <row r="382" spans="1:71" x14ac:dyDescent="0.2">
      <c r="A382" s="1" t="s">
        <v>1726</v>
      </c>
      <c r="B382" s="142" t="str">
        <f>IF(A382="","",_xlfn.XLOOKUP(A382, Company_List!$A:$A, Company_List!$B:$B, ""))</f>
        <v>XOM</v>
      </c>
      <c r="C382" s="143">
        <v>2024</v>
      </c>
      <c r="D382" s="143" t="s">
        <v>569</v>
      </c>
      <c r="E382" s="98" t="s">
        <v>538</v>
      </c>
      <c r="F382" s="98" t="s">
        <v>538</v>
      </c>
      <c r="G382" s="143" t="s">
        <v>575</v>
      </c>
      <c r="H382" s="106" t="s">
        <v>540</v>
      </c>
      <c r="I382" s="145">
        <v>0.4</v>
      </c>
      <c r="J382" s="145" t="str">
        <f>IF(OR(I382="",Settings!$B$6=""),"",IF(I382&gt;Settings!$B$6,"BUY",IF(I382&lt;-Settings!$B$6,"SELL","HOLD")))</f>
        <v>BUY</v>
      </c>
      <c r="K382" s="145">
        <v>18</v>
      </c>
      <c r="L382" s="123">
        <v>45688</v>
      </c>
      <c r="M382" s="140" t="s">
        <v>1772</v>
      </c>
      <c r="N382" s="147">
        <v>105.94889999999999</v>
      </c>
      <c r="O382" s="140" t="s">
        <v>1253</v>
      </c>
      <c r="P382" s="145">
        <v>105.6729</v>
      </c>
      <c r="Q382" s="151">
        <f t="shared" si="53"/>
        <v>-2.5999999999999999E-3</v>
      </c>
      <c r="R382" s="118" t="str">
        <f>IF(OR(N382="",P382=""),"",IF(Q382&gt;Settings!$B$3/100,"UP",IF(Q382&lt;-Settings!$B$3/100,"DOWN","FLAT")))</f>
        <v>FLAT</v>
      </c>
      <c r="S382" s="118" t="str">
        <f t="shared" si="54"/>
        <v>NO</v>
      </c>
      <c r="T382" s="119">
        <f t="shared" si="55"/>
        <v>1</v>
      </c>
      <c r="U382" s="150">
        <f>IFERROR(IF(OR(J382="",N382="",P382=""),"",IF(T382=0,0,T382*Q382-Settings!$B$4/10000-IF(T382&lt;0,Settings!$B$5/10000,0))),"")</f>
        <v>-3.5999999999999999E-3</v>
      </c>
      <c r="V382" t="s">
        <v>1773</v>
      </c>
      <c r="W382" s="21">
        <f t="shared" si="56"/>
        <v>1080</v>
      </c>
      <c r="X382" s="91" t="str">
        <f t="shared" si="57"/>
        <v>ExxonMobil|2024|Q4</v>
      </c>
      <c r="Y382" s="91" t="str">
        <f>IFERROR(IF($X382="","",INDEX(LLM_Data_Entry!$H$3:$H$548,MATCH($X382,INDEX(LLM_Data_Entry!$A$3:$A$548&amp;"|"&amp;LLM_Data_Entry!$C$3:$C$548&amp;"|"&amp;LLM_Data_Entry!$D$3:$D$548,0),0))),"")</f>
        <v>HOLD</v>
      </c>
      <c r="Z382" s="91">
        <f>IFERROR(IF($X382="","",INDEX(LLM_Data_Entry!$R$3:$R$548,MATCH($X382,INDEX(LLM_Data_Entry!$A$3:$A$548&amp;"|"&amp;LLM_Data_Entry!$C$3:$C$548&amp;"|"&amp;LLM_Data_Entry!$D$3:$D$548,0),0))),"")</f>
        <v>0</v>
      </c>
      <c r="AB382" t="s">
        <v>541</v>
      </c>
      <c r="AC382" t="s">
        <v>1730</v>
      </c>
      <c r="AD382" t="s">
        <v>1774</v>
      </c>
      <c r="AE382">
        <v>101.6756</v>
      </c>
      <c r="AF382" t="s">
        <v>1637</v>
      </c>
      <c r="AG382">
        <v>101.49469999999999</v>
      </c>
      <c r="AH382">
        <v>-1.778687900665696E-3</v>
      </c>
      <c r="AI382" t="s">
        <v>579</v>
      </c>
      <c r="AJ382" t="s">
        <v>546</v>
      </c>
      <c r="AK382">
        <v>-2.7789999999999998E-3</v>
      </c>
      <c r="AL382" t="str">
        <f>IF($A382="","",IFERROR(INDEX(Company_List!$G$3:$G$207,MATCH($A382,Company_List!$A$3:$A$207,0)),"unassigned"))</f>
        <v>P2</v>
      </c>
      <c r="AM382" t="s">
        <v>1775</v>
      </c>
      <c r="AN382" t="s">
        <v>1776</v>
      </c>
      <c r="AO382" t="s">
        <v>754</v>
      </c>
      <c r="AP382" t="str">
        <f>IF($A382="","",IF(COUNTIFS(LLM_Data_Entry!$A$3:$A$548,$A382)&gt;0,"YES","NO"))</f>
        <v>YES</v>
      </c>
      <c r="AQ382" t="str">
        <f>IF($A382="","",IF(COUNTIFS($A$3:$A382,$A382,$C$3:$C382,$C382,$D$3:$D382,$D382)=1,"YES","NO"))</f>
        <v>YES</v>
      </c>
      <c r="AR382" t="str">
        <f>IF($A382="","",IF(AND($C382&amp;"-"&amp;$D382&gt;=Settings!$B$19,$C382&amp;"-"&amp;$D382&lt;=Settings!$B$20),"IN","OUT"))</f>
        <v>IN</v>
      </c>
      <c r="AS382" t="str">
        <f t="shared" si="58"/>
        <v>full</v>
      </c>
      <c r="AT382">
        <f t="shared" si="59"/>
        <v>-3.5999999999999999E-3</v>
      </c>
      <c r="AU382">
        <f t="shared" si="60"/>
        <v>-2.7789999999999998E-3</v>
      </c>
      <c r="AV382">
        <f>IF(ISNUMBER($AT382),ABS(IF(ISNUMBER($I382),$I382,0)-Settings!$B$24),"")</f>
        <v>0.4</v>
      </c>
      <c r="AW382">
        <f t="shared" si="61"/>
        <v>-1.4400000000000001E-3</v>
      </c>
      <c r="AX382">
        <f>IF(ISNUMBER($AU382),ABS(IF(ISNUMBER($I382),$I382,0)-Settings!$B$24),"")</f>
        <v>0.4</v>
      </c>
      <c r="AY382" t="s">
        <v>1183</v>
      </c>
      <c r="AZ382" t="str">
        <f>IF($A382="","",IFERROR(INDEX(Company_List!$H$3:$H$207,MATCH($A382,Company_List!$A$3:$A$207,0)),"unassigned"))</f>
        <v>Energy</v>
      </c>
      <c r="BC382">
        <f>IF($A382="","",IF(COUNTIFS($A$3:$A382,$A382,$C$3:$C382,$C382,$D$3:$D382,$D382,$G$3:$G382,$G382)=1,1,0))</f>
        <v>1</v>
      </c>
      <c r="BG382" t="s">
        <v>550</v>
      </c>
      <c r="BK382">
        <f t="shared" si="62"/>
        <v>0</v>
      </c>
      <c r="BL382" t="s">
        <v>551</v>
      </c>
      <c r="BM382">
        <v>3</v>
      </c>
      <c r="BN382" t="s">
        <v>882</v>
      </c>
      <c r="BO382" t="s">
        <v>596</v>
      </c>
      <c r="BP382" t="s">
        <v>550</v>
      </c>
      <c r="BQ382" t="s">
        <v>562</v>
      </c>
      <c r="BS382" t="s">
        <v>554</v>
      </c>
    </row>
    <row r="383" spans="1:71" x14ac:dyDescent="0.2">
      <c r="A383" s="1" t="s">
        <v>1726</v>
      </c>
      <c r="B383" s="142" t="str">
        <f>IF(A383="","",_xlfn.XLOOKUP(A383, Company_List!$A:$A, Company_List!$B:$B, ""))</f>
        <v>XOM</v>
      </c>
      <c r="C383" s="143">
        <v>2025</v>
      </c>
      <c r="D383" s="143" t="s">
        <v>537</v>
      </c>
      <c r="E383" s="98" t="s">
        <v>538</v>
      </c>
      <c r="F383" s="98" t="s">
        <v>538</v>
      </c>
      <c r="G383" s="143" t="s">
        <v>575</v>
      </c>
      <c r="H383" s="106" t="s">
        <v>540</v>
      </c>
      <c r="I383" s="145">
        <v>0.3</v>
      </c>
      <c r="J383" s="145" t="str">
        <f>IF(OR(I383="",Settings!$B$6=""),"",IF(I383&gt;Settings!$B$6,"BUY",IF(I383&lt;-Settings!$B$6,"SELL","HOLD")))</f>
        <v>BUY</v>
      </c>
      <c r="K383" s="145">
        <v>20</v>
      </c>
      <c r="L383" s="123">
        <v>45779</v>
      </c>
      <c r="M383" s="140" t="s">
        <v>577</v>
      </c>
      <c r="N383" s="147">
        <v>102.67149999999999</v>
      </c>
      <c r="O383" s="140" t="s">
        <v>578</v>
      </c>
      <c r="P383" s="145">
        <v>101.4135</v>
      </c>
      <c r="Q383" s="151">
        <f t="shared" si="53"/>
        <v>-1.23E-2</v>
      </c>
      <c r="R383" s="118" t="str">
        <f>IF(OR(N383="",P383=""),"",IF(Q383&gt;Settings!$B$3/100,"UP",IF(Q383&lt;-Settings!$B$3/100,"DOWN","FLAT")))</f>
        <v>FLAT</v>
      </c>
      <c r="S383" s="118" t="str">
        <f t="shared" si="54"/>
        <v>NO</v>
      </c>
      <c r="T383" s="119">
        <f t="shared" si="55"/>
        <v>1</v>
      </c>
      <c r="U383" s="150">
        <f>IFERROR(IF(OR(J383="",N383="",P383=""),"",IF(T383=0,0,T383*Q383-Settings!$B$4/10000-IF(T383&lt;0,Settings!$B$5/10000,0))),"")</f>
        <v>-1.3299999999999999E-2</v>
      </c>
      <c r="V383" t="s">
        <v>1777</v>
      </c>
      <c r="W383" s="21">
        <f t="shared" si="56"/>
        <v>1200</v>
      </c>
      <c r="X383" s="91" t="str">
        <f t="shared" si="57"/>
        <v>ExxonMobil|2025|Q1</v>
      </c>
      <c r="Y383" s="91" t="str">
        <f>IFERROR(IF($X383="","",INDEX(LLM_Data_Entry!$H$3:$H$548,MATCH($X383,INDEX(LLM_Data_Entry!$A$3:$A$548&amp;"|"&amp;LLM_Data_Entry!$C$3:$C$548&amp;"|"&amp;LLM_Data_Entry!$D$3:$D$548,0),0))),"")</f>
        <v>HOLD</v>
      </c>
      <c r="Z383" s="91">
        <f>IFERROR(IF($X383="","",INDEX(LLM_Data_Entry!$R$3:$R$548,MATCH($X383,INDEX(LLM_Data_Entry!$A$3:$A$548&amp;"|"&amp;LLM_Data_Entry!$C$3:$C$548&amp;"|"&amp;LLM_Data_Entry!$D$3:$D$548,0),0))),"")</f>
        <v>0</v>
      </c>
      <c r="AB383" t="s">
        <v>853</v>
      </c>
      <c r="AC383" t="s">
        <v>1730</v>
      </c>
      <c r="AD383" t="s">
        <v>1124</v>
      </c>
      <c r="AE383">
        <v>101.57680000000001</v>
      </c>
      <c r="AF383" t="s">
        <v>1778</v>
      </c>
      <c r="AG383">
        <v>103.4397</v>
      </c>
      <c r="AH383">
        <v>1.834008344917179E-2</v>
      </c>
      <c r="AI383" t="s">
        <v>579</v>
      </c>
      <c r="AJ383" t="s">
        <v>546</v>
      </c>
      <c r="AK383">
        <v>1.7340000000000001E-2</v>
      </c>
      <c r="AL383" t="str">
        <f>IF($A383="","",IFERROR(INDEX(Company_List!$G$3:$G$207,MATCH($A383,Company_List!$A$3:$A$207,0)),"unassigned"))</f>
        <v>P2</v>
      </c>
      <c r="AM383" t="s">
        <v>1779</v>
      </c>
      <c r="AN383" t="s">
        <v>1780</v>
      </c>
      <c r="AO383" t="s">
        <v>754</v>
      </c>
      <c r="AP383" t="str">
        <f>IF($A383="","",IF(COUNTIFS(LLM_Data_Entry!$A$3:$A$548,$A383)&gt;0,"YES","NO"))</f>
        <v>YES</v>
      </c>
      <c r="AQ383" t="str">
        <f>IF($A383="","",IF(COUNTIFS($A$3:$A383,$A383,$C$3:$C383,$C383,$D$3:$D383,$D383)=1,"YES","NO"))</f>
        <v>YES</v>
      </c>
      <c r="AR383" t="str">
        <f>IF($A383="","",IF(AND($C383&amp;"-"&amp;$D383&gt;=Settings!$B$19,$C383&amp;"-"&amp;$D383&lt;=Settings!$B$20),"IN","OUT"))</f>
        <v>IN</v>
      </c>
      <c r="AS383" t="str">
        <f t="shared" si="58"/>
        <v>full</v>
      </c>
      <c r="AT383">
        <f t="shared" si="59"/>
        <v>-1.3299999999999999E-2</v>
      </c>
      <c r="AU383">
        <f t="shared" si="60"/>
        <v>1.7340000000000001E-2</v>
      </c>
      <c r="AV383">
        <f>IF(ISNUMBER($AT383),ABS(IF(ISNUMBER($I383),$I383,0)-Settings!$B$24),"")</f>
        <v>0.3</v>
      </c>
      <c r="AW383">
        <f t="shared" si="61"/>
        <v>-3.9899999999999996E-3</v>
      </c>
      <c r="AX383">
        <f>IF(ISNUMBER($AU383),ABS(IF(ISNUMBER($I383),$I383,0)-Settings!$B$24),"")</f>
        <v>0.3</v>
      </c>
      <c r="AY383" t="s">
        <v>1183</v>
      </c>
      <c r="AZ383" t="str">
        <f>IF($A383="","",IFERROR(INDEX(Company_List!$H$3:$H$207,MATCH($A383,Company_List!$A$3:$A$207,0)),"unassigned"))</f>
        <v>Energy</v>
      </c>
      <c r="BC383">
        <f>IF($A383="","",IF(COUNTIFS($A$3:$A383,$A383,$C$3:$C383,$C383,$D$3:$D383,$D383,$G$3:$G383,$G383)=1,1,0))</f>
        <v>1</v>
      </c>
      <c r="BG383" t="s">
        <v>550</v>
      </c>
      <c r="BK383">
        <f t="shared" si="62"/>
        <v>0</v>
      </c>
      <c r="BL383" t="s">
        <v>551</v>
      </c>
      <c r="BM383">
        <v>3</v>
      </c>
      <c r="BN383" t="s">
        <v>882</v>
      </c>
      <c r="BO383" t="s">
        <v>596</v>
      </c>
      <c r="BP383" t="s">
        <v>550</v>
      </c>
      <c r="BQ383" t="s">
        <v>562</v>
      </c>
      <c r="BS383" t="s">
        <v>554</v>
      </c>
    </row>
    <row r="384" spans="1:71" x14ac:dyDescent="0.2">
      <c r="A384" s="1" t="s">
        <v>1726</v>
      </c>
      <c r="B384" s="142" t="str">
        <f>IF(A384="","",_xlfn.XLOOKUP(A384, Company_List!$A:$A, Company_List!$B:$B, ""))</f>
        <v>XOM</v>
      </c>
      <c r="C384" s="143">
        <v>2025</v>
      </c>
      <c r="D384" s="143" t="s">
        <v>555</v>
      </c>
      <c r="E384" s="98" t="s">
        <v>538</v>
      </c>
      <c r="F384" s="98" t="s">
        <v>538</v>
      </c>
      <c r="G384" s="143" t="s">
        <v>575</v>
      </c>
      <c r="H384" s="106" t="s">
        <v>540</v>
      </c>
      <c r="I384" s="145">
        <v>0.3</v>
      </c>
      <c r="J384" s="145" t="str">
        <f>IF(OR(I384="",Settings!$B$6=""),"",IF(I384&gt;Settings!$B$6,"BUY",IF(I384&lt;-Settings!$B$6,"SELL","HOLD")))</f>
        <v>BUY</v>
      </c>
      <c r="K384" s="145">
        <v>17</v>
      </c>
      <c r="L384" s="123">
        <v>45870</v>
      </c>
      <c r="M384" s="140" t="s">
        <v>556</v>
      </c>
      <c r="N384" s="147">
        <v>108.2107</v>
      </c>
      <c r="O384" s="140" t="s">
        <v>557</v>
      </c>
      <c r="P384" s="145">
        <v>107.6777</v>
      </c>
      <c r="Q384" s="151">
        <f t="shared" si="53"/>
        <v>-4.8999999999999998E-3</v>
      </c>
      <c r="R384" s="118" t="str">
        <f>IF(OR(N384="",P384=""),"",IF(Q384&gt;Settings!$B$3/100,"UP",IF(Q384&lt;-Settings!$B$3/100,"DOWN","FLAT")))</f>
        <v>FLAT</v>
      </c>
      <c r="S384" s="118" t="str">
        <f t="shared" si="54"/>
        <v>NO</v>
      </c>
      <c r="T384" s="119">
        <f t="shared" si="55"/>
        <v>1</v>
      </c>
      <c r="U384" s="150">
        <f>IFERROR(IF(OR(J384="",N384="",P384=""),"",IF(T384=0,0,T384*Q384-Settings!$B$4/10000-IF(T384&lt;0,Settings!$B$5/10000,0))),"")</f>
        <v>-5.8999999999999999E-3</v>
      </c>
      <c r="V384" t="s">
        <v>1781</v>
      </c>
      <c r="W384" s="21">
        <f t="shared" si="56"/>
        <v>1020</v>
      </c>
      <c r="X384" s="91" t="str">
        <f t="shared" si="57"/>
        <v>ExxonMobil|2025|Q2</v>
      </c>
      <c r="Y384" s="91" t="str">
        <f>IFERROR(IF($X384="","",INDEX(LLM_Data_Entry!$H$3:$H$548,MATCH($X384,INDEX(LLM_Data_Entry!$A$3:$A$548&amp;"|"&amp;LLM_Data_Entry!$C$3:$C$548&amp;"|"&amp;LLM_Data_Entry!$D$3:$D$548,0),0))),"")</f>
        <v>HOLD</v>
      </c>
      <c r="Z384" s="91">
        <f>IFERROR(IF($X384="","",INDEX(LLM_Data_Entry!$R$3:$R$548,MATCH($X384,INDEX(LLM_Data_Entry!$A$3:$A$548&amp;"|"&amp;LLM_Data_Entry!$C$3:$C$548&amp;"|"&amp;LLM_Data_Entry!$D$3:$D$548,0),0))),"")</f>
        <v>0</v>
      </c>
      <c r="AB384" t="s">
        <v>748</v>
      </c>
      <c r="AC384" t="s">
        <v>1730</v>
      </c>
      <c r="AD384" t="s">
        <v>1001</v>
      </c>
      <c r="AE384">
        <v>108.4432</v>
      </c>
      <c r="AF384" t="s">
        <v>687</v>
      </c>
      <c r="AG384">
        <v>106.9508</v>
      </c>
      <c r="AH384">
        <v>-1.37623409159373E-2</v>
      </c>
      <c r="AI384" t="s">
        <v>579</v>
      </c>
      <c r="AJ384" t="s">
        <v>546</v>
      </c>
      <c r="AK384">
        <v>-1.4762000000000001E-2</v>
      </c>
      <c r="AL384" t="str">
        <f>IF($A384="","",IFERROR(INDEX(Company_List!$G$3:$G$207,MATCH($A384,Company_List!$A$3:$A$207,0)),"unassigned"))</f>
        <v>P2</v>
      </c>
      <c r="AM384" t="s">
        <v>1782</v>
      </c>
      <c r="AN384" t="s">
        <v>1783</v>
      </c>
      <c r="AO384" t="s">
        <v>754</v>
      </c>
      <c r="AP384" t="str">
        <f>IF($A384="","",IF(COUNTIFS(LLM_Data_Entry!$A$3:$A$548,$A384)&gt;0,"YES","NO"))</f>
        <v>YES</v>
      </c>
      <c r="AQ384" t="str">
        <f>IF($A384="","",IF(COUNTIFS($A$3:$A384,$A384,$C$3:$C384,$C384,$D$3:$D384,$D384)=1,"YES","NO"))</f>
        <v>YES</v>
      </c>
      <c r="AR384" t="str">
        <f>IF($A384="","",IF(AND($C384&amp;"-"&amp;$D384&gt;=Settings!$B$19,$C384&amp;"-"&amp;$D384&lt;=Settings!$B$20),"IN","OUT"))</f>
        <v>IN</v>
      </c>
      <c r="AS384" t="str">
        <f t="shared" si="58"/>
        <v>full</v>
      </c>
      <c r="AT384">
        <f t="shared" si="59"/>
        <v>-5.8999999999999999E-3</v>
      </c>
      <c r="AU384">
        <f t="shared" si="60"/>
        <v>-1.4762000000000001E-2</v>
      </c>
      <c r="AV384">
        <f>IF(ISNUMBER($AT384),ABS(IF(ISNUMBER($I384),$I384,0)-Settings!$B$24),"")</f>
        <v>0.3</v>
      </c>
      <c r="AW384">
        <f t="shared" si="61"/>
        <v>-1.7699999999999999E-3</v>
      </c>
      <c r="AX384">
        <f>IF(ISNUMBER($AU384),ABS(IF(ISNUMBER($I384),$I384,0)-Settings!$B$24),"")</f>
        <v>0.3</v>
      </c>
      <c r="AY384" t="s">
        <v>1183</v>
      </c>
      <c r="AZ384" t="str">
        <f>IF($A384="","",IFERROR(INDEX(Company_List!$H$3:$H$207,MATCH($A384,Company_List!$A$3:$A$207,0)),"unassigned"))</f>
        <v>Energy</v>
      </c>
      <c r="BC384">
        <f>IF($A384="","",IF(COUNTIFS($A$3:$A384,$A384,$C$3:$C384,$C384,$D$3:$D384,$D384,$G$3:$G384,$G384)=1,1,0))</f>
        <v>1</v>
      </c>
      <c r="BG384" t="s">
        <v>550</v>
      </c>
      <c r="BK384">
        <f t="shared" si="62"/>
        <v>0</v>
      </c>
      <c r="BL384" t="s">
        <v>551</v>
      </c>
      <c r="BM384">
        <v>3</v>
      </c>
      <c r="BN384" t="s">
        <v>882</v>
      </c>
      <c r="BO384" t="s">
        <v>596</v>
      </c>
      <c r="BP384" t="s">
        <v>550</v>
      </c>
      <c r="BQ384" t="s">
        <v>562</v>
      </c>
      <c r="BS384" t="s">
        <v>554</v>
      </c>
    </row>
    <row r="385" spans="1:71" x14ac:dyDescent="0.2">
      <c r="A385" s="1" t="s">
        <v>1726</v>
      </c>
      <c r="B385" s="142" t="str">
        <f>IF(A385="","",_xlfn.XLOOKUP(A385, Company_List!$A:$A, Company_List!$B:$B, ""))</f>
        <v>XOM</v>
      </c>
      <c r="C385" s="143">
        <v>2025</v>
      </c>
      <c r="D385" s="143" t="s">
        <v>563</v>
      </c>
      <c r="E385" s="98" t="s">
        <v>538</v>
      </c>
      <c r="F385" s="98" t="s">
        <v>538</v>
      </c>
      <c r="G385" s="143" t="s">
        <v>575</v>
      </c>
      <c r="H385" s="106" t="s">
        <v>540</v>
      </c>
      <c r="I385" s="145">
        <v>0.3</v>
      </c>
      <c r="J385" s="145" t="str">
        <f>IF(OR(I385="",Settings!$B$6=""),"",IF(I385&gt;Settings!$B$6,"BUY",IF(I385&lt;-Settings!$B$6,"SELL","HOLD")))</f>
        <v>BUY</v>
      </c>
      <c r="K385" s="145">
        <v>23</v>
      </c>
      <c r="L385" s="123">
        <v>45961</v>
      </c>
      <c r="M385" s="140" t="s">
        <v>913</v>
      </c>
      <c r="N385" s="147">
        <v>108.2199</v>
      </c>
      <c r="O385" s="140" t="s">
        <v>1188</v>
      </c>
      <c r="P385" s="145">
        <v>109.18819999999999</v>
      </c>
      <c r="Q385" s="151">
        <f t="shared" si="53"/>
        <v>8.8999999999999999E-3</v>
      </c>
      <c r="R385" s="118" t="str">
        <f>IF(OR(N385="",P385=""),"",IF(Q385&gt;Settings!$B$3/100,"UP",IF(Q385&lt;-Settings!$B$3/100,"DOWN","FLAT")))</f>
        <v>FLAT</v>
      </c>
      <c r="S385" s="118" t="str">
        <f t="shared" si="54"/>
        <v>NO</v>
      </c>
      <c r="T385" s="119">
        <f t="shared" si="55"/>
        <v>1</v>
      </c>
      <c r="U385" s="150">
        <f>IFERROR(IF(OR(J385="",N385="",P385=""),"",IF(T385=0,0,T385*Q385-Settings!$B$4/10000-IF(T385&lt;0,Settings!$B$5/10000,0))),"")</f>
        <v>7.9000000000000008E-3</v>
      </c>
      <c r="V385" t="s">
        <v>1784</v>
      </c>
      <c r="W385" s="21">
        <f t="shared" si="56"/>
        <v>1380</v>
      </c>
      <c r="X385" s="91" t="str">
        <f t="shared" si="57"/>
        <v>ExxonMobil|2025|Q3</v>
      </c>
      <c r="Y385" s="91" t="str">
        <f>IFERROR(IF($X385="","",INDEX(LLM_Data_Entry!$H$3:$H$548,MATCH($X385,INDEX(LLM_Data_Entry!$A$3:$A$548&amp;"|"&amp;LLM_Data_Entry!$C$3:$C$548&amp;"|"&amp;LLM_Data_Entry!$D$3:$D$548,0),0))),"")</f>
        <v>BUY</v>
      </c>
      <c r="Z385" s="91">
        <f>IFERROR(IF($X385="","",INDEX(LLM_Data_Entry!$R$3:$R$548,MATCH($X385,INDEX(LLM_Data_Entry!$A$3:$A$548&amp;"|"&amp;LLM_Data_Entry!$C$3:$C$548&amp;"|"&amp;LLM_Data_Entry!$D$3:$D$548,0),0))),"")</f>
        <v>0</v>
      </c>
      <c r="AB385" t="s">
        <v>748</v>
      </c>
      <c r="AC385" t="s">
        <v>1730</v>
      </c>
      <c r="AD385" t="s">
        <v>660</v>
      </c>
      <c r="AE385">
        <v>112.18129999999999</v>
      </c>
      <c r="AF385" t="s">
        <v>661</v>
      </c>
      <c r="AG385">
        <v>111.48690000000001</v>
      </c>
      <c r="AH385">
        <v>-6.1905413373106672E-3</v>
      </c>
      <c r="AI385" t="s">
        <v>579</v>
      </c>
      <c r="AJ385" t="s">
        <v>546</v>
      </c>
      <c r="AK385">
        <v>-7.1910000000000003E-3</v>
      </c>
      <c r="AL385" t="str">
        <f>IF($A385="","",IFERROR(INDEX(Company_List!$G$3:$G$207,MATCH($A385,Company_List!$A$3:$A$207,0)),"unassigned"))</f>
        <v>P2</v>
      </c>
      <c r="AM385" t="s">
        <v>1785</v>
      </c>
      <c r="AN385" t="s">
        <v>1786</v>
      </c>
      <c r="AO385" t="s">
        <v>754</v>
      </c>
      <c r="AP385" t="str">
        <f>IF($A385="","",IF(COUNTIFS(LLM_Data_Entry!$A$3:$A$548,$A385)&gt;0,"YES","NO"))</f>
        <v>YES</v>
      </c>
      <c r="AQ385" t="str">
        <f>IF($A385="","",IF(COUNTIFS($A$3:$A385,$A385,$C$3:$C385,$C385,$D$3:$D385,$D385)=1,"YES","NO"))</f>
        <v>YES</v>
      </c>
      <c r="AR385" t="str">
        <f>IF($A385="","",IF(AND($C385&amp;"-"&amp;$D385&gt;=Settings!$B$19,$C385&amp;"-"&amp;$D385&lt;=Settings!$B$20),"IN","OUT"))</f>
        <v>IN</v>
      </c>
      <c r="AS385" t="str">
        <f t="shared" si="58"/>
        <v>full</v>
      </c>
      <c r="AT385">
        <f t="shared" si="59"/>
        <v>7.9000000000000008E-3</v>
      </c>
      <c r="AU385">
        <f t="shared" si="60"/>
        <v>-7.1910000000000003E-3</v>
      </c>
      <c r="AV385">
        <f>IF(ISNUMBER($AT385),ABS(IF(ISNUMBER($I385),$I385,0)-Settings!$B$24),"")</f>
        <v>0.3</v>
      </c>
      <c r="AW385">
        <f t="shared" si="61"/>
        <v>2.3700000000000001E-3</v>
      </c>
      <c r="AX385">
        <f>IF(ISNUMBER($AU385),ABS(IF(ISNUMBER($I385),$I385,0)-Settings!$B$24),"")</f>
        <v>0.3</v>
      </c>
      <c r="AY385" t="s">
        <v>1183</v>
      </c>
      <c r="AZ385" t="str">
        <f>IF($A385="","",IFERROR(INDEX(Company_List!$H$3:$H$207,MATCH($A385,Company_List!$A$3:$A$207,0)),"unassigned"))</f>
        <v>Energy</v>
      </c>
      <c r="BC385">
        <f>IF($A385="","",IF(COUNTIFS($A$3:$A385,$A385,$C$3:$C385,$C385,$D$3:$D385,$D385,$G$3:$G385,$G385)=1,1,0))</f>
        <v>1</v>
      </c>
      <c r="BG385" t="s">
        <v>550</v>
      </c>
      <c r="BK385">
        <f t="shared" si="62"/>
        <v>1</v>
      </c>
      <c r="BL385" t="s">
        <v>551</v>
      </c>
      <c r="BM385">
        <v>3</v>
      </c>
      <c r="BN385" t="s">
        <v>882</v>
      </c>
      <c r="BO385" t="s">
        <v>596</v>
      </c>
      <c r="BP385" t="s">
        <v>550</v>
      </c>
      <c r="BQ385" t="s">
        <v>562</v>
      </c>
      <c r="BS385" t="s">
        <v>554</v>
      </c>
    </row>
    <row r="386" spans="1:71" x14ac:dyDescent="0.2">
      <c r="A386" s="1" t="s">
        <v>1726</v>
      </c>
      <c r="B386" s="142" t="str">
        <f>IF(A386="","",_xlfn.XLOOKUP(A386, Company_List!$A:$A, Company_List!$B:$B, ""))</f>
        <v>XOM</v>
      </c>
      <c r="C386" s="143">
        <v>2025</v>
      </c>
      <c r="D386" s="143" t="s">
        <v>569</v>
      </c>
      <c r="E386" s="98" t="s">
        <v>538</v>
      </c>
      <c r="F386" s="98" t="s">
        <v>538</v>
      </c>
      <c r="G386" s="143" t="s">
        <v>575</v>
      </c>
      <c r="H386" s="106" t="s">
        <v>540</v>
      </c>
      <c r="I386" s="145">
        <v>0</v>
      </c>
      <c r="J386" s="145" t="str">
        <f>IF(OR(I386="",Settings!$B$6=""),"",IF(I386&gt;Settings!$B$6,"BUY",IF(I386&lt;-Settings!$B$6,"SELL","HOLD")))</f>
        <v>HOLD</v>
      </c>
      <c r="K386" s="145">
        <v>20</v>
      </c>
      <c r="L386" s="123">
        <v>46052</v>
      </c>
      <c r="M386" s="140" t="s">
        <v>891</v>
      </c>
      <c r="N386" s="147">
        <v>127.4102</v>
      </c>
      <c r="O386" s="140" t="s">
        <v>1186</v>
      </c>
      <c r="P386" s="145">
        <v>127.1931</v>
      </c>
      <c r="Q386" s="151">
        <f t="shared" ref="Q386:Q449" si="63">IF(OR(N386="",P386=""),"",ROUND((P386-N386)/N386,4))</f>
        <v>-1.6999999999999999E-3</v>
      </c>
      <c r="R386" s="118" t="str">
        <f>IF(OR(N386="",P386=""),"",IF(Q386&gt;Settings!$B$3/100,"UP",IF(Q386&lt;-Settings!$B$3/100,"DOWN","FLAT")))</f>
        <v>FLAT</v>
      </c>
      <c r="S386" s="118" t="str">
        <f t="shared" si="54"/>
        <v>YES</v>
      </c>
      <c r="T386" s="119">
        <f t="shared" si="55"/>
        <v>0</v>
      </c>
      <c r="U386" s="150">
        <f>IFERROR(IF(OR(J386="",N386="",P386=""),"",IF(T386=0,0,T386*Q386-Settings!$B$4/10000-IF(T386&lt;0,Settings!$B$5/10000,0))),"")</f>
        <v>0</v>
      </c>
      <c r="V386" t="s">
        <v>1787</v>
      </c>
      <c r="W386" s="21">
        <f t="shared" si="56"/>
        <v>1200</v>
      </c>
      <c r="X386" s="91" t="str">
        <f t="shared" si="57"/>
        <v>ExxonMobil|2025|Q4</v>
      </c>
      <c r="Y386" s="91" t="str">
        <f>IFERROR(IF($X386="","",INDEX(LLM_Data_Entry!$H$3:$H$548,MATCH($X386,INDEX(LLM_Data_Entry!$A$3:$A$548&amp;"|"&amp;LLM_Data_Entry!$C$3:$C$548&amp;"|"&amp;LLM_Data_Entry!$D$3:$D$548,0),0))),"")</f>
        <v>HOLD</v>
      </c>
      <c r="Z386" s="91">
        <f>IFERROR(IF($X386="","",INDEX(LLM_Data_Entry!$R$3:$R$548,MATCH($X386,INDEX(LLM_Data_Entry!$A$3:$A$548&amp;"|"&amp;LLM_Data_Entry!$C$3:$C$548&amp;"|"&amp;LLM_Data_Entry!$D$3:$D$548,0),0))),"")</f>
        <v>0</v>
      </c>
      <c r="AB386" t="s">
        <v>853</v>
      </c>
      <c r="AC386" t="s">
        <v>1730</v>
      </c>
      <c r="AD386" t="s">
        <v>694</v>
      </c>
      <c r="AE386">
        <v>138.6386</v>
      </c>
      <c r="AF386" t="s">
        <v>695</v>
      </c>
      <c r="AG386">
        <v>136.8922</v>
      </c>
      <c r="AH386">
        <v>-1.2596909695889009E-2</v>
      </c>
      <c r="AI386" t="s">
        <v>579</v>
      </c>
      <c r="AJ386" t="s">
        <v>554</v>
      </c>
      <c r="AK386">
        <v>0</v>
      </c>
      <c r="AL386" t="str">
        <f>IF($A386="","",IFERROR(INDEX(Company_List!$G$3:$G$207,MATCH($A386,Company_List!$A$3:$A$207,0)),"unassigned"))</f>
        <v>P2</v>
      </c>
      <c r="AM386" t="s">
        <v>1788</v>
      </c>
      <c r="AN386" t="s">
        <v>1789</v>
      </c>
      <c r="AO386" t="s">
        <v>754</v>
      </c>
      <c r="AP386" t="str">
        <f>IF($A386="","",IF(COUNTIFS(LLM_Data_Entry!$A$3:$A$548,$A386)&gt;0,"YES","NO"))</f>
        <v>YES</v>
      </c>
      <c r="AQ386" t="str">
        <f>IF($A386="","",IF(COUNTIFS($A$3:$A386,$A386,$C$3:$C386,$C386,$D$3:$D386,$D386)=1,"YES","NO"))</f>
        <v>YES</v>
      </c>
      <c r="AR386" t="str">
        <f>IF($A386="","",IF(AND($C386&amp;"-"&amp;$D386&gt;=Settings!$B$19,$C386&amp;"-"&amp;$D386&lt;=Settings!$B$20),"IN","OUT"))</f>
        <v>IN</v>
      </c>
      <c r="AS386" t="str">
        <f t="shared" si="58"/>
        <v>full</v>
      </c>
      <c r="AT386" t="str">
        <f t="shared" si="59"/>
        <v/>
      </c>
      <c r="AU386" t="str">
        <f t="shared" si="60"/>
        <v/>
      </c>
      <c r="AV386" t="str">
        <f>IF(ISNUMBER($AT386),ABS(IF(ISNUMBER($I386),$I386,0)-Settings!$B$24),"")</f>
        <v/>
      </c>
      <c r="AW386" t="str">
        <f t="shared" si="61"/>
        <v/>
      </c>
      <c r="AX386" t="str">
        <f>IF(ISNUMBER($AU386),ABS(IF(ISNUMBER($I386),$I386,0)-Settings!$B$24),"")</f>
        <v/>
      </c>
      <c r="AY386" t="s">
        <v>1183</v>
      </c>
      <c r="AZ386" t="str">
        <f>IF($A386="","",IFERROR(INDEX(Company_List!$H$3:$H$207,MATCH($A386,Company_List!$A$3:$A$207,0)),"unassigned"))</f>
        <v>Energy</v>
      </c>
      <c r="BC386">
        <f>IF($A386="","",IF(COUNTIFS($A$3:$A386,$A386,$C$3:$C386,$C386,$D$3:$D386,$D386,$G$3:$G386,$G386)=1,1,0))</f>
        <v>1</v>
      </c>
      <c r="BG386" t="s">
        <v>550</v>
      </c>
      <c r="BK386">
        <f t="shared" si="62"/>
        <v>1</v>
      </c>
      <c r="BL386" t="s">
        <v>551</v>
      </c>
      <c r="BM386">
        <v>3</v>
      </c>
      <c r="BN386" t="s">
        <v>882</v>
      </c>
      <c r="BO386" t="s">
        <v>596</v>
      </c>
      <c r="BP386" t="s">
        <v>550</v>
      </c>
      <c r="BQ386" t="s">
        <v>562</v>
      </c>
      <c r="BS386" t="s">
        <v>554</v>
      </c>
    </row>
    <row r="387" spans="1:71" x14ac:dyDescent="0.2">
      <c r="A387" s="1" t="s">
        <v>1726</v>
      </c>
      <c r="B387" s="142" t="str">
        <f>IF(A387="","",_xlfn.XLOOKUP(A387, Company_List!$A:$A, Company_List!$B:$B, ""))</f>
        <v>XOM</v>
      </c>
      <c r="C387" s="143">
        <v>2026</v>
      </c>
      <c r="D387" s="143" t="s">
        <v>537</v>
      </c>
      <c r="E387" s="98" t="s">
        <v>538</v>
      </c>
      <c r="F387" s="98" t="s">
        <v>538</v>
      </c>
      <c r="G387" s="143" t="s">
        <v>575</v>
      </c>
      <c r="H387" s="106" t="s">
        <v>540</v>
      </c>
      <c r="I387" s="145">
        <v>0.2</v>
      </c>
      <c r="J387" s="145" t="str">
        <f>IF(OR(I387="",Settings!$B$6=""),"",IF(I387&gt;Settings!$B$6,"BUY",IF(I387&lt;-Settings!$B$6,"SELL","HOLD")))</f>
        <v>HOLD</v>
      </c>
      <c r="K387" s="145">
        <v>18</v>
      </c>
      <c r="L387" s="123">
        <v>46143</v>
      </c>
      <c r="M387" s="140" t="s">
        <v>543</v>
      </c>
      <c r="N387" s="147">
        <v>150.9554</v>
      </c>
      <c r="O387" s="140" t="s">
        <v>544</v>
      </c>
      <c r="P387" s="145">
        <v>143.88339999999999</v>
      </c>
      <c r="Q387" s="151">
        <f t="shared" si="63"/>
        <v>-4.6800000000000001E-2</v>
      </c>
      <c r="R387" s="118" t="str">
        <f>IF(OR(N387="",P387=""),"",IF(Q387&gt;Settings!$B$3/100,"UP",IF(Q387&lt;-Settings!$B$3/100,"DOWN","FLAT")))</f>
        <v>DOWN</v>
      </c>
      <c r="S387" s="118" t="str">
        <f t="shared" ref="S387:S450" si="64">IF(OR(N387="",P387="",J387=""),"",IF(OR(AND(J387="BUY",R387="UP"),AND(J387="SELL",R387="DOWN"),AND(J387="HOLD",R387="FLAT")),"YES","NO"))</f>
        <v>NO</v>
      </c>
      <c r="T387" s="119">
        <f t="shared" ref="T387:T450" si="65">IF(J387="","",IF(J387="BUY",1,IF(J387="SELL",-1,0)))</f>
        <v>0</v>
      </c>
      <c r="U387" s="150">
        <f>IFERROR(IF(OR(J387="",N387="",P387=""),"",IF(T387=0,0,T387*Q387-Settings!$B$4/10000-IF(T387&lt;0,Settings!$B$5/10000,0))),"")</f>
        <v>0</v>
      </c>
      <c r="V387" t="s">
        <v>1790</v>
      </c>
      <c r="W387" s="21">
        <f t="shared" ref="W387:W450" si="66">IF($K387="","",$K387*60)</f>
        <v>1080</v>
      </c>
      <c r="X387" s="91" t="str">
        <f t="shared" ref="X387:X450" si="67">IF($A387="","",$A387&amp;"|"&amp;$C387&amp;"|"&amp;$D387)</f>
        <v>ExxonMobil|2026|Q1</v>
      </c>
      <c r="Y387" s="91" t="str">
        <f>IFERROR(IF($X387="","",INDEX(LLM_Data_Entry!$H$3:$H$548,MATCH($X387,INDEX(LLM_Data_Entry!$A$3:$A$548&amp;"|"&amp;LLM_Data_Entry!$C$3:$C$548&amp;"|"&amp;LLM_Data_Entry!$D$3:$D$548,0),0))),"")</f>
        <v>HOLD</v>
      </c>
      <c r="Z387" s="91">
        <f>IFERROR(IF($X387="","",INDEX(LLM_Data_Entry!$R$3:$R$548,MATCH($X387,INDEX(LLM_Data_Entry!$A$3:$A$548&amp;"|"&amp;LLM_Data_Entry!$C$3:$C$548&amp;"|"&amp;LLM_Data_Entry!$D$3:$D$548,0),0))),"")</f>
        <v>0</v>
      </c>
      <c r="AB387" t="s">
        <v>748</v>
      </c>
      <c r="AC387" t="s">
        <v>1730</v>
      </c>
      <c r="AD387" t="s">
        <v>657</v>
      </c>
      <c r="AE387">
        <v>153.28960000000001</v>
      </c>
      <c r="AF387" t="s">
        <v>1163</v>
      </c>
      <c r="AG387">
        <v>151.58109999999999</v>
      </c>
      <c r="AH387">
        <v>-1.1144961627953261E-2</v>
      </c>
      <c r="AI387" t="s">
        <v>579</v>
      </c>
      <c r="AJ387" t="s">
        <v>554</v>
      </c>
      <c r="AK387">
        <v>0</v>
      </c>
      <c r="AL387" t="str">
        <f>IF($A387="","",IFERROR(INDEX(Company_List!$G$3:$G$207,MATCH($A387,Company_List!$A$3:$A$207,0)),"unassigned"))</f>
        <v>P2</v>
      </c>
      <c r="AM387" t="s">
        <v>1791</v>
      </c>
      <c r="AN387" t="s">
        <v>1792</v>
      </c>
      <c r="AO387" t="s">
        <v>754</v>
      </c>
      <c r="AP387" t="str">
        <f>IF($A387="","",IF(COUNTIFS(LLM_Data_Entry!$A$3:$A$548,$A387)&gt;0,"YES","NO"))</f>
        <v>YES</v>
      </c>
      <c r="AQ387" t="str">
        <f>IF($A387="","",IF(COUNTIFS($A$3:$A387,$A387,$C$3:$C387,$C387,$D$3:$D387,$D387)=1,"YES","NO"))</f>
        <v>YES</v>
      </c>
      <c r="AR387" t="str">
        <f>IF($A387="","",IF(AND($C387&amp;"-"&amp;$D387&gt;=Settings!$B$19,$C387&amp;"-"&amp;$D387&lt;=Settings!$B$20),"IN","OUT"))</f>
        <v>IN</v>
      </c>
      <c r="AS387" t="str">
        <f t="shared" ref="AS387:AS450" si="68">IF($A387="","",IF($F387="Financial Results","financials",IF($F387="Outlook/Guidance","guidance",IF($F387="Transcript Q&amp;A","qanda",IF($F387="","unrecorded",IF($E387="All","full",IF($E387="","unrecorded",LOWER($E387)&amp;" only")))))))</f>
        <v>full</v>
      </c>
      <c r="AT387" t="str">
        <f t="shared" ref="AT387:AT450" si="69">IF(AND(OR($J387="BUY",$J387="SELL"),ISNUMBER($U387)),$U387,"")</f>
        <v/>
      </c>
      <c r="AU387" t="str">
        <f t="shared" ref="AU387:AU450" si="70">IF(AND(OR($J387="BUY",$J387="SELL"),ISNUMBER($AK387)),$AK387,"")</f>
        <v/>
      </c>
      <c r="AV387" t="str">
        <f>IF(ISNUMBER($AT387),ABS(IF(ISNUMBER($I387),$I387,0)-Settings!$B$24),"")</f>
        <v/>
      </c>
      <c r="AW387" t="str">
        <f t="shared" ref="AW387:AW450" si="71">IF(ISNUMBER($AV387),$AV387*$AT387,"")</f>
        <v/>
      </c>
      <c r="AX387" t="str">
        <f>IF(ISNUMBER($AU387),ABS(IF(ISNUMBER($I387),$I387,0)-Settings!$B$24),"")</f>
        <v/>
      </c>
      <c r="AY387" t="s">
        <v>1183</v>
      </c>
      <c r="AZ387" t="str">
        <f>IF($A387="","",IFERROR(INDEX(Company_List!$H$3:$H$207,MATCH($A387,Company_List!$A$3:$A$207,0)),"unassigned"))</f>
        <v>Energy</v>
      </c>
      <c r="BC387">
        <f>IF($A387="","",IF(COUNTIFS($A$3:$A387,$A387,$C$3:$C387,$C387,$D$3:$D387,$D387,$G$3:$G387,$G387)=1,1,0))</f>
        <v>1</v>
      </c>
      <c r="BG387" t="s">
        <v>550</v>
      </c>
      <c r="BK387">
        <f t="shared" ref="BK387:BK450" si="72">IF(OR($H387&lt;&gt;"Human",$S387="",$J387="",$Y387="",$Z387=""),"",IF(EXACT(UPPER($J387),UPPER($Y387)),1,0))</f>
        <v>1</v>
      </c>
      <c r="BL387" t="s">
        <v>551</v>
      </c>
      <c r="BM387">
        <v>3</v>
      </c>
      <c r="BN387" t="s">
        <v>882</v>
      </c>
      <c r="BO387" t="s">
        <v>596</v>
      </c>
      <c r="BP387" t="s">
        <v>550</v>
      </c>
      <c r="BQ387" t="s">
        <v>562</v>
      </c>
      <c r="BS387" t="s">
        <v>554</v>
      </c>
    </row>
    <row r="388" spans="1:71" x14ac:dyDescent="0.2">
      <c r="A388" s="1" t="s">
        <v>1793</v>
      </c>
      <c r="B388" s="142" t="str">
        <f>IF(A388="","",_xlfn.XLOOKUP(A388, Company_List!$A:$A, Company_List!$B:$B, ""))</f>
        <v>AXP</v>
      </c>
      <c r="C388" s="143">
        <v>2025</v>
      </c>
      <c r="D388" s="143" t="s">
        <v>555</v>
      </c>
      <c r="E388" s="98" t="s">
        <v>1476</v>
      </c>
      <c r="F388" s="98" t="s">
        <v>1086</v>
      </c>
      <c r="G388" s="143" t="s">
        <v>648</v>
      </c>
      <c r="H388" s="106" t="s">
        <v>540</v>
      </c>
      <c r="I388" s="145">
        <v>0.25</v>
      </c>
      <c r="J388" s="145" t="str">
        <f>IF(OR(I388="",Settings!$B$6=""),"",IF(I388&gt;Settings!$B$6,"BUY",IF(I388&lt;-Settings!$B$6,"SELL","HOLD")))</f>
        <v>BUY</v>
      </c>
      <c r="K388" s="145">
        <v>22</v>
      </c>
      <c r="L388" s="123">
        <v>45856</v>
      </c>
      <c r="M388" s="140" t="s">
        <v>1794</v>
      </c>
      <c r="N388" s="147">
        <v>324.65730000000002</v>
      </c>
      <c r="O388" s="140" t="s">
        <v>1795</v>
      </c>
      <c r="P388" s="145">
        <v>324.05380000000002</v>
      </c>
      <c r="Q388" s="151">
        <f t="shared" si="63"/>
        <v>-1.9E-3</v>
      </c>
      <c r="R388" s="118" t="str">
        <f>IF(OR(N388="",P388=""),"",IF(Q388&gt;Settings!$B$3/100,"UP",IF(Q388&lt;-Settings!$B$3/100,"DOWN","FLAT")))</f>
        <v>FLAT</v>
      </c>
      <c r="S388" s="118" t="str">
        <f t="shared" si="64"/>
        <v>NO</v>
      </c>
      <c r="T388" s="119">
        <f t="shared" si="65"/>
        <v>1</v>
      </c>
      <c r="U388" s="150">
        <f>IFERROR(IF(OR(J388="",N388="",P388=""),"",IF(T388=0,0,T388*Q388-Settings!$B$4/10000-IF(T388&lt;0,Settings!$B$5/10000,0))),"")</f>
        <v>-2.8999999999999998E-3</v>
      </c>
      <c r="W388" s="21">
        <f t="shared" si="66"/>
        <v>1320</v>
      </c>
      <c r="X388" s="91" t="str">
        <f t="shared" si="67"/>
        <v>American Express|2025|Q2</v>
      </c>
      <c r="Y388" s="91" t="str">
        <f>IFERROR(IF($X388="","",INDEX(LLM_Data_Entry!$H$3:$H$548,MATCH($X388,INDEX(LLM_Data_Entry!$A$3:$A$548&amp;"|"&amp;LLM_Data_Entry!$C$3:$C$548&amp;"|"&amp;LLM_Data_Entry!$D$3:$D$548,0),0))),"")</f>
        <v>HOLD</v>
      </c>
      <c r="Z388" s="91">
        <f>IFERROR(IF($X388="","",INDEX(LLM_Data_Entry!$R$3:$R$548,MATCH($X388,INDEX(LLM_Data_Entry!$A$3:$A$548&amp;"|"&amp;LLM_Data_Entry!$C$3:$C$548&amp;"|"&amp;LLM_Data_Entry!$D$3:$D$548,0),0))),"")</f>
        <v>0</v>
      </c>
      <c r="AB388" t="s">
        <v>1247</v>
      </c>
      <c r="AC388" t="s">
        <v>1796</v>
      </c>
      <c r="AD388" t="s">
        <v>556</v>
      </c>
      <c r="AE388">
        <v>312.01260000000002</v>
      </c>
      <c r="AF388" t="s">
        <v>557</v>
      </c>
      <c r="AG388">
        <v>308.55950000000001</v>
      </c>
      <c r="AH388">
        <v>-1.106716102514595E-2</v>
      </c>
      <c r="AI388" t="s">
        <v>579</v>
      </c>
      <c r="AJ388" t="s">
        <v>546</v>
      </c>
      <c r="AK388">
        <v>-1.2067E-2</v>
      </c>
      <c r="AL388" t="str">
        <f>IF($A388="","",IFERROR(INDEX(Company_List!$G$3:$G$207,MATCH($A388,Company_List!$A$3:$A$207,0)),"unassigned"))</f>
        <v>P2</v>
      </c>
      <c r="AM388" t="s">
        <v>1797</v>
      </c>
      <c r="AN388" t="s">
        <v>1798</v>
      </c>
      <c r="AO388" t="s">
        <v>560</v>
      </c>
      <c r="AP388" t="str">
        <f>IF($A388="","",IF(COUNTIFS(LLM_Data_Entry!$A$3:$A$548,$A388)&gt;0,"YES","NO"))</f>
        <v>YES</v>
      </c>
      <c r="AQ388" t="str">
        <f>IF($A388="","",IF(COUNTIFS($A$3:$A388,$A388,$C$3:$C388,$C388,$D$3:$D388,$D388)=1,"YES","NO"))</f>
        <v>YES</v>
      </c>
      <c r="AR388" t="str">
        <f>IF($A388="","",IF(AND($C388&amp;"-"&amp;$D388&gt;=Settings!$B$19,$C388&amp;"-"&amp;$D388&lt;=Settings!$B$20),"IN","OUT"))</f>
        <v>IN</v>
      </c>
      <c r="AS388" t="str">
        <f t="shared" si="68"/>
        <v>financials</v>
      </c>
      <c r="AT388">
        <f t="shared" si="69"/>
        <v>-2.8999999999999998E-3</v>
      </c>
      <c r="AU388">
        <f t="shared" si="70"/>
        <v>-1.2067E-2</v>
      </c>
      <c r="AV388">
        <f>IF(ISNUMBER($AT388),ABS(IF(ISNUMBER($I388),$I388,0)-Settings!$B$24),"")</f>
        <v>0.25</v>
      </c>
      <c r="AW388">
        <f t="shared" si="71"/>
        <v>-7.2499999999999995E-4</v>
      </c>
      <c r="AX388">
        <f>IF(ISNUMBER($AU388),ABS(IF(ISNUMBER($I388),$I388,0)-Settings!$B$24),"")</f>
        <v>0.25</v>
      </c>
      <c r="AY388" t="s">
        <v>1183</v>
      </c>
      <c r="AZ388" t="str">
        <f>IF($A388="","",IFERROR(INDEX(Company_List!$H$3:$H$207,MATCH($A388,Company_List!$A$3:$A$207,0)),"unassigned"))</f>
        <v>Financials</v>
      </c>
      <c r="BC388">
        <f>IF($A388="","",IF(COUNTIFS($A$3:$A388,$A388,$C$3:$C388,$C388,$D$3:$D388,$D388,$G$3:$G388,$G388)=1,1,0))</f>
        <v>1</v>
      </c>
      <c r="BG388" t="s">
        <v>550</v>
      </c>
      <c r="BK388">
        <f t="shared" si="72"/>
        <v>0</v>
      </c>
      <c r="BL388" t="s">
        <v>551</v>
      </c>
      <c r="BM388">
        <v>1</v>
      </c>
      <c r="BN388" t="s">
        <v>561</v>
      </c>
      <c r="BO388" t="s">
        <v>561</v>
      </c>
      <c r="BP388" t="s">
        <v>756</v>
      </c>
      <c r="BQ388" t="s">
        <v>562</v>
      </c>
      <c r="BS388" t="s">
        <v>554</v>
      </c>
    </row>
    <row r="389" spans="1:71" x14ac:dyDescent="0.2">
      <c r="A389" s="1" t="s">
        <v>1793</v>
      </c>
      <c r="B389" s="142" t="str">
        <f>IF(A389="","",_xlfn.XLOOKUP(A389, Company_List!$A:$A, Company_List!$B:$B, ""))</f>
        <v>AXP</v>
      </c>
      <c r="C389" s="143">
        <v>2025</v>
      </c>
      <c r="D389" s="143" t="s">
        <v>555</v>
      </c>
      <c r="E389" s="98" t="s">
        <v>538</v>
      </c>
      <c r="F389" s="98" t="s">
        <v>538</v>
      </c>
      <c r="G389" s="143" t="s">
        <v>648</v>
      </c>
      <c r="H389" s="106" t="s">
        <v>540</v>
      </c>
      <c r="I389" s="145">
        <v>0.22</v>
      </c>
      <c r="J389" s="145" t="str">
        <f>IF(OR(I389="",Settings!$B$6=""),"",IF(I389&gt;Settings!$B$6,"BUY",IF(I389&lt;-Settings!$B$6,"SELL","HOLD")))</f>
        <v>BUY</v>
      </c>
      <c r="K389" s="145">
        <v>29</v>
      </c>
      <c r="L389" s="123">
        <v>45856</v>
      </c>
      <c r="M389" s="140" t="s">
        <v>1794</v>
      </c>
      <c r="N389" s="147">
        <v>324.65730000000002</v>
      </c>
      <c r="O389" s="140" t="s">
        <v>1795</v>
      </c>
      <c r="P389" s="145">
        <v>324.05380000000002</v>
      </c>
      <c r="Q389" s="151">
        <f t="shared" si="63"/>
        <v>-1.9E-3</v>
      </c>
      <c r="R389" s="118" t="str">
        <f>IF(OR(N389="",P389=""),"",IF(Q389&gt;Settings!$B$3/100,"UP",IF(Q389&lt;-Settings!$B$3/100,"DOWN","FLAT")))</f>
        <v>FLAT</v>
      </c>
      <c r="S389" s="118" t="str">
        <f t="shared" si="64"/>
        <v>NO</v>
      </c>
      <c r="T389" s="119">
        <f t="shared" si="65"/>
        <v>1</v>
      </c>
      <c r="U389" s="150">
        <f>IFERROR(IF(OR(J389="",N389="",P389=""),"",IF(T389=0,0,T389*Q389-Settings!$B$4/10000-IF(T389&lt;0,Settings!$B$5/10000,0))),"")</f>
        <v>-2.8999999999999998E-3</v>
      </c>
      <c r="W389" s="21">
        <f t="shared" si="66"/>
        <v>1740</v>
      </c>
      <c r="X389" s="91" t="str">
        <f t="shared" si="67"/>
        <v>American Express|2025|Q2</v>
      </c>
      <c r="Y389" s="91" t="str">
        <f>IFERROR(IF($X389="","",INDEX(LLM_Data_Entry!$H$3:$H$548,MATCH($X389,INDEX(LLM_Data_Entry!$A$3:$A$548&amp;"|"&amp;LLM_Data_Entry!$C$3:$C$548&amp;"|"&amp;LLM_Data_Entry!$D$3:$D$548,0),0))),"")</f>
        <v>HOLD</v>
      </c>
      <c r="Z389" s="91">
        <f>IFERROR(IF($X389="","",INDEX(LLM_Data_Entry!$R$3:$R$548,MATCH($X389,INDEX(LLM_Data_Entry!$A$3:$A$548&amp;"|"&amp;LLM_Data_Entry!$C$3:$C$548&amp;"|"&amp;LLM_Data_Entry!$D$3:$D$548,0),0))),"")</f>
        <v>0</v>
      </c>
      <c r="AB389" t="s">
        <v>1247</v>
      </c>
      <c r="AC389" t="s">
        <v>1796</v>
      </c>
      <c r="AD389" t="s">
        <v>556</v>
      </c>
      <c r="AE389">
        <v>312.01260000000002</v>
      </c>
      <c r="AF389" t="s">
        <v>557</v>
      </c>
      <c r="AG389">
        <v>308.55950000000001</v>
      </c>
      <c r="AH389">
        <v>-1.106716102514595E-2</v>
      </c>
      <c r="AI389" t="s">
        <v>579</v>
      </c>
      <c r="AJ389" t="s">
        <v>546</v>
      </c>
      <c r="AK389">
        <v>-1.2067E-2</v>
      </c>
      <c r="AL389" t="str">
        <f>IF($A389="","",IFERROR(INDEX(Company_List!$G$3:$G$207,MATCH($A389,Company_List!$A$3:$A$207,0)),"unassigned"))</f>
        <v>P2</v>
      </c>
      <c r="AM389" t="s">
        <v>1799</v>
      </c>
      <c r="AN389" t="s">
        <v>1800</v>
      </c>
      <c r="AO389" t="s">
        <v>754</v>
      </c>
      <c r="AP389" t="str">
        <f>IF($A389="","",IF(COUNTIFS(LLM_Data_Entry!$A$3:$A$548,$A389)&gt;0,"YES","NO"))</f>
        <v>YES</v>
      </c>
      <c r="AQ389" t="str">
        <f>IF($A389="","",IF(COUNTIFS($A$3:$A389,$A389,$C$3:$C389,$C389,$D$3:$D389,$D389)=1,"YES","NO"))</f>
        <v>NO</v>
      </c>
      <c r="AR389" t="str">
        <f>IF($A389="","",IF(AND($C389&amp;"-"&amp;$D389&gt;=Settings!$B$19,$C389&amp;"-"&amp;$D389&lt;=Settings!$B$20),"IN","OUT"))</f>
        <v>IN</v>
      </c>
      <c r="AS389" t="str">
        <f t="shared" si="68"/>
        <v>full</v>
      </c>
      <c r="AT389">
        <f t="shared" si="69"/>
        <v>-2.8999999999999998E-3</v>
      </c>
      <c r="AU389">
        <f t="shared" si="70"/>
        <v>-1.2067E-2</v>
      </c>
      <c r="AV389">
        <f>IF(ISNUMBER($AT389),ABS(IF(ISNUMBER($I389),$I389,0)-Settings!$B$24),"")</f>
        <v>0.22</v>
      </c>
      <c r="AW389">
        <f t="shared" si="71"/>
        <v>-6.38E-4</v>
      </c>
      <c r="AX389">
        <f>IF(ISNUMBER($AU389),ABS(IF(ISNUMBER($I389),$I389,0)-Settings!$B$24),"")</f>
        <v>0.22</v>
      </c>
      <c r="AY389" t="s">
        <v>1183</v>
      </c>
      <c r="AZ389" t="str">
        <f>IF($A389="","",IFERROR(INDEX(Company_List!$H$3:$H$207,MATCH($A389,Company_List!$A$3:$A$207,0)),"unassigned"))</f>
        <v>Financials</v>
      </c>
      <c r="BC389">
        <f>IF($A389="","",IF(COUNTIFS($A$3:$A389,$A389,$C$3:$C389,$C389,$D$3:$D389,$D389,$G$3:$G389,$G389)=1,1,0))</f>
        <v>0</v>
      </c>
      <c r="BG389" t="s">
        <v>550</v>
      </c>
      <c r="BK389">
        <f t="shared" si="72"/>
        <v>0</v>
      </c>
      <c r="BL389" t="s">
        <v>551</v>
      </c>
      <c r="BM389">
        <v>2</v>
      </c>
      <c r="BN389" t="s">
        <v>561</v>
      </c>
      <c r="BO389" t="s">
        <v>561</v>
      </c>
      <c r="BP389" t="s">
        <v>1023</v>
      </c>
      <c r="BQ389" t="s">
        <v>562</v>
      </c>
      <c r="BS389" t="s">
        <v>554</v>
      </c>
    </row>
    <row r="390" spans="1:71" x14ac:dyDescent="0.2">
      <c r="A390" s="1" t="s">
        <v>1793</v>
      </c>
      <c r="B390" s="142" t="str">
        <f>IF(A390="","",_xlfn.XLOOKUP(A390, Company_List!$A:$A, Company_List!$B:$B, ""))</f>
        <v>AXP</v>
      </c>
      <c r="C390" s="143">
        <v>2025</v>
      </c>
      <c r="D390" s="143" t="s">
        <v>563</v>
      </c>
      <c r="E390" s="98" t="s">
        <v>647</v>
      </c>
      <c r="F390" s="98" t="s">
        <v>1090</v>
      </c>
      <c r="G390" s="143" t="s">
        <v>648</v>
      </c>
      <c r="H390" s="106" t="s">
        <v>540</v>
      </c>
      <c r="I390" s="145">
        <v>0.1</v>
      </c>
      <c r="J390" s="145" t="str">
        <f>IF(OR(I390="",Settings!$B$6=""),"",IF(I390&gt;Settings!$B$6,"BUY",IF(I390&lt;-Settings!$B$6,"SELL","HOLD")))</f>
        <v>HOLD</v>
      </c>
      <c r="K390" s="145">
        <v>24</v>
      </c>
      <c r="L390" s="123">
        <v>45947</v>
      </c>
      <c r="M390" s="140" t="s">
        <v>1801</v>
      </c>
      <c r="N390" s="147">
        <v>326.98250000000002</v>
      </c>
      <c r="O390" s="140" t="s">
        <v>1802</v>
      </c>
      <c r="P390" s="145">
        <v>328.4864</v>
      </c>
      <c r="Q390" s="151">
        <f t="shared" si="63"/>
        <v>4.5999999999999999E-3</v>
      </c>
      <c r="R390" s="118" t="str">
        <f>IF(OR(N390="",P390=""),"",IF(Q390&gt;Settings!$B$3/100,"UP",IF(Q390&lt;-Settings!$B$3/100,"DOWN","FLAT")))</f>
        <v>FLAT</v>
      </c>
      <c r="S390" s="118" t="str">
        <f t="shared" si="64"/>
        <v>YES</v>
      </c>
      <c r="T390" s="119">
        <f t="shared" si="65"/>
        <v>0</v>
      </c>
      <c r="U390" s="150">
        <f>IFERROR(IF(OR(J390="",N390="",P390=""),"",IF(T390=0,0,T390*Q390-Settings!$B$4/10000-IF(T390&lt;0,Settings!$B$5/10000,0))),"")</f>
        <v>0</v>
      </c>
      <c r="W390" s="21">
        <f t="shared" si="66"/>
        <v>1440</v>
      </c>
      <c r="X390" s="91" t="str">
        <f t="shared" si="67"/>
        <v>American Express|2025|Q3</v>
      </c>
      <c r="Y390" s="91" t="str">
        <f>IFERROR(IF($X390="","",INDEX(LLM_Data_Entry!$H$3:$H$548,MATCH($X390,INDEX(LLM_Data_Entry!$A$3:$A$548&amp;"|"&amp;LLM_Data_Entry!$C$3:$C$548&amp;"|"&amp;LLM_Data_Entry!$D$3:$D$548,0),0))),"")</f>
        <v>BUY</v>
      </c>
      <c r="Z390" s="91">
        <f>IFERROR(IF($X390="","",INDEX(LLM_Data_Entry!$R$3:$R$548,MATCH($X390,INDEX(LLM_Data_Entry!$A$3:$A$548&amp;"|"&amp;LLM_Data_Entry!$C$3:$C$548&amp;"|"&amp;LLM_Data_Entry!$D$3:$D$548,0),0))),"")</f>
        <v>0</v>
      </c>
      <c r="AB390" t="s">
        <v>1247</v>
      </c>
      <c r="AC390" t="s">
        <v>1796</v>
      </c>
      <c r="AD390" t="s">
        <v>913</v>
      </c>
      <c r="AE390">
        <v>320.5104</v>
      </c>
      <c r="AF390" t="s">
        <v>1188</v>
      </c>
      <c r="AG390">
        <v>329.69560000000001</v>
      </c>
      <c r="AH390">
        <v>2.8658025248857751E-2</v>
      </c>
      <c r="AI390" t="s">
        <v>591</v>
      </c>
      <c r="AJ390" t="s">
        <v>546</v>
      </c>
      <c r="AK390">
        <v>0</v>
      </c>
      <c r="AL390" t="str">
        <f>IF($A390="","",IFERROR(INDEX(Company_List!$G$3:$G$207,MATCH($A390,Company_List!$A$3:$A$207,0)),"unassigned"))</f>
        <v>P2</v>
      </c>
      <c r="AM390" t="s">
        <v>1803</v>
      </c>
      <c r="AN390" t="s">
        <v>1804</v>
      </c>
      <c r="AO390" t="s">
        <v>560</v>
      </c>
      <c r="AP390" t="str">
        <f>IF($A390="","",IF(COUNTIFS(LLM_Data_Entry!$A$3:$A$548,$A390)&gt;0,"YES","NO"))</f>
        <v>YES</v>
      </c>
      <c r="AQ390" t="str">
        <f>IF($A390="","",IF(COUNTIFS($A$3:$A390,$A390,$C$3:$C390,$C390,$D$3:$D390,$D390)=1,"YES","NO"))</f>
        <v>YES</v>
      </c>
      <c r="AR390" t="str">
        <f>IF($A390="","",IF(AND($C390&amp;"-"&amp;$D390&gt;=Settings!$B$19,$C390&amp;"-"&amp;$D390&lt;=Settings!$B$20),"IN","OUT"))</f>
        <v>IN</v>
      </c>
      <c r="AS390" t="str">
        <f t="shared" si="68"/>
        <v>guidance</v>
      </c>
      <c r="AT390" t="str">
        <f t="shared" si="69"/>
        <v/>
      </c>
      <c r="AU390" t="str">
        <f t="shared" si="70"/>
        <v/>
      </c>
      <c r="AV390" t="str">
        <f>IF(ISNUMBER($AT390),ABS(IF(ISNUMBER($I390),$I390,0)-Settings!$B$24),"")</f>
        <v/>
      </c>
      <c r="AW390" t="str">
        <f t="shared" si="71"/>
        <v/>
      </c>
      <c r="AX390" t="str">
        <f>IF(ISNUMBER($AU390),ABS(IF(ISNUMBER($I390),$I390,0)-Settings!$B$24),"")</f>
        <v/>
      </c>
      <c r="AY390" t="s">
        <v>1183</v>
      </c>
      <c r="AZ390" t="str">
        <f>IF($A390="","",IFERROR(INDEX(Company_List!$H$3:$H$207,MATCH($A390,Company_List!$A$3:$A$207,0)),"unassigned"))</f>
        <v>Financials</v>
      </c>
      <c r="BC390">
        <f>IF($A390="","",IF(COUNTIFS($A$3:$A390,$A390,$C$3:$C390,$C390,$D$3:$D390,$D390,$G$3:$G390,$G390)=1,1,0))</f>
        <v>1</v>
      </c>
      <c r="BG390" t="s">
        <v>550</v>
      </c>
      <c r="BK390">
        <f t="shared" si="72"/>
        <v>0</v>
      </c>
      <c r="BL390" t="s">
        <v>551</v>
      </c>
      <c r="BM390">
        <v>1</v>
      </c>
      <c r="BN390" t="s">
        <v>595</v>
      </c>
      <c r="BO390" t="s">
        <v>596</v>
      </c>
      <c r="BP390" t="s">
        <v>550</v>
      </c>
      <c r="BQ390" t="s">
        <v>562</v>
      </c>
      <c r="BS390" t="s">
        <v>554</v>
      </c>
    </row>
    <row r="391" spans="1:71" x14ac:dyDescent="0.2">
      <c r="A391" s="1" t="s">
        <v>1793</v>
      </c>
      <c r="B391" s="142" t="str">
        <f>IF(A391="","",_xlfn.XLOOKUP(A391, Company_List!$A:$A, Company_List!$B:$B, ""))</f>
        <v>AXP</v>
      </c>
      <c r="C391" s="143">
        <v>2025</v>
      </c>
      <c r="D391" s="143" t="s">
        <v>563</v>
      </c>
      <c r="E391" s="98" t="s">
        <v>538</v>
      </c>
      <c r="F391" s="98" t="s">
        <v>538</v>
      </c>
      <c r="G391" s="143" t="s">
        <v>648</v>
      </c>
      <c r="H391" s="106" t="s">
        <v>540</v>
      </c>
      <c r="I391" s="145">
        <v>0.3</v>
      </c>
      <c r="J391" s="145" t="str">
        <f>IF(OR(I391="",Settings!$B$6=""),"",IF(I391&gt;Settings!$B$6,"BUY",IF(I391&lt;-Settings!$B$6,"SELL","HOLD")))</f>
        <v>BUY</v>
      </c>
      <c r="K391" s="145">
        <v>31</v>
      </c>
      <c r="L391" s="123">
        <v>45947</v>
      </c>
      <c r="M391" s="140" t="s">
        <v>1801</v>
      </c>
      <c r="N391" s="147">
        <v>326.98250000000002</v>
      </c>
      <c r="O391" s="140" t="s">
        <v>1802</v>
      </c>
      <c r="P391" s="145">
        <v>328.4864</v>
      </c>
      <c r="Q391" s="151">
        <f t="shared" si="63"/>
        <v>4.5999999999999999E-3</v>
      </c>
      <c r="R391" s="118" t="str">
        <f>IF(OR(N391="",P391=""),"",IF(Q391&gt;Settings!$B$3/100,"UP",IF(Q391&lt;-Settings!$B$3/100,"DOWN","FLAT")))</f>
        <v>FLAT</v>
      </c>
      <c r="S391" s="118" t="str">
        <f t="shared" si="64"/>
        <v>NO</v>
      </c>
      <c r="T391" s="119">
        <f t="shared" si="65"/>
        <v>1</v>
      </c>
      <c r="U391" s="150">
        <f>IFERROR(IF(OR(J391="",N391="",P391=""),"",IF(T391=0,0,T391*Q391-Settings!$B$4/10000-IF(T391&lt;0,Settings!$B$5/10000,0))),"")</f>
        <v>3.5999999999999999E-3</v>
      </c>
      <c r="W391" s="21">
        <f t="shared" si="66"/>
        <v>1860</v>
      </c>
      <c r="X391" s="91" t="str">
        <f t="shared" si="67"/>
        <v>American Express|2025|Q3</v>
      </c>
      <c r="Y391" s="91" t="str">
        <f>IFERROR(IF($X391="","",INDEX(LLM_Data_Entry!$H$3:$H$548,MATCH($X391,INDEX(LLM_Data_Entry!$A$3:$A$548&amp;"|"&amp;LLM_Data_Entry!$C$3:$C$548&amp;"|"&amp;LLM_Data_Entry!$D$3:$D$548,0),0))),"")</f>
        <v>BUY</v>
      </c>
      <c r="Z391" s="91">
        <f>IFERROR(IF($X391="","",INDEX(LLM_Data_Entry!$R$3:$R$548,MATCH($X391,INDEX(LLM_Data_Entry!$A$3:$A$548&amp;"|"&amp;LLM_Data_Entry!$C$3:$C$548&amp;"|"&amp;LLM_Data_Entry!$D$3:$D$548,0),0))),"")</f>
        <v>0</v>
      </c>
      <c r="AB391" t="s">
        <v>1247</v>
      </c>
      <c r="AC391" t="s">
        <v>1796</v>
      </c>
      <c r="AD391" t="s">
        <v>913</v>
      </c>
      <c r="AE391">
        <v>320.5104</v>
      </c>
      <c r="AF391" t="s">
        <v>1188</v>
      </c>
      <c r="AG391">
        <v>329.69560000000001</v>
      </c>
      <c r="AH391">
        <v>2.8658025248857751E-2</v>
      </c>
      <c r="AI391" t="s">
        <v>591</v>
      </c>
      <c r="AJ391" t="s">
        <v>554</v>
      </c>
      <c r="AK391">
        <v>2.7657999999999999E-2</v>
      </c>
      <c r="AL391" t="str">
        <f>IF($A391="","",IFERROR(INDEX(Company_List!$G$3:$G$207,MATCH($A391,Company_List!$A$3:$A$207,0)),"unassigned"))</f>
        <v>P2</v>
      </c>
      <c r="AM391" t="s">
        <v>1805</v>
      </c>
      <c r="AN391" t="s">
        <v>1806</v>
      </c>
      <c r="AO391" t="s">
        <v>754</v>
      </c>
      <c r="AP391" t="str">
        <f>IF($A391="","",IF(COUNTIFS(LLM_Data_Entry!$A$3:$A$548,$A391)&gt;0,"YES","NO"))</f>
        <v>YES</v>
      </c>
      <c r="AQ391" t="str">
        <f>IF($A391="","",IF(COUNTIFS($A$3:$A391,$A391,$C$3:$C391,$C391,$D$3:$D391,$D391)=1,"YES","NO"))</f>
        <v>NO</v>
      </c>
      <c r="AR391" t="str">
        <f>IF($A391="","",IF(AND($C391&amp;"-"&amp;$D391&gt;=Settings!$B$19,$C391&amp;"-"&amp;$D391&lt;=Settings!$B$20),"IN","OUT"))</f>
        <v>IN</v>
      </c>
      <c r="AS391" t="str">
        <f t="shared" si="68"/>
        <v>full</v>
      </c>
      <c r="AT391">
        <f t="shared" si="69"/>
        <v>3.5999999999999999E-3</v>
      </c>
      <c r="AU391">
        <f t="shared" si="70"/>
        <v>2.7657999999999999E-2</v>
      </c>
      <c r="AV391">
        <f>IF(ISNUMBER($AT391),ABS(IF(ISNUMBER($I391),$I391,0)-Settings!$B$24),"")</f>
        <v>0.3</v>
      </c>
      <c r="AW391">
        <f t="shared" si="71"/>
        <v>1.08E-3</v>
      </c>
      <c r="AX391">
        <f>IF(ISNUMBER($AU391),ABS(IF(ISNUMBER($I391),$I391,0)-Settings!$B$24),"")</f>
        <v>0.3</v>
      </c>
      <c r="AY391" t="s">
        <v>1183</v>
      </c>
      <c r="AZ391" t="str">
        <f>IF($A391="","",IFERROR(INDEX(Company_List!$H$3:$H$207,MATCH($A391,Company_List!$A$3:$A$207,0)),"unassigned"))</f>
        <v>Financials</v>
      </c>
      <c r="BC391">
        <f>IF($A391="","",IF(COUNTIFS($A$3:$A391,$A391,$C$3:$C391,$C391,$D$3:$D391,$D391,$G$3:$G391,$G391)=1,1,0))</f>
        <v>0</v>
      </c>
      <c r="BG391" t="s">
        <v>550</v>
      </c>
      <c r="BK391">
        <f t="shared" si="72"/>
        <v>1</v>
      </c>
      <c r="BL391" t="s">
        <v>551</v>
      </c>
      <c r="BM391">
        <v>2</v>
      </c>
      <c r="BN391" t="s">
        <v>595</v>
      </c>
      <c r="BO391" t="s">
        <v>596</v>
      </c>
      <c r="BP391" t="s">
        <v>550</v>
      </c>
      <c r="BQ391" t="s">
        <v>562</v>
      </c>
      <c r="BS391" t="s">
        <v>554</v>
      </c>
    </row>
    <row r="392" spans="1:71" x14ac:dyDescent="0.2">
      <c r="A392" s="1" t="s">
        <v>1793</v>
      </c>
      <c r="B392" s="142" t="str">
        <f>IF(A392="","",_xlfn.XLOOKUP(A392, Company_List!$A:$A, Company_List!$B:$B, ""))</f>
        <v>AXP</v>
      </c>
      <c r="C392" s="143">
        <v>2025</v>
      </c>
      <c r="D392" s="143" t="s">
        <v>569</v>
      </c>
      <c r="E392" s="98" t="s">
        <v>647</v>
      </c>
      <c r="F392" s="98" t="s">
        <v>1092</v>
      </c>
      <c r="G392" s="143" t="s">
        <v>648</v>
      </c>
      <c r="H392" s="106" t="s">
        <v>540</v>
      </c>
      <c r="I392" s="145">
        <v>-0.05</v>
      </c>
      <c r="J392" s="145" t="str">
        <f>IF(OR(I392="",Settings!$B$6=""),"",IF(I392&gt;Settings!$B$6,"BUY",IF(I392&lt;-Settings!$B$6,"SELL","HOLD")))</f>
        <v>HOLD</v>
      </c>
      <c r="K392" s="145">
        <v>26</v>
      </c>
      <c r="L392" s="123">
        <v>46052</v>
      </c>
      <c r="M392" s="140" t="s">
        <v>891</v>
      </c>
      <c r="N392" s="147">
        <v>355.2713</v>
      </c>
      <c r="O392" s="140" t="s">
        <v>1186</v>
      </c>
      <c r="P392" s="145">
        <v>359.02910000000003</v>
      </c>
      <c r="Q392" s="151">
        <f t="shared" si="63"/>
        <v>1.06E-2</v>
      </c>
      <c r="R392" s="118" t="str">
        <f>IF(OR(N392="",P392=""),"",IF(Q392&gt;Settings!$B$3/100,"UP",IF(Q392&lt;-Settings!$B$3/100,"DOWN","FLAT")))</f>
        <v>FLAT</v>
      </c>
      <c r="S392" s="118" t="str">
        <f t="shared" si="64"/>
        <v>YES</v>
      </c>
      <c r="T392" s="119">
        <f t="shared" si="65"/>
        <v>0</v>
      </c>
      <c r="U392" s="150">
        <f>IFERROR(IF(OR(J392="",N392="",P392=""),"",IF(T392=0,0,T392*Q392-Settings!$B$4/10000-IF(T392&lt;0,Settings!$B$5/10000,0))),"")</f>
        <v>0</v>
      </c>
      <c r="W392" s="21">
        <f t="shared" si="66"/>
        <v>1560</v>
      </c>
      <c r="X392" s="91" t="str">
        <f t="shared" si="67"/>
        <v>American Express|2025|Q4</v>
      </c>
      <c r="Y392" s="91" t="str">
        <f>IFERROR(IF($X392="","",INDEX(LLM_Data_Entry!$H$3:$H$548,MATCH($X392,INDEX(LLM_Data_Entry!$A$3:$A$548&amp;"|"&amp;LLM_Data_Entry!$C$3:$C$548&amp;"|"&amp;LLM_Data_Entry!$D$3:$D$548,0),0))),"")</f>
        <v>HOLD</v>
      </c>
      <c r="Z392" s="91">
        <f>IFERROR(IF($X392="","",INDEX(LLM_Data_Entry!$R$3:$R$548,MATCH($X392,INDEX(LLM_Data_Entry!$A$3:$A$548&amp;"|"&amp;LLM_Data_Entry!$C$3:$C$548&amp;"|"&amp;LLM_Data_Entry!$D$3:$D$548,0),0))),"")</f>
        <v>0</v>
      </c>
      <c r="AB392" t="s">
        <v>1122</v>
      </c>
      <c r="AC392" t="s">
        <v>1796</v>
      </c>
      <c r="AD392" t="s">
        <v>694</v>
      </c>
      <c r="AE392">
        <v>356.39460000000003</v>
      </c>
      <c r="AF392" t="s">
        <v>695</v>
      </c>
      <c r="AG392">
        <v>352.91520000000003</v>
      </c>
      <c r="AH392">
        <v>-9.7629104875344014E-3</v>
      </c>
      <c r="AI392" t="s">
        <v>579</v>
      </c>
      <c r="AJ392" t="s">
        <v>554</v>
      </c>
      <c r="AK392">
        <v>0</v>
      </c>
      <c r="AL392" t="str">
        <f>IF($A392="","",IFERROR(INDEX(Company_List!$G$3:$G$207,MATCH($A392,Company_List!$A$3:$A$207,0)),"unassigned"))</f>
        <v>P2</v>
      </c>
      <c r="AM392" t="s">
        <v>1807</v>
      </c>
      <c r="AN392" t="s">
        <v>1808</v>
      </c>
      <c r="AO392" t="s">
        <v>560</v>
      </c>
      <c r="AP392" t="str">
        <f>IF($A392="","",IF(COUNTIFS(LLM_Data_Entry!$A$3:$A$548,$A392)&gt;0,"YES","NO"))</f>
        <v>YES</v>
      </c>
      <c r="AQ392" t="str">
        <f>IF($A392="","",IF(COUNTIFS($A$3:$A392,$A392,$C$3:$C392,$C392,$D$3:$D392,$D392)=1,"YES","NO"))</f>
        <v>YES</v>
      </c>
      <c r="AR392" t="str">
        <f>IF($A392="","",IF(AND($C392&amp;"-"&amp;$D392&gt;=Settings!$B$19,$C392&amp;"-"&amp;$D392&lt;=Settings!$B$20),"IN","OUT"))</f>
        <v>IN</v>
      </c>
      <c r="AS392" t="str">
        <f t="shared" si="68"/>
        <v>qanda</v>
      </c>
      <c r="AT392" t="str">
        <f t="shared" si="69"/>
        <v/>
      </c>
      <c r="AU392" t="str">
        <f t="shared" si="70"/>
        <v/>
      </c>
      <c r="AV392" t="str">
        <f>IF(ISNUMBER($AT392),ABS(IF(ISNUMBER($I392),$I392,0)-Settings!$B$24),"")</f>
        <v/>
      </c>
      <c r="AW392" t="str">
        <f t="shared" si="71"/>
        <v/>
      </c>
      <c r="AX392" t="str">
        <f>IF(ISNUMBER($AU392),ABS(IF(ISNUMBER($I392),$I392,0)-Settings!$B$24),"")</f>
        <v/>
      </c>
      <c r="AY392" t="s">
        <v>1183</v>
      </c>
      <c r="AZ392" t="str">
        <f>IF($A392="","",IFERROR(INDEX(Company_List!$H$3:$H$207,MATCH($A392,Company_List!$A$3:$A$207,0)),"unassigned"))</f>
        <v>Financials</v>
      </c>
      <c r="BC392">
        <f>IF($A392="","",IF(COUNTIFS($A$3:$A392,$A392,$C$3:$C392,$C392,$D$3:$D392,$D392,$G$3:$G392,$G392)=1,1,0))</f>
        <v>1</v>
      </c>
      <c r="BG392" t="s">
        <v>550</v>
      </c>
      <c r="BK392">
        <f t="shared" si="72"/>
        <v>1</v>
      </c>
      <c r="BL392" t="s">
        <v>551</v>
      </c>
      <c r="BM392">
        <v>1</v>
      </c>
      <c r="BN392" t="s">
        <v>595</v>
      </c>
      <c r="BO392" t="s">
        <v>596</v>
      </c>
      <c r="BP392" t="s">
        <v>550</v>
      </c>
      <c r="BQ392" t="s">
        <v>562</v>
      </c>
      <c r="BS392" t="s">
        <v>554</v>
      </c>
    </row>
    <row r="393" spans="1:71" x14ac:dyDescent="0.2">
      <c r="A393" s="1" t="s">
        <v>1793</v>
      </c>
      <c r="B393" s="142" t="str">
        <f>IF(A393="","",_xlfn.XLOOKUP(A393, Company_List!$A:$A, Company_List!$B:$B, ""))</f>
        <v>AXP</v>
      </c>
      <c r="C393" s="143">
        <v>2025</v>
      </c>
      <c r="D393" s="143" t="s">
        <v>569</v>
      </c>
      <c r="E393" s="98" t="s">
        <v>538</v>
      </c>
      <c r="F393" s="98" t="s">
        <v>538</v>
      </c>
      <c r="G393" s="143" t="s">
        <v>648</v>
      </c>
      <c r="H393" s="106" t="s">
        <v>540</v>
      </c>
      <c r="I393" s="145">
        <v>0</v>
      </c>
      <c r="J393" s="145" t="str">
        <f>IF(OR(I393="",Settings!$B$6=""),"",IF(I393&gt;Settings!$B$6,"BUY",IF(I393&lt;-Settings!$B$6,"SELL","HOLD")))</f>
        <v>HOLD</v>
      </c>
      <c r="K393" s="145">
        <v>30</v>
      </c>
      <c r="L393" s="123">
        <v>46052</v>
      </c>
      <c r="M393" s="140" t="s">
        <v>891</v>
      </c>
      <c r="N393" s="147">
        <v>355.2713</v>
      </c>
      <c r="O393" s="140" t="s">
        <v>1186</v>
      </c>
      <c r="P393" s="145">
        <v>359.02910000000003</v>
      </c>
      <c r="Q393" s="151">
        <f t="shared" si="63"/>
        <v>1.06E-2</v>
      </c>
      <c r="R393" s="118" t="str">
        <f>IF(OR(N393="",P393=""),"",IF(Q393&gt;Settings!$B$3/100,"UP",IF(Q393&lt;-Settings!$B$3/100,"DOWN","FLAT")))</f>
        <v>FLAT</v>
      </c>
      <c r="S393" s="118" t="str">
        <f t="shared" si="64"/>
        <v>YES</v>
      </c>
      <c r="T393" s="119">
        <f t="shared" si="65"/>
        <v>0</v>
      </c>
      <c r="U393" s="150">
        <f>IFERROR(IF(OR(J393="",N393="",P393=""),"",IF(T393=0,0,T393*Q393-Settings!$B$4/10000-IF(T393&lt;0,Settings!$B$5/10000,0))),"")</f>
        <v>0</v>
      </c>
      <c r="W393" s="21">
        <f t="shared" si="66"/>
        <v>1800</v>
      </c>
      <c r="X393" s="91" t="str">
        <f t="shared" si="67"/>
        <v>American Express|2025|Q4</v>
      </c>
      <c r="Y393" s="91" t="str">
        <f>IFERROR(IF($X393="","",INDEX(LLM_Data_Entry!$H$3:$H$548,MATCH($X393,INDEX(LLM_Data_Entry!$A$3:$A$548&amp;"|"&amp;LLM_Data_Entry!$C$3:$C$548&amp;"|"&amp;LLM_Data_Entry!$D$3:$D$548,0),0))),"")</f>
        <v>HOLD</v>
      </c>
      <c r="Z393" s="91">
        <f>IFERROR(IF($X393="","",INDEX(LLM_Data_Entry!$R$3:$R$548,MATCH($X393,INDEX(LLM_Data_Entry!$A$3:$A$548&amp;"|"&amp;LLM_Data_Entry!$C$3:$C$548&amp;"|"&amp;LLM_Data_Entry!$D$3:$D$548,0),0))),"")</f>
        <v>0</v>
      </c>
      <c r="AB393" t="s">
        <v>1122</v>
      </c>
      <c r="AC393" t="s">
        <v>1796</v>
      </c>
      <c r="AD393" t="s">
        <v>694</v>
      </c>
      <c r="AE393">
        <v>356.39460000000003</v>
      </c>
      <c r="AF393" t="s">
        <v>695</v>
      </c>
      <c r="AG393">
        <v>352.91520000000003</v>
      </c>
      <c r="AH393">
        <v>-9.7629104875344014E-3</v>
      </c>
      <c r="AI393" t="s">
        <v>579</v>
      </c>
      <c r="AJ393" t="s">
        <v>554</v>
      </c>
      <c r="AK393">
        <v>0</v>
      </c>
      <c r="AL393" t="str">
        <f>IF($A393="","",IFERROR(INDEX(Company_List!$G$3:$G$207,MATCH($A393,Company_List!$A$3:$A$207,0)),"unassigned"))</f>
        <v>P2</v>
      </c>
      <c r="AM393" t="s">
        <v>1809</v>
      </c>
      <c r="AN393" t="s">
        <v>1810</v>
      </c>
      <c r="AO393" t="s">
        <v>754</v>
      </c>
      <c r="AP393" t="str">
        <f>IF($A393="","",IF(COUNTIFS(LLM_Data_Entry!$A$3:$A$548,$A393)&gt;0,"YES","NO"))</f>
        <v>YES</v>
      </c>
      <c r="AQ393" t="str">
        <f>IF($A393="","",IF(COUNTIFS($A$3:$A393,$A393,$C$3:$C393,$C393,$D$3:$D393,$D393)=1,"YES","NO"))</f>
        <v>NO</v>
      </c>
      <c r="AR393" t="str">
        <f>IF($A393="","",IF(AND($C393&amp;"-"&amp;$D393&gt;=Settings!$B$19,$C393&amp;"-"&amp;$D393&lt;=Settings!$B$20),"IN","OUT"))</f>
        <v>IN</v>
      </c>
      <c r="AS393" t="str">
        <f t="shared" si="68"/>
        <v>full</v>
      </c>
      <c r="AT393" t="str">
        <f t="shared" si="69"/>
        <v/>
      </c>
      <c r="AU393" t="str">
        <f t="shared" si="70"/>
        <v/>
      </c>
      <c r="AV393" t="str">
        <f>IF(ISNUMBER($AT393),ABS(IF(ISNUMBER($I393),$I393,0)-Settings!$B$24),"")</f>
        <v/>
      </c>
      <c r="AW393" t="str">
        <f t="shared" si="71"/>
        <v/>
      </c>
      <c r="AX393" t="str">
        <f>IF(ISNUMBER($AU393),ABS(IF(ISNUMBER($I393),$I393,0)-Settings!$B$24),"")</f>
        <v/>
      </c>
      <c r="AY393" t="s">
        <v>1183</v>
      </c>
      <c r="AZ393" t="str">
        <f>IF($A393="","",IFERROR(INDEX(Company_List!$H$3:$H$207,MATCH($A393,Company_List!$A$3:$A$207,0)),"unassigned"))</f>
        <v>Financials</v>
      </c>
      <c r="BC393">
        <f>IF($A393="","",IF(COUNTIFS($A$3:$A393,$A393,$C$3:$C393,$C393,$D$3:$D393,$D393,$G$3:$G393,$G393)=1,1,0))</f>
        <v>0</v>
      </c>
      <c r="BG393" t="s">
        <v>550</v>
      </c>
      <c r="BK393">
        <f t="shared" si="72"/>
        <v>1</v>
      </c>
      <c r="BL393" t="s">
        <v>551</v>
      </c>
      <c r="BM393">
        <v>2</v>
      </c>
      <c r="BN393" t="s">
        <v>595</v>
      </c>
      <c r="BO393" t="s">
        <v>596</v>
      </c>
      <c r="BP393" t="s">
        <v>550</v>
      </c>
      <c r="BQ393" t="s">
        <v>562</v>
      </c>
      <c r="BS393" t="s">
        <v>554</v>
      </c>
    </row>
    <row r="394" spans="1:71" x14ac:dyDescent="0.2">
      <c r="A394" s="1" t="s">
        <v>1793</v>
      </c>
      <c r="B394" s="142" t="str">
        <f>IF(A394="","",_xlfn.XLOOKUP(A394, Company_List!$A:$A, Company_List!$B:$B, ""))</f>
        <v>AXP</v>
      </c>
      <c r="C394" s="143">
        <v>2026</v>
      </c>
      <c r="D394" s="143" t="s">
        <v>537</v>
      </c>
      <c r="E394" s="98" t="s">
        <v>538</v>
      </c>
      <c r="F394" s="98" t="s">
        <v>538</v>
      </c>
      <c r="G394" s="143" t="s">
        <v>648</v>
      </c>
      <c r="H394" s="106" t="s">
        <v>540</v>
      </c>
      <c r="I394" s="145">
        <v>0.1</v>
      </c>
      <c r="J394" s="145" t="str">
        <f>IF(OR(I394="",Settings!$B$6=""),"",IF(I394&gt;Settings!$B$6,"BUY",IF(I394&lt;-Settings!$B$6,"SELL","HOLD")))</f>
        <v>HOLD</v>
      </c>
      <c r="K394" s="145">
        <v>33</v>
      </c>
      <c r="L394" s="123">
        <v>46135</v>
      </c>
      <c r="M394" s="140" t="s">
        <v>1580</v>
      </c>
      <c r="N394" s="147">
        <v>315.47640000000001</v>
      </c>
      <c r="O394" s="140" t="s">
        <v>1184</v>
      </c>
      <c r="P394" s="145">
        <v>313.452</v>
      </c>
      <c r="Q394" s="151">
        <f t="shared" si="63"/>
        <v>-6.4000000000000003E-3</v>
      </c>
      <c r="R394" s="118" t="str">
        <f>IF(OR(N394="",P394=""),"",IF(Q394&gt;Settings!$B$3/100,"UP",IF(Q394&lt;-Settings!$B$3/100,"DOWN","FLAT")))</f>
        <v>FLAT</v>
      </c>
      <c r="S394" s="118" t="str">
        <f t="shared" si="64"/>
        <v>YES</v>
      </c>
      <c r="T394" s="119">
        <f t="shared" si="65"/>
        <v>0</v>
      </c>
      <c r="U394" s="150">
        <f>IFERROR(IF(OR(J394="",N394="",P394=""),"",IF(T394=0,0,T394*Q394-Settings!$B$4/10000-IF(T394&lt;0,Settings!$B$5/10000,0))),"")</f>
        <v>0</v>
      </c>
      <c r="W394" s="21">
        <f t="shared" si="66"/>
        <v>1980</v>
      </c>
      <c r="X394" s="91" t="str">
        <f t="shared" si="67"/>
        <v>American Express|2026|Q1</v>
      </c>
      <c r="Y394" s="91" t="str">
        <f>IFERROR(IF($X394="","",INDEX(LLM_Data_Entry!$H$3:$H$548,MATCH($X394,INDEX(LLM_Data_Entry!$A$3:$A$548&amp;"|"&amp;LLM_Data_Entry!$C$3:$C$548&amp;"|"&amp;LLM_Data_Entry!$D$3:$D$548,0),0))),"")</f>
        <v>HOLD</v>
      </c>
      <c r="Z394" s="91">
        <f>IFERROR(IF($X394="","",INDEX(LLM_Data_Entry!$R$3:$R$548,MATCH($X394,INDEX(LLM_Data_Entry!$A$3:$A$548&amp;"|"&amp;LLM_Data_Entry!$C$3:$C$548&amp;"|"&amp;LLM_Data_Entry!$D$3:$D$548,0),0))),"")</f>
        <v>0</v>
      </c>
      <c r="AB394" t="s">
        <v>1247</v>
      </c>
      <c r="AC394" t="s">
        <v>1796</v>
      </c>
      <c r="AD394" t="s">
        <v>780</v>
      </c>
      <c r="AE394">
        <v>317.68040000000002</v>
      </c>
      <c r="AF394" t="s">
        <v>1811</v>
      </c>
      <c r="AG394">
        <v>315.64600000000002</v>
      </c>
      <c r="AH394">
        <v>-6.4039351326460941E-3</v>
      </c>
      <c r="AI394" t="s">
        <v>579</v>
      </c>
      <c r="AJ394" t="s">
        <v>554</v>
      </c>
      <c r="AK394">
        <v>0</v>
      </c>
      <c r="AL394" t="str">
        <f>IF($A394="","",IFERROR(INDEX(Company_List!$G$3:$G$207,MATCH($A394,Company_List!$A$3:$A$207,0)),"unassigned"))</f>
        <v>P2</v>
      </c>
      <c r="AM394" t="s">
        <v>1812</v>
      </c>
      <c r="AN394" t="s">
        <v>1813</v>
      </c>
      <c r="AO394" t="s">
        <v>560</v>
      </c>
      <c r="AP394" t="str">
        <f>IF($A394="","",IF(COUNTIFS(LLM_Data_Entry!$A$3:$A$548,$A394)&gt;0,"YES","NO"))</f>
        <v>YES</v>
      </c>
      <c r="AQ394" t="str">
        <f>IF($A394="","",IF(COUNTIFS($A$3:$A394,$A394,$C$3:$C394,$C394,$D$3:$D394,$D394)=1,"YES","NO"))</f>
        <v>YES</v>
      </c>
      <c r="AR394" t="str">
        <f>IF($A394="","",IF(AND($C394&amp;"-"&amp;$D394&gt;=Settings!$B$19,$C394&amp;"-"&amp;$D394&lt;=Settings!$B$20),"IN","OUT"))</f>
        <v>IN</v>
      </c>
      <c r="AS394" t="str">
        <f t="shared" si="68"/>
        <v>full</v>
      </c>
      <c r="AT394" t="str">
        <f t="shared" si="69"/>
        <v/>
      </c>
      <c r="AU394" t="str">
        <f t="shared" si="70"/>
        <v/>
      </c>
      <c r="AV394" t="str">
        <f>IF(ISNUMBER($AT394),ABS(IF(ISNUMBER($I394),$I394,0)-Settings!$B$24),"")</f>
        <v/>
      </c>
      <c r="AW394" t="str">
        <f t="shared" si="71"/>
        <v/>
      </c>
      <c r="AX394" t="str">
        <f>IF(ISNUMBER($AU394),ABS(IF(ISNUMBER($I394),$I394,0)-Settings!$B$24),"")</f>
        <v/>
      </c>
      <c r="AY394" t="s">
        <v>1183</v>
      </c>
      <c r="AZ394" t="str">
        <f>IF($A394="","",IFERROR(INDEX(Company_List!$H$3:$H$207,MATCH($A394,Company_List!$A$3:$A$207,0)),"unassigned"))</f>
        <v>Financials</v>
      </c>
      <c r="BC394">
        <f>IF($A394="","",IF(COUNTIFS($A$3:$A394,$A394,$C$3:$C394,$C394,$D$3:$D394,$D394,$G$3:$G394,$G394)=1,1,0))</f>
        <v>1</v>
      </c>
      <c r="BG394" t="s">
        <v>550</v>
      </c>
      <c r="BK394">
        <f t="shared" si="72"/>
        <v>1</v>
      </c>
      <c r="BL394" t="s">
        <v>551</v>
      </c>
      <c r="BM394">
        <v>1</v>
      </c>
      <c r="BN394" t="s">
        <v>561</v>
      </c>
      <c r="BO394" t="s">
        <v>561</v>
      </c>
      <c r="BP394" t="s">
        <v>550</v>
      </c>
      <c r="BQ394" t="s">
        <v>562</v>
      </c>
      <c r="BS394" t="s">
        <v>554</v>
      </c>
    </row>
    <row r="395" spans="1:71" x14ac:dyDescent="0.2">
      <c r="A395" s="1" t="s">
        <v>1814</v>
      </c>
      <c r="B395" s="142" t="str">
        <f>IF(A395="","",_xlfn.XLOOKUP(A395, Company_List!$A:$A, Company_List!$B:$B, ""))</f>
        <v>CVX</v>
      </c>
      <c r="C395" s="143">
        <v>2025</v>
      </c>
      <c r="D395" s="143" t="s">
        <v>555</v>
      </c>
      <c r="E395" s="98" t="s">
        <v>1476</v>
      </c>
      <c r="F395" s="98" t="s">
        <v>1086</v>
      </c>
      <c r="G395" s="143" t="s">
        <v>648</v>
      </c>
      <c r="H395" s="106" t="s">
        <v>540</v>
      </c>
      <c r="I395" s="145">
        <v>-0.2</v>
      </c>
      <c r="J395" s="145" t="str">
        <f>IF(OR(I395="",Settings!$B$6=""),"",IF(I395&gt;Settings!$B$6,"BUY",IF(I395&lt;-Settings!$B$6,"SELL","HOLD")))</f>
        <v>HOLD</v>
      </c>
      <c r="K395" s="145">
        <v>25</v>
      </c>
      <c r="L395" s="123">
        <v>45870</v>
      </c>
      <c r="M395" s="140" t="s">
        <v>556</v>
      </c>
      <c r="N395" s="147">
        <v>145.29470000000001</v>
      </c>
      <c r="O395" s="140" t="s">
        <v>557</v>
      </c>
      <c r="P395" s="145">
        <v>148.78829999999999</v>
      </c>
      <c r="Q395" s="151">
        <f t="shared" si="63"/>
        <v>2.4E-2</v>
      </c>
      <c r="R395" s="118" t="str">
        <f>IF(OR(N395="",P395=""),"",IF(Q395&gt;Settings!$B$3/100,"UP",IF(Q395&lt;-Settings!$B$3/100,"DOWN","FLAT")))</f>
        <v>UP</v>
      </c>
      <c r="S395" s="118" t="str">
        <f t="shared" si="64"/>
        <v>NO</v>
      </c>
      <c r="T395" s="119">
        <f t="shared" si="65"/>
        <v>0</v>
      </c>
      <c r="U395" s="150">
        <f>IFERROR(IF(OR(J395="",N395="",P395=""),"",IF(T395=0,0,T395*Q395-Settings!$B$4/10000-IF(T395&lt;0,Settings!$B$5/10000,0))),"")</f>
        <v>0</v>
      </c>
      <c r="W395" s="21">
        <f t="shared" si="66"/>
        <v>1500</v>
      </c>
      <c r="X395" s="91" t="str">
        <f t="shared" si="67"/>
        <v>Chevron|2025|Q2</v>
      </c>
      <c r="Y395" s="91" t="str">
        <f>IFERROR(IF($X395="","",INDEX(LLM_Data_Entry!$H$3:$H$548,MATCH($X395,INDEX(LLM_Data_Entry!$A$3:$A$548&amp;"|"&amp;LLM_Data_Entry!$C$3:$C$548&amp;"|"&amp;LLM_Data_Entry!$D$3:$D$548,0),0))),"")</f>
        <v>HOLD</v>
      </c>
      <c r="Z395" s="91">
        <f>IFERROR(IF($X395="","",INDEX(LLM_Data_Entry!$R$3:$R$548,MATCH($X395,INDEX(LLM_Data_Entry!$A$3:$A$548&amp;"|"&amp;LLM_Data_Entry!$C$3:$C$548&amp;"|"&amp;LLM_Data_Entry!$D$3:$D$548,0),0))),"")</f>
        <v>0</v>
      </c>
      <c r="AB395" t="s">
        <v>1247</v>
      </c>
      <c r="AC395" t="s">
        <v>1815</v>
      </c>
      <c r="AD395" t="s">
        <v>687</v>
      </c>
      <c r="AE395">
        <v>145.54419999999999</v>
      </c>
      <c r="AF395" t="s">
        <v>688</v>
      </c>
      <c r="AG395">
        <v>146.40799999999999</v>
      </c>
      <c r="AH395">
        <v>5.9351459900419514E-3</v>
      </c>
      <c r="AI395" t="s">
        <v>579</v>
      </c>
      <c r="AJ395" t="s">
        <v>554</v>
      </c>
      <c r="AK395">
        <v>0</v>
      </c>
      <c r="AL395" t="str">
        <f>IF($A395="","",IFERROR(INDEX(Company_List!$G$3:$G$207,MATCH($A395,Company_List!$A$3:$A$207,0)),"unassigned"))</f>
        <v>P2</v>
      </c>
      <c r="AM395" t="s">
        <v>1816</v>
      </c>
      <c r="AN395" t="s">
        <v>1817</v>
      </c>
      <c r="AO395" t="s">
        <v>560</v>
      </c>
      <c r="AP395" t="str">
        <f>IF($A395="","",IF(COUNTIFS(LLM_Data_Entry!$A$3:$A$548,$A395)&gt;0,"YES","NO"))</f>
        <v>YES</v>
      </c>
      <c r="AQ395" t="str">
        <f>IF($A395="","",IF(COUNTIFS($A$3:$A395,$A395,$C$3:$C395,$C395,$D$3:$D395,$D395)=1,"YES","NO"))</f>
        <v>YES</v>
      </c>
      <c r="AR395" t="str">
        <f>IF($A395="","",IF(AND($C395&amp;"-"&amp;$D395&gt;=Settings!$B$19,$C395&amp;"-"&amp;$D395&lt;=Settings!$B$20),"IN","OUT"))</f>
        <v>IN</v>
      </c>
      <c r="AS395" t="str">
        <f t="shared" si="68"/>
        <v>financials</v>
      </c>
      <c r="AT395" t="str">
        <f t="shared" si="69"/>
        <v/>
      </c>
      <c r="AU395" t="str">
        <f t="shared" si="70"/>
        <v/>
      </c>
      <c r="AV395" t="str">
        <f>IF(ISNUMBER($AT395),ABS(IF(ISNUMBER($I395),$I395,0)-Settings!$B$24),"")</f>
        <v/>
      </c>
      <c r="AW395" t="str">
        <f t="shared" si="71"/>
        <v/>
      </c>
      <c r="AX395" t="str">
        <f>IF(ISNUMBER($AU395),ABS(IF(ISNUMBER($I395),$I395,0)-Settings!$B$24),"")</f>
        <v/>
      </c>
      <c r="AY395" t="s">
        <v>1183</v>
      </c>
      <c r="AZ395" t="str">
        <f>IF($A395="","",IFERROR(INDEX(Company_List!$H$3:$H$207,MATCH($A395,Company_List!$A$3:$A$207,0)),"unassigned"))</f>
        <v>Energy</v>
      </c>
      <c r="BA395">
        <v>1</v>
      </c>
      <c r="BB395">
        <v>2</v>
      </c>
      <c r="BC395">
        <f>IF($A395="","",IF(COUNTIFS($A$3:$A395,$A395,$C$3:$C395,$C395,$D$3:$D395,$D395,$G$3:$G395,$G395)=1,1,0))</f>
        <v>1</v>
      </c>
      <c r="BD395">
        <v>25</v>
      </c>
      <c r="BE395">
        <v>30</v>
      </c>
      <c r="BF395">
        <v>-0.2</v>
      </c>
      <c r="BG395" t="s">
        <v>550</v>
      </c>
      <c r="BH395" t="s">
        <v>550</v>
      </c>
      <c r="BI395" t="s">
        <v>1818</v>
      </c>
      <c r="BJ395" t="s">
        <v>1819</v>
      </c>
      <c r="BK395">
        <f t="shared" si="72"/>
        <v>1</v>
      </c>
      <c r="BL395" t="s">
        <v>1520</v>
      </c>
      <c r="BM395">
        <v>1</v>
      </c>
      <c r="BN395" t="s">
        <v>561</v>
      </c>
      <c r="BO395" t="s">
        <v>561</v>
      </c>
      <c r="BP395" t="s">
        <v>756</v>
      </c>
      <c r="BQ395" t="s">
        <v>562</v>
      </c>
      <c r="BS395" t="s">
        <v>554</v>
      </c>
    </row>
    <row r="396" spans="1:71" x14ac:dyDescent="0.2">
      <c r="A396" s="1" t="s">
        <v>1814</v>
      </c>
      <c r="B396" s="142" t="str">
        <f>IF(A396="","",_xlfn.XLOOKUP(A396, Company_List!$A:$A, Company_List!$B:$B, ""))</f>
        <v>CVX</v>
      </c>
      <c r="C396" s="143">
        <v>2025</v>
      </c>
      <c r="D396" s="143" t="s">
        <v>555</v>
      </c>
      <c r="E396" s="98" t="s">
        <v>538</v>
      </c>
      <c r="F396" s="98" t="s">
        <v>538</v>
      </c>
      <c r="G396" s="143" t="s">
        <v>648</v>
      </c>
      <c r="H396" s="106" t="s">
        <v>540</v>
      </c>
      <c r="I396" s="145">
        <v>-0.22</v>
      </c>
      <c r="J396" s="145" t="str">
        <f>IF(OR(I396="",Settings!$B$6=""),"",IF(I396&gt;Settings!$B$6,"BUY",IF(I396&lt;-Settings!$B$6,"SELL","HOLD")))</f>
        <v>SELL</v>
      </c>
      <c r="K396" s="145">
        <v>30</v>
      </c>
      <c r="L396" s="123">
        <v>45870</v>
      </c>
      <c r="M396" s="140" t="s">
        <v>556</v>
      </c>
      <c r="N396" s="147">
        <v>145.29470000000001</v>
      </c>
      <c r="O396" s="140" t="s">
        <v>557</v>
      </c>
      <c r="P396" s="145">
        <v>148.78829999999999</v>
      </c>
      <c r="Q396" s="151">
        <f t="shared" si="63"/>
        <v>2.4E-2</v>
      </c>
      <c r="R396" s="118" t="str">
        <f>IF(OR(N396="",P396=""),"",IF(Q396&gt;Settings!$B$3/100,"UP",IF(Q396&lt;-Settings!$B$3/100,"DOWN","FLAT")))</f>
        <v>UP</v>
      </c>
      <c r="S396" s="118" t="str">
        <f t="shared" si="64"/>
        <v>NO</v>
      </c>
      <c r="T396" s="119">
        <f t="shared" si="65"/>
        <v>-1</v>
      </c>
      <c r="U396" s="150">
        <f>IFERROR(IF(OR(J396="",N396="",P396=""),"",IF(T396=0,0,T396*Q396-Settings!$B$4/10000-IF(T396&lt;0,Settings!$B$5/10000,0))),"")</f>
        <v>-2.5000000000000001E-2</v>
      </c>
      <c r="W396" s="21">
        <f t="shared" si="66"/>
        <v>1800</v>
      </c>
      <c r="X396" s="91" t="str">
        <f t="shared" si="67"/>
        <v>Chevron|2025|Q2</v>
      </c>
      <c r="Y396" s="91" t="str">
        <f>IFERROR(IF($X396="","",INDEX(LLM_Data_Entry!$H$3:$H$548,MATCH($X396,INDEX(LLM_Data_Entry!$A$3:$A$548&amp;"|"&amp;LLM_Data_Entry!$C$3:$C$548&amp;"|"&amp;LLM_Data_Entry!$D$3:$D$548,0),0))),"")</f>
        <v>HOLD</v>
      </c>
      <c r="Z396" s="91">
        <f>IFERROR(IF($X396="","",INDEX(LLM_Data_Entry!$R$3:$R$548,MATCH($X396,INDEX(LLM_Data_Entry!$A$3:$A$548&amp;"|"&amp;LLM_Data_Entry!$C$3:$C$548&amp;"|"&amp;LLM_Data_Entry!$D$3:$D$548,0),0))),"")</f>
        <v>0</v>
      </c>
      <c r="AB396" t="s">
        <v>1247</v>
      </c>
      <c r="AC396" t="s">
        <v>1815</v>
      </c>
      <c r="AD396" t="s">
        <v>687</v>
      </c>
      <c r="AE396">
        <v>145.54419999999999</v>
      </c>
      <c r="AF396" t="s">
        <v>688</v>
      </c>
      <c r="AG396">
        <v>146.40799999999999</v>
      </c>
      <c r="AH396">
        <v>5.9351459900419514E-3</v>
      </c>
      <c r="AI396" t="s">
        <v>579</v>
      </c>
      <c r="AJ396" t="s">
        <v>546</v>
      </c>
      <c r="AK396">
        <v>-6.9350000000000002E-3</v>
      </c>
      <c r="AL396" t="str">
        <f>IF($A396="","",IFERROR(INDEX(Company_List!$G$3:$G$207,MATCH($A396,Company_List!$A$3:$A$207,0)),"unassigned"))</f>
        <v>P2</v>
      </c>
      <c r="AM396" t="s">
        <v>1820</v>
      </c>
      <c r="AN396" t="s">
        <v>1821</v>
      </c>
      <c r="AO396" t="s">
        <v>754</v>
      </c>
      <c r="AP396" t="str">
        <f>IF($A396="","",IF(COUNTIFS(LLM_Data_Entry!$A$3:$A$548,$A396)&gt;0,"YES","NO"))</f>
        <v>YES</v>
      </c>
      <c r="AQ396" t="str">
        <f>IF($A396="","",IF(COUNTIFS($A$3:$A396,$A396,$C$3:$C396,$C396,$D$3:$D396,$D396)=1,"YES","NO"))</f>
        <v>NO</v>
      </c>
      <c r="AR396" t="str">
        <f>IF($A396="","",IF(AND($C396&amp;"-"&amp;$D396&gt;=Settings!$B$19,$C396&amp;"-"&amp;$D396&lt;=Settings!$B$20),"IN","OUT"))</f>
        <v>IN</v>
      </c>
      <c r="AS396" t="str">
        <f t="shared" si="68"/>
        <v>full</v>
      </c>
      <c r="AT396">
        <f t="shared" si="69"/>
        <v>-2.5000000000000001E-2</v>
      </c>
      <c r="AU396">
        <f t="shared" si="70"/>
        <v>-6.9350000000000002E-3</v>
      </c>
      <c r="AV396">
        <f>IF(ISNUMBER($AT396),ABS(IF(ISNUMBER($I396),$I396,0)-Settings!$B$24),"")</f>
        <v>0.22</v>
      </c>
      <c r="AW396">
        <f t="shared" si="71"/>
        <v>-5.5000000000000005E-3</v>
      </c>
      <c r="AX396">
        <f>IF(ISNUMBER($AU396),ABS(IF(ISNUMBER($I396),$I396,0)-Settings!$B$24),"")</f>
        <v>0.22</v>
      </c>
      <c r="AY396" t="s">
        <v>1183</v>
      </c>
      <c r="AZ396" t="str">
        <f>IF($A396="","",IFERROR(INDEX(Company_List!$H$3:$H$207,MATCH($A396,Company_List!$A$3:$A$207,0)),"unassigned"))</f>
        <v>Energy</v>
      </c>
      <c r="BA396">
        <v>2</v>
      </c>
      <c r="BB396">
        <v>2</v>
      </c>
      <c r="BC396">
        <f>IF($A396="","",IF(COUNTIFS($A$3:$A396,$A396,$C$3:$C396,$C396,$D$3:$D396,$D396,$G$3:$G396,$G396)=1,1,0))</f>
        <v>0</v>
      </c>
      <c r="BD396">
        <v>25</v>
      </c>
      <c r="BE396">
        <v>30</v>
      </c>
      <c r="BF396">
        <v>-0.2</v>
      </c>
      <c r="BG396" t="s">
        <v>550</v>
      </c>
      <c r="BH396" t="s">
        <v>550</v>
      </c>
      <c r="BI396" t="s">
        <v>1818</v>
      </c>
      <c r="BJ396" t="s">
        <v>1819</v>
      </c>
      <c r="BK396">
        <f t="shared" si="72"/>
        <v>0</v>
      </c>
      <c r="BL396" t="s">
        <v>1520</v>
      </c>
      <c r="BM396">
        <v>2</v>
      </c>
      <c r="BN396" t="s">
        <v>561</v>
      </c>
      <c r="BO396" t="s">
        <v>561</v>
      </c>
      <c r="BP396" t="s">
        <v>1023</v>
      </c>
      <c r="BQ396" t="s">
        <v>562</v>
      </c>
      <c r="BS396" t="s">
        <v>554</v>
      </c>
    </row>
    <row r="397" spans="1:71" x14ac:dyDescent="0.2">
      <c r="A397" s="1" t="s">
        <v>1814</v>
      </c>
      <c r="B397" s="142" t="str">
        <f>IF(A397="","",_xlfn.XLOOKUP(A397, Company_List!$A:$A, Company_List!$B:$B, ""))</f>
        <v>CVX</v>
      </c>
      <c r="C397" s="143">
        <v>2025</v>
      </c>
      <c r="D397" s="143" t="s">
        <v>563</v>
      </c>
      <c r="E397" s="98" t="s">
        <v>647</v>
      </c>
      <c r="F397" s="98" t="s">
        <v>1090</v>
      </c>
      <c r="G397" s="143" t="s">
        <v>648</v>
      </c>
      <c r="H397" s="106" t="s">
        <v>540</v>
      </c>
      <c r="I397" s="145">
        <v>0.05</v>
      </c>
      <c r="J397" s="145" t="str">
        <f>IF(OR(I397="",Settings!$B$6=""),"",IF(I397&gt;Settings!$B$6,"BUY",IF(I397&lt;-Settings!$B$6,"SELL","HOLD")))</f>
        <v>HOLD</v>
      </c>
      <c r="K397" s="145">
        <v>20</v>
      </c>
      <c r="L397" s="123">
        <v>45961</v>
      </c>
      <c r="M397" s="140" t="s">
        <v>913</v>
      </c>
      <c r="N397" s="147">
        <v>147.23230000000001</v>
      </c>
      <c r="O397" s="140" t="s">
        <v>1188</v>
      </c>
      <c r="P397" s="145">
        <v>147.76609999999999</v>
      </c>
      <c r="Q397" s="151">
        <f t="shared" si="63"/>
        <v>3.5999999999999999E-3</v>
      </c>
      <c r="R397" s="118" t="str">
        <f>IF(OR(N397="",P397=""),"",IF(Q397&gt;Settings!$B$3/100,"UP",IF(Q397&lt;-Settings!$B$3/100,"DOWN","FLAT")))</f>
        <v>FLAT</v>
      </c>
      <c r="S397" s="118" t="str">
        <f t="shared" si="64"/>
        <v>YES</v>
      </c>
      <c r="T397" s="119">
        <f t="shared" si="65"/>
        <v>0</v>
      </c>
      <c r="U397" s="150">
        <f>IFERROR(IF(OR(J397="",N397="",P397=""),"",IF(T397=0,0,T397*Q397-Settings!$B$4/10000-IF(T397&lt;0,Settings!$B$5/10000,0))),"")</f>
        <v>0</v>
      </c>
      <c r="W397" s="21">
        <f t="shared" si="66"/>
        <v>1200</v>
      </c>
      <c r="X397" s="91" t="str">
        <f t="shared" si="67"/>
        <v>Chevron|2025|Q3</v>
      </c>
      <c r="Y397" s="91" t="str">
        <f>IFERROR(IF($X397="","",INDEX(LLM_Data_Entry!$H$3:$H$548,MATCH($X397,INDEX(LLM_Data_Entry!$A$3:$A$548&amp;"|"&amp;LLM_Data_Entry!$C$3:$C$548&amp;"|"&amp;LLM_Data_Entry!$D$3:$D$548,0),0))),"")</f>
        <v>BUY</v>
      </c>
      <c r="Z397" s="91">
        <f>IFERROR(IF($X397="","",INDEX(LLM_Data_Entry!$R$3:$R$548,MATCH($X397,INDEX(LLM_Data_Entry!$A$3:$A$548&amp;"|"&amp;LLM_Data_Entry!$C$3:$C$548&amp;"|"&amp;LLM_Data_Entry!$D$3:$D$548,0),0))),"")</f>
        <v>0</v>
      </c>
      <c r="AB397" t="s">
        <v>1122</v>
      </c>
      <c r="AC397" t="s">
        <v>1815</v>
      </c>
      <c r="AD397" t="s">
        <v>660</v>
      </c>
      <c r="AE397">
        <v>148.9889</v>
      </c>
      <c r="AF397" t="s">
        <v>661</v>
      </c>
      <c r="AG397">
        <v>151.1337</v>
      </c>
      <c r="AH397">
        <v>1.4395560417517529E-2</v>
      </c>
      <c r="AI397" t="s">
        <v>579</v>
      </c>
      <c r="AJ397" t="s">
        <v>554</v>
      </c>
      <c r="AK397">
        <v>0</v>
      </c>
      <c r="AL397" t="str">
        <f>IF($A397="","",IFERROR(INDEX(Company_List!$G$3:$G$207,MATCH($A397,Company_List!$A$3:$A$207,0)),"unassigned"))</f>
        <v>P2</v>
      </c>
      <c r="AM397" t="s">
        <v>1822</v>
      </c>
      <c r="AN397" t="s">
        <v>1823</v>
      </c>
      <c r="AO397" t="s">
        <v>560</v>
      </c>
      <c r="AP397" t="str">
        <f>IF($A397="","",IF(COUNTIFS(LLM_Data_Entry!$A$3:$A$548,$A397)&gt;0,"YES","NO"))</f>
        <v>YES</v>
      </c>
      <c r="AQ397" t="str">
        <f>IF($A397="","",IF(COUNTIFS($A$3:$A397,$A397,$C$3:$C397,$C397,$D$3:$D397,$D397)=1,"YES","NO"))</f>
        <v>YES</v>
      </c>
      <c r="AR397" t="str">
        <f>IF($A397="","",IF(AND($C397&amp;"-"&amp;$D397&gt;=Settings!$B$19,$C397&amp;"-"&amp;$D397&lt;=Settings!$B$20),"IN","OUT"))</f>
        <v>IN</v>
      </c>
      <c r="AS397" t="str">
        <f t="shared" si="68"/>
        <v>guidance</v>
      </c>
      <c r="AT397" t="str">
        <f t="shared" si="69"/>
        <v/>
      </c>
      <c r="AU397" t="str">
        <f t="shared" si="70"/>
        <v/>
      </c>
      <c r="AV397" t="str">
        <f>IF(ISNUMBER($AT397),ABS(IF(ISNUMBER($I397),$I397,0)-Settings!$B$24),"")</f>
        <v/>
      </c>
      <c r="AW397" t="str">
        <f t="shared" si="71"/>
        <v/>
      </c>
      <c r="AX397" t="str">
        <f>IF(ISNUMBER($AU397),ABS(IF(ISNUMBER($I397),$I397,0)-Settings!$B$24),"")</f>
        <v/>
      </c>
      <c r="AY397" t="s">
        <v>1183</v>
      </c>
      <c r="AZ397" t="str">
        <f>IF($A397="","",IFERROR(INDEX(Company_List!$H$3:$H$207,MATCH($A397,Company_List!$A$3:$A$207,0)),"unassigned"))</f>
        <v>Energy</v>
      </c>
      <c r="BA397">
        <v>1</v>
      </c>
      <c r="BB397">
        <v>2</v>
      </c>
      <c r="BC397">
        <f>IF($A397="","",IF(COUNTIFS($A$3:$A397,$A397,$C$3:$C397,$C397,$D$3:$D397,$D397,$G$3:$G397,$G397)=1,1,0))</f>
        <v>1</v>
      </c>
      <c r="BD397">
        <v>20</v>
      </c>
      <c r="BE397">
        <v>27</v>
      </c>
      <c r="BF397">
        <v>0.05</v>
      </c>
      <c r="BG397" t="s">
        <v>550</v>
      </c>
      <c r="BH397" t="s">
        <v>550</v>
      </c>
      <c r="BI397" t="s">
        <v>1818</v>
      </c>
      <c r="BJ397" t="s">
        <v>1824</v>
      </c>
      <c r="BK397">
        <f t="shared" si="72"/>
        <v>0</v>
      </c>
      <c r="BL397" t="s">
        <v>1520</v>
      </c>
      <c r="BM397">
        <v>1</v>
      </c>
      <c r="BN397" t="s">
        <v>595</v>
      </c>
      <c r="BO397" t="s">
        <v>596</v>
      </c>
      <c r="BP397" t="s">
        <v>550</v>
      </c>
      <c r="BQ397" t="s">
        <v>562</v>
      </c>
      <c r="BS397" t="s">
        <v>554</v>
      </c>
    </row>
    <row r="398" spans="1:71" x14ac:dyDescent="0.2">
      <c r="A398" s="1" t="s">
        <v>1814</v>
      </c>
      <c r="B398" s="142" t="str">
        <f>IF(A398="","",_xlfn.XLOOKUP(A398, Company_List!$A:$A, Company_List!$B:$B, ""))</f>
        <v>CVX</v>
      </c>
      <c r="C398" s="143">
        <v>2025</v>
      </c>
      <c r="D398" s="143" t="s">
        <v>563</v>
      </c>
      <c r="E398" s="98" t="s">
        <v>538</v>
      </c>
      <c r="F398" s="98" t="s">
        <v>538</v>
      </c>
      <c r="G398" s="143" t="s">
        <v>648</v>
      </c>
      <c r="H398" s="106" t="s">
        <v>540</v>
      </c>
      <c r="I398" s="145">
        <v>0.1</v>
      </c>
      <c r="J398" s="145" t="str">
        <f>IF(OR(I398="",Settings!$B$6=""),"",IF(I398&gt;Settings!$B$6,"BUY",IF(I398&lt;-Settings!$B$6,"SELL","HOLD")))</f>
        <v>HOLD</v>
      </c>
      <c r="K398" s="145">
        <v>27</v>
      </c>
      <c r="L398" s="123">
        <v>45961</v>
      </c>
      <c r="M398" s="140" t="s">
        <v>913</v>
      </c>
      <c r="N398" s="147">
        <v>147.23230000000001</v>
      </c>
      <c r="O398" s="140" t="s">
        <v>1188</v>
      </c>
      <c r="P398" s="145">
        <v>147.76609999999999</v>
      </c>
      <c r="Q398" s="151">
        <f t="shared" si="63"/>
        <v>3.5999999999999999E-3</v>
      </c>
      <c r="R398" s="118" t="str">
        <f>IF(OR(N398="",P398=""),"",IF(Q398&gt;Settings!$B$3/100,"UP",IF(Q398&lt;-Settings!$B$3/100,"DOWN","FLAT")))</f>
        <v>FLAT</v>
      </c>
      <c r="S398" s="118" t="str">
        <f t="shared" si="64"/>
        <v>YES</v>
      </c>
      <c r="T398" s="119">
        <f t="shared" si="65"/>
        <v>0</v>
      </c>
      <c r="U398" s="150">
        <f>IFERROR(IF(OR(J398="",N398="",P398=""),"",IF(T398=0,0,T398*Q398-Settings!$B$4/10000-IF(T398&lt;0,Settings!$B$5/10000,0))),"")</f>
        <v>0</v>
      </c>
      <c r="W398" s="21">
        <f t="shared" si="66"/>
        <v>1620</v>
      </c>
      <c r="X398" s="91" t="str">
        <f t="shared" si="67"/>
        <v>Chevron|2025|Q3</v>
      </c>
      <c r="Y398" s="91" t="str">
        <f>IFERROR(IF($X398="","",INDEX(LLM_Data_Entry!$H$3:$H$548,MATCH($X398,INDEX(LLM_Data_Entry!$A$3:$A$548&amp;"|"&amp;LLM_Data_Entry!$C$3:$C$548&amp;"|"&amp;LLM_Data_Entry!$D$3:$D$548,0),0))),"")</f>
        <v>BUY</v>
      </c>
      <c r="Z398" s="91">
        <f>IFERROR(IF($X398="","",INDEX(LLM_Data_Entry!$R$3:$R$548,MATCH($X398,INDEX(LLM_Data_Entry!$A$3:$A$548&amp;"|"&amp;LLM_Data_Entry!$C$3:$C$548&amp;"|"&amp;LLM_Data_Entry!$D$3:$D$548,0),0))),"")</f>
        <v>0</v>
      </c>
      <c r="AB398" t="s">
        <v>1122</v>
      </c>
      <c r="AC398" t="s">
        <v>1815</v>
      </c>
      <c r="AD398" t="s">
        <v>660</v>
      </c>
      <c r="AE398">
        <v>148.9889</v>
      </c>
      <c r="AF398" t="s">
        <v>661</v>
      </c>
      <c r="AG398">
        <v>151.1337</v>
      </c>
      <c r="AH398">
        <v>1.4395560417517529E-2</v>
      </c>
      <c r="AI398" t="s">
        <v>579</v>
      </c>
      <c r="AJ398" t="s">
        <v>554</v>
      </c>
      <c r="AK398">
        <v>0</v>
      </c>
      <c r="AL398" t="str">
        <f>IF($A398="","",IFERROR(INDEX(Company_List!$G$3:$G$207,MATCH($A398,Company_List!$A$3:$A$207,0)),"unassigned"))</f>
        <v>P2</v>
      </c>
      <c r="AM398" t="s">
        <v>1825</v>
      </c>
      <c r="AN398" t="s">
        <v>1826</v>
      </c>
      <c r="AO398" t="s">
        <v>754</v>
      </c>
      <c r="AP398" t="str">
        <f>IF($A398="","",IF(COUNTIFS(LLM_Data_Entry!$A$3:$A$548,$A398)&gt;0,"YES","NO"))</f>
        <v>YES</v>
      </c>
      <c r="AQ398" t="str">
        <f>IF($A398="","",IF(COUNTIFS($A$3:$A398,$A398,$C$3:$C398,$C398,$D$3:$D398,$D398)=1,"YES","NO"))</f>
        <v>NO</v>
      </c>
      <c r="AR398" t="str">
        <f>IF($A398="","",IF(AND($C398&amp;"-"&amp;$D398&gt;=Settings!$B$19,$C398&amp;"-"&amp;$D398&lt;=Settings!$B$20),"IN","OUT"))</f>
        <v>IN</v>
      </c>
      <c r="AS398" t="str">
        <f t="shared" si="68"/>
        <v>full</v>
      </c>
      <c r="AT398" t="str">
        <f t="shared" si="69"/>
        <v/>
      </c>
      <c r="AU398" t="str">
        <f t="shared" si="70"/>
        <v/>
      </c>
      <c r="AV398" t="str">
        <f>IF(ISNUMBER($AT398),ABS(IF(ISNUMBER($I398),$I398,0)-Settings!$B$24),"")</f>
        <v/>
      </c>
      <c r="AW398" t="str">
        <f t="shared" si="71"/>
        <v/>
      </c>
      <c r="AX398" t="str">
        <f>IF(ISNUMBER($AU398),ABS(IF(ISNUMBER($I398),$I398,0)-Settings!$B$24),"")</f>
        <v/>
      </c>
      <c r="AY398" t="s">
        <v>1183</v>
      </c>
      <c r="AZ398" t="str">
        <f>IF($A398="","",IFERROR(INDEX(Company_List!$H$3:$H$207,MATCH($A398,Company_List!$A$3:$A$207,0)),"unassigned"))</f>
        <v>Energy</v>
      </c>
      <c r="BA398">
        <v>2</v>
      </c>
      <c r="BB398">
        <v>2</v>
      </c>
      <c r="BC398">
        <f>IF($A398="","",IF(COUNTIFS($A$3:$A398,$A398,$C$3:$C398,$C398,$D$3:$D398,$D398,$G$3:$G398,$G398)=1,1,0))</f>
        <v>0</v>
      </c>
      <c r="BD398">
        <v>20</v>
      </c>
      <c r="BE398">
        <v>27</v>
      </c>
      <c r="BF398">
        <v>0.05</v>
      </c>
      <c r="BG398" t="s">
        <v>550</v>
      </c>
      <c r="BH398" t="s">
        <v>550</v>
      </c>
      <c r="BI398" t="s">
        <v>1818</v>
      </c>
      <c r="BJ398" t="s">
        <v>1824</v>
      </c>
      <c r="BK398">
        <f t="shared" si="72"/>
        <v>0</v>
      </c>
      <c r="BL398" t="s">
        <v>1520</v>
      </c>
      <c r="BM398">
        <v>2</v>
      </c>
      <c r="BN398" t="s">
        <v>595</v>
      </c>
      <c r="BO398" t="s">
        <v>596</v>
      </c>
      <c r="BP398" t="s">
        <v>550</v>
      </c>
      <c r="BQ398" t="s">
        <v>562</v>
      </c>
      <c r="BS398" t="s">
        <v>554</v>
      </c>
    </row>
    <row r="399" spans="1:71" x14ac:dyDescent="0.2">
      <c r="A399" s="1" t="s">
        <v>1814</v>
      </c>
      <c r="B399" s="142" t="str">
        <f>IF(A399="","",_xlfn.XLOOKUP(A399, Company_List!$A:$A, Company_List!$B:$B, ""))</f>
        <v>CVX</v>
      </c>
      <c r="C399" s="143">
        <v>2025</v>
      </c>
      <c r="D399" s="143" t="s">
        <v>569</v>
      </c>
      <c r="E399" s="98" t="s">
        <v>647</v>
      </c>
      <c r="F399" s="98" t="s">
        <v>1092</v>
      </c>
      <c r="G399" s="143" t="s">
        <v>648</v>
      </c>
      <c r="H399" s="106" t="s">
        <v>540</v>
      </c>
      <c r="I399" s="145">
        <v>0.15</v>
      </c>
      <c r="J399" s="145" t="str">
        <f>IF(OR(I399="",Settings!$B$6=""),"",IF(I399&gt;Settings!$B$6,"BUY",IF(I399&lt;-Settings!$B$6,"SELL","HOLD")))</f>
        <v>HOLD</v>
      </c>
      <c r="K399" s="145">
        <v>27</v>
      </c>
      <c r="L399" s="123">
        <v>46052</v>
      </c>
      <c r="M399" s="140" t="s">
        <v>891</v>
      </c>
      <c r="N399" s="147">
        <v>163.05690000000001</v>
      </c>
      <c r="O399" s="140" t="s">
        <v>1186</v>
      </c>
      <c r="P399" s="145">
        <v>163.47880000000001</v>
      </c>
      <c r="Q399" s="151">
        <f t="shared" si="63"/>
        <v>2.5999999999999999E-3</v>
      </c>
      <c r="R399" s="118" t="str">
        <f>IF(OR(N399="",P399=""),"",IF(Q399&gt;Settings!$B$3/100,"UP",IF(Q399&lt;-Settings!$B$3/100,"DOWN","FLAT")))</f>
        <v>FLAT</v>
      </c>
      <c r="S399" s="118" t="str">
        <f t="shared" si="64"/>
        <v>YES</v>
      </c>
      <c r="T399" s="119">
        <f t="shared" si="65"/>
        <v>0</v>
      </c>
      <c r="U399" s="150">
        <f>IFERROR(IF(OR(J399="",N399="",P399=""),"",IF(T399=0,0,T399*Q399-Settings!$B$4/10000-IF(T399&lt;0,Settings!$B$5/10000,0))),"")</f>
        <v>0</v>
      </c>
      <c r="W399" s="21">
        <f t="shared" si="66"/>
        <v>1620</v>
      </c>
      <c r="X399" s="91" t="str">
        <f t="shared" si="67"/>
        <v>Chevron|2025|Q4</v>
      </c>
      <c r="Y399" s="91" t="str">
        <f>IFERROR(IF($X399="","",INDEX(LLM_Data_Entry!$H$3:$H$548,MATCH($X399,INDEX(LLM_Data_Entry!$A$3:$A$548&amp;"|"&amp;LLM_Data_Entry!$C$3:$C$548&amp;"|"&amp;LLM_Data_Entry!$D$3:$D$548,0),0))),"")</f>
        <v>HOLD</v>
      </c>
      <c r="Z399" s="91">
        <f>IFERROR(IF($X399="","",INDEX(LLM_Data_Entry!$R$3:$R$548,MATCH($X399,INDEX(LLM_Data_Entry!$A$3:$A$548&amp;"|"&amp;LLM_Data_Entry!$C$3:$C$548&amp;"|"&amp;LLM_Data_Entry!$D$3:$D$548,0),0))),"")</f>
        <v>0</v>
      </c>
      <c r="AB399" t="s">
        <v>1247</v>
      </c>
      <c r="AC399" t="s">
        <v>1815</v>
      </c>
      <c r="AD399" t="s">
        <v>695</v>
      </c>
      <c r="AE399">
        <v>173.59630000000001</v>
      </c>
      <c r="AF399" t="s">
        <v>983</v>
      </c>
      <c r="AG399">
        <v>170.20089999999999</v>
      </c>
      <c r="AH399">
        <v>-1.9559091978079281E-2</v>
      </c>
      <c r="AI399" t="s">
        <v>579</v>
      </c>
      <c r="AJ399" t="s">
        <v>554</v>
      </c>
      <c r="AK399">
        <v>0</v>
      </c>
      <c r="AL399" t="str">
        <f>IF($A399="","",IFERROR(INDEX(Company_List!$G$3:$G$207,MATCH($A399,Company_List!$A$3:$A$207,0)),"unassigned"))</f>
        <v>P2</v>
      </c>
      <c r="AM399" t="s">
        <v>1827</v>
      </c>
      <c r="AN399" t="s">
        <v>1828</v>
      </c>
      <c r="AO399" t="s">
        <v>560</v>
      </c>
      <c r="AP399" t="str">
        <f>IF($A399="","",IF(COUNTIFS(LLM_Data_Entry!$A$3:$A$548,$A399)&gt;0,"YES","NO"))</f>
        <v>YES</v>
      </c>
      <c r="AQ399" t="str">
        <f>IF($A399="","",IF(COUNTIFS($A$3:$A399,$A399,$C$3:$C399,$C399,$D$3:$D399,$D399)=1,"YES","NO"))</f>
        <v>YES</v>
      </c>
      <c r="AR399" t="str">
        <f>IF($A399="","",IF(AND($C399&amp;"-"&amp;$D399&gt;=Settings!$B$19,$C399&amp;"-"&amp;$D399&lt;=Settings!$B$20),"IN","OUT"))</f>
        <v>IN</v>
      </c>
      <c r="AS399" t="str">
        <f t="shared" si="68"/>
        <v>qanda</v>
      </c>
      <c r="AT399" t="str">
        <f t="shared" si="69"/>
        <v/>
      </c>
      <c r="AU399" t="str">
        <f t="shared" si="70"/>
        <v/>
      </c>
      <c r="AV399" t="str">
        <f>IF(ISNUMBER($AT399),ABS(IF(ISNUMBER($I399),$I399,0)-Settings!$B$24),"")</f>
        <v/>
      </c>
      <c r="AW399" t="str">
        <f t="shared" si="71"/>
        <v/>
      </c>
      <c r="AX399" t="str">
        <f>IF(ISNUMBER($AU399),ABS(IF(ISNUMBER($I399),$I399,0)-Settings!$B$24),"")</f>
        <v/>
      </c>
      <c r="AY399" t="s">
        <v>1183</v>
      </c>
      <c r="AZ399" t="str">
        <f>IF($A399="","",IFERROR(INDEX(Company_List!$H$3:$H$207,MATCH($A399,Company_List!$A$3:$A$207,0)),"unassigned"))</f>
        <v>Energy</v>
      </c>
      <c r="BA399">
        <v>1</v>
      </c>
      <c r="BB399">
        <v>2</v>
      </c>
      <c r="BC399">
        <f>IF($A399="","",IF(COUNTIFS($A$3:$A399,$A399,$C$3:$C399,$C399,$D$3:$D399,$D399,$G$3:$G399,$G399)=1,1,0))</f>
        <v>1</v>
      </c>
      <c r="BD399">
        <v>27</v>
      </c>
      <c r="BE399">
        <v>29</v>
      </c>
      <c r="BF399">
        <v>0.15</v>
      </c>
      <c r="BG399" t="s">
        <v>550</v>
      </c>
      <c r="BH399" t="s">
        <v>550</v>
      </c>
      <c r="BI399" t="s">
        <v>1818</v>
      </c>
      <c r="BJ399" t="s">
        <v>1829</v>
      </c>
      <c r="BK399">
        <f t="shared" si="72"/>
        <v>1</v>
      </c>
      <c r="BL399" t="s">
        <v>1520</v>
      </c>
      <c r="BM399">
        <v>1</v>
      </c>
      <c r="BN399" t="s">
        <v>595</v>
      </c>
      <c r="BO399" t="s">
        <v>596</v>
      </c>
      <c r="BP399" t="s">
        <v>550</v>
      </c>
      <c r="BQ399" t="s">
        <v>562</v>
      </c>
      <c r="BS399" t="s">
        <v>554</v>
      </c>
    </row>
    <row r="400" spans="1:71" x14ac:dyDescent="0.2">
      <c r="A400" s="1" t="s">
        <v>1814</v>
      </c>
      <c r="B400" s="142" t="str">
        <f>IF(A400="","",_xlfn.XLOOKUP(A400, Company_List!$A:$A, Company_List!$B:$B, ""))</f>
        <v>CVX</v>
      </c>
      <c r="C400" s="143">
        <v>2025</v>
      </c>
      <c r="D400" s="143" t="s">
        <v>569</v>
      </c>
      <c r="E400" s="98" t="s">
        <v>538</v>
      </c>
      <c r="F400" s="98" t="s">
        <v>538</v>
      </c>
      <c r="G400" s="143" t="s">
        <v>648</v>
      </c>
      <c r="H400" s="106" t="s">
        <v>540</v>
      </c>
      <c r="I400" s="145">
        <v>0.1</v>
      </c>
      <c r="J400" s="145" t="str">
        <f>IF(OR(I400="",Settings!$B$6=""),"",IF(I400&gt;Settings!$B$6,"BUY",IF(I400&lt;-Settings!$B$6,"SELL","HOLD")))</f>
        <v>HOLD</v>
      </c>
      <c r="K400" s="145">
        <v>29</v>
      </c>
      <c r="L400" s="123">
        <v>46052</v>
      </c>
      <c r="M400" s="140" t="s">
        <v>891</v>
      </c>
      <c r="N400" s="147">
        <v>163.05690000000001</v>
      </c>
      <c r="O400" s="140" t="s">
        <v>1186</v>
      </c>
      <c r="P400" s="145">
        <v>163.47880000000001</v>
      </c>
      <c r="Q400" s="151">
        <f t="shared" si="63"/>
        <v>2.5999999999999999E-3</v>
      </c>
      <c r="R400" s="118" t="str">
        <f>IF(OR(N400="",P400=""),"",IF(Q400&gt;Settings!$B$3/100,"UP",IF(Q400&lt;-Settings!$B$3/100,"DOWN","FLAT")))</f>
        <v>FLAT</v>
      </c>
      <c r="S400" s="118" t="str">
        <f t="shared" si="64"/>
        <v>YES</v>
      </c>
      <c r="T400" s="119">
        <f t="shared" si="65"/>
        <v>0</v>
      </c>
      <c r="U400" s="150">
        <f>IFERROR(IF(OR(J400="",N400="",P400=""),"",IF(T400=0,0,T400*Q400-Settings!$B$4/10000-IF(T400&lt;0,Settings!$B$5/10000,0))),"")</f>
        <v>0</v>
      </c>
      <c r="W400" s="21">
        <f t="shared" si="66"/>
        <v>1740</v>
      </c>
      <c r="X400" s="91" t="str">
        <f t="shared" si="67"/>
        <v>Chevron|2025|Q4</v>
      </c>
      <c r="Y400" s="91" t="str">
        <f>IFERROR(IF($X400="","",INDEX(LLM_Data_Entry!$H$3:$H$548,MATCH($X400,INDEX(LLM_Data_Entry!$A$3:$A$548&amp;"|"&amp;LLM_Data_Entry!$C$3:$C$548&amp;"|"&amp;LLM_Data_Entry!$D$3:$D$548,0),0))),"")</f>
        <v>HOLD</v>
      </c>
      <c r="Z400" s="91">
        <f>IFERROR(IF($X400="","",INDEX(LLM_Data_Entry!$R$3:$R$548,MATCH($X400,INDEX(LLM_Data_Entry!$A$3:$A$548&amp;"|"&amp;LLM_Data_Entry!$C$3:$C$548&amp;"|"&amp;LLM_Data_Entry!$D$3:$D$548,0),0))),"")</f>
        <v>0</v>
      </c>
      <c r="AB400" t="s">
        <v>1247</v>
      </c>
      <c r="AC400" t="s">
        <v>1815</v>
      </c>
      <c r="AD400" t="s">
        <v>695</v>
      </c>
      <c r="AE400">
        <v>173.59630000000001</v>
      </c>
      <c r="AF400" t="s">
        <v>983</v>
      </c>
      <c r="AG400">
        <v>170.20089999999999</v>
      </c>
      <c r="AH400">
        <v>-1.9559091978079281E-2</v>
      </c>
      <c r="AI400" t="s">
        <v>579</v>
      </c>
      <c r="AJ400" t="s">
        <v>554</v>
      </c>
      <c r="AK400">
        <v>0</v>
      </c>
      <c r="AL400" t="str">
        <f>IF($A400="","",IFERROR(INDEX(Company_List!$G$3:$G$207,MATCH($A400,Company_List!$A$3:$A$207,0)),"unassigned"))</f>
        <v>P2</v>
      </c>
      <c r="AM400" t="s">
        <v>1830</v>
      </c>
      <c r="AN400" t="s">
        <v>1831</v>
      </c>
      <c r="AO400" t="s">
        <v>754</v>
      </c>
      <c r="AP400" t="str">
        <f>IF($A400="","",IF(COUNTIFS(LLM_Data_Entry!$A$3:$A$548,$A400)&gt;0,"YES","NO"))</f>
        <v>YES</v>
      </c>
      <c r="AQ400" t="str">
        <f>IF($A400="","",IF(COUNTIFS($A$3:$A400,$A400,$C$3:$C400,$C400,$D$3:$D400,$D400)=1,"YES","NO"))</f>
        <v>NO</v>
      </c>
      <c r="AR400" t="str">
        <f>IF($A400="","",IF(AND($C400&amp;"-"&amp;$D400&gt;=Settings!$B$19,$C400&amp;"-"&amp;$D400&lt;=Settings!$B$20),"IN","OUT"))</f>
        <v>IN</v>
      </c>
      <c r="AS400" t="str">
        <f t="shared" si="68"/>
        <v>full</v>
      </c>
      <c r="AT400" t="str">
        <f t="shared" si="69"/>
        <v/>
      </c>
      <c r="AU400" t="str">
        <f t="shared" si="70"/>
        <v/>
      </c>
      <c r="AV400" t="str">
        <f>IF(ISNUMBER($AT400),ABS(IF(ISNUMBER($I400),$I400,0)-Settings!$B$24),"")</f>
        <v/>
      </c>
      <c r="AW400" t="str">
        <f t="shared" si="71"/>
        <v/>
      </c>
      <c r="AX400" t="str">
        <f>IF(ISNUMBER($AU400),ABS(IF(ISNUMBER($I400),$I400,0)-Settings!$B$24),"")</f>
        <v/>
      </c>
      <c r="AY400" t="s">
        <v>1183</v>
      </c>
      <c r="AZ400" t="str">
        <f>IF($A400="","",IFERROR(INDEX(Company_List!$H$3:$H$207,MATCH($A400,Company_List!$A$3:$A$207,0)),"unassigned"))</f>
        <v>Energy</v>
      </c>
      <c r="BA400">
        <v>2</v>
      </c>
      <c r="BB400">
        <v>2</v>
      </c>
      <c r="BC400">
        <f>IF($A400="","",IF(COUNTIFS($A$3:$A400,$A400,$C$3:$C400,$C400,$D$3:$D400,$D400,$G$3:$G400,$G400)=1,1,0))</f>
        <v>0</v>
      </c>
      <c r="BD400">
        <v>27</v>
      </c>
      <c r="BE400">
        <v>29</v>
      </c>
      <c r="BF400">
        <v>0.15</v>
      </c>
      <c r="BG400" t="s">
        <v>550</v>
      </c>
      <c r="BH400" t="s">
        <v>550</v>
      </c>
      <c r="BI400" t="s">
        <v>1818</v>
      </c>
      <c r="BJ400" t="s">
        <v>1829</v>
      </c>
      <c r="BK400">
        <f t="shared" si="72"/>
        <v>1</v>
      </c>
      <c r="BL400" t="s">
        <v>1520</v>
      </c>
      <c r="BM400">
        <v>2</v>
      </c>
      <c r="BN400" t="s">
        <v>595</v>
      </c>
      <c r="BO400" t="s">
        <v>596</v>
      </c>
      <c r="BP400" t="s">
        <v>550</v>
      </c>
      <c r="BQ400" t="s">
        <v>562</v>
      </c>
      <c r="BS400" t="s">
        <v>554</v>
      </c>
    </row>
    <row r="401" spans="1:71" x14ac:dyDescent="0.2">
      <c r="A401" s="1" t="s">
        <v>1814</v>
      </c>
      <c r="B401" s="142" t="str">
        <f>IF(A401="","",_xlfn.XLOOKUP(A401, Company_List!$A:$A, Company_List!$B:$B, ""))</f>
        <v>CVX</v>
      </c>
      <c r="C401" s="143">
        <v>2026</v>
      </c>
      <c r="D401" s="143" t="s">
        <v>537</v>
      </c>
      <c r="E401" s="98" t="s">
        <v>538</v>
      </c>
      <c r="F401" s="98" t="s">
        <v>538</v>
      </c>
      <c r="G401" s="143" t="s">
        <v>648</v>
      </c>
      <c r="H401" s="106" t="s">
        <v>540</v>
      </c>
      <c r="I401" s="145">
        <v>-0.05</v>
      </c>
      <c r="J401" s="145" t="str">
        <f>IF(OR(I401="",Settings!$B$6=""),"",IF(I401&gt;Settings!$B$6,"BUY",IF(I401&lt;-Settings!$B$6,"SELL","HOLD")))</f>
        <v>HOLD</v>
      </c>
      <c r="K401" s="145">
        <v>32</v>
      </c>
      <c r="L401" s="123">
        <v>46143</v>
      </c>
      <c r="M401" s="140" t="s">
        <v>543</v>
      </c>
      <c r="N401" s="147">
        <v>186.44229999999999</v>
      </c>
      <c r="O401" s="140" t="s">
        <v>544</v>
      </c>
      <c r="P401" s="145">
        <v>180.23920000000001</v>
      </c>
      <c r="Q401" s="151">
        <f t="shared" si="63"/>
        <v>-3.3300000000000003E-2</v>
      </c>
      <c r="R401" s="118" t="str">
        <f>IF(OR(N401="",P401=""),"",IF(Q401&gt;Settings!$B$3/100,"UP",IF(Q401&lt;-Settings!$B$3/100,"DOWN","FLAT")))</f>
        <v>DOWN</v>
      </c>
      <c r="S401" s="118" t="str">
        <f t="shared" si="64"/>
        <v>NO</v>
      </c>
      <c r="T401" s="119">
        <f t="shared" si="65"/>
        <v>0</v>
      </c>
      <c r="U401" s="150">
        <f>IFERROR(IF(OR(J401="",N401="",P401=""),"",IF(T401=0,0,T401*Q401-Settings!$B$4/10000-IF(T401&lt;0,Settings!$B$5/10000,0))),"")</f>
        <v>0</v>
      </c>
      <c r="W401" s="21">
        <f t="shared" si="66"/>
        <v>1920</v>
      </c>
      <c r="X401" s="91" t="str">
        <f t="shared" si="67"/>
        <v>Chevron|2026|Q1</v>
      </c>
      <c r="Y401" s="91" t="str">
        <f>IFERROR(IF($X401="","",INDEX(LLM_Data_Entry!$H$3:$H$548,MATCH($X401,INDEX(LLM_Data_Entry!$A$3:$A$548&amp;"|"&amp;LLM_Data_Entry!$C$3:$C$548&amp;"|"&amp;LLM_Data_Entry!$D$3:$D$548,0),0))),"")</f>
        <v>HOLD</v>
      </c>
      <c r="Z401" s="91">
        <f>IFERROR(IF($X401="","",INDEX(LLM_Data_Entry!$R$3:$R$548,MATCH($X401,INDEX(LLM_Data_Entry!$A$3:$A$548&amp;"|"&amp;LLM_Data_Entry!$C$3:$C$548&amp;"|"&amp;LLM_Data_Entry!$D$3:$D$548,0),0))),"")</f>
        <v>0</v>
      </c>
      <c r="AB401" t="s">
        <v>1247</v>
      </c>
      <c r="AC401" t="s">
        <v>1815</v>
      </c>
      <c r="AD401" t="s">
        <v>657</v>
      </c>
      <c r="AE401">
        <v>191.55549999999999</v>
      </c>
      <c r="AF401" t="s">
        <v>1163</v>
      </c>
      <c r="AG401">
        <v>189.56379999999999</v>
      </c>
      <c r="AH401">
        <v>-1.0397784500171141E-2</v>
      </c>
      <c r="AI401" t="s">
        <v>579</v>
      </c>
      <c r="AJ401" t="s">
        <v>554</v>
      </c>
      <c r="AK401">
        <v>0</v>
      </c>
      <c r="AL401" t="str">
        <f>IF($A401="","",IFERROR(INDEX(Company_List!$G$3:$G$207,MATCH($A401,Company_List!$A$3:$A$207,0)),"unassigned"))</f>
        <v>P2</v>
      </c>
      <c r="AM401" t="s">
        <v>1832</v>
      </c>
      <c r="AN401" t="s">
        <v>1833</v>
      </c>
      <c r="AO401" t="s">
        <v>560</v>
      </c>
      <c r="AP401" t="str">
        <f>IF($A401="","",IF(COUNTIFS(LLM_Data_Entry!$A$3:$A$548,$A401)&gt;0,"YES","NO"))</f>
        <v>YES</v>
      </c>
      <c r="AQ401" t="str">
        <f>IF($A401="","",IF(COUNTIFS($A$3:$A401,$A401,$C$3:$C401,$C401,$D$3:$D401,$D401)=1,"YES","NO"))</f>
        <v>YES</v>
      </c>
      <c r="AR401" t="str">
        <f>IF($A401="","",IF(AND($C401&amp;"-"&amp;$D401&gt;=Settings!$B$19,$C401&amp;"-"&amp;$D401&lt;=Settings!$B$20),"IN","OUT"))</f>
        <v>IN</v>
      </c>
      <c r="AS401" t="str">
        <f t="shared" si="68"/>
        <v>full</v>
      </c>
      <c r="AT401" t="str">
        <f t="shared" si="69"/>
        <v/>
      </c>
      <c r="AU401" t="str">
        <f t="shared" si="70"/>
        <v/>
      </c>
      <c r="AV401" t="str">
        <f>IF(ISNUMBER($AT401),ABS(IF(ISNUMBER($I401),$I401,0)-Settings!$B$24),"")</f>
        <v/>
      </c>
      <c r="AW401" t="str">
        <f t="shared" si="71"/>
        <v/>
      </c>
      <c r="AX401" t="str">
        <f>IF(ISNUMBER($AU401),ABS(IF(ISNUMBER($I401),$I401,0)-Settings!$B$24),"")</f>
        <v/>
      </c>
      <c r="AY401" t="s">
        <v>1183</v>
      </c>
      <c r="AZ401" t="str">
        <f>IF($A401="","",IFERROR(INDEX(Company_List!$H$3:$H$207,MATCH($A401,Company_List!$A$3:$A$207,0)),"unassigned"))</f>
        <v>Energy</v>
      </c>
      <c r="BA401">
        <v>1</v>
      </c>
      <c r="BB401">
        <v>1</v>
      </c>
      <c r="BC401">
        <f>IF($A401="","",IF(COUNTIFS($A$3:$A401,$A401,$C$3:$C401,$C401,$D$3:$D401,$D401,$G$3:$G401,$G401)=1,1,0))</f>
        <v>1</v>
      </c>
      <c r="BD401">
        <v>32</v>
      </c>
      <c r="BG401" t="s">
        <v>550</v>
      </c>
      <c r="BH401" t="s">
        <v>550</v>
      </c>
      <c r="BI401" t="s">
        <v>1818</v>
      </c>
      <c r="BJ401" t="s">
        <v>1834</v>
      </c>
      <c r="BK401">
        <f t="shared" si="72"/>
        <v>1</v>
      </c>
      <c r="BL401" t="s">
        <v>1520</v>
      </c>
      <c r="BM401">
        <v>1</v>
      </c>
      <c r="BN401" t="s">
        <v>561</v>
      </c>
      <c r="BO401" t="s">
        <v>561</v>
      </c>
      <c r="BP401" t="s">
        <v>550</v>
      </c>
      <c r="BQ401" t="s">
        <v>562</v>
      </c>
      <c r="BS401" t="s">
        <v>554</v>
      </c>
    </row>
    <row r="402" spans="1:71" x14ac:dyDescent="0.2">
      <c r="A402" s="1" t="s">
        <v>1835</v>
      </c>
      <c r="B402" s="142" t="str">
        <f>IF(A402="","",_xlfn.XLOOKUP(A402, Company_List!$A:$A, Company_List!$B:$B, ""))</f>
        <v>INTC</v>
      </c>
      <c r="C402" s="143">
        <v>2025</v>
      </c>
      <c r="D402" s="143" t="s">
        <v>555</v>
      </c>
      <c r="E402" s="98" t="s">
        <v>1476</v>
      </c>
      <c r="F402" s="98" t="s">
        <v>1086</v>
      </c>
      <c r="G402" s="143" t="s">
        <v>648</v>
      </c>
      <c r="H402" s="106" t="s">
        <v>540</v>
      </c>
      <c r="I402" s="145">
        <v>-0.25</v>
      </c>
      <c r="J402" s="145" t="str">
        <f>IF(OR(I402="",Settings!$B$6=""),"",IF(I402&gt;Settings!$B$6,"BUY",IF(I402&lt;-Settings!$B$6,"SELL","HOLD")))</f>
        <v>SELL</v>
      </c>
      <c r="K402" s="145">
        <v>26</v>
      </c>
      <c r="L402" s="123">
        <v>45862</v>
      </c>
      <c r="M402" s="140" t="s">
        <v>1278</v>
      </c>
      <c r="N402" s="147">
        <v>23.44</v>
      </c>
      <c r="O402" s="140" t="s">
        <v>1279</v>
      </c>
      <c r="P402" s="145">
        <v>23.63</v>
      </c>
      <c r="Q402" s="151">
        <f t="shared" si="63"/>
        <v>8.0999999999999996E-3</v>
      </c>
      <c r="R402" s="118" t="str">
        <f>IF(OR(N402="",P402=""),"",IF(Q402&gt;Settings!$B$3/100,"UP",IF(Q402&lt;-Settings!$B$3/100,"DOWN","FLAT")))</f>
        <v>FLAT</v>
      </c>
      <c r="S402" s="118" t="str">
        <f t="shared" si="64"/>
        <v>NO</v>
      </c>
      <c r="T402" s="119">
        <f t="shared" si="65"/>
        <v>-1</v>
      </c>
      <c r="U402" s="150">
        <f>IFERROR(IF(OR(J402="",N402="",P402=""),"",IF(T402=0,0,T402*Q402-Settings!$B$4/10000-IF(T402&lt;0,Settings!$B$5/10000,0))),"")</f>
        <v>-9.1000000000000004E-3</v>
      </c>
      <c r="W402" s="21">
        <f t="shared" si="66"/>
        <v>1560</v>
      </c>
      <c r="X402" s="91" t="str">
        <f t="shared" si="67"/>
        <v>Intel|2025|Q2</v>
      </c>
      <c r="Y402" s="91" t="str">
        <f>IFERROR(IF($X402="","",INDEX(LLM_Data_Entry!$H$3:$H$548,MATCH($X402,INDEX(LLM_Data_Entry!$A$3:$A$548&amp;"|"&amp;LLM_Data_Entry!$C$3:$C$548&amp;"|"&amp;LLM_Data_Entry!$D$3:$D$548,0),0))),"")</f>
        <v>SELL</v>
      </c>
      <c r="Z402" s="91">
        <f>IFERROR(IF($X402="","",INDEX(LLM_Data_Entry!$R$3:$R$548,MATCH($X402,INDEX(LLM_Data_Entry!$A$3:$A$548&amp;"|"&amp;LLM_Data_Entry!$C$3:$C$548&amp;"|"&amp;LLM_Data_Entry!$D$3:$D$548,0),0))),"")</f>
        <v>0</v>
      </c>
      <c r="AB402" t="s">
        <v>1247</v>
      </c>
      <c r="AC402" t="s">
        <v>1836</v>
      </c>
      <c r="AD402" t="s">
        <v>773</v>
      </c>
      <c r="AE402">
        <v>22.63</v>
      </c>
      <c r="AF402" t="s">
        <v>1049</v>
      </c>
      <c r="AG402">
        <v>20.68</v>
      </c>
      <c r="AH402">
        <v>-8.6168762093184442E-2</v>
      </c>
      <c r="AI402" t="s">
        <v>545</v>
      </c>
      <c r="AJ402" t="s">
        <v>554</v>
      </c>
      <c r="AK402">
        <v>8.5168999999999995E-2</v>
      </c>
      <c r="AL402" t="str">
        <f>IF($A402="","",IFERROR(INDEX(Company_List!$G$3:$G$207,MATCH($A402,Company_List!$A$3:$A$207,0)),"unassigned"))</f>
        <v>P2</v>
      </c>
      <c r="AM402" t="s">
        <v>1837</v>
      </c>
      <c r="AN402" t="s">
        <v>1838</v>
      </c>
      <c r="AO402" t="s">
        <v>560</v>
      </c>
      <c r="AP402" t="str">
        <f>IF($A402="","",IF(COUNTIFS(LLM_Data_Entry!$A$3:$A$548,$A402)&gt;0,"YES","NO"))</f>
        <v>YES</v>
      </c>
      <c r="AQ402" t="str">
        <f>IF($A402="","",IF(COUNTIFS($A$3:$A402,$A402,$C$3:$C402,$C402,$D$3:$D402,$D402)=1,"YES","NO"))</f>
        <v>YES</v>
      </c>
      <c r="AR402" t="str">
        <f>IF($A402="","",IF(AND($C402&amp;"-"&amp;$D402&gt;=Settings!$B$19,$C402&amp;"-"&amp;$D402&lt;=Settings!$B$20),"IN","OUT"))</f>
        <v>IN</v>
      </c>
      <c r="AS402" t="str">
        <f t="shared" si="68"/>
        <v>financials</v>
      </c>
      <c r="AT402">
        <f t="shared" si="69"/>
        <v>-9.1000000000000004E-3</v>
      </c>
      <c r="AU402">
        <f t="shared" si="70"/>
        <v>8.5168999999999995E-2</v>
      </c>
      <c r="AV402">
        <f>IF(ISNUMBER($AT402),ABS(IF(ISNUMBER($I402),$I402,0)-Settings!$B$24),"")</f>
        <v>0.25</v>
      </c>
      <c r="AW402">
        <f t="shared" si="71"/>
        <v>-2.2750000000000001E-3</v>
      </c>
      <c r="AX402">
        <f>IF(ISNUMBER($AU402),ABS(IF(ISNUMBER($I402),$I402,0)-Settings!$B$24),"")</f>
        <v>0.25</v>
      </c>
      <c r="AY402" t="s">
        <v>1183</v>
      </c>
      <c r="AZ402" t="str">
        <f>IF($A402="","",IFERROR(INDEX(Company_List!$H$3:$H$207,MATCH($A402,Company_List!$A$3:$A$207,0)),"unassigned"))</f>
        <v>Information Technology</v>
      </c>
      <c r="BA402">
        <v>1</v>
      </c>
      <c r="BB402">
        <v>2</v>
      </c>
      <c r="BC402">
        <f>IF($A402="","",IF(COUNTIFS($A$3:$A402,$A402,$C$3:$C402,$C402,$D$3:$D402,$D402,$G$3:$G402,$G402)=1,1,0))</f>
        <v>1</v>
      </c>
      <c r="BD402">
        <v>26</v>
      </c>
      <c r="BE402">
        <v>31</v>
      </c>
      <c r="BF402">
        <v>-0.25</v>
      </c>
      <c r="BG402" t="s">
        <v>550</v>
      </c>
      <c r="BH402" t="s">
        <v>550</v>
      </c>
      <c r="BI402" t="s">
        <v>1839</v>
      </c>
      <c r="BJ402" t="s">
        <v>1840</v>
      </c>
      <c r="BK402">
        <f t="shared" si="72"/>
        <v>1</v>
      </c>
      <c r="BL402" t="s">
        <v>1520</v>
      </c>
      <c r="BM402">
        <v>1</v>
      </c>
      <c r="BN402" t="s">
        <v>561</v>
      </c>
      <c r="BO402" t="s">
        <v>561</v>
      </c>
      <c r="BP402" t="s">
        <v>756</v>
      </c>
      <c r="BQ402" t="s">
        <v>562</v>
      </c>
      <c r="BS402" t="s">
        <v>554</v>
      </c>
    </row>
    <row r="403" spans="1:71" x14ac:dyDescent="0.2">
      <c r="A403" s="1" t="s">
        <v>1835</v>
      </c>
      <c r="B403" s="142" t="str">
        <f>IF(A403="","",_xlfn.XLOOKUP(A403, Company_List!$A:$A, Company_List!$B:$B, ""))</f>
        <v>INTC</v>
      </c>
      <c r="C403" s="143">
        <v>2025</v>
      </c>
      <c r="D403" s="143" t="s">
        <v>555</v>
      </c>
      <c r="E403" s="98" t="s">
        <v>538</v>
      </c>
      <c r="F403" s="98" t="s">
        <v>538</v>
      </c>
      <c r="G403" s="143" t="s">
        <v>648</v>
      </c>
      <c r="H403" s="106" t="s">
        <v>540</v>
      </c>
      <c r="I403" s="145">
        <v>-0.3</v>
      </c>
      <c r="J403" s="145" t="str">
        <f>IF(OR(I403="",Settings!$B$6=""),"",IF(I403&gt;Settings!$B$6,"BUY",IF(I403&lt;-Settings!$B$6,"SELL","HOLD")))</f>
        <v>SELL</v>
      </c>
      <c r="K403" s="145">
        <v>31</v>
      </c>
      <c r="L403" s="123">
        <v>45862</v>
      </c>
      <c r="M403" s="140" t="s">
        <v>1278</v>
      </c>
      <c r="N403" s="147">
        <v>23.44</v>
      </c>
      <c r="O403" s="140" t="s">
        <v>1279</v>
      </c>
      <c r="P403" s="145">
        <v>23.63</v>
      </c>
      <c r="Q403" s="151">
        <f t="shared" si="63"/>
        <v>8.0999999999999996E-3</v>
      </c>
      <c r="R403" s="118" t="str">
        <f>IF(OR(N403="",P403=""),"",IF(Q403&gt;Settings!$B$3/100,"UP",IF(Q403&lt;-Settings!$B$3/100,"DOWN","FLAT")))</f>
        <v>FLAT</v>
      </c>
      <c r="S403" s="118" t="str">
        <f t="shared" si="64"/>
        <v>NO</v>
      </c>
      <c r="T403" s="119">
        <f t="shared" si="65"/>
        <v>-1</v>
      </c>
      <c r="U403" s="150">
        <f>IFERROR(IF(OR(J403="",N403="",P403=""),"",IF(T403=0,0,T403*Q403-Settings!$B$4/10000-IF(T403&lt;0,Settings!$B$5/10000,0))),"")</f>
        <v>-9.1000000000000004E-3</v>
      </c>
      <c r="W403" s="21">
        <f t="shared" si="66"/>
        <v>1860</v>
      </c>
      <c r="X403" s="91" t="str">
        <f t="shared" si="67"/>
        <v>Intel|2025|Q2</v>
      </c>
      <c r="Y403" s="91" t="str">
        <f>IFERROR(IF($X403="","",INDEX(LLM_Data_Entry!$H$3:$H$548,MATCH($X403,INDEX(LLM_Data_Entry!$A$3:$A$548&amp;"|"&amp;LLM_Data_Entry!$C$3:$C$548&amp;"|"&amp;LLM_Data_Entry!$D$3:$D$548,0),0))),"")</f>
        <v>SELL</v>
      </c>
      <c r="Z403" s="91">
        <f>IFERROR(IF($X403="","",INDEX(LLM_Data_Entry!$R$3:$R$548,MATCH($X403,INDEX(LLM_Data_Entry!$A$3:$A$548&amp;"|"&amp;LLM_Data_Entry!$C$3:$C$548&amp;"|"&amp;LLM_Data_Entry!$D$3:$D$548,0),0))),"")</f>
        <v>0</v>
      </c>
      <c r="AB403" t="s">
        <v>1247</v>
      </c>
      <c r="AC403" t="s">
        <v>1836</v>
      </c>
      <c r="AD403" t="s">
        <v>773</v>
      </c>
      <c r="AE403">
        <v>22.63</v>
      </c>
      <c r="AF403" t="s">
        <v>1049</v>
      </c>
      <c r="AG403">
        <v>20.68</v>
      </c>
      <c r="AH403">
        <v>-8.6168762093184442E-2</v>
      </c>
      <c r="AI403" t="s">
        <v>545</v>
      </c>
      <c r="AJ403" t="s">
        <v>554</v>
      </c>
      <c r="AK403">
        <v>8.5168999999999995E-2</v>
      </c>
      <c r="AL403" t="str">
        <f>IF($A403="","",IFERROR(INDEX(Company_List!$G$3:$G$207,MATCH($A403,Company_List!$A$3:$A$207,0)),"unassigned"))</f>
        <v>P2</v>
      </c>
      <c r="AM403" t="s">
        <v>1841</v>
      </c>
      <c r="AN403" t="s">
        <v>1842</v>
      </c>
      <c r="AO403" t="s">
        <v>754</v>
      </c>
      <c r="AP403" t="str">
        <f>IF($A403="","",IF(COUNTIFS(LLM_Data_Entry!$A$3:$A$548,$A403)&gt;0,"YES","NO"))</f>
        <v>YES</v>
      </c>
      <c r="AQ403" t="str">
        <f>IF($A403="","",IF(COUNTIFS($A$3:$A403,$A403,$C$3:$C403,$C403,$D$3:$D403,$D403)=1,"YES","NO"))</f>
        <v>NO</v>
      </c>
      <c r="AR403" t="str">
        <f>IF($A403="","",IF(AND($C403&amp;"-"&amp;$D403&gt;=Settings!$B$19,$C403&amp;"-"&amp;$D403&lt;=Settings!$B$20),"IN","OUT"))</f>
        <v>IN</v>
      </c>
      <c r="AS403" t="str">
        <f t="shared" si="68"/>
        <v>full</v>
      </c>
      <c r="AT403">
        <f t="shared" si="69"/>
        <v>-9.1000000000000004E-3</v>
      </c>
      <c r="AU403">
        <f t="shared" si="70"/>
        <v>8.5168999999999995E-2</v>
      </c>
      <c r="AV403">
        <f>IF(ISNUMBER($AT403),ABS(IF(ISNUMBER($I403),$I403,0)-Settings!$B$24),"")</f>
        <v>0.3</v>
      </c>
      <c r="AW403">
        <f t="shared" si="71"/>
        <v>-2.7300000000000002E-3</v>
      </c>
      <c r="AX403">
        <f>IF(ISNUMBER($AU403),ABS(IF(ISNUMBER($I403),$I403,0)-Settings!$B$24),"")</f>
        <v>0.3</v>
      </c>
      <c r="AY403" t="s">
        <v>1183</v>
      </c>
      <c r="AZ403" t="str">
        <f>IF($A403="","",IFERROR(INDEX(Company_List!$H$3:$H$207,MATCH($A403,Company_List!$A$3:$A$207,0)),"unassigned"))</f>
        <v>Information Technology</v>
      </c>
      <c r="BA403">
        <v>2</v>
      </c>
      <c r="BB403">
        <v>2</v>
      </c>
      <c r="BC403">
        <f>IF($A403="","",IF(COUNTIFS($A$3:$A403,$A403,$C$3:$C403,$C403,$D$3:$D403,$D403,$G$3:$G403,$G403)=1,1,0))</f>
        <v>0</v>
      </c>
      <c r="BD403">
        <v>26</v>
      </c>
      <c r="BE403">
        <v>31</v>
      </c>
      <c r="BF403">
        <v>-0.25</v>
      </c>
      <c r="BG403" t="s">
        <v>550</v>
      </c>
      <c r="BH403" t="s">
        <v>550</v>
      </c>
      <c r="BI403" t="s">
        <v>1839</v>
      </c>
      <c r="BJ403" t="s">
        <v>1840</v>
      </c>
      <c r="BK403">
        <f t="shared" si="72"/>
        <v>1</v>
      </c>
      <c r="BL403" t="s">
        <v>1520</v>
      </c>
      <c r="BM403">
        <v>2</v>
      </c>
      <c r="BN403" t="s">
        <v>561</v>
      </c>
      <c r="BO403" t="s">
        <v>561</v>
      </c>
      <c r="BP403" t="s">
        <v>1023</v>
      </c>
      <c r="BQ403" t="s">
        <v>562</v>
      </c>
      <c r="BS403" t="s">
        <v>554</v>
      </c>
    </row>
    <row r="404" spans="1:71" x14ac:dyDescent="0.2">
      <c r="A404" s="1" t="s">
        <v>1835</v>
      </c>
      <c r="B404" s="142" t="str">
        <f>IF(A404="","",_xlfn.XLOOKUP(A404, Company_List!$A:$A, Company_List!$B:$B, ""))</f>
        <v>INTC</v>
      </c>
      <c r="C404" s="143">
        <v>2025</v>
      </c>
      <c r="D404" s="143" t="s">
        <v>563</v>
      </c>
      <c r="E404" s="98" t="s">
        <v>647</v>
      </c>
      <c r="F404" s="98" t="s">
        <v>1090</v>
      </c>
      <c r="G404" s="143" t="s">
        <v>648</v>
      </c>
      <c r="H404" s="106" t="s">
        <v>540</v>
      </c>
      <c r="I404" s="145">
        <v>-0.3</v>
      </c>
      <c r="J404" s="145" t="str">
        <f>IF(OR(I404="",Settings!$B$6=""),"",IF(I404&gt;Settings!$B$6,"BUY",IF(I404&lt;-Settings!$B$6,"SELL","HOLD")))</f>
        <v>SELL</v>
      </c>
      <c r="K404" s="145">
        <v>24</v>
      </c>
      <c r="L404" s="123">
        <v>45953</v>
      </c>
      <c r="M404" s="140" t="s">
        <v>1282</v>
      </c>
      <c r="N404" s="147">
        <v>37.43</v>
      </c>
      <c r="O404" s="140" t="s">
        <v>1283</v>
      </c>
      <c r="P404" s="145">
        <v>37.53</v>
      </c>
      <c r="Q404" s="151">
        <f t="shared" si="63"/>
        <v>2.7000000000000001E-3</v>
      </c>
      <c r="R404" s="118" t="str">
        <f>IF(OR(N404="",P404=""),"",IF(Q404&gt;Settings!$B$3/100,"UP",IF(Q404&lt;-Settings!$B$3/100,"DOWN","FLAT")))</f>
        <v>FLAT</v>
      </c>
      <c r="S404" s="118" t="str">
        <f t="shared" si="64"/>
        <v>NO</v>
      </c>
      <c r="T404" s="119">
        <f t="shared" si="65"/>
        <v>-1</v>
      </c>
      <c r="U404" s="150">
        <f>IFERROR(IF(OR(J404="",N404="",P404=""),"",IF(T404=0,0,T404*Q404-Settings!$B$4/10000-IF(T404&lt;0,Settings!$B$5/10000,0))),"")</f>
        <v>-3.7000000000000002E-3</v>
      </c>
      <c r="W404" s="21">
        <f t="shared" si="66"/>
        <v>1440</v>
      </c>
      <c r="X404" s="91" t="str">
        <f t="shared" si="67"/>
        <v>Intel|2025|Q3</v>
      </c>
      <c r="Y404" s="91" t="str">
        <f>IFERROR(IF($X404="","",INDEX(LLM_Data_Entry!$H$3:$H$548,MATCH($X404,INDEX(LLM_Data_Entry!$A$3:$A$548&amp;"|"&amp;LLM_Data_Entry!$C$3:$C$548&amp;"|"&amp;LLM_Data_Entry!$D$3:$D$548,0),0))),"")</f>
        <v>BUY</v>
      </c>
      <c r="Z404" s="91">
        <f>IFERROR(IF($X404="","",INDEX(LLM_Data_Entry!$R$3:$R$548,MATCH($X404,INDEX(LLM_Data_Entry!$A$3:$A$548&amp;"|"&amp;LLM_Data_Entry!$C$3:$C$548&amp;"|"&amp;LLM_Data_Entry!$D$3:$D$548,0),0))),"")</f>
        <v>0</v>
      </c>
      <c r="AB404" t="s">
        <v>1247</v>
      </c>
      <c r="AC404" t="s">
        <v>1836</v>
      </c>
      <c r="AD404" t="s">
        <v>971</v>
      </c>
      <c r="AE404">
        <v>38.159999999999997</v>
      </c>
      <c r="AF404" t="s">
        <v>1715</v>
      </c>
      <c r="AG404">
        <v>40.020000000000003</v>
      </c>
      <c r="AH404">
        <v>4.8742138364780051E-2</v>
      </c>
      <c r="AI404" t="s">
        <v>591</v>
      </c>
      <c r="AJ404" t="s">
        <v>546</v>
      </c>
      <c r="AK404">
        <v>-4.9742000000000001E-2</v>
      </c>
      <c r="AL404" t="str">
        <f>IF($A404="","",IFERROR(INDEX(Company_List!$G$3:$G$207,MATCH($A404,Company_List!$A$3:$A$207,0)),"unassigned"))</f>
        <v>P2</v>
      </c>
      <c r="AM404" t="s">
        <v>1843</v>
      </c>
      <c r="AN404" t="s">
        <v>1844</v>
      </c>
      <c r="AO404" t="s">
        <v>560</v>
      </c>
      <c r="AP404" t="str">
        <f>IF($A404="","",IF(COUNTIFS(LLM_Data_Entry!$A$3:$A$548,$A404)&gt;0,"YES","NO"))</f>
        <v>YES</v>
      </c>
      <c r="AQ404" t="str">
        <f>IF($A404="","",IF(COUNTIFS($A$3:$A404,$A404,$C$3:$C404,$C404,$D$3:$D404,$D404)=1,"YES","NO"))</f>
        <v>YES</v>
      </c>
      <c r="AR404" t="str">
        <f>IF($A404="","",IF(AND($C404&amp;"-"&amp;$D404&gt;=Settings!$B$19,$C404&amp;"-"&amp;$D404&lt;=Settings!$B$20),"IN","OUT"))</f>
        <v>IN</v>
      </c>
      <c r="AS404" t="str">
        <f t="shared" si="68"/>
        <v>guidance</v>
      </c>
      <c r="AT404">
        <f t="shared" si="69"/>
        <v>-3.7000000000000002E-3</v>
      </c>
      <c r="AU404">
        <f t="shared" si="70"/>
        <v>-4.9742000000000001E-2</v>
      </c>
      <c r="AV404">
        <f>IF(ISNUMBER($AT404),ABS(IF(ISNUMBER($I404),$I404,0)-Settings!$B$24),"")</f>
        <v>0.3</v>
      </c>
      <c r="AW404">
        <f t="shared" si="71"/>
        <v>-1.1100000000000001E-3</v>
      </c>
      <c r="AX404">
        <f>IF(ISNUMBER($AU404),ABS(IF(ISNUMBER($I404),$I404,0)-Settings!$B$24),"")</f>
        <v>0.3</v>
      </c>
      <c r="AY404" t="s">
        <v>1183</v>
      </c>
      <c r="AZ404" t="str">
        <f>IF($A404="","",IFERROR(INDEX(Company_List!$H$3:$H$207,MATCH($A404,Company_List!$A$3:$A$207,0)),"unassigned"))</f>
        <v>Information Technology</v>
      </c>
      <c r="BA404">
        <v>1</v>
      </c>
      <c r="BB404">
        <v>2</v>
      </c>
      <c r="BC404">
        <f>IF($A404="","",IF(COUNTIFS($A$3:$A404,$A404,$C$3:$C404,$C404,$D$3:$D404,$D404,$G$3:$G404,$G404)=1,1,0))</f>
        <v>1</v>
      </c>
      <c r="BD404">
        <v>24</v>
      </c>
      <c r="BE404">
        <v>33</v>
      </c>
      <c r="BF404">
        <v>-0.3</v>
      </c>
      <c r="BG404" t="s">
        <v>550</v>
      </c>
      <c r="BH404" t="s">
        <v>550</v>
      </c>
      <c r="BI404" t="s">
        <v>1839</v>
      </c>
      <c r="BJ404" t="s">
        <v>1845</v>
      </c>
      <c r="BK404">
        <f t="shared" si="72"/>
        <v>0</v>
      </c>
      <c r="BL404" t="s">
        <v>1520</v>
      </c>
      <c r="BM404">
        <v>1</v>
      </c>
      <c r="BN404" t="s">
        <v>595</v>
      </c>
      <c r="BO404" t="s">
        <v>596</v>
      </c>
      <c r="BP404" t="s">
        <v>550</v>
      </c>
      <c r="BQ404" t="s">
        <v>562</v>
      </c>
      <c r="BS404" t="s">
        <v>554</v>
      </c>
    </row>
    <row r="405" spans="1:71" x14ac:dyDescent="0.2">
      <c r="A405" s="1" t="s">
        <v>1835</v>
      </c>
      <c r="B405" s="142" t="str">
        <f>IF(A405="","",_xlfn.XLOOKUP(A405, Company_List!$A:$A, Company_List!$B:$B, ""))</f>
        <v>INTC</v>
      </c>
      <c r="C405" s="143">
        <v>2025</v>
      </c>
      <c r="D405" s="143" t="s">
        <v>563</v>
      </c>
      <c r="E405" s="98" t="s">
        <v>538</v>
      </c>
      <c r="F405" s="98" t="s">
        <v>538</v>
      </c>
      <c r="G405" s="143" t="s">
        <v>648</v>
      </c>
      <c r="H405" s="106" t="s">
        <v>540</v>
      </c>
      <c r="I405" s="145">
        <v>0.15</v>
      </c>
      <c r="J405" s="145" t="str">
        <f>IF(OR(I405="",Settings!$B$6=""),"",IF(I405&gt;Settings!$B$6,"BUY",IF(I405&lt;-Settings!$B$6,"SELL","HOLD")))</f>
        <v>HOLD</v>
      </c>
      <c r="K405" s="145">
        <v>33</v>
      </c>
      <c r="L405" s="123">
        <v>45953</v>
      </c>
      <c r="M405" s="140" t="s">
        <v>1282</v>
      </c>
      <c r="N405" s="147">
        <v>37.43</v>
      </c>
      <c r="O405" s="140" t="s">
        <v>1283</v>
      </c>
      <c r="P405" s="145">
        <v>37.53</v>
      </c>
      <c r="Q405" s="151">
        <f t="shared" si="63"/>
        <v>2.7000000000000001E-3</v>
      </c>
      <c r="R405" s="118" t="str">
        <f>IF(OR(N405="",P405=""),"",IF(Q405&gt;Settings!$B$3/100,"UP",IF(Q405&lt;-Settings!$B$3/100,"DOWN","FLAT")))</f>
        <v>FLAT</v>
      </c>
      <c r="S405" s="118" t="str">
        <f t="shared" si="64"/>
        <v>YES</v>
      </c>
      <c r="T405" s="119">
        <f t="shared" si="65"/>
        <v>0</v>
      </c>
      <c r="U405" s="150">
        <f>IFERROR(IF(OR(J405="",N405="",P405=""),"",IF(T405=0,0,T405*Q405-Settings!$B$4/10000-IF(T405&lt;0,Settings!$B$5/10000,0))),"")</f>
        <v>0</v>
      </c>
      <c r="W405" s="21">
        <f t="shared" si="66"/>
        <v>1980</v>
      </c>
      <c r="X405" s="91" t="str">
        <f t="shared" si="67"/>
        <v>Intel|2025|Q3</v>
      </c>
      <c r="Y405" s="91" t="str">
        <f>IFERROR(IF($X405="","",INDEX(LLM_Data_Entry!$H$3:$H$548,MATCH($X405,INDEX(LLM_Data_Entry!$A$3:$A$548&amp;"|"&amp;LLM_Data_Entry!$C$3:$C$548&amp;"|"&amp;LLM_Data_Entry!$D$3:$D$548,0),0))),"")</f>
        <v>BUY</v>
      </c>
      <c r="Z405" s="91">
        <f>IFERROR(IF($X405="","",INDEX(LLM_Data_Entry!$R$3:$R$548,MATCH($X405,INDEX(LLM_Data_Entry!$A$3:$A$548&amp;"|"&amp;LLM_Data_Entry!$C$3:$C$548&amp;"|"&amp;LLM_Data_Entry!$D$3:$D$548,0),0))),"")</f>
        <v>0</v>
      </c>
      <c r="AB405" t="s">
        <v>1247</v>
      </c>
      <c r="AC405" t="s">
        <v>1836</v>
      </c>
      <c r="AD405" t="s">
        <v>971</v>
      </c>
      <c r="AE405">
        <v>38.159999999999997</v>
      </c>
      <c r="AF405" t="s">
        <v>1715</v>
      </c>
      <c r="AG405">
        <v>40.020000000000003</v>
      </c>
      <c r="AH405">
        <v>4.8742138364780051E-2</v>
      </c>
      <c r="AI405" t="s">
        <v>591</v>
      </c>
      <c r="AJ405" t="s">
        <v>546</v>
      </c>
      <c r="AK405">
        <v>0</v>
      </c>
      <c r="AL405" t="str">
        <f>IF($A405="","",IFERROR(INDEX(Company_List!$G$3:$G$207,MATCH($A405,Company_List!$A$3:$A$207,0)),"unassigned"))</f>
        <v>P2</v>
      </c>
      <c r="AM405" t="s">
        <v>1846</v>
      </c>
      <c r="AN405" t="s">
        <v>1847</v>
      </c>
      <c r="AO405" t="s">
        <v>754</v>
      </c>
      <c r="AP405" t="str">
        <f>IF($A405="","",IF(COUNTIFS(LLM_Data_Entry!$A$3:$A$548,$A405)&gt;0,"YES","NO"))</f>
        <v>YES</v>
      </c>
      <c r="AQ405" t="str">
        <f>IF($A405="","",IF(COUNTIFS($A$3:$A405,$A405,$C$3:$C405,$C405,$D$3:$D405,$D405)=1,"YES","NO"))</f>
        <v>NO</v>
      </c>
      <c r="AR405" t="str">
        <f>IF($A405="","",IF(AND($C405&amp;"-"&amp;$D405&gt;=Settings!$B$19,$C405&amp;"-"&amp;$D405&lt;=Settings!$B$20),"IN","OUT"))</f>
        <v>IN</v>
      </c>
      <c r="AS405" t="str">
        <f t="shared" si="68"/>
        <v>full</v>
      </c>
      <c r="AT405" t="str">
        <f t="shared" si="69"/>
        <v/>
      </c>
      <c r="AU405" t="str">
        <f t="shared" si="70"/>
        <v/>
      </c>
      <c r="AV405" t="str">
        <f>IF(ISNUMBER($AT405),ABS(IF(ISNUMBER($I405),$I405,0)-Settings!$B$24),"")</f>
        <v/>
      </c>
      <c r="AW405" t="str">
        <f t="shared" si="71"/>
        <v/>
      </c>
      <c r="AX405" t="str">
        <f>IF(ISNUMBER($AU405),ABS(IF(ISNUMBER($I405),$I405,0)-Settings!$B$24),"")</f>
        <v/>
      </c>
      <c r="AY405" t="s">
        <v>1183</v>
      </c>
      <c r="AZ405" t="str">
        <f>IF($A405="","",IFERROR(INDEX(Company_List!$H$3:$H$207,MATCH($A405,Company_List!$A$3:$A$207,0)),"unassigned"))</f>
        <v>Information Technology</v>
      </c>
      <c r="BA405">
        <v>2</v>
      </c>
      <c r="BB405">
        <v>2</v>
      </c>
      <c r="BC405">
        <f>IF($A405="","",IF(COUNTIFS($A$3:$A405,$A405,$C$3:$C405,$C405,$D$3:$D405,$D405,$G$3:$G405,$G405)=1,1,0))</f>
        <v>0</v>
      </c>
      <c r="BD405">
        <v>24</v>
      </c>
      <c r="BE405">
        <v>33</v>
      </c>
      <c r="BF405">
        <v>-0.3</v>
      </c>
      <c r="BG405" t="s">
        <v>550</v>
      </c>
      <c r="BH405" t="s">
        <v>550</v>
      </c>
      <c r="BI405" t="s">
        <v>1839</v>
      </c>
      <c r="BJ405" t="s">
        <v>1845</v>
      </c>
      <c r="BK405">
        <f t="shared" si="72"/>
        <v>0</v>
      </c>
      <c r="BL405" t="s">
        <v>1520</v>
      </c>
      <c r="BM405">
        <v>2</v>
      </c>
      <c r="BN405" t="s">
        <v>595</v>
      </c>
      <c r="BO405" t="s">
        <v>596</v>
      </c>
      <c r="BP405" t="s">
        <v>550</v>
      </c>
      <c r="BQ405" t="s">
        <v>562</v>
      </c>
      <c r="BS405" t="s">
        <v>554</v>
      </c>
    </row>
    <row r="406" spans="1:71" x14ac:dyDescent="0.2">
      <c r="A406" s="1" t="s">
        <v>1835</v>
      </c>
      <c r="B406" s="142" t="str">
        <f>IF(A406="","",_xlfn.XLOOKUP(A406, Company_List!$A:$A, Company_List!$B:$B, ""))</f>
        <v>INTC</v>
      </c>
      <c r="C406" s="143">
        <v>2025</v>
      </c>
      <c r="D406" s="143" t="s">
        <v>569</v>
      </c>
      <c r="E406" s="98" t="s">
        <v>647</v>
      </c>
      <c r="F406" s="98" t="s">
        <v>1092</v>
      </c>
      <c r="G406" s="143" t="s">
        <v>648</v>
      </c>
      <c r="H406" s="106" t="s">
        <v>540</v>
      </c>
      <c r="I406" s="145">
        <v>0.2</v>
      </c>
      <c r="J406" s="145" t="str">
        <f>IF(OR(I406="",Settings!$B$6=""),"",IF(I406&gt;Settings!$B$6,"BUY",IF(I406&lt;-Settings!$B$6,"SELL","HOLD")))</f>
        <v>HOLD</v>
      </c>
      <c r="K406" s="145">
        <v>22</v>
      </c>
      <c r="L406" s="123">
        <v>46044</v>
      </c>
      <c r="M406" s="140" t="s">
        <v>1557</v>
      </c>
      <c r="N406" s="147">
        <v>42.63</v>
      </c>
      <c r="O406" s="140" t="s">
        <v>1558</v>
      </c>
      <c r="P406" s="145">
        <v>42.62</v>
      </c>
      <c r="Q406" s="151">
        <f t="shared" si="63"/>
        <v>-2.0000000000000001E-4</v>
      </c>
      <c r="R406" s="118" t="str">
        <f>IF(OR(N406="",P406=""),"",IF(Q406&gt;Settings!$B$3/100,"UP",IF(Q406&lt;-Settings!$B$3/100,"DOWN","FLAT")))</f>
        <v>FLAT</v>
      </c>
      <c r="S406" s="118" t="str">
        <f t="shared" si="64"/>
        <v>YES</v>
      </c>
      <c r="T406" s="119">
        <f t="shared" si="65"/>
        <v>0</v>
      </c>
      <c r="U406" s="150">
        <f>IFERROR(IF(OR(J406="",N406="",P406=""),"",IF(T406=0,0,T406*Q406-Settings!$B$4/10000-IF(T406&lt;0,Settings!$B$5/10000,0))),"")</f>
        <v>0</v>
      </c>
      <c r="W406" s="21">
        <f t="shared" si="66"/>
        <v>1320</v>
      </c>
      <c r="X406" s="91" t="str">
        <f t="shared" si="67"/>
        <v>Intel|2025|Q4</v>
      </c>
      <c r="Y406" s="91" t="str">
        <f>IFERROR(IF($X406="","",INDEX(LLM_Data_Entry!$H$3:$H$548,MATCH($X406,INDEX(LLM_Data_Entry!$A$3:$A$548&amp;"|"&amp;LLM_Data_Entry!$C$3:$C$548&amp;"|"&amp;LLM_Data_Entry!$D$3:$D$548,0),0))),"")</f>
        <v>HOLD</v>
      </c>
      <c r="Z406" s="91">
        <f>IFERROR(IF($X406="","",INDEX(LLM_Data_Entry!$R$3:$R$548,MATCH($X406,INDEX(LLM_Data_Entry!$A$3:$A$548&amp;"|"&amp;LLM_Data_Entry!$C$3:$C$548&amp;"|"&amp;LLM_Data_Entry!$D$3:$D$548,0),0))),"")</f>
        <v>0</v>
      </c>
      <c r="AB406" t="s">
        <v>1247</v>
      </c>
      <c r="AC406" t="s">
        <v>1836</v>
      </c>
      <c r="AD406" t="s">
        <v>1560</v>
      </c>
      <c r="AE406">
        <v>54.32</v>
      </c>
      <c r="AF406" t="s">
        <v>1848</v>
      </c>
      <c r="AG406">
        <v>46.86</v>
      </c>
      <c r="AH406">
        <v>-0.13733429675994119</v>
      </c>
      <c r="AI406" t="s">
        <v>545</v>
      </c>
      <c r="AJ406" t="s">
        <v>546</v>
      </c>
      <c r="AK406">
        <v>0</v>
      </c>
      <c r="AL406" t="str">
        <f>IF($A406="","",IFERROR(INDEX(Company_List!$G$3:$G$207,MATCH($A406,Company_List!$A$3:$A$207,0)),"unassigned"))</f>
        <v>P2</v>
      </c>
      <c r="AM406" t="s">
        <v>1849</v>
      </c>
      <c r="AN406" t="s">
        <v>1850</v>
      </c>
      <c r="AO406" t="s">
        <v>560</v>
      </c>
      <c r="AP406" t="str">
        <f>IF($A406="","",IF(COUNTIFS(LLM_Data_Entry!$A$3:$A$548,$A406)&gt;0,"YES","NO"))</f>
        <v>YES</v>
      </c>
      <c r="AQ406" t="str">
        <f>IF($A406="","",IF(COUNTIFS($A$3:$A406,$A406,$C$3:$C406,$C406,$D$3:$D406,$D406)=1,"YES","NO"))</f>
        <v>YES</v>
      </c>
      <c r="AR406" t="str">
        <f>IF($A406="","",IF(AND($C406&amp;"-"&amp;$D406&gt;=Settings!$B$19,$C406&amp;"-"&amp;$D406&lt;=Settings!$B$20),"IN","OUT"))</f>
        <v>IN</v>
      </c>
      <c r="AS406" t="str">
        <f t="shared" si="68"/>
        <v>qanda</v>
      </c>
      <c r="AT406" t="str">
        <f t="shared" si="69"/>
        <v/>
      </c>
      <c r="AU406" t="str">
        <f t="shared" si="70"/>
        <v/>
      </c>
      <c r="AV406" t="str">
        <f>IF(ISNUMBER($AT406),ABS(IF(ISNUMBER($I406),$I406,0)-Settings!$B$24),"")</f>
        <v/>
      </c>
      <c r="AW406" t="str">
        <f t="shared" si="71"/>
        <v/>
      </c>
      <c r="AX406" t="str">
        <f>IF(ISNUMBER($AU406),ABS(IF(ISNUMBER($I406),$I406,0)-Settings!$B$24),"")</f>
        <v/>
      </c>
      <c r="AY406" t="s">
        <v>1183</v>
      </c>
      <c r="AZ406" t="str">
        <f>IF($A406="","",IFERROR(INDEX(Company_List!$H$3:$H$207,MATCH($A406,Company_List!$A$3:$A$207,0)),"unassigned"))</f>
        <v>Information Technology</v>
      </c>
      <c r="BA406">
        <v>1</v>
      </c>
      <c r="BB406">
        <v>2</v>
      </c>
      <c r="BC406">
        <f>IF($A406="","",IF(COUNTIFS($A$3:$A406,$A406,$C$3:$C406,$C406,$D$3:$D406,$D406,$G$3:$G406,$G406)=1,1,0))</f>
        <v>1</v>
      </c>
      <c r="BD406">
        <v>22</v>
      </c>
      <c r="BE406">
        <v>29</v>
      </c>
      <c r="BF406">
        <v>0.2</v>
      </c>
      <c r="BG406" t="s">
        <v>550</v>
      </c>
      <c r="BH406" t="s">
        <v>550</v>
      </c>
      <c r="BI406" t="s">
        <v>1839</v>
      </c>
      <c r="BJ406" t="s">
        <v>1851</v>
      </c>
      <c r="BK406">
        <f t="shared" si="72"/>
        <v>1</v>
      </c>
      <c r="BL406" t="s">
        <v>1520</v>
      </c>
      <c r="BM406">
        <v>1</v>
      </c>
      <c r="BN406" t="s">
        <v>595</v>
      </c>
      <c r="BO406" t="s">
        <v>596</v>
      </c>
      <c r="BP406" t="s">
        <v>550</v>
      </c>
      <c r="BQ406" t="s">
        <v>562</v>
      </c>
      <c r="BS406" t="s">
        <v>554</v>
      </c>
    </row>
    <row r="407" spans="1:71" x14ac:dyDescent="0.2">
      <c r="A407" s="1" t="s">
        <v>1835</v>
      </c>
      <c r="B407" s="142" t="str">
        <f>IF(A407="","",_xlfn.XLOOKUP(A407, Company_List!$A:$A, Company_List!$B:$B, ""))</f>
        <v>INTC</v>
      </c>
      <c r="C407" s="143">
        <v>2025</v>
      </c>
      <c r="D407" s="143" t="s">
        <v>569</v>
      </c>
      <c r="E407" s="98" t="s">
        <v>538</v>
      </c>
      <c r="F407" s="98" t="s">
        <v>538</v>
      </c>
      <c r="G407" s="143" t="s">
        <v>648</v>
      </c>
      <c r="H407" s="106" t="s">
        <v>540</v>
      </c>
      <c r="I407" s="145">
        <v>-0.1</v>
      </c>
      <c r="J407" s="145" t="str">
        <f>IF(OR(I407="",Settings!$B$6=""),"",IF(I407&gt;Settings!$B$6,"BUY",IF(I407&lt;-Settings!$B$6,"SELL","HOLD")))</f>
        <v>HOLD</v>
      </c>
      <c r="K407" s="145">
        <v>29</v>
      </c>
      <c r="L407" s="123">
        <v>46044</v>
      </c>
      <c r="M407" s="140" t="s">
        <v>1557</v>
      </c>
      <c r="N407" s="147">
        <v>42.63</v>
      </c>
      <c r="O407" s="140" t="s">
        <v>1558</v>
      </c>
      <c r="P407" s="145">
        <v>42.62</v>
      </c>
      <c r="Q407" s="151">
        <f t="shared" si="63"/>
        <v>-2.0000000000000001E-4</v>
      </c>
      <c r="R407" s="118" t="str">
        <f>IF(OR(N407="",P407=""),"",IF(Q407&gt;Settings!$B$3/100,"UP",IF(Q407&lt;-Settings!$B$3/100,"DOWN","FLAT")))</f>
        <v>FLAT</v>
      </c>
      <c r="S407" s="118" t="str">
        <f t="shared" si="64"/>
        <v>YES</v>
      </c>
      <c r="T407" s="119">
        <f t="shared" si="65"/>
        <v>0</v>
      </c>
      <c r="U407" s="150">
        <f>IFERROR(IF(OR(J407="",N407="",P407=""),"",IF(T407=0,0,T407*Q407-Settings!$B$4/10000-IF(T407&lt;0,Settings!$B$5/10000,0))),"")</f>
        <v>0</v>
      </c>
      <c r="W407" s="21">
        <f t="shared" si="66"/>
        <v>1740</v>
      </c>
      <c r="X407" s="91" t="str">
        <f t="shared" si="67"/>
        <v>Intel|2025|Q4</v>
      </c>
      <c r="Y407" s="91" t="str">
        <f>IFERROR(IF($X407="","",INDEX(LLM_Data_Entry!$H$3:$H$548,MATCH($X407,INDEX(LLM_Data_Entry!$A$3:$A$548&amp;"|"&amp;LLM_Data_Entry!$C$3:$C$548&amp;"|"&amp;LLM_Data_Entry!$D$3:$D$548,0),0))),"")</f>
        <v>HOLD</v>
      </c>
      <c r="Z407" s="91">
        <f>IFERROR(IF($X407="","",INDEX(LLM_Data_Entry!$R$3:$R$548,MATCH($X407,INDEX(LLM_Data_Entry!$A$3:$A$548&amp;"|"&amp;LLM_Data_Entry!$C$3:$C$548&amp;"|"&amp;LLM_Data_Entry!$D$3:$D$548,0),0))),"")</f>
        <v>0</v>
      </c>
      <c r="AB407" t="s">
        <v>1247</v>
      </c>
      <c r="AC407" t="s">
        <v>1836</v>
      </c>
      <c r="AD407" t="s">
        <v>1560</v>
      </c>
      <c r="AE407">
        <v>54.32</v>
      </c>
      <c r="AF407" t="s">
        <v>1848</v>
      </c>
      <c r="AG407">
        <v>46.86</v>
      </c>
      <c r="AH407">
        <v>-0.13733429675994119</v>
      </c>
      <c r="AI407" t="s">
        <v>545</v>
      </c>
      <c r="AJ407" t="s">
        <v>546</v>
      </c>
      <c r="AK407">
        <v>0</v>
      </c>
      <c r="AL407" t="str">
        <f>IF($A407="","",IFERROR(INDEX(Company_List!$G$3:$G$207,MATCH($A407,Company_List!$A$3:$A$207,0)),"unassigned"))</f>
        <v>P2</v>
      </c>
      <c r="AM407" t="s">
        <v>1852</v>
      </c>
      <c r="AN407" t="s">
        <v>1853</v>
      </c>
      <c r="AO407" t="s">
        <v>754</v>
      </c>
      <c r="AP407" t="str">
        <f>IF($A407="","",IF(COUNTIFS(LLM_Data_Entry!$A$3:$A$548,$A407)&gt;0,"YES","NO"))</f>
        <v>YES</v>
      </c>
      <c r="AQ407" t="str">
        <f>IF($A407="","",IF(COUNTIFS($A$3:$A407,$A407,$C$3:$C407,$C407,$D$3:$D407,$D407)=1,"YES","NO"))</f>
        <v>NO</v>
      </c>
      <c r="AR407" t="str">
        <f>IF($A407="","",IF(AND($C407&amp;"-"&amp;$D407&gt;=Settings!$B$19,$C407&amp;"-"&amp;$D407&lt;=Settings!$B$20),"IN","OUT"))</f>
        <v>IN</v>
      </c>
      <c r="AS407" t="str">
        <f t="shared" si="68"/>
        <v>full</v>
      </c>
      <c r="AT407" t="str">
        <f t="shared" si="69"/>
        <v/>
      </c>
      <c r="AU407" t="str">
        <f t="shared" si="70"/>
        <v/>
      </c>
      <c r="AV407" t="str">
        <f>IF(ISNUMBER($AT407),ABS(IF(ISNUMBER($I407),$I407,0)-Settings!$B$24),"")</f>
        <v/>
      </c>
      <c r="AW407" t="str">
        <f t="shared" si="71"/>
        <v/>
      </c>
      <c r="AX407" t="str">
        <f>IF(ISNUMBER($AU407),ABS(IF(ISNUMBER($I407),$I407,0)-Settings!$B$24),"")</f>
        <v/>
      </c>
      <c r="AY407" t="s">
        <v>1183</v>
      </c>
      <c r="AZ407" t="str">
        <f>IF($A407="","",IFERROR(INDEX(Company_List!$H$3:$H$207,MATCH($A407,Company_List!$A$3:$A$207,0)),"unassigned"))</f>
        <v>Information Technology</v>
      </c>
      <c r="BA407">
        <v>2</v>
      </c>
      <c r="BB407">
        <v>2</v>
      </c>
      <c r="BC407">
        <f>IF($A407="","",IF(COUNTIFS($A$3:$A407,$A407,$C$3:$C407,$C407,$D$3:$D407,$D407,$G$3:$G407,$G407)=1,1,0))</f>
        <v>0</v>
      </c>
      <c r="BD407">
        <v>22</v>
      </c>
      <c r="BE407">
        <v>29</v>
      </c>
      <c r="BF407">
        <v>0.2</v>
      </c>
      <c r="BG407" t="s">
        <v>550</v>
      </c>
      <c r="BH407" t="s">
        <v>550</v>
      </c>
      <c r="BI407" t="s">
        <v>1839</v>
      </c>
      <c r="BJ407" t="s">
        <v>1851</v>
      </c>
      <c r="BK407">
        <f t="shared" si="72"/>
        <v>1</v>
      </c>
      <c r="BL407" t="s">
        <v>1520</v>
      </c>
      <c r="BM407">
        <v>2</v>
      </c>
      <c r="BN407" t="s">
        <v>595</v>
      </c>
      <c r="BO407" t="s">
        <v>596</v>
      </c>
      <c r="BP407" t="s">
        <v>550</v>
      </c>
      <c r="BQ407" t="s">
        <v>562</v>
      </c>
      <c r="BS407" t="s">
        <v>554</v>
      </c>
    </row>
    <row r="408" spans="1:71" x14ac:dyDescent="0.2">
      <c r="A408" s="1" t="s">
        <v>1835</v>
      </c>
      <c r="B408" s="142" t="str">
        <f>IF(A408="","",_xlfn.XLOOKUP(A408, Company_List!$A:$A, Company_List!$B:$B, ""))</f>
        <v>INTC</v>
      </c>
      <c r="C408" s="143">
        <v>2026</v>
      </c>
      <c r="D408" s="143" t="s">
        <v>537</v>
      </c>
      <c r="E408" s="98" t="s">
        <v>538</v>
      </c>
      <c r="F408" s="98" t="s">
        <v>538</v>
      </c>
      <c r="G408" s="143" t="s">
        <v>648</v>
      </c>
      <c r="H408" s="106" t="s">
        <v>540</v>
      </c>
      <c r="I408" s="145">
        <v>0.35</v>
      </c>
      <c r="J408" s="145" t="str">
        <f>IF(OR(I408="",Settings!$B$6=""),"",IF(I408&gt;Settings!$B$6,"BUY",IF(I408&lt;-Settings!$B$6,"SELL","HOLD")))</f>
        <v>BUY</v>
      </c>
      <c r="K408" s="145">
        <v>38</v>
      </c>
      <c r="L408" s="123">
        <v>46135</v>
      </c>
      <c r="M408" s="140" t="s">
        <v>1580</v>
      </c>
      <c r="N408" s="147">
        <v>58.95</v>
      </c>
      <c r="O408" s="140" t="s">
        <v>1184</v>
      </c>
      <c r="P408" s="145">
        <v>58.4</v>
      </c>
      <c r="Q408" s="151">
        <f t="shared" si="63"/>
        <v>-9.2999999999999992E-3</v>
      </c>
      <c r="R408" s="118" t="str">
        <f>IF(OR(N408="",P408=""),"",IF(Q408&gt;Settings!$B$3/100,"UP",IF(Q408&lt;-Settings!$B$3/100,"DOWN","FLAT")))</f>
        <v>FLAT</v>
      </c>
      <c r="S408" s="118" t="str">
        <f t="shared" si="64"/>
        <v>NO</v>
      </c>
      <c r="T408" s="119">
        <f t="shared" si="65"/>
        <v>1</v>
      </c>
      <c r="U408" s="150">
        <f>IFERROR(IF(OR(J408="",N408="",P408=""),"",IF(T408=0,0,T408*Q408-Settings!$B$4/10000-IF(T408&lt;0,Settings!$B$5/10000,0))),"")</f>
        <v>-1.03E-2</v>
      </c>
      <c r="W408" s="21">
        <f t="shared" si="66"/>
        <v>2280</v>
      </c>
      <c r="X408" s="91" t="str">
        <f t="shared" si="67"/>
        <v>Intel|2026|Q1</v>
      </c>
      <c r="Y408" s="91" t="str">
        <f>IFERROR(IF($X408="","",INDEX(LLM_Data_Entry!$H$3:$H$548,MATCH($X408,INDEX(LLM_Data_Entry!$A$3:$A$548&amp;"|"&amp;LLM_Data_Entry!$C$3:$C$548&amp;"|"&amp;LLM_Data_Entry!$D$3:$D$548,0),0))),"")</f>
        <v>HOLD</v>
      </c>
      <c r="Z408" s="91">
        <f>IFERROR(IF($X408="","",INDEX(LLM_Data_Entry!$R$3:$R$548,MATCH($X408,INDEX(LLM_Data_Entry!$A$3:$A$548&amp;"|"&amp;LLM_Data_Entry!$C$3:$C$548&amp;"|"&amp;LLM_Data_Entry!$D$3:$D$548,0),0))),"")</f>
        <v>0</v>
      </c>
      <c r="AB408" t="s">
        <v>1249</v>
      </c>
      <c r="AC408" t="s">
        <v>1836</v>
      </c>
      <c r="AD408" t="s">
        <v>780</v>
      </c>
      <c r="AE408">
        <v>66.78</v>
      </c>
      <c r="AF408" t="s">
        <v>1811</v>
      </c>
      <c r="AG408">
        <v>82.2</v>
      </c>
      <c r="AH408">
        <v>0.2309074308311983</v>
      </c>
      <c r="AI408" t="s">
        <v>591</v>
      </c>
      <c r="AJ408" t="s">
        <v>554</v>
      </c>
      <c r="AK408">
        <v>0.229907</v>
      </c>
      <c r="AL408" t="str">
        <f>IF($A408="","",IFERROR(INDEX(Company_List!$G$3:$G$207,MATCH($A408,Company_List!$A$3:$A$207,0)),"unassigned"))</f>
        <v>P2</v>
      </c>
      <c r="AM408" t="s">
        <v>1854</v>
      </c>
      <c r="AN408" t="s">
        <v>1855</v>
      </c>
      <c r="AO408" t="s">
        <v>560</v>
      </c>
      <c r="AP408" t="str">
        <f>IF($A408="","",IF(COUNTIFS(LLM_Data_Entry!$A$3:$A$548,$A408)&gt;0,"YES","NO"))</f>
        <v>YES</v>
      </c>
      <c r="AQ408" t="str">
        <f>IF($A408="","",IF(COUNTIFS($A$3:$A408,$A408,$C$3:$C408,$C408,$D$3:$D408,$D408)=1,"YES","NO"))</f>
        <v>YES</v>
      </c>
      <c r="AR408" t="str">
        <f>IF($A408="","",IF(AND($C408&amp;"-"&amp;$D408&gt;=Settings!$B$19,$C408&amp;"-"&amp;$D408&lt;=Settings!$B$20),"IN","OUT"))</f>
        <v>IN</v>
      </c>
      <c r="AS408" t="str">
        <f t="shared" si="68"/>
        <v>full</v>
      </c>
      <c r="AT408">
        <f t="shared" si="69"/>
        <v>-1.03E-2</v>
      </c>
      <c r="AU408">
        <f t="shared" si="70"/>
        <v>0.229907</v>
      </c>
      <c r="AV408">
        <f>IF(ISNUMBER($AT408),ABS(IF(ISNUMBER($I408),$I408,0)-Settings!$B$24),"")</f>
        <v>0.35</v>
      </c>
      <c r="AW408">
        <f t="shared" si="71"/>
        <v>-3.6049999999999997E-3</v>
      </c>
      <c r="AX408">
        <f>IF(ISNUMBER($AU408),ABS(IF(ISNUMBER($I408),$I408,0)-Settings!$B$24),"")</f>
        <v>0.35</v>
      </c>
      <c r="AY408" t="s">
        <v>1183</v>
      </c>
      <c r="AZ408" t="str">
        <f>IF($A408="","",IFERROR(INDEX(Company_List!$H$3:$H$207,MATCH($A408,Company_List!$A$3:$A$207,0)),"unassigned"))</f>
        <v>Information Technology</v>
      </c>
      <c r="BA408">
        <v>1</v>
      </c>
      <c r="BB408">
        <v>1</v>
      </c>
      <c r="BC408">
        <f>IF($A408="","",IF(COUNTIFS($A$3:$A408,$A408,$C$3:$C408,$C408,$D$3:$D408,$D408,$G$3:$G408,$G408)=1,1,0))</f>
        <v>1</v>
      </c>
      <c r="BD408">
        <v>38</v>
      </c>
      <c r="BG408" t="s">
        <v>550</v>
      </c>
      <c r="BH408" t="s">
        <v>550</v>
      </c>
      <c r="BI408" t="s">
        <v>1839</v>
      </c>
      <c r="BJ408" t="s">
        <v>1856</v>
      </c>
      <c r="BK408">
        <f t="shared" si="72"/>
        <v>0</v>
      </c>
      <c r="BL408" t="s">
        <v>1520</v>
      </c>
      <c r="BM408">
        <v>1</v>
      </c>
      <c r="BN408" t="s">
        <v>561</v>
      </c>
      <c r="BO408" t="s">
        <v>561</v>
      </c>
      <c r="BP408" t="s">
        <v>550</v>
      </c>
      <c r="BQ408" t="s">
        <v>562</v>
      </c>
      <c r="BS408" t="s">
        <v>554</v>
      </c>
    </row>
    <row r="409" spans="1:71" x14ac:dyDescent="0.2">
      <c r="A409" s="1" t="s">
        <v>1857</v>
      </c>
      <c r="B409" s="142" t="str">
        <f>IF(A409="","",_xlfn.XLOOKUP(A409, Company_List!$A:$A, Company_List!$B:$B, ""))</f>
        <v>MA</v>
      </c>
      <c r="C409" s="143">
        <v>2025</v>
      </c>
      <c r="D409" s="143" t="s">
        <v>555</v>
      </c>
      <c r="E409" s="98" t="s">
        <v>1476</v>
      </c>
      <c r="F409" s="98" t="s">
        <v>1086</v>
      </c>
      <c r="G409" s="143" t="s">
        <v>648</v>
      </c>
      <c r="H409" s="106" t="s">
        <v>540</v>
      </c>
      <c r="I409" s="145">
        <v>0.4</v>
      </c>
      <c r="J409" s="145" t="str">
        <f>IF(OR(I409="",Settings!$B$6=""),"",IF(I409&gt;Settings!$B$6,"BUY",IF(I409&lt;-Settings!$B$6,"SELL","HOLD")))</f>
        <v>BUY</v>
      </c>
      <c r="K409" s="145">
        <v>23</v>
      </c>
      <c r="L409" s="123">
        <v>45869</v>
      </c>
      <c r="M409" s="140" t="s">
        <v>884</v>
      </c>
      <c r="N409" s="147">
        <v>552.0797</v>
      </c>
      <c r="O409" s="140" t="s">
        <v>556</v>
      </c>
      <c r="P409" s="145">
        <v>549.55539999999996</v>
      </c>
      <c r="Q409" s="151">
        <f t="shared" si="63"/>
        <v>-4.5999999999999999E-3</v>
      </c>
      <c r="R409" s="118" t="str">
        <f>IF(OR(N409="",P409=""),"",IF(Q409&gt;Settings!$B$3/100,"UP",IF(Q409&lt;-Settings!$B$3/100,"DOWN","FLAT")))</f>
        <v>FLAT</v>
      </c>
      <c r="S409" s="118" t="str">
        <f t="shared" si="64"/>
        <v>NO</v>
      </c>
      <c r="T409" s="119">
        <f t="shared" si="65"/>
        <v>1</v>
      </c>
      <c r="U409" s="150">
        <f>IFERROR(IF(OR(J409="",N409="",P409=""),"",IF(T409=0,0,T409*Q409-Settings!$B$4/10000-IF(T409&lt;0,Settings!$B$5/10000,0))),"")</f>
        <v>-5.5999999999999999E-3</v>
      </c>
      <c r="W409" s="21">
        <f t="shared" si="66"/>
        <v>1380</v>
      </c>
      <c r="X409" s="91" t="str">
        <f t="shared" si="67"/>
        <v>Mastercard|2025|Q2</v>
      </c>
      <c r="Y409" s="91" t="str">
        <f>IFERROR(IF($X409="","",INDEX(LLM_Data_Entry!$H$3:$H$548,MATCH($X409,INDEX(LLM_Data_Entry!$A$3:$A$548&amp;"|"&amp;LLM_Data_Entry!$C$3:$C$548&amp;"|"&amp;LLM_Data_Entry!$D$3:$D$548,0),0))),"")</f>
        <v>HOLD</v>
      </c>
      <c r="Z409" s="91">
        <f>IFERROR(IF($X409="","",INDEX(LLM_Data_Entry!$R$3:$R$548,MATCH($X409,INDEX(LLM_Data_Entry!$A$3:$A$548&amp;"|"&amp;LLM_Data_Entry!$C$3:$C$548&amp;"|"&amp;LLM_Data_Entry!$D$3:$D$548,0),0))),"")</f>
        <v>0</v>
      </c>
      <c r="AB409" t="s">
        <v>1247</v>
      </c>
      <c r="AC409" t="s">
        <v>1858</v>
      </c>
      <c r="AD409" t="s">
        <v>1001</v>
      </c>
      <c r="AE409">
        <v>555.64750000000004</v>
      </c>
      <c r="AF409" t="s">
        <v>687</v>
      </c>
      <c r="AG409">
        <v>565.04880000000003</v>
      </c>
      <c r="AH409">
        <v>1.6919651440815451E-2</v>
      </c>
      <c r="AI409" t="s">
        <v>579</v>
      </c>
      <c r="AJ409" t="s">
        <v>546</v>
      </c>
      <c r="AK409">
        <v>1.592E-2</v>
      </c>
      <c r="AL409" t="str">
        <f>IF($A409="","",IFERROR(INDEX(Company_List!$G$3:$G$207,MATCH($A409,Company_List!$A$3:$A$207,0)),"unassigned"))</f>
        <v>P2</v>
      </c>
      <c r="AM409" t="s">
        <v>1859</v>
      </c>
      <c r="AN409" t="s">
        <v>1860</v>
      </c>
      <c r="AO409" t="s">
        <v>560</v>
      </c>
      <c r="AP409" t="str">
        <f>IF($A409="","",IF(COUNTIFS(LLM_Data_Entry!$A$3:$A$548,$A409)&gt;0,"YES","NO"))</f>
        <v>YES</v>
      </c>
      <c r="AQ409" t="str">
        <f>IF($A409="","",IF(COUNTIFS($A$3:$A409,$A409,$C$3:$C409,$C409,$D$3:$D409,$D409)=1,"YES","NO"))</f>
        <v>YES</v>
      </c>
      <c r="AR409" t="str">
        <f>IF($A409="","",IF(AND($C409&amp;"-"&amp;$D409&gt;=Settings!$B$19,$C409&amp;"-"&amp;$D409&lt;=Settings!$B$20),"IN","OUT"))</f>
        <v>IN</v>
      </c>
      <c r="AS409" t="str">
        <f t="shared" si="68"/>
        <v>financials</v>
      </c>
      <c r="AT409">
        <f t="shared" si="69"/>
        <v>-5.5999999999999999E-3</v>
      </c>
      <c r="AU409">
        <f t="shared" si="70"/>
        <v>1.592E-2</v>
      </c>
      <c r="AV409">
        <f>IF(ISNUMBER($AT409),ABS(IF(ISNUMBER($I409),$I409,0)-Settings!$B$24),"")</f>
        <v>0.4</v>
      </c>
      <c r="AW409">
        <f t="shared" si="71"/>
        <v>-2.2400000000000002E-3</v>
      </c>
      <c r="AX409">
        <f>IF(ISNUMBER($AU409),ABS(IF(ISNUMBER($I409),$I409,0)-Settings!$B$24),"")</f>
        <v>0.4</v>
      </c>
      <c r="AY409" t="s">
        <v>1183</v>
      </c>
      <c r="AZ409" t="str">
        <f>IF($A409="","",IFERROR(INDEX(Company_List!$H$3:$H$207,MATCH($A409,Company_List!$A$3:$A$207,0)),"unassigned"))</f>
        <v>Financials</v>
      </c>
      <c r="BA409">
        <v>1</v>
      </c>
      <c r="BB409">
        <v>2</v>
      </c>
      <c r="BC409">
        <f>IF($A409="","",IF(COUNTIFS($A$3:$A409,$A409,$C$3:$C409,$C409,$D$3:$D409,$D409,$G$3:$G409,$G409)=1,1,0))</f>
        <v>1</v>
      </c>
      <c r="BD409">
        <v>23</v>
      </c>
      <c r="BE409">
        <v>28</v>
      </c>
      <c r="BF409">
        <v>0.4</v>
      </c>
      <c r="BG409" t="s">
        <v>550</v>
      </c>
      <c r="BH409" t="s">
        <v>550</v>
      </c>
      <c r="BI409" t="s">
        <v>1861</v>
      </c>
      <c r="BJ409" t="s">
        <v>1862</v>
      </c>
      <c r="BK409">
        <f t="shared" si="72"/>
        <v>0</v>
      </c>
      <c r="BL409" t="s">
        <v>1520</v>
      </c>
      <c r="BM409">
        <v>1</v>
      </c>
      <c r="BN409" t="s">
        <v>561</v>
      </c>
      <c r="BO409" t="s">
        <v>561</v>
      </c>
      <c r="BP409" t="s">
        <v>756</v>
      </c>
      <c r="BQ409" t="s">
        <v>562</v>
      </c>
      <c r="BS409" t="s">
        <v>554</v>
      </c>
    </row>
    <row r="410" spans="1:71" x14ac:dyDescent="0.2">
      <c r="A410" s="1" t="s">
        <v>1857</v>
      </c>
      <c r="B410" s="142" t="str">
        <f>IF(A410="","",_xlfn.XLOOKUP(A410, Company_List!$A:$A, Company_List!$B:$B, ""))</f>
        <v>MA</v>
      </c>
      <c r="C410" s="143">
        <v>2025</v>
      </c>
      <c r="D410" s="143" t="s">
        <v>555</v>
      </c>
      <c r="E410" s="98" t="s">
        <v>538</v>
      </c>
      <c r="F410" s="98" t="s">
        <v>538</v>
      </c>
      <c r="G410" s="143" t="s">
        <v>648</v>
      </c>
      <c r="H410" s="106" t="s">
        <v>540</v>
      </c>
      <c r="I410" s="145">
        <v>0.35</v>
      </c>
      <c r="J410" s="145" t="str">
        <f>IF(OR(I410="",Settings!$B$6=""),"",IF(I410&gt;Settings!$B$6,"BUY",IF(I410&lt;-Settings!$B$6,"SELL","HOLD")))</f>
        <v>BUY</v>
      </c>
      <c r="K410" s="145">
        <v>28</v>
      </c>
      <c r="L410" s="123">
        <v>45869</v>
      </c>
      <c r="M410" s="140" t="s">
        <v>884</v>
      </c>
      <c r="N410" s="147">
        <v>552.0797</v>
      </c>
      <c r="O410" s="140" t="s">
        <v>556</v>
      </c>
      <c r="P410" s="145">
        <v>549.55539999999996</v>
      </c>
      <c r="Q410" s="151">
        <f t="shared" si="63"/>
        <v>-4.5999999999999999E-3</v>
      </c>
      <c r="R410" s="118" t="str">
        <f>IF(OR(N410="",P410=""),"",IF(Q410&gt;Settings!$B$3/100,"UP",IF(Q410&lt;-Settings!$B$3/100,"DOWN","FLAT")))</f>
        <v>FLAT</v>
      </c>
      <c r="S410" s="118" t="str">
        <f t="shared" si="64"/>
        <v>NO</v>
      </c>
      <c r="T410" s="119">
        <f t="shared" si="65"/>
        <v>1</v>
      </c>
      <c r="U410" s="150">
        <f>IFERROR(IF(OR(J410="",N410="",P410=""),"",IF(T410=0,0,T410*Q410-Settings!$B$4/10000-IF(T410&lt;0,Settings!$B$5/10000,0))),"")</f>
        <v>-5.5999999999999999E-3</v>
      </c>
      <c r="W410" s="21">
        <f t="shared" si="66"/>
        <v>1680</v>
      </c>
      <c r="X410" s="91" t="str">
        <f t="shared" si="67"/>
        <v>Mastercard|2025|Q2</v>
      </c>
      <c r="Y410" s="91" t="str">
        <f>IFERROR(IF($X410="","",INDEX(LLM_Data_Entry!$H$3:$H$548,MATCH($X410,INDEX(LLM_Data_Entry!$A$3:$A$548&amp;"|"&amp;LLM_Data_Entry!$C$3:$C$548&amp;"|"&amp;LLM_Data_Entry!$D$3:$D$548,0),0))),"")</f>
        <v>HOLD</v>
      </c>
      <c r="Z410" s="91">
        <f>IFERROR(IF($X410="","",INDEX(LLM_Data_Entry!$R$3:$R$548,MATCH($X410,INDEX(LLM_Data_Entry!$A$3:$A$548&amp;"|"&amp;LLM_Data_Entry!$C$3:$C$548&amp;"|"&amp;LLM_Data_Entry!$D$3:$D$548,0),0))),"")</f>
        <v>0</v>
      </c>
      <c r="AB410" t="s">
        <v>1247</v>
      </c>
      <c r="AC410" t="s">
        <v>1858</v>
      </c>
      <c r="AD410" t="s">
        <v>1001</v>
      </c>
      <c r="AE410">
        <v>555.64750000000004</v>
      </c>
      <c r="AF410" t="s">
        <v>687</v>
      </c>
      <c r="AG410">
        <v>565.04880000000003</v>
      </c>
      <c r="AH410">
        <v>1.6919651440815451E-2</v>
      </c>
      <c r="AI410" t="s">
        <v>579</v>
      </c>
      <c r="AJ410" t="s">
        <v>546</v>
      </c>
      <c r="AK410">
        <v>1.592E-2</v>
      </c>
      <c r="AL410" t="str">
        <f>IF($A410="","",IFERROR(INDEX(Company_List!$G$3:$G$207,MATCH($A410,Company_List!$A$3:$A$207,0)),"unassigned"))</f>
        <v>P2</v>
      </c>
      <c r="AM410" t="s">
        <v>1863</v>
      </c>
      <c r="AN410" t="s">
        <v>1864</v>
      </c>
      <c r="AO410" t="s">
        <v>754</v>
      </c>
      <c r="AP410" t="str">
        <f>IF($A410="","",IF(COUNTIFS(LLM_Data_Entry!$A$3:$A$548,$A410)&gt;0,"YES","NO"))</f>
        <v>YES</v>
      </c>
      <c r="AQ410" t="str">
        <f>IF($A410="","",IF(COUNTIFS($A$3:$A410,$A410,$C$3:$C410,$C410,$D$3:$D410,$D410)=1,"YES","NO"))</f>
        <v>NO</v>
      </c>
      <c r="AR410" t="str">
        <f>IF($A410="","",IF(AND($C410&amp;"-"&amp;$D410&gt;=Settings!$B$19,$C410&amp;"-"&amp;$D410&lt;=Settings!$B$20),"IN","OUT"))</f>
        <v>IN</v>
      </c>
      <c r="AS410" t="str">
        <f t="shared" si="68"/>
        <v>full</v>
      </c>
      <c r="AT410">
        <f t="shared" si="69"/>
        <v>-5.5999999999999999E-3</v>
      </c>
      <c r="AU410">
        <f t="shared" si="70"/>
        <v>1.592E-2</v>
      </c>
      <c r="AV410">
        <f>IF(ISNUMBER($AT410),ABS(IF(ISNUMBER($I410),$I410,0)-Settings!$B$24),"")</f>
        <v>0.35</v>
      </c>
      <c r="AW410">
        <f t="shared" si="71"/>
        <v>-1.9599999999999999E-3</v>
      </c>
      <c r="AX410">
        <f>IF(ISNUMBER($AU410),ABS(IF(ISNUMBER($I410),$I410,0)-Settings!$B$24),"")</f>
        <v>0.35</v>
      </c>
      <c r="AY410" t="s">
        <v>1183</v>
      </c>
      <c r="AZ410" t="str">
        <f>IF($A410="","",IFERROR(INDEX(Company_List!$H$3:$H$207,MATCH($A410,Company_List!$A$3:$A$207,0)),"unassigned"))</f>
        <v>Financials</v>
      </c>
      <c r="BA410">
        <v>2</v>
      </c>
      <c r="BB410">
        <v>2</v>
      </c>
      <c r="BC410">
        <f>IF($A410="","",IF(COUNTIFS($A$3:$A410,$A410,$C$3:$C410,$C410,$D$3:$D410,$D410,$G$3:$G410,$G410)=1,1,0))</f>
        <v>0</v>
      </c>
      <c r="BD410">
        <v>23</v>
      </c>
      <c r="BE410">
        <v>28</v>
      </c>
      <c r="BF410">
        <v>0.4</v>
      </c>
      <c r="BG410" t="s">
        <v>550</v>
      </c>
      <c r="BH410" t="s">
        <v>550</v>
      </c>
      <c r="BI410" t="s">
        <v>1861</v>
      </c>
      <c r="BJ410" t="s">
        <v>1862</v>
      </c>
      <c r="BK410">
        <f t="shared" si="72"/>
        <v>0</v>
      </c>
      <c r="BL410" t="s">
        <v>1520</v>
      </c>
      <c r="BM410">
        <v>2</v>
      </c>
      <c r="BN410" t="s">
        <v>561</v>
      </c>
      <c r="BO410" t="s">
        <v>561</v>
      </c>
      <c r="BP410" t="s">
        <v>1023</v>
      </c>
      <c r="BQ410" t="s">
        <v>562</v>
      </c>
      <c r="BS410" t="s">
        <v>554</v>
      </c>
    </row>
    <row r="411" spans="1:71" x14ac:dyDescent="0.2">
      <c r="A411" s="1" t="s">
        <v>1857</v>
      </c>
      <c r="B411" s="142" t="str">
        <f>IF(A411="","",_xlfn.XLOOKUP(A411, Company_List!$A:$A, Company_List!$B:$B, ""))</f>
        <v>MA</v>
      </c>
      <c r="C411" s="143">
        <v>2025</v>
      </c>
      <c r="D411" s="143" t="s">
        <v>563</v>
      </c>
      <c r="E411" s="98" t="s">
        <v>647</v>
      </c>
      <c r="F411" s="98" t="s">
        <v>1090</v>
      </c>
      <c r="G411" s="143" t="s">
        <v>648</v>
      </c>
      <c r="H411" s="106" t="s">
        <v>540</v>
      </c>
      <c r="I411" s="145">
        <v>0.1</v>
      </c>
      <c r="J411" s="145" t="str">
        <f>IF(OR(I411="",Settings!$B$6=""),"",IF(I411&gt;Settings!$B$6,"BUY",IF(I411&lt;-Settings!$B$6,"SELL","HOLD")))</f>
        <v>HOLD</v>
      </c>
      <c r="K411" s="145">
        <v>21</v>
      </c>
      <c r="L411" s="123">
        <v>45960</v>
      </c>
      <c r="M411" s="140" t="s">
        <v>723</v>
      </c>
      <c r="N411" s="147">
        <v>560.06299999999999</v>
      </c>
      <c r="O411" s="140" t="s">
        <v>913</v>
      </c>
      <c r="P411" s="145">
        <v>560.053</v>
      </c>
      <c r="Q411" s="151">
        <f t="shared" si="63"/>
        <v>0</v>
      </c>
      <c r="R411" s="118" t="str">
        <f>IF(OR(N411="",P411=""),"",IF(Q411&gt;Settings!$B$3/100,"UP",IF(Q411&lt;-Settings!$B$3/100,"DOWN","FLAT")))</f>
        <v>FLAT</v>
      </c>
      <c r="S411" s="118" t="str">
        <f t="shared" si="64"/>
        <v>YES</v>
      </c>
      <c r="T411" s="119">
        <f t="shared" si="65"/>
        <v>0</v>
      </c>
      <c r="U411" s="150">
        <f>IFERROR(IF(OR(J411="",N411="",P411=""),"",IF(T411=0,0,T411*Q411-Settings!$B$4/10000-IF(T411&lt;0,Settings!$B$5/10000,0))),"")</f>
        <v>0</v>
      </c>
      <c r="W411" s="21">
        <f t="shared" si="66"/>
        <v>1260</v>
      </c>
      <c r="X411" s="91" t="str">
        <f t="shared" si="67"/>
        <v>Mastercard|2025|Q3</v>
      </c>
      <c r="Y411" s="91" t="str">
        <f>IFERROR(IF($X411="","",INDEX(LLM_Data_Entry!$H$3:$H$548,MATCH($X411,INDEX(LLM_Data_Entry!$A$3:$A$548&amp;"|"&amp;LLM_Data_Entry!$C$3:$C$548&amp;"|"&amp;LLM_Data_Entry!$D$3:$D$548,0),0))),"")</f>
        <v>BUY</v>
      </c>
      <c r="Z411" s="91">
        <f>IFERROR(IF($X411="","",INDEX(LLM_Data_Entry!$R$3:$R$548,MATCH($X411,INDEX(LLM_Data_Entry!$A$3:$A$548&amp;"|"&amp;LLM_Data_Entry!$C$3:$C$548&amp;"|"&amp;LLM_Data_Entry!$D$3:$D$548,0),0))),"")</f>
        <v>0</v>
      </c>
      <c r="AB411" t="s">
        <v>1247</v>
      </c>
      <c r="AC411" t="s">
        <v>1858</v>
      </c>
      <c r="AD411" t="s">
        <v>660</v>
      </c>
      <c r="AE411">
        <v>550.97749999999996</v>
      </c>
      <c r="AF411" t="s">
        <v>661</v>
      </c>
      <c r="AG411">
        <v>546.21090000000004</v>
      </c>
      <c r="AH411">
        <v>-8.6510728447631979E-3</v>
      </c>
      <c r="AI411" t="s">
        <v>579</v>
      </c>
      <c r="AJ411" t="s">
        <v>554</v>
      </c>
      <c r="AK411">
        <v>0</v>
      </c>
      <c r="AL411" t="str">
        <f>IF($A411="","",IFERROR(INDEX(Company_List!$G$3:$G$207,MATCH($A411,Company_List!$A$3:$A$207,0)),"unassigned"))</f>
        <v>P2</v>
      </c>
      <c r="AM411" t="s">
        <v>1865</v>
      </c>
      <c r="AN411" t="s">
        <v>1866</v>
      </c>
      <c r="AO411" t="s">
        <v>560</v>
      </c>
      <c r="AP411" t="str">
        <f>IF($A411="","",IF(COUNTIFS(LLM_Data_Entry!$A$3:$A$548,$A411)&gt;0,"YES","NO"))</f>
        <v>YES</v>
      </c>
      <c r="AQ411" t="str">
        <f>IF($A411="","",IF(COUNTIFS($A$3:$A411,$A411,$C$3:$C411,$C411,$D$3:$D411,$D411)=1,"YES","NO"))</f>
        <v>YES</v>
      </c>
      <c r="AR411" t="str">
        <f>IF($A411="","",IF(AND($C411&amp;"-"&amp;$D411&gt;=Settings!$B$19,$C411&amp;"-"&amp;$D411&lt;=Settings!$B$20),"IN","OUT"))</f>
        <v>IN</v>
      </c>
      <c r="AS411" t="str">
        <f t="shared" si="68"/>
        <v>guidance</v>
      </c>
      <c r="AT411" t="str">
        <f t="shared" si="69"/>
        <v/>
      </c>
      <c r="AU411" t="str">
        <f t="shared" si="70"/>
        <v/>
      </c>
      <c r="AV411" t="str">
        <f>IF(ISNUMBER($AT411),ABS(IF(ISNUMBER($I411),$I411,0)-Settings!$B$24),"")</f>
        <v/>
      </c>
      <c r="AW411" t="str">
        <f t="shared" si="71"/>
        <v/>
      </c>
      <c r="AX411" t="str">
        <f>IF(ISNUMBER($AU411),ABS(IF(ISNUMBER($I411),$I411,0)-Settings!$B$24),"")</f>
        <v/>
      </c>
      <c r="AY411" t="s">
        <v>1183</v>
      </c>
      <c r="AZ411" t="str">
        <f>IF($A411="","",IFERROR(INDEX(Company_List!$H$3:$H$207,MATCH($A411,Company_List!$A$3:$A$207,0)),"unassigned"))</f>
        <v>Financials</v>
      </c>
      <c r="BA411">
        <v>1</v>
      </c>
      <c r="BB411">
        <v>2</v>
      </c>
      <c r="BC411">
        <f>IF($A411="","",IF(COUNTIFS($A$3:$A411,$A411,$C$3:$C411,$C411,$D$3:$D411,$D411,$G$3:$G411,$G411)=1,1,0))</f>
        <v>1</v>
      </c>
      <c r="BD411">
        <v>21</v>
      </c>
      <c r="BE411">
        <v>30</v>
      </c>
      <c r="BF411">
        <v>0.1</v>
      </c>
      <c r="BG411" t="s">
        <v>550</v>
      </c>
      <c r="BH411" t="s">
        <v>550</v>
      </c>
      <c r="BI411" t="s">
        <v>1861</v>
      </c>
      <c r="BJ411" t="s">
        <v>1867</v>
      </c>
      <c r="BK411">
        <f t="shared" si="72"/>
        <v>0</v>
      </c>
      <c r="BL411" t="s">
        <v>1520</v>
      </c>
      <c r="BM411">
        <v>1</v>
      </c>
      <c r="BN411" t="s">
        <v>595</v>
      </c>
      <c r="BO411" t="s">
        <v>596</v>
      </c>
      <c r="BP411" t="s">
        <v>550</v>
      </c>
      <c r="BQ411" t="s">
        <v>562</v>
      </c>
      <c r="BS411" t="s">
        <v>554</v>
      </c>
    </row>
    <row r="412" spans="1:71" x14ac:dyDescent="0.2">
      <c r="A412" s="1" t="s">
        <v>1857</v>
      </c>
      <c r="B412" s="142" t="str">
        <f>IF(A412="","",_xlfn.XLOOKUP(A412, Company_List!$A:$A, Company_List!$B:$B, ""))</f>
        <v>MA</v>
      </c>
      <c r="C412" s="143">
        <v>2025</v>
      </c>
      <c r="D412" s="143" t="s">
        <v>563</v>
      </c>
      <c r="E412" s="98" t="s">
        <v>538</v>
      </c>
      <c r="F412" s="98" t="s">
        <v>538</v>
      </c>
      <c r="G412" s="143" t="s">
        <v>648</v>
      </c>
      <c r="H412" s="106" t="s">
        <v>540</v>
      </c>
      <c r="I412" s="145">
        <v>0.25</v>
      </c>
      <c r="J412" s="145" t="str">
        <f>IF(OR(I412="",Settings!$B$6=""),"",IF(I412&gt;Settings!$B$6,"BUY",IF(I412&lt;-Settings!$B$6,"SELL","HOLD")))</f>
        <v>BUY</v>
      </c>
      <c r="K412" s="145">
        <v>30</v>
      </c>
      <c r="L412" s="123">
        <v>45960</v>
      </c>
      <c r="M412" s="140" t="s">
        <v>723</v>
      </c>
      <c r="N412" s="147">
        <v>560.06299999999999</v>
      </c>
      <c r="O412" s="140" t="s">
        <v>913</v>
      </c>
      <c r="P412" s="145">
        <v>560.053</v>
      </c>
      <c r="Q412" s="151">
        <f t="shared" si="63"/>
        <v>0</v>
      </c>
      <c r="R412" s="118" t="str">
        <f>IF(OR(N412="",P412=""),"",IF(Q412&gt;Settings!$B$3/100,"UP",IF(Q412&lt;-Settings!$B$3/100,"DOWN","FLAT")))</f>
        <v>FLAT</v>
      </c>
      <c r="S412" s="118" t="str">
        <f t="shared" si="64"/>
        <v>NO</v>
      </c>
      <c r="T412" s="119">
        <f t="shared" si="65"/>
        <v>1</v>
      </c>
      <c r="U412" s="150">
        <f>IFERROR(IF(OR(J412="",N412="",P412=""),"",IF(T412=0,0,T412*Q412-Settings!$B$4/10000-IF(T412&lt;0,Settings!$B$5/10000,0))),"")</f>
        <v>-1E-3</v>
      </c>
      <c r="W412" s="21">
        <f t="shared" si="66"/>
        <v>1800</v>
      </c>
      <c r="X412" s="91" t="str">
        <f t="shared" si="67"/>
        <v>Mastercard|2025|Q3</v>
      </c>
      <c r="Y412" s="91" t="str">
        <f>IFERROR(IF($X412="","",INDEX(LLM_Data_Entry!$H$3:$H$548,MATCH($X412,INDEX(LLM_Data_Entry!$A$3:$A$548&amp;"|"&amp;LLM_Data_Entry!$C$3:$C$548&amp;"|"&amp;LLM_Data_Entry!$D$3:$D$548,0),0))),"")</f>
        <v>BUY</v>
      </c>
      <c r="Z412" s="91">
        <f>IFERROR(IF($X412="","",INDEX(LLM_Data_Entry!$R$3:$R$548,MATCH($X412,INDEX(LLM_Data_Entry!$A$3:$A$548&amp;"|"&amp;LLM_Data_Entry!$C$3:$C$548&amp;"|"&amp;LLM_Data_Entry!$D$3:$D$548,0),0))),"")</f>
        <v>0</v>
      </c>
      <c r="AB412" t="s">
        <v>1247</v>
      </c>
      <c r="AC412" t="s">
        <v>1858</v>
      </c>
      <c r="AD412" t="s">
        <v>660</v>
      </c>
      <c r="AE412">
        <v>550.97749999999996</v>
      </c>
      <c r="AF412" t="s">
        <v>661</v>
      </c>
      <c r="AG412">
        <v>546.21090000000004</v>
      </c>
      <c r="AH412">
        <v>-8.6510728447631979E-3</v>
      </c>
      <c r="AI412" t="s">
        <v>579</v>
      </c>
      <c r="AJ412" t="s">
        <v>546</v>
      </c>
      <c r="AK412">
        <v>-9.6509999999999999E-3</v>
      </c>
      <c r="AL412" t="str">
        <f>IF($A412="","",IFERROR(INDEX(Company_List!$G$3:$G$207,MATCH($A412,Company_List!$A$3:$A$207,0)),"unassigned"))</f>
        <v>P2</v>
      </c>
      <c r="AM412" t="s">
        <v>1868</v>
      </c>
      <c r="AN412" t="s">
        <v>1869</v>
      </c>
      <c r="AO412" t="s">
        <v>754</v>
      </c>
      <c r="AP412" t="str">
        <f>IF($A412="","",IF(COUNTIFS(LLM_Data_Entry!$A$3:$A$548,$A412)&gt;0,"YES","NO"))</f>
        <v>YES</v>
      </c>
      <c r="AQ412" t="str">
        <f>IF($A412="","",IF(COUNTIFS($A$3:$A412,$A412,$C$3:$C412,$C412,$D$3:$D412,$D412)=1,"YES","NO"))</f>
        <v>NO</v>
      </c>
      <c r="AR412" t="str">
        <f>IF($A412="","",IF(AND($C412&amp;"-"&amp;$D412&gt;=Settings!$B$19,$C412&amp;"-"&amp;$D412&lt;=Settings!$B$20),"IN","OUT"))</f>
        <v>IN</v>
      </c>
      <c r="AS412" t="str">
        <f t="shared" si="68"/>
        <v>full</v>
      </c>
      <c r="AT412">
        <f t="shared" si="69"/>
        <v>-1E-3</v>
      </c>
      <c r="AU412">
        <f t="shared" si="70"/>
        <v>-9.6509999999999999E-3</v>
      </c>
      <c r="AV412">
        <f>IF(ISNUMBER($AT412),ABS(IF(ISNUMBER($I412),$I412,0)-Settings!$B$24),"")</f>
        <v>0.25</v>
      </c>
      <c r="AW412">
        <f t="shared" si="71"/>
        <v>-2.5000000000000001E-4</v>
      </c>
      <c r="AX412">
        <f>IF(ISNUMBER($AU412),ABS(IF(ISNUMBER($I412),$I412,0)-Settings!$B$24),"")</f>
        <v>0.25</v>
      </c>
      <c r="AY412" t="s">
        <v>1183</v>
      </c>
      <c r="AZ412" t="str">
        <f>IF($A412="","",IFERROR(INDEX(Company_List!$H$3:$H$207,MATCH($A412,Company_List!$A$3:$A$207,0)),"unassigned"))</f>
        <v>Financials</v>
      </c>
      <c r="BA412">
        <v>2</v>
      </c>
      <c r="BB412">
        <v>2</v>
      </c>
      <c r="BC412">
        <f>IF($A412="","",IF(COUNTIFS($A$3:$A412,$A412,$C$3:$C412,$C412,$D$3:$D412,$D412,$G$3:$G412,$G412)=1,1,0))</f>
        <v>0</v>
      </c>
      <c r="BD412">
        <v>21</v>
      </c>
      <c r="BE412">
        <v>30</v>
      </c>
      <c r="BF412">
        <v>0.1</v>
      </c>
      <c r="BG412" t="s">
        <v>550</v>
      </c>
      <c r="BH412" t="s">
        <v>550</v>
      </c>
      <c r="BI412" t="s">
        <v>1861</v>
      </c>
      <c r="BJ412" t="s">
        <v>1867</v>
      </c>
      <c r="BK412">
        <f t="shared" si="72"/>
        <v>1</v>
      </c>
      <c r="BL412" t="s">
        <v>1520</v>
      </c>
      <c r="BM412">
        <v>2</v>
      </c>
      <c r="BN412" t="s">
        <v>595</v>
      </c>
      <c r="BO412" t="s">
        <v>596</v>
      </c>
      <c r="BP412" t="s">
        <v>550</v>
      </c>
      <c r="BQ412" t="s">
        <v>562</v>
      </c>
      <c r="BS412" t="s">
        <v>554</v>
      </c>
    </row>
    <row r="413" spans="1:71" x14ac:dyDescent="0.2">
      <c r="A413" s="1" t="s">
        <v>1857</v>
      </c>
      <c r="B413" s="142" t="str">
        <f>IF(A413="","",_xlfn.XLOOKUP(A413, Company_List!$A:$A, Company_List!$B:$B, ""))</f>
        <v>MA</v>
      </c>
      <c r="C413" s="143">
        <v>2025</v>
      </c>
      <c r="D413" s="143" t="s">
        <v>569</v>
      </c>
      <c r="E413" s="98" t="s">
        <v>647</v>
      </c>
      <c r="F413" s="98" t="s">
        <v>1092</v>
      </c>
      <c r="G413" s="143" t="s">
        <v>648</v>
      </c>
      <c r="H413" s="106" t="s">
        <v>540</v>
      </c>
      <c r="I413" s="145">
        <v>0.15</v>
      </c>
      <c r="J413" s="145" t="str">
        <f>IF(OR(I413="",Settings!$B$6=""),"",IF(I413&gt;Settings!$B$6,"BUY",IF(I413&lt;-Settings!$B$6,"SELL","HOLD")))</f>
        <v>HOLD</v>
      </c>
      <c r="K413" s="145">
        <v>25</v>
      </c>
      <c r="L413" s="123">
        <v>46051</v>
      </c>
      <c r="M413" s="140" t="s">
        <v>727</v>
      </c>
      <c r="N413" s="147">
        <v>544.9683</v>
      </c>
      <c r="O413" s="140" t="s">
        <v>891</v>
      </c>
      <c r="P413" s="145">
        <v>546.66269999999997</v>
      </c>
      <c r="Q413" s="151">
        <f t="shared" si="63"/>
        <v>3.0999999999999999E-3</v>
      </c>
      <c r="R413" s="118" t="str">
        <f>IF(OR(N413="",P413=""),"",IF(Q413&gt;Settings!$B$3/100,"UP",IF(Q413&lt;-Settings!$B$3/100,"DOWN","FLAT")))</f>
        <v>FLAT</v>
      </c>
      <c r="S413" s="118" t="str">
        <f t="shared" si="64"/>
        <v>YES</v>
      </c>
      <c r="T413" s="119">
        <f t="shared" si="65"/>
        <v>0</v>
      </c>
      <c r="U413" s="150">
        <f>IFERROR(IF(OR(J413="",N413="",P413=""),"",IF(T413=0,0,T413*Q413-Settings!$B$4/10000-IF(T413&lt;0,Settings!$B$5/10000,0))),"")</f>
        <v>0</v>
      </c>
      <c r="W413" s="21">
        <f t="shared" si="66"/>
        <v>1500</v>
      </c>
      <c r="X413" s="91" t="str">
        <f t="shared" si="67"/>
        <v>Mastercard|2025|Q4</v>
      </c>
      <c r="Y413" s="91" t="str">
        <f>IFERROR(IF($X413="","",INDEX(LLM_Data_Entry!$H$3:$H$548,MATCH($X413,INDEX(LLM_Data_Entry!$A$3:$A$548&amp;"|"&amp;LLM_Data_Entry!$C$3:$C$548&amp;"|"&amp;LLM_Data_Entry!$D$3:$D$548,0),0))),"")</f>
        <v>HOLD</v>
      </c>
      <c r="Z413" s="91">
        <f>IFERROR(IF($X413="","",INDEX(LLM_Data_Entry!$R$3:$R$548,MATCH($X413,INDEX(LLM_Data_Entry!$A$3:$A$548&amp;"|"&amp;LLM_Data_Entry!$C$3:$C$548&amp;"|"&amp;LLM_Data_Entry!$D$3:$D$548,0),0))),"")</f>
        <v>0</v>
      </c>
      <c r="AB413" t="s">
        <v>1247</v>
      </c>
      <c r="AC413" t="s">
        <v>1858</v>
      </c>
      <c r="AD413" t="s">
        <v>776</v>
      </c>
      <c r="AE413">
        <v>519.6046</v>
      </c>
      <c r="AF413" t="s">
        <v>694</v>
      </c>
      <c r="AG413">
        <v>529.98919999999998</v>
      </c>
      <c r="AH413">
        <v>1.998571864012226E-2</v>
      </c>
      <c r="AI413" t="s">
        <v>579</v>
      </c>
      <c r="AJ413" t="s">
        <v>554</v>
      </c>
      <c r="AK413">
        <v>0</v>
      </c>
      <c r="AL413" t="str">
        <f>IF($A413="","",IFERROR(INDEX(Company_List!$G$3:$G$207,MATCH($A413,Company_List!$A$3:$A$207,0)),"unassigned"))</f>
        <v>P2</v>
      </c>
      <c r="AM413" t="s">
        <v>1870</v>
      </c>
      <c r="AN413" t="s">
        <v>1871</v>
      </c>
      <c r="AO413" t="s">
        <v>560</v>
      </c>
      <c r="AP413" t="str">
        <f>IF($A413="","",IF(COUNTIFS(LLM_Data_Entry!$A$3:$A$548,$A413)&gt;0,"YES","NO"))</f>
        <v>YES</v>
      </c>
      <c r="AQ413" t="str">
        <f>IF($A413="","",IF(COUNTIFS($A$3:$A413,$A413,$C$3:$C413,$C413,$D$3:$D413,$D413)=1,"YES","NO"))</f>
        <v>YES</v>
      </c>
      <c r="AR413" t="str">
        <f>IF($A413="","",IF(AND($C413&amp;"-"&amp;$D413&gt;=Settings!$B$19,$C413&amp;"-"&amp;$D413&lt;=Settings!$B$20),"IN","OUT"))</f>
        <v>IN</v>
      </c>
      <c r="AS413" t="str">
        <f t="shared" si="68"/>
        <v>qanda</v>
      </c>
      <c r="AT413" t="str">
        <f t="shared" si="69"/>
        <v/>
      </c>
      <c r="AU413" t="str">
        <f t="shared" si="70"/>
        <v/>
      </c>
      <c r="AV413" t="str">
        <f>IF(ISNUMBER($AT413),ABS(IF(ISNUMBER($I413),$I413,0)-Settings!$B$24),"")</f>
        <v/>
      </c>
      <c r="AW413" t="str">
        <f t="shared" si="71"/>
        <v/>
      </c>
      <c r="AX413" t="str">
        <f>IF(ISNUMBER($AU413),ABS(IF(ISNUMBER($I413),$I413,0)-Settings!$B$24),"")</f>
        <v/>
      </c>
      <c r="AY413" t="s">
        <v>1183</v>
      </c>
      <c r="AZ413" t="str">
        <f>IF($A413="","",IFERROR(INDEX(Company_List!$H$3:$H$207,MATCH($A413,Company_List!$A$3:$A$207,0)),"unassigned"))</f>
        <v>Financials</v>
      </c>
      <c r="BA413">
        <v>1</v>
      </c>
      <c r="BB413">
        <v>2</v>
      </c>
      <c r="BC413">
        <f>IF($A413="","",IF(COUNTIFS($A$3:$A413,$A413,$C$3:$C413,$C413,$D$3:$D413,$D413,$G$3:$G413,$G413)=1,1,0))</f>
        <v>1</v>
      </c>
      <c r="BD413">
        <v>25</v>
      </c>
      <c r="BE413">
        <v>27</v>
      </c>
      <c r="BF413">
        <v>0.15</v>
      </c>
      <c r="BG413" t="s">
        <v>550</v>
      </c>
      <c r="BH413" t="s">
        <v>550</v>
      </c>
      <c r="BI413" t="s">
        <v>1861</v>
      </c>
      <c r="BJ413" t="s">
        <v>1872</v>
      </c>
      <c r="BK413">
        <f t="shared" si="72"/>
        <v>1</v>
      </c>
      <c r="BL413" t="s">
        <v>1520</v>
      </c>
      <c r="BM413">
        <v>1</v>
      </c>
      <c r="BN413" t="s">
        <v>595</v>
      </c>
      <c r="BO413" t="s">
        <v>596</v>
      </c>
      <c r="BP413" t="s">
        <v>550</v>
      </c>
      <c r="BQ413" t="s">
        <v>562</v>
      </c>
      <c r="BS413" t="s">
        <v>554</v>
      </c>
    </row>
    <row r="414" spans="1:71" x14ac:dyDescent="0.2">
      <c r="A414" s="1" t="s">
        <v>1857</v>
      </c>
      <c r="B414" s="142" t="str">
        <f>IF(A414="","",_xlfn.XLOOKUP(A414, Company_List!$A:$A, Company_List!$B:$B, ""))</f>
        <v>MA</v>
      </c>
      <c r="C414" s="143">
        <v>2025</v>
      </c>
      <c r="D414" s="143" t="s">
        <v>569</v>
      </c>
      <c r="E414" s="98" t="s">
        <v>538</v>
      </c>
      <c r="F414" s="98" t="s">
        <v>538</v>
      </c>
      <c r="G414" s="143" t="s">
        <v>648</v>
      </c>
      <c r="H414" s="106" t="s">
        <v>540</v>
      </c>
      <c r="I414" s="145">
        <v>0.2</v>
      </c>
      <c r="J414" s="145" t="str">
        <f>IF(OR(I414="",Settings!$B$6=""),"",IF(I414&gt;Settings!$B$6,"BUY",IF(I414&lt;-Settings!$B$6,"SELL","HOLD")))</f>
        <v>HOLD</v>
      </c>
      <c r="K414" s="145">
        <v>27</v>
      </c>
      <c r="L414" s="123">
        <v>46051</v>
      </c>
      <c r="M414" s="140" t="s">
        <v>727</v>
      </c>
      <c r="N414" s="147">
        <v>544.9683</v>
      </c>
      <c r="O414" s="140" t="s">
        <v>891</v>
      </c>
      <c r="P414" s="145">
        <v>546.66269999999997</v>
      </c>
      <c r="Q414" s="151">
        <f t="shared" si="63"/>
        <v>3.0999999999999999E-3</v>
      </c>
      <c r="R414" s="118" t="str">
        <f>IF(OR(N414="",P414=""),"",IF(Q414&gt;Settings!$B$3/100,"UP",IF(Q414&lt;-Settings!$B$3/100,"DOWN","FLAT")))</f>
        <v>FLAT</v>
      </c>
      <c r="S414" s="118" t="str">
        <f t="shared" si="64"/>
        <v>YES</v>
      </c>
      <c r="T414" s="119">
        <f t="shared" si="65"/>
        <v>0</v>
      </c>
      <c r="U414" s="150">
        <f>IFERROR(IF(OR(J414="",N414="",P414=""),"",IF(T414=0,0,T414*Q414-Settings!$B$4/10000-IF(T414&lt;0,Settings!$B$5/10000,0))),"")</f>
        <v>0</v>
      </c>
      <c r="W414" s="21">
        <f t="shared" si="66"/>
        <v>1620</v>
      </c>
      <c r="X414" s="91" t="str">
        <f t="shared" si="67"/>
        <v>Mastercard|2025|Q4</v>
      </c>
      <c r="Y414" s="91" t="str">
        <f>IFERROR(IF($X414="","",INDEX(LLM_Data_Entry!$H$3:$H$548,MATCH($X414,INDEX(LLM_Data_Entry!$A$3:$A$548&amp;"|"&amp;LLM_Data_Entry!$C$3:$C$548&amp;"|"&amp;LLM_Data_Entry!$D$3:$D$548,0),0))),"")</f>
        <v>HOLD</v>
      </c>
      <c r="Z414" s="91">
        <f>IFERROR(IF($X414="","",INDEX(LLM_Data_Entry!$R$3:$R$548,MATCH($X414,INDEX(LLM_Data_Entry!$A$3:$A$548&amp;"|"&amp;LLM_Data_Entry!$C$3:$C$548&amp;"|"&amp;LLM_Data_Entry!$D$3:$D$548,0),0))),"")</f>
        <v>0</v>
      </c>
      <c r="AB414" t="s">
        <v>1247</v>
      </c>
      <c r="AC414" t="s">
        <v>1858</v>
      </c>
      <c r="AD414" t="s">
        <v>776</v>
      </c>
      <c r="AE414">
        <v>519.6046</v>
      </c>
      <c r="AF414" t="s">
        <v>694</v>
      </c>
      <c r="AG414">
        <v>529.98919999999998</v>
      </c>
      <c r="AH414">
        <v>1.998571864012226E-2</v>
      </c>
      <c r="AI414" t="s">
        <v>579</v>
      </c>
      <c r="AJ414" t="s">
        <v>554</v>
      </c>
      <c r="AK414">
        <v>0</v>
      </c>
      <c r="AL414" t="str">
        <f>IF($A414="","",IFERROR(INDEX(Company_List!$G$3:$G$207,MATCH($A414,Company_List!$A$3:$A$207,0)),"unassigned"))</f>
        <v>P2</v>
      </c>
      <c r="AM414" t="s">
        <v>1873</v>
      </c>
      <c r="AN414" t="s">
        <v>1874</v>
      </c>
      <c r="AO414" t="s">
        <v>754</v>
      </c>
      <c r="AP414" t="str">
        <f>IF($A414="","",IF(COUNTIFS(LLM_Data_Entry!$A$3:$A$548,$A414)&gt;0,"YES","NO"))</f>
        <v>YES</v>
      </c>
      <c r="AQ414" t="str">
        <f>IF($A414="","",IF(COUNTIFS($A$3:$A414,$A414,$C$3:$C414,$C414,$D$3:$D414,$D414)=1,"YES","NO"))</f>
        <v>NO</v>
      </c>
      <c r="AR414" t="str">
        <f>IF($A414="","",IF(AND($C414&amp;"-"&amp;$D414&gt;=Settings!$B$19,$C414&amp;"-"&amp;$D414&lt;=Settings!$B$20),"IN","OUT"))</f>
        <v>IN</v>
      </c>
      <c r="AS414" t="str">
        <f t="shared" si="68"/>
        <v>full</v>
      </c>
      <c r="AT414" t="str">
        <f t="shared" si="69"/>
        <v/>
      </c>
      <c r="AU414" t="str">
        <f t="shared" si="70"/>
        <v/>
      </c>
      <c r="AV414" t="str">
        <f>IF(ISNUMBER($AT414),ABS(IF(ISNUMBER($I414),$I414,0)-Settings!$B$24),"")</f>
        <v/>
      </c>
      <c r="AW414" t="str">
        <f t="shared" si="71"/>
        <v/>
      </c>
      <c r="AX414" t="str">
        <f>IF(ISNUMBER($AU414),ABS(IF(ISNUMBER($I414),$I414,0)-Settings!$B$24),"")</f>
        <v/>
      </c>
      <c r="AY414" t="s">
        <v>1183</v>
      </c>
      <c r="AZ414" t="str">
        <f>IF($A414="","",IFERROR(INDEX(Company_List!$H$3:$H$207,MATCH($A414,Company_List!$A$3:$A$207,0)),"unassigned"))</f>
        <v>Financials</v>
      </c>
      <c r="BA414">
        <v>2</v>
      </c>
      <c r="BB414">
        <v>2</v>
      </c>
      <c r="BC414">
        <f>IF($A414="","",IF(COUNTIFS($A$3:$A414,$A414,$C$3:$C414,$C414,$D$3:$D414,$D414,$G$3:$G414,$G414)=1,1,0))</f>
        <v>0</v>
      </c>
      <c r="BD414">
        <v>25</v>
      </c>
      <c r="BE414">
        <v>27</v>
      </c>
      <c r="BF414">
        <v>0.15</v>
      </c>
      <c r="BG414" t="s">
        <v>550</v>
      </c>
      <c r="BH414" t="s">
        <v>550</v>
      </c>
      <c r="BI414" t="s">
        <v>1861</v>
      </c>
      <c r="BJ414" t="s">
        <v>1872</v>
      </c>
      <c r="BK414">
        <f t="shared" si="72"/>
        <v>1</v>
      </c>
      <c r="BL414" t="s">
        <v>1520</v>
      </c>
      <c r="BM414">
        <v>2</v>
      </c>
      <c r="BN414" t="s">
        <v>595</v>
      </c>
      <c r="BO414" t="s">
        <v>596</v>
      </c>
      <c r="BP414" t="s">
        <v>550</v>
      </c>
      <c r="BQ414" t="s">
        <v>562</v>
      </c>
      <c r="BS414" t="s">
        <v>554</v>
      </c>
    </row>
    <row r="415" spans="1:71" x14ac:dyDescent="0.2">
      <c r="A415" s="1" t="s">
        <v>1857</v>
      </c>
      <c r="B415" s="142" t="str">
        <f>IF(A415="","",_xlfn.XLOOKUP(A415, Company_List!$A:$A, Company_List!$B:$B, ""))</f>
        <v>MA</v>
      </c>
      <c r="C415" s="143">
        <v>2026</v>
      </c>
      <c r="D415" s="143" t="s">
        <v>537</v>
      </c>
      <c r="E415" s="98" t="s">
        <v>538</v>
      </c>
      <c r="F415" s="98" t="s">
        <v>538</v>
      </c>
      <c r="G415" s="143" t="s">
        <v>648</v>
      </c>
      <c r="H415" s="106" t="s">
        <v>540</v>
      </c>
      <c r="I415" s="145">
        <v>0.15</v>
      </c>
      <c r="J415" s="145" t="str">
        <f>IF(OR(I415="",Settings!$B$6=""),"",IF(I415&gt;Settings!$B$6,"BUY",IF(I415&lt;-Settings!$B$6,"SELL","HOLD")))</f>
        <v>HOLD</v>
      </c>
      <c r="K415" s="145">
        <v>34</v>
      </c>
      <c r="L415" s="123">
        <v>46142</v>
      </c>
      <c r="M415" s="140" t="s">
        <v>920</v>
      </c>
      <c r="N415" s="147">
        <v>519.08979999999997</v>
      </c>
      <c r="O415" s="140" t="s">
        <v>543</v>
      </c>
      <c r="P415" s="145">
        <v>517.16309999999999</v>
      </c>
      <c r="Q415" s="151">
        <f t="shared" si="63"/>
        <v>-3.7000000000000002E-3</v>
      </c>
      <c r="R415" s="118" t="str">
        <f>IF(OR(N415="",P415=""),"",IF(Q415&gt;Settings!$B$3/100,"UP",IF(Q415&lt;-Settings!$B$3/100,"DOWN","FLAT")))</f>
        <v>FLAT</v>
      </c>
      <c r="S415" s="118" t="str">
        <f t="shared" si="64"/>
        <v>YES</v>
      </c>
      <c r="T415" s="119">
        <f t="shared" si="65"/>
        <v>0</v>
      </c>
      <c r="U415" s="150">
        <f>IFERROR(IF(OR(J415="",N415="",P415=""),"",IF(T415=0,0,T415*Q415-Settings!$B$4/10000-IF(T415&lt;0,Settings!$B$5/10000,0))),"")</f>
        <v>0</v>
      </c>
      <c r="W415" s="21">
        <f t="shared" si="66"/>
        <v>2040</v>
      </c>
      <c r="X415" s="91" t="str">
        <f t="shared" si="67"/>
        <v>Mastercard|2026|Q1</v>
      </c>
      <c r="Y415" s="91" t="str">
        <f>IFERROR(IF($X415="","",INDEX(LLM_Data_Entry!$H$3:$H$548,MATCH($X415,INDEX(LLM_Data_Entry!$A$3:$A$548&amp;"|"&amp;LLM_Data_Entry!$C$3:$C$548&amp;"|"&amp;LLM_Data_Entry!$D$3:$D$548,0),0))),"")</f>
        <v>SELL</v>
      </c>
      <c r="Z415" s="91">
        <f>IFERROR(IF($X415="","",INDEX(LLM_Data_Entry!$R$3:$R$548,MATCH($X415,INDEX(LLM_Data_Entry!$A$3:$A$548&amp;"|"&amp;LLM_Data_Entry!$C$3:$C$548&amp;"|"&amp;LLM_Data_Entry!$D$3:$D$548,0),0))),"")</f>
        <v>0</v>
      </c>
      <c r="AB415" t="s">
        <v>1247</v>
      </c>
      <c r="AC415" t="s">
        <v>1858</v>
      </c>
      <c r="AD415" t="s">
        <v>656</v>
      </c>
      <c r="AE415">
        <v>524.351</v>
      </c>
      <c r="AF415" t="s">
        <v>657</v>
      </c>
      <c r="AG415">
        <v>503.65570000000002</v>
      </c>
      <c r="AH415">
        <v>-3.9468410698696041E-2</v>
      </c>
      <c r="AI415" t="s">
        <v>545</v>
      </c>
      <c r="AJ415" t="s">
        <v>546</v>
      </c>
      <c r="AK415">
        <v>0</v>
      </c>
      <c r="AL415" t="str">
        <f>IF($A415="","",IFERROR(INDEX(Company_List!$G$3:$G$207,MATCH($A415,Company_List!$A$3:$A$207,0)),"unassigned"))</f>
        <v>P2</v>
      </c>
      <c r="AM415" t="s">
        <v>1875</v>
      </c>
      <c r="AN415" t="s">
        <v>1876</v>
      </c>
      <c r="AO415" t="s">
        <v>560</v>
      </c>
      <c r="AP415" t="str">
        <f>IF($A415="","",IF(COUNTIFS(LLM_Data_Entry!$A$3:$A$548,$A415)&gt;0,"YES","NO"))</f>
        <v>YES</v>
      </c>
      <c r="AQ415" t="str">
        <f>IF($A415="","",IF(COUNTIFS($A$3:$A415,$A415,$C$3:$C415,$C415,$D$3:$D415,$D415)=1,"YES","NO"))</f>
        <v>YES</v>
      </c>
      <c r="AR415" t="str">
        <f>IF($A415="","",IF(AND($C415&amp;"-"&amp;$D415&gt;=Settings!$B$19,$C415&amp;"-"&amp;$D415&lt;=Settings!$B$20),"IN","OUT"))</f>
        <v>IN</v>
      </c>
      <c r="AS415" t="str">
        <f t="shared" si="68"/>
        <v>full</v>
      </c>
      <c r="AT415" t="str">
        <f t="shared" si="69"/>
        <v/>
      </c>
      <c r="AU415" t="str">
        <f t="shared" si="70"/>
        <v/>
      </c>
      <c r="AV415" t="str">
        <f>IF(ISNUMBER($AT415),ABS(IF(ISNUMBER($I415),$I415,0)-Settings!$B$24),"")</f>
        <v/>
      </c>
      <c r="AW415" t="str">
        <f t="shared" si="71"/>
        <v/>
      </c>
      <c r="AX415" t="str">
        <f>IF(ISNUMBER($AU415),ABS(IF(ISNUMBER($I415),$I415,0)-Settings!$B$24),"")</f>
        <v/>
      </c>
      <c r="AY415" t="s">
        <v>1183</v>
      </c>
      <c r="AZ415" t="str">
        <f>IF($A415="","",IFERROR(INDEX(Company_List!$H$3:$H$207,MATCH($A415,Company_List!$A$3:$A$207,0)),"unassigned"))</f>
        <v>Financials</v>
      </c>
      <c r="BA415">
        <v>1</v>
      </c>
      <c r="BB415">
        <v>1</v>
      </c>
      <c r="BC415">
        <f>IF($A415="","",IF(COUNTIFS($A$3:$A415,$A415,$C$3:$C415,$C415,$D$3:$D415,$D415,$G$3:$G415,$G415)=1,1,0))</f>
        <v>1</v>
      </c>
      <c r="BD415">
        <v>34</v>
      </c>
      <c r="BG415" t="s">
        <v>550</v>
      </c>
      <c r="BH415" t="s">
        <v>550</v>
      </c>
      <c r="BI415" t="s">
        <v>1861</v>
      </c>
      <c r="BJ415" t="s">
        <v>1877</v>
      </c>
      <c r="BK415">
        <f t="shared" si="72"/>
        <v>0</v>
      </c>
      <c r="BL415" t="s">
        <v>1520</v>
      </c>
      <c r="BM415">
        <v>1</v>
      </c>
      <c r="BN415" t="s">
        <v>561</v>
      </c>
      <c r="BO415" t="s">
        <v>561</v>
      </c>
      <c r="BP415" t="s">
        <v>550</v>
      </c>
      <c r="BQ415" t="s">
        <v>562</v>
      </c>
      <c r="BS415" t="s">
        <v>554</v>
      </c>
    </row>
    <row r="416" spans="1:71" x14ac:dyDescent="0.2">
      <c r="A416" s="1" t="s">
        <v>1878</v>
      </c>
      <c r="B416" s="142" t="str">
        <f>IF(A416="","",_xlfn.XLOOKUP(A416, Company_List!$A:$A, Company_List!$B:$B, ""))</f>
        <v>SHEL</v>
      </c>
      <c r="C416" s="143">
        <v>2025</v>
      </c>
      <c r="D416" s="143" t="s">
        <v>555</v>
      </c>
      <c r="E416" s="98" t="s">
        <v>1476</v>
      </c>
      <c r="F416" s="98" t="s">
        <v>1086</v>
      </c>
      <c r="G416" s="143" t="s">
        <v>648</v>
      </c>
      <c r="H416" s="106" t="s">
        <v>540</v>
      </c>
      <c r="I416" s="145">
        <v>0.3</v>
      </c>
      <c r="J416" s="145" t="str">
        <f>IF(OR(I416="",Settings!$B$6=""),"",IF(I416&gt;Settings!$B$6,"BUY",IF(I416&lt;-Settings!$B$6,"SELL","HOLD")))</f>
        <v>BUY</v>
      </c>
      <c r="K416" s="145">
        <v>24</v>
      </c>
      <c r="L416" s="123">
        <v>45869</v>
      </c>
      <c r="M416" s="140" t="s">
        <v>556</v>
      </c>
      <c r="N416" s="147">
        <v>67.736999999999995</v>
      </c>
      <c r="O416" s="140" t="s">
        <v>557</v>
      </c>
      <c r="P416" s="145">
        <v>68.584500000000006</v>
      </c>
      <c r="Q416" s="151">
        <f t="shared" si="63"/>
        <v>1.2500000000000001E-2</v>
      </c>
      <c r="R416" s="118" t="str">
        <f>IF(OR(N416="",P416=""),"",IF(Q416&gt;Settings!$B$3/100,"UP",IF(Q416&lt;-Settings!$B$3/100,"DOWN","FLAT")))</f>
        <v>FLAT</v>
      </c>
      <c r="S416" s="118" t="str">
        <f t="shared" si="64"/>
        <v>NO</v>
      </c>
      <c r="T416" s="119">
        <f t="shared" si="65"/>
        <v>1</v>
      </c>
      <c r="U416" s="150">
        <f>IFERROR(IF(OR(J416="",N416="",P416=""),"",IF(T416=0,0,T416*Q416-Settings!$B$4/10000-IF(T416&lt;0,Settings!$B$5/10000,0))),"")</f>
        <v>1.15E-2</v>
      </c>
      <c r="W416" s="21">
        <f t="shared" si="66"/>
        <v>1440</v>
      </c>
      <c r="X416" s="91" t="str">
        <f t="shared" si="67"/>
        <v>Shell|2025|Q2</v>
      </c>
      <c r="Y416" s="91" t="str">
        <f>IFERROR(IF($X416="","",INDEX(LLM_Data_Entry!$H$3:$H$548,MATCH($X416,INDEX(LLM_Data_Entry!$A$3:$A$548&amp;"|"&amp;LLM_Data_Entry!$C$3:$C$548&amp;"|"&amp;LLM_Data_Entry!$D$3:$D$548,0),0))),"")</f>
        <v>HOLD</v>
      </c>
      <c r="Z416" s="91">
        <f>IFERROR(IF($X416="","",INDEX(LLM_Data_Entry!$R$3:$R$548,MATCH($X416,INDEX(LLM_Data_Entry!$A$3:$A$548&amp;"|"&amp;LLM_Data_Entry!$C$3:$C$548&amp;"|"&amp;LLM_Data_Entry!$D$3:$D$548,0),0))),"")</f>
        <v>0</v>
      </c>
      <c r="AB416" t="s">
        <v>1122</v>
      </c>
      <c r="AC416" t="s">
        <v>1879</v>
      </c>
      <c r="AD416" t="s">
        <v>1001</v>
      </c>
      <c r="AE416">
        <v>2677.9904999999999</v>
      </c>
      <c r="AF416" t="s">
        <v>687</v>
      </c>
      <c r="AG416">
        <v>2719.4749000000002</v>
      </c>
      <c r="AH416">
        <v>1.549089057567488E-2</v>
      </c>
      <c r="AI416" t="s">
        <v>579</v>
      </c>
      <c r="AJ416" t="s">
        <v>546</v>
      </c>
      <c r="AK416">
        <v>1.4491E-2</v>
      </c>
      <c r="AL416" t="str">
        <f>IF($A416="","",IFERROR(INDEX(Company_List!$G$3:$G$207,MATCH($A416,Company_List!$A$3:$A$207,0)),"unassigned"))</f>
        <v>P2</v>
      </c>
      <c r="AM416" t="s">
        <v>1880</v>
      </c>
      <c r="AN416" t="s">
        <v>1881</v>
      </c>
      <c r="AO416" t="s">
        <v>560</v>
      </c>
      <c r="AP416" t="str">
        <f>IF($A416="","",IF(COUNTIFS(LLM_Data_Entry!$A$3:$A$548,$A416)&gt;0,"YES","NO"))</f>
        <v>YES</v>
      </c>
      <c r="AQ416" t="str">
        <f>IF($A416="","",IF(COUNTIFS($A$3:$A416,$A416,$C$3:$C416,$C416,$D$3:$D416,$D416)=1,"YES","NO"))</f>
        <v>YES</v>
      </c>
      <c r="AR416" t="str">
        <f>IF($A416="","",IF(AND($C416&amp;"-"&amp;$D416&gt;=Settings!$B$19,$C416&amp;"-"&amp;$D416&lt;=Settings!$B$20),"IN","OUT"))</f>
        <v>IN</v>
      </c>
      <c r="AS416" t="str">
        <f t="shared" si="68"/>
        <v>financials</v>
      </c>
      <c r="AT416">
        <f t="shared" si="69"/>
        <v>1.15E-2</v>
      </c>
      <c r="AU416">
        <f t="shared" si="70"/>
        <v>1.4491E-2</v>
      </c>
      <c r="AV416">
        <f>IF(ISNUMBER($AT416),ABS(IF(ISNUMBER($I416),$I416,0)-Settings!$B$24),"")</f>
        <v>0.3</v>
      </c>
      <c r="AW416">
        <f t="shared" si="71"/>
        <v>3.4499999999999999E-3</v>
      </c>
      <c r="AX416">
        <f>IF(ISNUMBER($AU416),ABS(IF(ISNUMBER($I416),$I416,0)-Settings!$B$24),"")</f>
        <v>0.3</v>
      </c>
      <c r="AY416" t="s">
        <v>1183</v>
      </c>
      <c r="AZ416" t="str">
        <f>IF($A416="","",IFERROR(INDEX(Company_List!$H$3:$H$207,MATCH($A416,Company_List!$A$3:$A$207,0)),"unassigned"))</f>
        <v>Energy</v>
      </c>
      <c r="BA416">
        <v>1</v>
      </c>
      <c r="BB416">
        <v>2</v>
      </c>
      <c r="BC416">
        <f>IF($A416="","",IF(COUNTIFS($A$3:$A416,$A416,$C$3:$C416,$C416,$D$3:$D416,$D416,$G$3:$G416,$G416)=1,1,0))</f>
        <v>1</v>
      </c>
      <c r="BD416">
        <v>24</v>
      </c>
      <c r="BE416">
        <v>28</v>
      </c>
      <c r="BF416">
        <v>0.3</v>
      </c>
      <c r="BG416" t="s">
        <v>550</v>
      </c>
      <c r="BH416" t="s">
        <v>550</v>
      </c>
      <c r="BI416" t="s">
        <v>1882</v>
      </c>
      <c r="BJ416" t="s">
        <v>1883</v>
      </c>
      <c r="BK416">
        <f t="shared" si="72"/>
        <v>0</v>
      </c>
      <c r="BL416" t="s">
        <v>1520</v>
      </c>
      <c r="BM416">
        <v>1</v>
      </c>
      <c r="BN416" t="s">
        <v>561</v>
      </c>
      <c r="BO416" t="s">
        <v>561</v>
      </c>
      <c r="BP416" t="s">
        <v>550</v>
      </c>
      <c r="BQ416" t="s">
        <v>562</v>
      </c>
      <c r="BS416" t="s">
        <v>554</v>
      </c>
    </row>
    <row r="417" spans="1:71" x14ac:dyDescent="0.2">
      <c r="A417" s="1" t="s">
        <v>1878</v>
      </c>
      <c r="B417" s="142" t="str">
        <f>IF(A417="","",_xlfn.XLOOKUP(A417, Company_List!$A:$A, Company_List!$B:$B, ""))</f>
        <v>SHEL</v>
      </c>
      <c r="C417" s="143">
        <v>2025</v>
      </c>
      <c r="D417" s="143" t="s">
        <v>555</v>
      </c>
      <c r="E417" s="98" t="s">
        <v>538</v>
      </c>
      <c r="F417" s="98" t="s">
        <v>538</v>
      </c>
      <c r="G417" s="143" t="s">
        <v>648</v>
      </c>
      <c r="H417" s="106" t="s">
        <v>540</v>
      </c>
      <c r="I417" s="145">
        <v>0.15</v>
      </c>
      <c r="J417" s="145" t="str">
        <f>IF(OR(I417="",Settings!$B$6=""),"",IF(I417&gt;Settings!$B$6,"BUY",IF(I417&lt;-Settings!$B$6,"SELL","HOLD")))</f>
        <v>HOLD</v>
      </c>
      <c r="K417" s="145">
        <v>28</v>
      </c>
      <c r="L417" s="123">
        <v>45869</v>
      </c>
      <c r="M417" s="140" t="s">
        <v>556</v>
      </c>
      <c r="N417" s="147">
        <v>67.736999999999995</v>
      </c>
      <c r="O417" s="140" t="s">
        <v>557</v>
      </c>
      <c r="P417" s="145">
        <v>68.584500000000006</v>
      </c>
      <c r="Q417" s="151">
        <f t="shared" si="63"/>
        <v>1.2500000000000001E-2</v>
      </c>
      <c r="R417" s="118" t="str">
        <f>IF(OR(N417="",P417=""),"",IF(Q417&gt;Settings!$B$3/100,"UP",IF(Q417&lt;-Settings!$B$3/100,"DOWN","FLAT")))</f>
        <v>FLAT</v>
      </c>
      <c r="S417" s="118" t="str">
        <f t="shared" si="64"/>
        <v>YES</v>
      </c>
      <c r="T417" s="119">
        <f t="shared" si="65"/>
        <v>0</v>
      </c>
      <c r="U417" s="150">
        <f>IFERROR(IF(OR(J417="",N417="",P417=""),"",IF(T417=0,0,T417*Q417-Settings!$B$4/10000-IF(T417&lt;0,Settings!$B$5/10000,0))),"")</f>
        <v>0</v>
      </c>
      <c r="W417" s="21">
        <f t="shared" si="66"/>
        <v>1680</v>
      </c>
      <c r="X417" s="91" t="str">
        <f t="shared" si="67"/>
        <v>Shell|2025|Q2</v>
      </c>
      <c r="Y417" s="91" t="str">
        <f>IFERROR(IF($X417="","",INDEX(LLM_Data_Entry!$H$3:$H$548,MATCH($X417,INDEX(LLM_Data_Entry!$A$3:$A$548&amp;"|"&amp;LLM_Data_Entry!$C$3:$C$548&amp;"|"&amp;LLM_Data_Entry!$D$3:$D$548,0),0))),"")</f>
        <v>HOLD</v>
      </c>
      <c r="Z417" s="91">
        <f>IFERROR(IF($X417="","",INDEX(LLM_Data_Entry!$R$3:$R$548,MATCH($X417,INDEX(LLM_Data_Entry!$A$3:$A$548&amp;"|"&amp;LLM_Data_Entry!$C$3:$C$548&amp;"|"&amp;LLM_Data_Entry!$D$3:$D$548,0),0))),"")</f>
        <v>0</v>
      </c>
      <c r="AB417" t="s">
        <v>1122</v>
      </c>
      <c r="AC417" t="s">
        <v>1879</v>
      </c>
      <c r="AD417" t="s">
        <v>1001</v>
      </c>
      <c r="AE417">
        <v>2677.9904999999999</v>
      </c>
      <c r="AF417" t="s">
        <v>687</v>
      </c>
      <c r="AG417">
        <v>2719.4749000000002</v>
      </c>
      <c r="AH417">
        <v>1.549089057567488E-2</v>
      </c>
      <c r="AI417" t="s">
        <v>579</v>
      </c>
      <c r="AJ417" t="s">
        <v>554</v>
      </c>
      <c r="AK417">
        <v>0</v>
      </c>
      <c r="AL417" t="str">
        <f>IF($A417="","",IFERROR(INDEX(Company_List!$G$3:$G$207,MATCH($A417,Company_List!$A$3:$A$207,0)),"unassigned"))</f>
        <v>P2</v>
      </c>
      <c r="AM417" t="s">
        <v>1884</v>
      </c>
      <c r="AN417" t="s">
        <v>1885</v>
      </c>
      <c r="AO417" t="s">
        <v>754</v>
      </c>
      <c r="AP417" t="str">
        <f>IF($A417="","",IF(COUNTIFS(LLM_Data_Entry!$A$3:$A$548,$A417)&gt;0,"YES","NO"))</f>
        <v>YES</v>
      </c>
      <c r="AQ417" t="str">
        <f>IF($A417="","",IF(COUNTIFS($A$3:$A417,$A417,$C$3:$C417,$C417,$D$3:$D417,$D417)=1,"YES","NO"))</f>
        <v>NO</v>
      </c>
      <c r="AR417" t="str">
        <f>IF($A417="","",IF(AND($C417&amp;"-"&amp;$D417&gt;=Settings!$B$19,$C417&amp;"-"&amp;$D417&lt;=Settings!$B$20),"IN","OUT"))</f>
        <v>IN</v>
      </c>
      <c r="AS417" t="str">
        <f t="shared" si="68"/>
        <v>full</v>
      </c>
      <c r="AT417" t="str">
        <f t="shared" si="69"/>
        <v/>
      </c>
      <c r="AU417" t="str">
        <f t="shared" si="70"/>
        <v/>
      </c>
      <c r="AV417" t="str">
        <f>IF(ISNUMBER($AT417),ABS(IF(ISNUMBER($I417),$I417,0)-Settings!$B$24),"")</f>
        <v/>
      </c>
      <c r="AW417" t="str">
        <f t="shared" si="71"/>
        <v/>
      </c>
      <c r="AX417" t="str">
        <f>IF(ISNUMBER($AU417),ABS(IF(ISNUMBER($I417),$I417,0)-Settings!$B$24),"")</f>
        <v/>
      </c>
      <c r="AY417" t="s">
        <v>1183</v>
      </c>
      <c r="AZ417" t="str">
        <f>IF($A417="","",IFERROR(INDEX(Company_List!$H$3:$H$207,MATCH($A417,Company_List!$A$3:$A$207,0)),"unassigned"))</f>
        <v>Energy</v>
      </c>
      <c r="BA417">
        <v>2</v>
      </c>
      <c r="BB417">
        <v>2</v>
      </c>
      <c r="BC417">
        <f>IF($A417="","",IF(COUNTIFS($A$3:$A417,$A417,$C$3:$C417,$C417,$D$3:$D417,$D417,$G$3:$G417,$G417)=1,1,0))</f>
        <v>0</v>
      </c>
      <c r="BD417">
        <v>24</v>
      </c>
      <c r="BE417">
        <v>28</v>
      </c>
      <c r="BF417">
        <v>0.3</v>
      </c>
      <c r="BG417" t="s">
        <v>550</v>
      </c>
      <c r="BH417" t="s">
        <v>550</v>
      </c>
      <c r="BI417" t="s">
        <v>1882</v>
      </c>
      <c r="BJ417" t="s">
        <v>1883</v>
      </c>
      <c r="BK417">
        <f t="shared" si="72"/>
        <v>1</v>
      </c>
      <c r="BL417" t="s">
        <v>1520</v>
      </c>
      <c r="BM417">
        <v>2</v>
      </c>
      <c r="BN417" t="s">
        <v>561</v>
      </c>
      <c r="BO417" t="s">
        <v>561</v>
      </c>
      <c r="BP417" t="s">
        <v>550</v>
      </c>
      <c r="BQ417" t="s">
        <v>562</v>
      </c>
      <c r="BS417" t="s">
        <v>554</v>
      </c>
    </row>
    <row r="418" spans="1:71" x14ac:dyDescent="0.2">
      <c r="A418" s="1" t="s">
        <v>1878</v>
      </c>
      <c r="B418" s="142" t="str">
        <f>IF(A418="","",_xlfn.XLOOKUP(A418, Company_List!$A:$A, Company_List!$B:$B, ""))</f>
        <v>SHEL</v>
      </c>
      <c r="C418" s="143">
        <v>2025</v>
      </c>
      <c r="D418" s="143" t="s">
        <v>563</v>
      </c>
      <c r="E418" s="98" t="s">
        <v>647</v>
      </c>
      <c r="F418" s="98" t="s">
        <v>1090</v>
      </c>
      <c r="G418" s="143" t="s">
        <v>648</v>
      </c>
      <c r="H418" s="106" t="s">
        <v>540</v>
      </c>
      <c r="I418" s="145">
        <v>0.05</v>
      </c>
      <c r="J418" s="145" t="str">
        <f>IF(OR(I418="",Settings!$B$6=""),"",IF(I418&gt;Settings!$B$6,"BUY",IF(I418&lt;-Settings!$B$6,"SELL","HOLD")))</f>
        <v>HOLD</v>
      </c>
      <c r="K418" s="145">
        <v>21</v>
      </c>
      <c r="L418" s="123">
        <v>45960</v>
      </c>
      <c r="M418" s="140" t="s">
        <v>1188</v>
      </c>
      <c r="N418" s="147">
        <v>70.599599999999995</v>
      </c>
      <c r="O418" s="140" t="s">
        <v>1042</v>
      </c>
      <c r="P418" s="145">
        <v>70.648300000000006</v>
      </c>
      <c r="Q418" s="151">
        <f t="shared" si="63"/>
        <v>6.9999999999999999E-4</v>
      </c>
      <c r="R418" s="118" t="str">
        <f>IF(OR(N418="",P418=""),"",IF(Q418&gt;Settings!$B$3/100,"UP",IF(Q418&lt;-Settings!$B$3/100,"DOWN","FLAT")))</f>
        <v>FLAT</v>
      </c>
      <c r="S418" s="118" t="str">
        <f t="shared" si="64"/>
        <v>YES</v>
      </c>
      <c r="T418" s="119">
        <f t="shared" si="65"/>
        <v>0</v>
      </c>
      <c r="U418" s="150">
        <f>IFERROR(IF(OR(J418="",N418="",P418=""),"",IF(T418=0,0,T418*Q418-Settings!$B$4/10000-IF(T418&lt;0,Settings!$B$5/10000,0))),"")</f>
        <v>0</v>
      </c>
      <c r="W418" s="21">
        <f t="shared" si="66"/>
        <v>1260</v>
      </c>
      <c r="X418" s="91" t="str">
        <f t="shared" si="67"/>
        <v>Shell|2025|Q3</v>
      </c>
      <c r="Y418" s="91" t="str">
        <f>IFERROR(IF($X418="","",INDEX(LLM_Data_Entry!$H$3:$H$548,MATCH($X418,INDEX(LLM_Data_Entry!$A$3:$A$548&amp;"|"&amp;LLM_Data_Entry!$C$3:$C$548&amp;"|"&amp;LLM_Data_Entry!$D$3:$D$548,0),0))),"")</f>
        <v>BUY</v>
      </c>
      <c r="Z418" s="91">
        <f>IFERROR(IF($X418="","",INDEX(LLM_Data_Entry!$R$3:$R$548,MATCH($X418,INDEX(LLM_Data_Entry!$A$3:$A$548&amp;"|"&amp;LLM_Data_Entry!$C$3:$C$548&amp;"|"&amp;LLM_Data_Entry!$D$3:$D$548,0),0))),"")</f>
        <v>0</v>
      </c>
      <c r="AB418" t="s">
        <v>1122</v>
      </c>
      <c r="AC418" t="s">
        <v>1879</v>
      </c>
      <c r="AD418" t="s">
        <v>626</v>
      </c>
      <c r="AE418">
        <v>2874.7031000000002</v>
      </c>
      <c r="AF418" t="s">
        <v>660</v>
      </c>
      <c r="AG418">
        <v>2902.1956</v>
      </c>
      <c r="AH418">
        <v>9.5635981040230293E-3</v>
      </c>
      <c r="AI418" t="s">
        <v>579</v>
      </c>
      <c r="AJ418" t="s">
        <v>554</v>
      </c>
      <c r="AK418">
        <v>0</v>
      </c>
      <c r="AL418" t="str">
        <f>IF($A418="","",IFERROR(INDEX(Company_List!$G$3:$G$207,MATCH($A418,Company_List!$A$3:$A$207,0)),"unassigned"))</f>
        <v>P2</v>
      </c>
      <c r="AM418" t="s">
        <v>1886</v>
      </c>
      <c r="AN418" t="s">
        <v>1887</v>
      </c>
      <c r="AO418" t="s">
        <v>560</v>
      </c>
      <c r="AP418" t="str">
        <f>IF($A418="","",IF(COUNTIFS(LLM_Data_Entry!$A$3:$A$548,$A418)&gt;0,"YES","NO"))</f>
        <v>YES</v>
      </c>
      <c r="AQ418" t="str">
        <f>IF($A418="","",IF(COUNTIFS($A$3:$A418,$A418,$C$3:$C418,$C418,$D$3:$D418,$D418)=1,"YES","NO"))</f>
        <v>YES</v>
      </c>
      <c r="AR418" t="str">
        <f>IF($A418="","",IF(AND($C418&amp;"-"&amp;$D418&gt;=Settings!$B$19,$C418&amp;"-"&amp;$D418&lt;=Settings!$B$20),"IN","OUT"))</f>
        <v>IN</v>
      </c>
      <c r="AS418" t="str">
        <f t="shared" si="68"/>
        <v>guidance</v>
      </c>
      <c r="AT418" t="str">
        <f t="shared" si="69"/>
        <v/>
      </c>
      <c r="AU418" t="str">
        <f t="shared" si="70"/>
        <v/>
      </c>
      <c r="AV418" t="str">
        <f>IF(ISNUMBER($AT418),ABS(IF(ISNUMBER($I418),$I418,0)-Settings!$B$24),"")</f>
        <v/>
      </c>
      <c r="AW418" t="str">
        <f t="shared" si="71"/>
        <v/>
      </c>
      <c r="AX418" t="str">
        <f>IF(ISNUMBER($AU418),ABS(IF(ISNUMBER($I418),$I418,0)-Settings!$B$24),"")</f>
        <v/>
      </c>
      <c r="AY418" t="s">
        <v>1183</v>
      </c>
      <c r="AZ418" t="str">
        <f>IF($A418="","",IFERROR(INDEX(Company_List!$H$3:$H$207,MATCH($A418,Company_List!$A$3:$A$207,0)),"unassigned"))</f>
        <v>Energy</v>
      </c>
      <c r="BA418">
        <v>1</v>
      </c>
      <c r="BB418">
        <v>2</v>
      </c>
      <c r="BC418">
        <f>IF($A418="","",IF(COUNTIFS($A$3:$A418,$A418,$C$3:$C418,$C418,$D$3:$D418,$D418,$G$3:$G418,$G418)=1,1,0))</f>
        <v>1</v>
      </c>
      <c r="BD418">
        <v>21</v>
      </c>
      <c r="BE418">
        <v>26</v>
      </c>
      <c r="BF418">
        <v>0.05</v>
      </c>
      <c r="BG418" t="s">
        <v>550</v>
      </c>
      <c r="BH418" t="s">
        <v>550</v>
      </c>
      <c r="BI418" t="s">
        <v>1882</v>
      </c>
      <c r="BJ418" t="s">
        <v>1888</v>
      </c>
      <c r="BK418">
        <f t="shared" si="72"/>
        <v>0</v>
      </c>
      <c r="BL418" t="s">
        <v>1520</v>
      </c>
      <c r="BM418">
        <v>1</v>
      </c>
      <c r="BN418" t="s">
        <v>561</v>
      </c>
      <c r="BO418" t="s">
        <v>561</v>
      </c>
      <c r="BP418" t="s">
        <v>550</v>
      </c>
      <c r="BQ418" t="s">
        <v>562</v>
      </c>
      <c r="BS418" t="s">
        <v>554</v>
      </c>
    </row>
    <row r="419" spans="1:71" x14ac:dyDescent="0.2">
      <c r="A419" s="1" t="s">
        <v>1878</v>
      </c>
      <c r="B419" s="142" t="str">
        <f>IF(A419="","",_xlfn.XLOOKUP(A419, Company_List!$A:$A, Company_List!$B:$B, ""))</f>
        <v>SHEL</v>
      </c>
      <c r="C419" s="143">
        <v>2025</v>
      </c>
      <c r="D419" s="143" t="s">
        <v>563</v>
      </c>
      <c r="E419" s="98" t="s">
        <v>538</v>
      </c>
      <c r="F419" s="98" t="s">
        <v>538</v>
      </c>
      <c r="G419" s="143" t="s">
        <v>648</v>
      </c>
      <c r="H419" s="106" t="s">
        <v>540</v>
      </c>
      <c r="I419" s="145">
        <v>0</v>
      </c>
      <c r="J419" s="145" t="str">
        <f>IF(OR(I419="",Settings!$B$6=""),"",IF(I419&gt;Settings!$B$6,"BUY",IF(I419&lt;-Settings!$B$6,"SELL","HOLD")))</f>
        <v>HOLD</v>
      </c>
      <c r="K419" s="145">
        <v>26</v>
      </c>
      <c r="L419" s="123">
        <v>45960</v>
      </c>
      <c r="M419" s="140" t="s">
        <v>1188</v>
      </c>
      <c r="N419" s="147">
        <v>70.599599999999995</v>
      </c>
      <c r="O419" s="140" t="s">
        <v>1042</v>
      </c>
      <c r="P419" s="145">
        <v>70.648300000000006</v>
      </c>
      <c r="Q419" s="151">
        <f t="shared" si="63"/>
        <v>6.9999999999999999E-4</v>
      </c>
      <c r="R419" s="118" t="str">
        <f>IF(OR(N419="",P419=""),"",IF(Q419&gt;Settings!$B$3/100,"UP",IF(Q419&lt;-Settings!$B$3/100,"DOWN","FLAT")))</f>
        <v>FLAT</v>
      </c>
      <c r="S419" s="118" t="str">
        <f t="shared" si="64"/>
        <v>YES</v>
      </c>
      <c r="T419" s="119">
        <f t="shared" si="65"/>
        <v>0</v>
      </c>
      <c r="U419" s="150">
        <f>IFERROR(IF(OR(J419="",N419="",P419=""),"",IF(T419=0,0,T419*Q419-Settings!$B$4/10000-IF(T419&lt;0,Settings!$B$5/10000,0))),"")</f>
        <v>0</v>
      </c>
      <c r="W419" s="21">
        <f t="shared" si="66"/>
        <v>1560</v>
      </c>
      <c r="X419" s="91" t="str">
        <f t="shared" si="67"/>
        <v>Shell|2025|Q3</v>
      </c>
      <c r="Y419" s="91" t="str">
        <f>IFERROR(IF($X419="","",INDEX(LLM_Data_Entry!$H$3:$H$548,MATCH($X419,INDEX(LLM_Data_Entry!$A$3:$A$548&amp;"|"&amp;LLM_Data_Entry!$C$3:$C$548&amp;"|"&amp;LLM_Data_Entry!$D$3:$D$548,0),0))),"")</f>
        <v>BUY</v>
      </c>
      <c r="Z419" s="91">
        <f>IFERROR(IF($X419="","",INDEX(LLM_Data_Entry!$R$3:$R$548,MATCH($X419,INDEX(LLM_Data_Entry!$A$3:$A$548&amp;"|"&amp;LLM_Data_Entry!$C$3:$C$548&amp;"|"&amp;LLM_Data_Entry!$D$3:$D$548,0),0))),"")</f>
        <v>0</v>
      </c>
      <c r="AB419" t="s">
        <v>1122</v>
      </c>
      <c r="AC419" t="s">
        <v>1879</v>
      </c>
      <c r="AD419" t="s">
        <v>626</v>
      </c>
      <c r="AE419">
        <v>2874.7031000000002</v>
      </c>
      <c r="AF419" t="s">
        <v>660</v>
      </c>
      <c r="AG419">
        <v>2902.1956</v>
      </c>
      <c r="AH419">
        <v>9.5635981040230293E-3</v>
      </c>
      <c r="AI419" t="s">
        <v>579</v>
      </c>
      <c r="AJ419" t="s">
        <v>554</v>
      </c>
      <c r="AK419">
        <v>0</v>
      </c>
      <c r="AL419" t="str">
        <f>IF($A419="","",IFERROR(INDEX(Company_List!$G$3:$G$207,MATCH($A419,Company_List!$A$3:$A$207,0)),"unassigned"))</f>
        <v>P2</v>
      </c>
      <c r="AM419" t="s">
        <v>1889</v>
      </c>
      <c r="AN419" t="s">
        <v>1890</v>
      </c>
      <c r="AO419" t="s">
        <v>754</v>
      </c>
      <c r="AP419" t="str">
        <f>IF($A419="","",IF(COUNTIFS(LLM_Data_Entry!$A$3:$A$548,$A419)&gt;0,"YES","NO"))</f>
        <v>YES</v>
      </c>
      <c r="AQ419" t="str">
        <f>IF($A419="","",IF(COUNTIFS($A$3:$A419,$A419,$C$3:$C419,$C419,$D$3:$D419,$D419)=1,"YES","NO"))</f>
        <v>NO</v>
      </c>
      <c r="AR419" t="str">
        <f>IF($A419="","",IF(AND($C419&amp;"-"&amp;$D419&gt;=Settings!$B$19,$C419&amp;"-"&amp;$D419&lt;=Settings!$B$20),"IN","OUT"))</f>
        <v>IN</v>
      </c>
      <c r="AS419" t="str">
        <f t="shared" si="68"/>
        <v>full</v>
      </c>
      <c r="AT419" t="str">
        <f t="shared" si="69"/>
        <v/>
      </c>
      <c r="AU419" t="str">
        <f t="shared" si="70"/>
        <v/>
      </c>
      <c r="AV419" t="str">
        <f>IF(ISNUMBER($AT419),ABS(IF(ISNUMBER($I419),$I419,0)-Settings!$B$24),"")</f>
        <v/>
      </c>
      <c r="AW419" t="str">
        <f t="shared" si="71"/>
        <v/>
      </c>
      <c r="AX419" t="str">
        <f>IF(ISNUMBER($AU419),ABS(IF(ISNUMBER($I419),$I419,0)-Settings!$B$24),"")</f>
        <v/>
      </c>
      <c r="AY419" t="s">
        <v>1183</v>
      </c>
      <c r="AZ419" t="str">
        <f>IF($A419="","",IFERROR(INDEX(Company_List!$H$3:$H$207,MATCH($A419,Company_List!$A$3:$A$207,0)),"unassigned"))</f>
        <v>Energy</v>
      </c>
      <c r="BA419">
        <v>2</v>
      </c>
      <c r="BB419">
        <v>2</v>
      </c>
      <c r="BC419">
        <f>IF($A419="","",IF(COUNTIFS($A$3:$A419,$A419,$C$3:$C419,$C419,$D$3:$D419,$D419,$G$3:$G419,$G419)=1,1,0))</f>
        <v>0</v>
      </c>
      <c r="BD419">
        <v>21</v>
      </c>
      <c r="BE419">
        <v>26</v>
      </c>
      <c r="BF419">
        <v>0.05</v>
      </c>
      <c r="BG419" t="s">
        <v>550</v>
      </c>
      <c r="BH419" t="s">
        <v>550</v>
      </c>
      <c r="BI419" t="s">
        <v>1882</v>
      </c>
      <c r="BJ419" t="s">
        <v>1888</v>
      </c>
      <c r="BK419">
        <f t="shared" si="72"/>
        <v>0</v>
      </c>
      <c r="BL419" t="s">
        <v>1520</v>
      </c>
      <c r="BM419">
        <v>2</v>
      </c>
      <c r="BN419" t="s">
        <v>561</v>
      </c>
      <c r="BO419" t="s">
        <v>561</v>
      </c>
      <c r="BP419" t="s">
        <v>550</v>
      </c>
      <c r="BQ419" t="s">
        <v>562</v>
      </c>
      <c r="BS419" t="s">
        <v>554</v>
      </c>
    </row>
    <row r="420" spans="1:71" x14ac:dyDescent="0.2">
      <c r="A420" s="1" t="s">
        <v>1878</v>
      </c>
      <c r="B420" s="142" t="str">
        <f>IF(A420="","",_xlfn.XLOOKUP(A420, Company_List!$A:$A, Company_List!$B:$B, ""))</f>
        <v>SHEL</v>
      </c>
      <c r="C420" s="143">
        <v>2025</v>
      </c>
      <c r="D420" s="143" t="s">
        <v>569</v>
      </c>
      <c r="E420" s="98" t="s">
        <v>647</v>
      </c>
      <c r="F420" s="98" t="s">
        <v>1092</v>
      </c>
      <c r="G420" s="143" t="s">
        <v>648</v>
      </c>
      <c r="H420" s="106" t="s">
        <v>540</v>
      </c>
      <c r="I420" s="145">
        <v>-0.1</v>
      </c>
      <c r="J420" s="145" t="str">
        <f>IF(OR(I420="",Settings!$B$6=""),"",IF(I420&gt;Settings!$B$6,"BUY",IF(I420&lt;-Settings!$B$6,"SELL","HOLD")))</f>
        <v>HOLD</v>
      </c>
      <c r="K420" s="145">
        <v>25</v>
      </c>
      <c r="L420" s="123">
        <v>46058</v>
      </c>
      <c r="M420" s="140" t="s">
        <v>570</v>
      </c>
      <c r="N420" s="147">
        <v>71.782399999999996</v>
      </c>
      <c r="O420" s="140" t="s">
        <v>571</v>
      </c>
      <c r="P420" s="145">
        <v>72.042599999999993</v>
      </c>
      <c r="Q420" s="151">
        <f t="shared" si="63"/>
        <v>3.5999999999999999E-3</v>
      </c>
      <c r="R420" s="118" t="str">
        <f>IF(OR(N420="",P420=""),"",IF(Q420&gt;Settings!$B$3/100,"UP",IF(Q420&lt;-Settings!$B$3/100,"DOWN","FLAT")))</f>
        <v>FLAT</v>
      </c>
      <c r="S420" s="118" t="str">
        <f t="shared" si="64"/>
        <v>YES</v>
      </c>
      <c r="T420" s="119">
        <f t="shared" si="65"/>
        <v>0</v>
      </c>
      <c r="U420" s="150">
        <f>IFERROR(IF(OR(J420="",N420="",P420=""),"",IF(T420=0,0,T420*Q420-Settings!$B$4/10000-IF(T420&lt;0,Settings!$B$5/10000,0))),"")</f>
        <v>0</v>
      </c>
      <c r="W420" s="21">
        <f t="shared" si="66"/>
        <v>1500</v>
      </c>
      <c r="X420" s="91" t="str">
        <f t="shared" si="67"/>
        <v>Shell|2025|Q4</v>
      </c>
      <c r="Y420" s="91" t="str">
        <f>IFERROR(IF($X420="","",INDEX(LLM_Data_Entry!$H$3:$H$548,MATCH($X420,INDEX(LLM_Data_Entry!$A$3:$A$548&amp;"|"&amp;LLM_Data_Entry!$C$3:$C$548&amp;"|"&amp;LLM_Data_Entry!$D$3:$D$548,0),0))),"")</f>
        <v>HOLD</v>
      </c>
      <c r="Z420" s="91">
        <f>IFERROR(IF($X420="","",INDEX(LLM_Data_Entry!$R$3:$R$548,MATCH($X420,INDEX(LLM_Data_Entry!$A$3:$A$548&amp;"|"&amp;LLM_Data_Entry!$C$3:$C$548&amp;"|"&amp;LLM_Data_Entry!$D$3:$D$548,0),0))),"")</f>
        <v>0</v>
      </c>
      <c r="AB420" t="s">
        <v>1247</v>
      </c>
      <c r="AC420" t="s">
        <v>1879</v>
      </c>
      <c r="AD420" t="s">
        <v>737</v>
      </c>
      <c r="AE420">
        <v>2866.4702000000002</v>
      </c>
      <c r="AF420" t="s">
        <v>664</v>
      </c>
      <c r="AG420">
        <v>2837.4753999999998</v>
      </c>
      <c r="AH420">
        <v>-1.011517251804156E-2</v>
      </c>
      <c r="AI420" t="s">
        <v>579</v>
      </c>
      <c r="AJ420" t="s">
        <v>554</v>
      </c>
      <c r="AK420">
        <v>0</v>
      </c>
      <c r="AL420" t="str">
        <f>IF($A420="","",IFERROR(INDEX(Company_List!$G$3:$G$207,MATCH($A420,Company_List!$A$3:$A$207,0)),"unassigned"))</f>
        <v>P2</v>
      </c>
      <c r="AM420" t="s">
        <v>1891</v>
      </c>
      <c r="AN420" t="s">
        <v>1892</v>
      </c>
      <c r="AO420" t="s">
        <v>560</v>
      </c>
      <c r="AP420" t="str">
        <f>IF($A420="","",IF(COUNTIFS(LLM_Data_Entry!$A$3:$A$548,$A420)&gt;0,"YES","NO"))</f>
        <v>YES</v>
      </c>
      <c r="AQ420" t="str">
        <f>IF($A420="","",IF(COUNTIFS($A$3:$A420,$A420,$C$3:$C420,$C420,$D$3:$D420,$D420)=1,"YES","NO"))</f>
        <v>YES</v>
      </c>
      <c r="AR420" t="str">
        <f>IF($A420="","",IF(AND($C420&amp;"-"&amp;$D420&gt;=Settings!$B$19,$C420&amp;"-"&amp;$D420&lt;=Settings!$B$20),"IN","OUT"))</f>
        <v>IN</v>
      </c>
      <c r="AS420" t="str">
        <f t="shared" si="68"/>
        <v>qanda</v>
      </c>
      <c r="AT420" t="str">
        <f t="shared" si="69"/>
        <v/>
      </c>
      <c r="AU420" t="str">
        <f t="shared" si="70"/>
        <v/>
      </c>
      <c r="AV420" t="str">
        <f>IF(ISNUMBER($AT420),ABS(IF(ISNUMBER($I420),$I420,0)-Settings!$B$24),"")</f>
        <v/>
      </c>
      <c r="AW420" t="str">
        <f t="shared" si="71"/>
        <v/>
      </c>
      <c r="AX420" t="str">
        <f>IF(ISNUMBER($AU420),ABS(IF(ISNUMBER($I420),$I420,0)-Settings!$B$24),"")</f>
        <v/>
      </c>
      <c r="AY420" t="s">
        <v>1183</v>
      </c>
      <c r="AZ420" t="str">
        <f>IF($A420="","",IFERROR(INDEX(Company_List!$H$3:$H$207,MATCH($A420,Company_List!$A$3:$A$207,0)),"unassigned"))</f>
        <v>Energy</v>
      </c>
      <c r="BA420">
        <v>1</v>
      </c>
      <c r="BB420">
        <v>2</v>
      </c>
      <c r="BC420">
        <f>IF($A420="","",IF(COUNTIFS($A$3:$A420,$A420,$C$3:$C420,$C420,$D$3:$D420,$D420,$G$3:$G420,$G420)=1,1,0))</f>
        <v>1</v>
      </c>
      <c r="BD420">
        <v>25</v>
      </c>
      <c r="BE420">
        <v>30</v>
      </c>
      <c r="BF420">
        <v>-0.1</v>
      </c>
      <c r="BG420" t="s">
        <v>550</v>
      </c>
      <c r="BH420" t="s">
        <v>550</v>
      </c>
      <c r="BI420" t="s">
        <v>1882</v>
      </c>
      <c r="BJ420" t="s">
        <v>1893</v>
      </c>
      <c r="BK420">
        <f t="shared" si="72"/>
        <v>1</v>
      </c>
      <c r="BL420" t="s">
        <v>1520</v>
      </c>
      <c r="BM420">
        <v>1</v>
      </c>
      <c r="BN420" t="s">
        <v>561</v>
      </c>
      <c r="BO420" t="s">
        <v>561</v>
      </c>
      <c r="BP420" t="s">
        <v>550</v>
      </c>
      <c r="BQ420" t="s">
        <v>562</v>
      </c>
      <c r="BS420" t="s">
        <v>554</v>
      </c>
    </row>
    <row r="421" spans="1:71" x14ac:dyDescent="0.2">
      <c r="A421" s="1" t="s">
        <v>1878</v>
      </c>
      <c r="B421" s="142" t="str">
        <f>IF(A421="","",_xlfn.XLOOKUP(A421, Company_List!$A:$A, Company_List!$B:$B, ""))</f>
        <v>SHEL</v>
      </c>
      <c r="C421" s="143">
        <v>2025</v>
      </c>
      <c r="D421" s="143" t="s">
        <v>569</v>
      </c>
      <c r="E421" s="98" t="s">
        <v>538</v>
      </c>
      <c r="F421" s="98" t="s">
        <v>538</v>
      </c>
      <c r="G421" s="143" t="s">
        <v>648</v>
      </c>
      <c r="H421" s="106" t="s">
        <v>540</v>
      </c>
      <c r="I421" s="145">
        <v>-0.25</v>
      </c>
      <c r="J421" s="145" t="str">
        <f>IF(OR(I421="",Settings!$B$6=""),"",IF(I421&gt;Settings!$B$6,"BUY",IF(I421&lt;-Settings!$B$6,"SELL","HOLD")))</f>
        <v>SELL</v>
      </c>
      <c r="K421" s="145">
        <v>30</v>
      </c>
      <c r="L421" s="123">
        <v>46058</v>
      </c>
      <c r="M421" s="140" t="s">
        <v>570</v>
      </c>
      <c r="N421" s="147">
        <v>71.782399999999996</v>
      </c>
      <c r="O421" s="140" t="s">
        <v>571</v>
      </c>
      <c r="P421" s="145">
        <v>72.042599999999993</v>
      </c>
      <c r="Q421" s="151">
        <f t="shared" si="63"/>
        <v>3.5999999999999999E-3</v>
      </c>
      <c r="R421" s="118" t="str">
        <f>IF(OR(N421="",P421=""),"",IF(Q421&gt;Settings!$B$3/100,"UP",IF(Q421&lt;-Settings!$B$3/100,"DOWN","FLAT")))</f>
        <v>FLAT</v>
      </c>
      <c r="S421" s="118" t="str">
        <f t="shared" si="64"/>
        <v>NO</v>
      </c>
      <c r="T421" s="119">
        <f t="shared" si="65"/>
        <v>-1</v>
      </c>
      <c r="U421" s="150">
        <f>IFERROR(IF(OR(J421="",N421="",P421=""),"",IF(T421=0,0,T421*Q421-Settings!$B$4/10000-IF(T421&lt;0,Settings!$B$5/10000,0))),"")</f>
        <v>-4.5999999999999999E-3</v>
      </c>
      <c r="W421" s="21">
        <f t="shared" si="66"/>
        <v>1800</v>
      </c>
      <c r="X421" s="91" t="str">
        <f t="shared" si="67"/>
        <v>Shell|2025|Q4</v>
      </c>
      <c r="Y421" s="91" t="str">
        <f>IFERROR(IF($X421="","",INDEX(LLM_Data_Entry!$H$3:$H$548,MATCH($X421,INDEX(LLM_Data_Entry!$A$3:$A$548&amp;"|"&amp;LLM_Data_Entry!$C$3:$C$548&amp;"|"&amp;LLM_Data_Entry!$D$3:$D$548,0),0))),"")</f>
        <v>HOLD</v>
      </c>
      <c r="Z421" s="91">
        <f>IFERROR(IF($X421="","",INDEX(LLM_Data_Entry!$R$3:$R$548,MATCH($X421,INDEX(LLM_Data_Entry!$A$3:$A$548&amp;"|"&amp;LLM_Data_Entry!$C$3:$C$548&amp;"|"&amp;LLM_Data_Entry!$D$3:$D$548,0),0))),"")</f>
        <v>0</v>
      </c>
      <c r="AB421" t="s">
        <v>1247</v>
      </c>
      <c r="AC421" t="s">
        <v>1879</v>
      </c>
      <c r="AD421" t="s">
        <v>737</v>
      </c>
      <c r="AE421">
        <v>2866.4702000000002</v>
      </c>
      <c r="AF421" t="s">
        <v>664</v>
      </c>
      <c r="AG421">
        <v>2837.4753999999998</v>
      </c>
      <c r="AH421">
        <v>-1.011517251804156E-2</v>
      </c>
      <c r="AI421" t="s">
        <v>579</v>
      </c>
      <c r="AJ421" t="s">
        <v>546</v>
      </c>
      <c r="AK421">
        <v>9.1149999999999998E-3</v>
      </c>
      <c r="AL421" t="str">
        <f>IF($A421="","",IFERROR(INDEX(Company_List!$G$3:$G$207,MATCH($A421,Company_List!$A$3:$A$207,0)),"unassigned"))</f>
        <v>P2</v>
      </c>
      <c r="AM421" t="s">
        <v>1894</v>
      </c>
      <c r="AN421" t="s">
        <v>1895</v>
      </c>
      <c r="AO421" t="s">
        <v>754</v>
      </c>
      <c r="AP421" t="str">
        <f>IF($A421="","",IF(COUNTIFS(LLM_Data_Entry!$A$3:$A$548,$A421)&gt;0,"YES","NO"))</f>
        <v>YES</v>
      </c>
      <c r="AQ421" t="str">
        <f>IF($A421="","",IF(COUNTIFS($A$3:$A421,$A421,$C$3:$C421,$C421,$D$3:$D421,$D421)=1,"YES","NO"))</f>
        <v>NO</v>
      </c>
      <c r="AR421" t="str">
        <f>IF($A421="","",IF(AND($C421&amp;"-"&amp;$D421&gt;=Settings!$B$19,$C421&amp;"-"&amp;$D421&lt;=Settings!$B$20),"IN","OUT"))</f>
        <v>IN</v>
      </c>
      <c r="AS421" t="str">
        <f t="shared" si="68"/>
        <v>full</v>
      </c>
      <c r="AT421">
        <f t="shared" si="69"/>
        <v>-4.5999999999999999E-3</v>
      </c>
      <c r="AU421">
        <f t="shared" si="70"/>
        <v>9.1149999999999998E-3</v>
      </c>
      <c r="AV421">
        <f>IF(ISNUMBER($AT421),ABS(IF(ISNUMBER($I421),$I421,0)-Settings!$B$24),"")</f>
        <v>0.25</v>
      </c>
      <c r="AW421">
        <f t="shared" si="71"/>
        <v>-1.15E-3</v>
      </c>
      <c r="AX421">
        <f>IF(ISNUMBER($AU421),ABS(IF(ISNUMBER($I421),$I421,0)-Settings!$B$24),"")</f>
        <v>0.25</v>
      </c>
      <c r="AY421" t="s">
        <v>1183</v>
      </c>
      <c r="AZ421" t="str">
        <f>IF($A421="","",IFERROR(INDEX(Company_List!$H$3:$H$207,MATCH($A421,Company_List!$A$3:$A$207,0)),"unassigned"))</f>
        <v>Energy</v>
      </c>
      <c r="BA421">
        <v>2</v>
      </c>
      <c r="BB421">
        <v>2</v>
      </c>
      <c r="BC421">
        <f>IF($A421="","",IF(COUNTIFS($A$3:$A421,$A421,$C$3:$C421,$C421,$D$3:$D421,$D421,$G$3:$G421,$G421)=1,1,0))</f>
        <v>0</v>
      </c>
      <c r="BD421">
        <v>25</v>
      </c>
      <c r="BE421">
        <v>30</v>
      </c>
      <c r="BF421">
        <v>-0.1</v>
      </c>
      <c r="BG421" t="s">
        <v>550</v>
      </c>
      <c r="BH421" t="s">
        <v>550</v>
      </c>
      <c r="BI421" t="s">
        <v>1882</v>
      </c>
      <c r="BJ421" t="s">
        <v>1893</v>
      </c>
      <c r="BK421">
        <f t="shared" si="72"/>
        <v>0</v>
      </c>
      <c r="BL421" t="s">
        <v>1520</v>
      </c>
      <c r="BM421">
        <v>2</v>
      </c>
      <c r="BN421" t="s">
        <v>561</v>
      </c>
      <c r="BO421" t="s">
        <v>561</v>
      </c>
      <c r="BP421" t="s">
        <v>550</v>
      </c>
      <c r="BQ421" t="s">
        <v>562</v>
      </c>
      <c r="BS421" t="s">
        <v>554</v>
      </c>
    </row>
    <row r="422" spans="1:71" x14ac:dyDescent="0.2">
      <c r="A422" s="1" t="s">
        <v>1878</v>
      </c>
      <c r="B422" s="142" t="str">
        <f>IF(A422="","",_xlfn.XLOOKUP(A422, Company_List!$A:$A, Company_List!$B:$B, ""))</f>
        <v>SHEL</v>
      </c>
      <c r="C422" s="143">
        <v>2026</v>
      </c>
      <c r="D422" s="143" t="s">
        <v>537</v>
      </c>
      <c r="E422" s="98" t="s">
        <v>538</v>
      </c>
      <c r="F422" s="98" t="s">
        <v>538</v>
      </c>
      <c r="G422" s="143" t="s">
        <v>648</v>
      </c>
      <c r="H422" s="106" t="s">
        <v>540</v>
      </c>
      <c r="I422" s="145">
        <v>-0.05</v>
      </c>
      <c r="J422" s="145" t="str">
        <f>IF(OR(I422="",Settings!$B$6=""),"",IF(I422&gt;Settings!$B$6,"BUY",IF(I422&lt;-Settings!$B$6,"SELL","HOLD")))</f>
        <v>HOLD</v>
      </c>
      <c r="K422" s="145">
        <v>31</v>
      </c>
      <c r="L422" s="123">
        <v>46149</v>
      </c>
      <c r="M422" s="140" t="s">
        <v>543</v>
      </c>
      <c r="N422" s="147">
        <v>90.677700000000002</v>
      </c>
      <c r="O422" s="140" t="s">
        <v>544</v>
      </c>
      <c r="P422" s="145">
        <v>86.456000000000003</v>
      </c>
      <c r="Q422" s="151">
        <f t="shared" si="63"/>
        <v>-4.6600000000000003E-2</v>
      </c>
      <c r="R422" s="118" t="str">
        <f>IF(OR(N422="",P422=""),"",IF(Q422&gt;Settings!$B$3/100,"UP",IF(Q422&lt;-Settings!$B$3/100,"DOWN","FLAT")))</f>
        <v>DOWN</v>
      </c>
      <c r="S422" s="118" t="str">
        <f t="shared" si="64"/>
        <v>NO</v>
      </c>
      <c r="T422" s="119">
        <f t="shared" si="65"/>
        <v>0</v>
      </c>
      <c r="U422" s="150">
        <f>IFERROR(IF(OR(J422="",N422="",P422=""),"",IF(T422=0,0,T422*Q422-Settings!$B$4/10000-IF(T422&lt;0,Settings!$B$5/10000,0))),"")</f>
        <v>0</v>
      </c>
      <c r="W422" s="21">
        <f t="shared" si="66"/>
        <v>1860</v>
      </c>
      <c r="X422" s="91" t="str">
        <f t="shared" si="67"/>
        <v>Shell|2026|Q1</v>
      </c>
      <c r="Y422" s="91" t="str">
        <f>IFERROR(IF($X422="","",INDEX(LLM_Data_Entry!$H$3:$H$548,MATCH($X422,INDEX(LLM_Data_Entry!$A$3:$A$548&amp;"|"&amp;LLM_Data_Entry!$C$3:$C$548&amp;"|"&amp;LLM_Data_Entry!$D$3:$D$548,0),0))),"")</f>
        <v>HOLD</v>
      </c>
      <c r="Z422" s="91">
        <f>IFERROR(IF($X422="","",INDEX(LLM_Data_Entry!$R$3:$R$548,MATCH($X422,INDEX(LLM_Data_Entry!$A$3:$A$548&amp;"|"&amp;LLM_Data_Entry!$C$3:$C$548&amp;"|"&amp;LLM_Data_Entry!$D$3:$D$548,0),0))),"")</f>
        <v>0</v>
      </c>
      <c r="AB422" t="s">
        <v>1247</v>
      </c>
      <c r="AC422" t="s">
        <v>1879</v>
      </c>
      <c r="AD422" t="s">
        <v>680</v>
      </c>
      <c r="AE422">
        <v>3211.2118999999998</v>
      </c>
      <c r="AF422" t="s">
        <v>681</v>
      </c>
      <c r="AG422">
        <v>3178.7147</v>
      </c>
      <c r="AH422">
        <v>-1.0119910388181261E-2</v>
      </c>
      <c r="AI422" t="s">
        <v>579</v>
      </c>
      <c r="AJ422" t="s">
        <v>554</v>
      </c>
      <c r="AK422">
        <v>0</v>
      </c>
      <c r="AL422" t="str">
        <f>IF($A422="","",IFERROR(INDEX(Company_List!$G$3:$G$207,MATCH($A422,Company_List!$A$3:$A$207,0)),"unassigned"))</f>
        <v>P2</v>
      </c>
      <c r="AM422" t="s">
        <v>1896</v>
      </c>
      <c r="AN422" t="s">
        <v>1897</v>
      </c>
      <c r="AO422" t="s">
        <v>560</v>
      </c>
      <c r="AP422" t="str">
        <f>IF($A422="","",IF(COUNTIFS(LLM_Data_Entry!$A$3:$A$548,$A422)&gt;0,"YES","NO"))</f>
        <v>YES</v>
      </c>
      <c r="AQ422" t="str">
        <f>IF($A422="","",IF(COUNTIFS($A$3:$A422,$A422,$C$3:$C422,$C422,$D$3:$D422,$D422)=1,"YES","NO"))</f>
        <v>YES</v>
      </c>
      <c r="AR422" t="str">
        <f>IF($A422="","",IF(AND($C422&amp;"-"&amp;$D422&gt;=Settings!$B$19,$C422&amp;"-"&amp;$D422&lt;=Settings!$B$20),"IN","OUT"))</f>
        <v>IN</v>
      </c>
      <c r="AS422" t="str">
        <f t="shared" si="68"/>
        <v>full</v>
      </c>
      <c r="AT422" t="str">
        <f t="shared" si="69"/>
        <v/>
      </c>
      <c r="AU422" t="str">
        <f t="shared" si="70"/>
        <v/>
      </c>
      <c r="AV422" t="str">
        <f>IF(ISNUMBER($AT422),ABS(IF(ISNUMBER($I422),$I422,0)-Settings!$B$24),"")</f>
        <v/>
      </c>
      <c r="AW422" t="str">
        <f t="shared" si="71"/>
        <v/>
      </c>
      <c r="AX422" t="str">
        <f>IF(ISNUMBER($AU422),ABS(IF(ISNUMBER($I422),$I422,0)-Settings!$B$24),"")</f>
        <v/>
      </c>
      <c r="AY422" t="s">
        <v>1183</v>
      </c>
      <c r="AZ422" t="str">
        <f>IF($A422="","",IFERROR(INDEX(Company_List!$H$3:$H$207,MATCH($A422,Company_List!$A$3:$A$207,0)),"unassigned"))</f>
        <v>Energy</v>
      </c>
      <c r="BA422">
        <v>1</v>
      </c>
      <c r="BB422">
        <v>1</v>
      </c>
      <c r="BC422">
        <f>IF($A422="","",IF(COUNTIFS($A$3:$A422,$A422,$C$3:$C422,$C422,$D$3:$D422,$D422,$G$3:$G422,$G422)=1,1,0))</f>
        <v>1</v>
      </c>
      <c r="BD422">
        <v>31</v>
      </c>
      <c r="BG422" t="s">
        <v>550</v>
      </c>
      <c r="BH422" t="s">
        <v>550</v>
      </c>
      <c r="BI422" t="s">
        <v>1882</v>
      </c>
      <c r="BJ422" t="s">
        <v>1898</v>
      </c>
      <c r="BK422">
        <f t="shared" si="72"/>
        <v>1</v>
      </c>
      <c r="BL422" t="s">
        <v>1520</v>
      </c>
      <c r="BM422">
        <v>1</v>
      </c>
      <c r="BN422" t="s">
        <v>561</v>
      </c>
      <c r="BO422" t="s">
        <v>561</v>
      </c>
      <c r="BP422" t="s">
        <v>550</v>
      </c>
      <c r="BQ422" t="s">
        <v>562</v>
      </c>
      <c r="BS422" t="s">
        <v>554</v>
      </c>
    </row>
    <row r="423" spans="1:71" x14ac:dyDescent="0.2">
      <c r="B423" s="142" t="str">
        <f>IF(A423="","",_xlfn.XLOOKUP(A423, Company_List!$A:$A, Company_List!$B:$B, ""))</f>
        <v/>
      </c>
      <c r="J423" s="145" t="str">
        <f>IF(OR(I423="",Settings!$B$6=""),"",IF(I423&gt;Settings!$B$6,"BUY",IF(I423&lt;-Settings!$B$6,"SELL","HOLD")))</f>
        <v/>
      </c>
      <c r="Q423" s="151" t="str">
        <f t="shared" si="63"/>
        <v/>
      </c>
      <c r="R423" s="118" t="str">
        <f>IF(OR(N423="",P423=""),"",IF(Q423&gt;Settings!$B$3/100,"UP",IF(Q423&lt;-Settings!$B$3/100,"DOWN","FLAT")))</f>
        <v/>
      </c>
      <c r="S423" s="118" t="str">
        <f t="shared" si="64"/>
        <v/>
      </c>
      <c r="T423" s="119" t="str">
        <f t="shared" si="65"/>
        <v/>
      </c>
      <c r="U423" s="150" t="str">
        <f>IFERROR(IF(OR(J423="",N423="",P423=""),"",IF(T423=0,0,T423*Q423-Settings!$B$4/10000-IF(T423&lt;0,Settings!$B$5/10000,0))),"")</f>
        <v/>
      </c>
      <c r="W423" s="21" t="str">
        <f t="shared" si="66"/>
        <v/>
      </c>
      <c r="X423" s="91" t="str">
        <f t="shared" si="67"/>
        <v/>
      </c>
      <c r="Y423" s="91" t="str">
        <f>IFERROR(IF($X423="","",INDEX(LLM_Data_Entry!$H$3:$H$548,MATCH($X423,INDEX(LLM_Data_Entry!$A$3:$A$548&amp;"|"&amp;LLM_Data_Entry!$C$3:$C$548&amp;"|"&amp;LLM_Data_Entry!$D$3:$D$548,0),0))),"")</f>
        <v/>
      </c>
      <c r="Z423" s="91" t="str">
        <f>IFERROR(IF($X423="","",INDEX(LLM_Data_Entry!$R$3:$R$548,MATCH($X423,INDEX(LLM_Data_Entry!$A$3:$A$548&amp;"|"&amp;LLM_Data_Entry!$C$3:$C$548&amp;"|"&amp;LLM_Data_Entry!$D$3:$D$548,0),0))),"")</f>
        <v/>
      </c>
      <c r="AL423" t="str">
        <f>IF($A423="","",IFERROR(INDEX(Company_List!$G$3:$G$207,MATCH($A423,Company_List!$A$3:$A$207,0)),"unassigned"))</f>
        <v/>
      </c>
      <c r="AP423" t="str">
        <f>IF($A423="","",IF(COUNTIFS(LLM_Data_Entry!$A$3:$A$548,$A423)&gt;0,"YES","NO"))</f>
        <v/>
      </c>
      <c r="AQ423" t="str">
        <f>IF($A423="","",IF(COUNTIFS($A$3:$A423,$A423,$C$3:$C423,$C423,$D$3:$D423,$D423)=1,"YES","NO"))</f>
        <v/>
      </c>
      <c r="AR423" t="str">
        <f>IF($A423="","",IF(AND($C423&amp;"-"&amp;$D423&gt;=Settings!$B$19,$C423&amp;"-"&amp;$D423&lt;=Settings!$B$20),"IN","OUT"))</f>
        <v/>
      </c>
      <c r="AS423" t="str">
        <f t="shared" si="68"/>
        <v/>
      </c>
      <c r="AT423" t="str">
        <f t="shared" si="69"/>
        <v/>
      </c>
      <c r="AU423" t="str">
        <f t="shared" si="70"/>
        <v/>
      </c>
      <c r="AV423" t="str">
        <f>IF(ISNUMBER($AT423),ABS(IF(ISNUMBER($I423),$I423,0)-Settings!$B$24),"")</f>
        <v/>
      </c>
      <c r="AW423" t="str">
        <f t="shared" si="71"/>
        <v/>
      </c>
      <c r="AX423" t="str">
        <f>IF(ISNUMBER($AU423),ABS(IF(ISNUMBER($I423),$I423,0)-Settings!$B$24),"")</f>
        <v/>
      </c>
      <c r="AY423" t="s">
        <v>549</v>
      </c>
      <c r="AZ423" t="str">
        <f>IF($A423="","",IFERROR(INDEX(Company_List!$H$3:$H$207,MATCH($A423,Company_List!$A$3:$A$207,0)),"unassigned"))</f>
        <v/>
      </c>
      <c r="BC423" t="str">
        <f>IF($A423="","",IF(COUNTIFS($A$3:$A423,$A423,$C$3:$C423,$C423,$D$3:$D423,$D423,$G$3:$G423,$G423)=1,1,0))</f>
        <v/>
      </c>
      <c r="BK423" t="str">
        <f t="shared" si="72"/>
        <v/>
      </c>
    </row>
    <row r="424" spans="1:71" x14ac:dyDescent="0.2">
      <c r="B424" s="142" t="str">
        <f>IF(A424="","",_xlfn.XLOOKUP(A424, Company_List!$A:$A, Company_List!$B:$B, ""))</f>
        <v/>
      </c>
      <c r="J424" s="145" t="str">
        <f>IF(OR(I424="",Settings!$B$6=""),"",IF(I424&gt;Settings!$B$6,"BUY",IF(I424&lt;-Settings!$B$6,"SELL","HOLD")))</f>
        <v/>
      </c>
      <c r="Q424" s="151" t="str">
        <f t="shared" si="63"/>
        <v/>
      </c>
      <c r="R424" s="118" t="str">
        <f>IF(OR(N424="",P424=""),"",IF(Q424&gt;Settings!$B$3/100,"UP",IF(Q424&lt;-Settings!$B$3/100,"DOWN","FLAT")))</f>
        <v/>
      </c>
      <c r="S424" s="118" t="str">
        <f t="shared" si="64"/>
        <v/>
      </c>
      <c r="T424" s="119" t="str">
        <f t="shared" si="65"/>
        <v/>
      </c>
      <c r="U424" s="150" t="str">
        <f>IFERROR(IF(OR(J424="",N424="",P424=""),"",IF(T424=0,0,T424*Q424-Settings!$B$4/10000-IF(T424&lt;0,Settings!$B$5/10000,0))),"")</f>
        <v/>
      </c>
      <c r="W424" s="21" t="str">
        <f t="shared" si="66"/>
        <v/>
      </c>
      <c r="X424" s="91" t="str">
        <f t="shared" si="67"/>
        <v/>
      </c>
      <c r="Y424" s="91" t="str">
        <f>IFERROR(IF($X424="","",INDEX(LLM_Data_Entry!$H$3:$H$548,MATCH($X424,INDEX(LLM_Data_Entry!$A$3:$A$548&amp;"|"&amp;LLM_Data_Entry!$C$3:$C$548&amp;"|"&amp;LLM_Data_Entry!$D$3:$D$548,0),0))),"")</f>
        <v/>
      </c>
      <c r="Z424" s="91" t="str">
        <f>IFERROR(IF($X424="","",INDEX(LLM_Data_Entry!$R$3:$R$548,MATCH($X424,INDEX(LLM_Data_Entry!$A$3:$A$548&amp;"|"&amp;LLM_Data_Entry!$C$3:$C$548&amp;"|"&amp;LLM_Data_Entry!$D$3:$D$548,0),0))),"")</f>
        <v/>
      </c>
      <c r="AL424" t="str">
        <f>IF($A424="","",IFERROR(INDEX(Company_List!$G$3:$G$207,MATCH($A424,Company_List!$A$3:$A$207,0)),"unassigned"))</f>
        <v/>
      </c>
      <c r="AP424" t="str">
        <f>IF($A424="","",IF(COUNTIFS(LLM_Data_Entry!$A$3:$A$548,$A424)&gt;0,"YES","NO"))</f>
        <v/>
      </c>
      <c r="AQ424" t="str">
        <f>IF($A424="","",IF(COUNTIFS($A$3:$A424,$A424,$C$3:$C424,$C424,$D$3:$D424,$D424)=1,"YES","NO"))</f>
        <v/>
      </c>
      <c r="AR424" t="str">
        <f>IF($A424="","",IF(AND($C424&amp;"-"&amp;$D424&gt;=Settings!$B$19,$C424&amp;"-"&amp;$D424&lt;=Settings!$B$20),"IN","OUT"))</f>
        <v/>
      </c>
      <c r="AS424" t="str">
        <f t="shared" si="68"/>
        <v/>
      </c>
      <c r="AT424" t="str">
        <f t="shared" si="69"/>
        <v/>
      </c>
      <c r="AU424" t="str">
        <f t="shared" si="70"/>
        <v/>
      </c>
      <c r="AV424" t="str">
        <f>IF(ISNUMBER($AT424),ABS(IF(ISNUMBER($I424),$I424,0)-Settings!$B$24),"")</f>
        <v/>
      </c>
      <c r="AW424" t="str">
        <f t="shared" si="71"/>
        <v/>
      </c>
      <c r="AX424" t="str">
        <f>IF(ISNUMBER($AU424),ABS(IF(ISNUMBER($I424),$I424,0)-Settings!$B$24),"")</f>
        <v/>
      </c>
      <c r="AY424" t="s">
        <v>549</v>
      </c>
      <c r="AZ424" t="str">
        <f>IF($A424="","",IFERROR(INDEX(Company_List!$H$3:$H$207,MATCH($A424,Company_List!$A$3:$A$207,0)),"unassigned"))</f>
        <v/>
      </c>
      <c r="BC424" t="str">
        <f>IF($A424="","",IF(COUNTIFS($A$3:$A424,$A424,$C$3:$C424,$C424,$D$3:$D424,$D424,$G$3:$G424,$G424)=1,1,0))</f>
        <v/>
      </c>
      <c r="BK424" t="str">
        <f t="shared" si="72"/>
        <v/>
      </c>
    </row>
    <row r="425" spans="1:71" x14ac:dyDescent="0.2">
      <c r="B425" s="142" t="str">
        <f>IF(A425="","",_xlfn.XLOOKUP(A425, Company_List!$A:$A, Company_List!$B:$B, ""))</f>
        <v/>
      </c>
      <c r="J425" s="145" t="str">
        <f>IF(OR(I425="",Settings!$B$6=""),"",IF(I425&gt;Settings!$B$6,"BUY",IF(I425&lt;-Settings!$B$6,"SELL","HOLD")))</f>
        <v/>
      </c>
      <c r="Q425" s="151" t="str">
        <f t="shared" si="63"/>
        <v/>
      </c>
      <c r="R425" s="118" t="str">
        <f>IF(OR(N425="",P425=""),"",IF(Q425&gt;Settings!$B$3/100,"UP",IF(Q425&lt;-Settings!$B$3/100,"DOWN","FLAT")))</f>
        <v/>
      </c>
      <c r="S425" s="118" t="str">
        <f t="shared" si="64"/>
        <v/>
      </c>
      <c r="T425" s="119" t="str">
        <f t="shared" si="65"/>
        <v/>
      </c>
      <c r="U425" s="150" t="str">
        <f>IFERROR(IF(OR(J425="",N425="",P425=""),"",IF(T425=0,0,T425*Q425-Settings!$B$4/10000-IF(T425&lt;0,Settings!$B$5/10000,0))),"")</f>
        <v/>
      </c>
      <c r="W425" s="21" t="str">
        <f t="shared" si="66"/>
        <v/>
      </c>
      <c r="X425" s="91" t="str">
        <f t="shared" si="67"/>
        <v/>
      </c>
      <c r="Y425" s="91" t="str">
        <f>IFERROR(IF($X425="","",INDEX(LLM_Data_Entry!$H$3:$H$548,MATCH($X425,INDEX(LLM_Data_Entry!$A$3:$A$548&amp;"|"&amp;LLM_Data_Entry!$C$3:$C$548&amp;"|"&amp;LLM_Data_Entry!$D$3:$D$548,0),0))),"")</f>
        <v/>
      </c>
      <c r="Z425" s="91" t="str">
        <f>IFERROR(IF($X425="","",INDEX(LLM_Data_Entry!$R$3:$R$548,MATCH($X425,INDEX(LLM_Data_Entry!$A$3:$A$548&amp;"|"&amp;LLM_Data_Entry!$C$3:$C$548&amp;"|"&amp;LLM_Data_Entry!$D$3:$D$548,0),0))),"")</f>
        <v/>
      </c>
      <c r="AL425" t="str">
        <f>IF($A425="","",IFERROR(INDEX(Company_List!$G$3:$G$207,MATCH($A425,Company_List!$A$3:$A$207,0)),"unassigned"))</f>
        <v/>
      </c>
      <c r="AP425" t="str">
        <f>IF($A425="","",IF(COUNTIFS(LLM_Data_Entry!$A$3:$A$548,$A425)&gt;0,"YES","NO"))</f>
        <v/>
      </c>
      <c r="AQ425" t="str">
        <f>IF($A425="","",IF(COUNTIFS($A$3:$A425,$A425,$C$3:$C425,$C425,$D$3:$D425,$D425)=1,"YES","NO"))</f>
        <v/>
      </c>
      <c r="AR425" t="str">
        <f>IF($A425="","",IF(AND($C425&amp;"-"&amp;$D425&gt;=Settings!$B$19,$C425&amp;"-"&amp;$D425&lt;=Settings!$B$20),"IN","OUT"))</f>
        <v/>
      </c>
      <c r="AS425" t="str">
        <f t="shared" si="68"/>
        <v/>
      </c>
      <c r="AT425" t="str">
        <f t="shared" si="69"/>
        <v/>
      </c>
      <c r="AU425" t="str">
        <f t="shared" si="70"/>
        <v/>
      </c>
      <c r="AV425" t="str">
        <f>IF(ISNUMBER($AT425),ABS(IF(ISNUMBER($I425),$I425,0)-Settings!$B$24),"")</f>
        <v/>
      </c>
      <c r="AW425" t="str">
        <f t="shared" si="71"/>
        <v/>
      </c>
      <c r="AX425" t="str">
        <f>IF(ISNUMBER($AU425),ABS(IF(ISNUMBER($I425),$I425,0)-Settings!$B$24),"")</f>
        <v/>
      </c>
      <c r="AY425" t="s">
        <v>549</v>
      </c>
      <c r="AZ425" t="str">
        <f>IF($A425="","",IFERROR(INDEX(Company_List!$H$3:$H$207,MATCH($A425,Company_List!$A$3:$A$207,0)),"unassigned"))</f>
        <v/>
      </c>
      <c r="BC425" t="str">
        <f>IF($A425="","",IF(COUNTIFS($A$3:$A425,$A425,$C$3:$C425,$C425,$D$3:$D425,$D425,$G$3:$G425,$G425)=1,1,0))</f>
        <v/>
      </c>
      <c r="BK425" t="str">
        <f t="shared" si="72"/>
        <v/>
      </c>
    </row>
    <row r="426" spans="1:71" x14ac:dyDescent="0.2">
      <c r="B426" s="142" t="str">
        <f>IF(A426="","",_xlfn.XLOOKUP(A426, Company_List!$A:$A, Company_List!$B:$B, ""))</f>
        <v/>
      </c>
      <c r="J426" s="145" t="str">
        <f>IF(OR(I426="",Settings!$B$6=""),"",IF(I426&gt;Settings!$B$6,"BUY",IF(I426&lt;-Settings!$B$6,"SELL","HOLD")))</f>
        <v/>
      </c>
      <c r="Q426" s="151" t="str">
        <f t="shared" si="63"/>
        <v/>
      </c>
      <c r="R426" s="118" t="str">
        <f>IF(OR(N426="",P426=""),"",IF(Q426&gt;Settings!$B$3/100,"UP",IF(Q426&lt;-Settings!$B$3/100,"DOWN","FLAT")))</f>
        <v/>
      </c>
      <c r="S426" s="118" t="str">
        <f t="shared" si="64"/>
        <v/>
      </c>
      <c r="T426" s="119" t="str">
        <f t="shared" si="65"/>
        <v/>
      </c>
      <c r="U426" s="150" t="str">
        <f>IFERROR(IF(OR(J426="",N426="",P426=""),"",IF(T426=0,0,T426*Q426-Settings!$B$4/10000-IF(T426&lt;0,Settings!$B$5/10000,0))),"")</f>
        <v/>
      </c>
      <c r="W426" s="21" t="str">
        <f t="shared" si="66"/>
        <v/>
      </c>
      <c r="X426" s="91" t="str">
        <f t="shared" si="67"/>
        <v/>
      </c>
      <c r="Y426" s="91" t="str">
        <f>IFERROR(IF($X426="","",INDEX(LLM_Data_Entry!$H$3:$H$548,MATCH($X426,INDEX(LLM_Data_Entry!$A$3:$A$548&amp;"|"&amp;LLM_Data_Entry!$C$3:$C$548&amp;"|"&amp;LLM_Data_Entry!$D$3:$D$548,0),0))),"")</f>
        <v/>
      </c>
      <c r="Z426" s="91" t="str">
        <f>IFERROR(IF($X426="","",INDEX(LLM_Data_Entry!$R$3:$R$548,MATCH($X426,INDEX(LLM_Data_Entry!$A$3:$A$548&amp;"|"&amp;LLM_Data_Entry!$C$3:$C$548&amp;"|"&amp;LLM_Data_Entry!$D$3:$D$548,0),0))),"")</f>
        <v/>
      </c>
      <c r="AL426" t="str">
        <f>IF($A426="","",IFERROR(INDEX(Company_List!$G$3:$G$207,MATCH($A426,Company_List!$A$3:$A$207,0)),"unassigned"))</f>
        <v/>
      </c>
      <c r="AP426" t="str">
        <f>IF($A426="","",IF(COUNTIFS(LLM_Data_Entry!$A$3:$A$548,$A426)&gt;0,"YES","NO"))</f>
        <v/>
      </c>
      <c r="AQ426" t="str">
        <f>IF($A426="","",IF(COUNTIFS($A$3:$A426,$A426,$C$3:$C426,$C426,$D$3:$D426,$D426)=1,"YES","NO"))</f>
        <v/>
      </c>
      <c r="AR426" t="str">
        <f>IF($A426="","",IF(AND($C426&amp;"-"&amp;$D426&gt;=Settings!$B$19,$C426&amp;"-"&amp;$D426&lt;=Settings!$B$20),"IN","OUT"))</f>
        <v/>
      </c>
      <c r="AS426" t="str">
        <f t="shared" si="68"/>
        <v/>
      </c>
      <c r="AT426" t="str">
        <f t="shared" si="69"/>
        <v/>
      </c>
      <c r="AU426" t="str">
        <f t="shared" si="70"/>
        <v/>
      </c>
      <c r="AV426" t="str">
        <f>IF(ISNUMBER($AT426),ABS(IF(ISNUMBER($I426),$I426,0)-Settings!$B$24),"")</f>
        <v/>
      </c>
      <c r="AW426" t="str">
        <f t="shared" si="71"/>
        <v/>
      </c>
      <c r="AX426" t="str">
        <f>IF(ISNUMBER($AU426),ABS(IF(ISNUMBER($I426),$I426,0)-Settings!$B$24),"")</f>
        <v/>
      </c>
      <c r="AY426" t="s">
        <v>549</v>
      </c>
      <c r="AZ426" t="str">
        <f>IF($A426="","",IFERROR(INDEX(Company_List!$H$3:$H$207,MATCH($A426,Company_List!$A$3:$A$207,0)),"unassigned"))</f>
        <v/>
      </c>
      <c r="BC426" t="str">
        <f>IF($A426="","",IF(COUNTIFS($A$3:$A426,$A426,$C$3:$C426,$C426,$D$3:$D426,$D426,$G$3:$G426,$G426)=1,1,0))</f>
        <v/>
      </c>
      <c r="BK426" t="str">
        <f t="shared" si="72"/>
        <v/>
      </c>
    </row>
    <row r="427" spans="1:71" x14ac:dyDescent="0.2">
      <c r="B427" s="142" t="str">
        <f>IF(A427="","",_xlfn.XLOOKUP(A427, Company_List!$A:$A, Company_List!$B:$B, ""))</f>
        <v/>
      </c>
      <c r="J427" s="145" t="str">
        <f>IF(OR(I427="",Settings!$B$6=""),"",IF(I427&gt;Settings!$B$6,"BUY",IF(I427&lt;-Settings!$B$6,"SELL","HOLD")))</f>
        <v/>
      </c>
      <c r="Q427" s="151" t="str">
        <f t="shared" si="63"/>
        <v/>
      </c>
      <c r="R427" s="118" t="str">
        <f>IF(OR(N427="",P427=""),"",IF(Q427&gt;Settings!$B$3/100,"UP",IF(Q427&lt;-Settings!$B$3/100,"DOWN","FLAT")))</f>
        <v/>
      </c>
      <c r="S427" s="118" t="str">
        <f t="shared" si="64"/>
        <v/>
      </c>
      <c r="T427" s="119" t="str">
        <f t="shared" si="65"/>
        <v/>
      </c>
      <c r="U427" s="150" t="str">
        <f>IFERROR(IF(OR(J427="",N427="",P427=""),"",IF(T427=0,0,T427*Q427-Settings!$B$4/10000-IF(T427&lt;0,Settings!$B$5/10000,0))),"")</f>
        <v/>
      </c>
      <c r="W427" s="21" t="str">
        <f t="shared" si="66"/>
        <v/>
      </c>
      <c r="X427" s="91" t="str">
        <f t="shared" si="67"/>
        <v/>
      </c>
      <c r="Y427" s="91" t="str">
        <f>IFERROR(IF($X427="","",INDEX(LLM_Data_Entry!$H$3:$H$548,MATCH($X427,INDEX(LLM_Data_Entry!$A$3:$A$548&amp;"|"&amp;LLM_Data_Entry!$C$3:$C$548&amp;"|"&amp;LLM_Data_Entry!$D$3:$D$548,0),0))),"")</f>
        <v/>
      </c>
      <c r="Z427" s="91" t="str">
        <f>IFERROR(IF($X427="","",INDEX(LLM_Data_Entry!$R$3:$R$548,MATCH($X427,INDEX(LLM_Data_Entry!$A$3:$A$548&amp;"|"&amp;LLM_Data_Entry!$C$3:$C$548&amp;"|"&amp;LLM_Data_Entry!$D$3:$D$548,0),0))),"")</f>
        <v/>
      </c>
      <c r="AL427" t="str">
        <f>IF($A427="","",IFERROR(INDEX(Company_List!$G$3:$G$207,MATCH($A427,Company_List!$A$3:$A$207,0)),"unassigned"))</f>
        <v/>
      </c>
      <c r="AP427" t="str">
        <f>IF($A427="","",IF(COUNTIFS(LLM_Data_Entry!$A$3:$A$548,$A427)&gt;0,"YES","NO"))</f>
        <v/>
      </c>
      <c r="AQ427" t="str">
        <f>IF($A427="","",IF(COUNTIFS($A$3:$A427,$A427,$C$3:$C427,$C427,$D$3:$D427,$D427)=1,"YES","NO"))</f>
        <v/>
      </c>
      <c r="AR427" t="str">
        <f>IF($A427="","",IF(AND($C427&amp;"-"&amp;$D427&gt;=Settings!$B$19,$C427&amp;"-"&amp;$D427&lt;=Settings!$B$20),"IN","OUT"))</f>
        <v/>
      </c>
      <c r="AS427" t="str">
        <f t="shared" si="68"/>
        <v/>
      </c>
      <c r="AT427" t="str">
        <f t="shared" si="69"/>
        <v/>
      </c>
      <c r="AU427" t="str">
        <f t="shared" si="70"/>
        <v/>
      </c>
      <c r="AV427" t="str">
        <f>IF(ISNUMBER($AT427),ABS(IF(ISNUMBER($I427),$I427,0)-Settings!$B$24),"")</f>
        <v/>
      </c>
      <c r="AW427" t="str">
        <f t="shared" si="71"/>
        <v/>
      </c>
      <c r="AX427" t="str">
        <f>IF(ISNUMBER($AU427),ABS(IF(ISNUMBER($I427),$I427,0)-Settings!$B$24),"")</f>
        <v/>
      </c>
      <c r="AY427" t="s">
        <v>549</v>
      </c>
      <c r="AZ427" t="str">
        <f>IF($A427="","",IFERROR(INDEX(Company_List!$H$3:$H$207,MATCH($A427,Company_List!$A$3:$A$207,0)),"unassigned"))</f>
        <v/>
      </c>
      <c r="BC427" t="str">
        <f>IF($A427="","",IF(COUNTIFS($A$3:$A427,$A427,$C$3:$C427,$C427,$D$3:$D427,$D427,$G$3:$G427,$G427)=1,1,0))</f>
        <v/>
      </c>
      <c r="BK427" t="str">
        <f t="shared" si="72"/>
        <v/>
      </c>
    </row>
    <row r="428" spans="1:71" x14ac:dyDescent="0.2">
      <c r="B428" s="142" t="str">
        <f>IF(A428="","",_xlfn.XLOOKUP(A428, Company_List!$A:$A, Company_List!$B:$B, ""))</f>
        <v/>
      </c>
      <c r="J428" s="145" t="str">
        <f>IF(OR(I428="",Settings!$B$6=""),"",IF(I428&gt;Settings!$B$6,"BUY",IF(I428&lt;-Settings!$B$6,"SELL","HOLD")))</f>
        <v/>
      </c>
      <c r="Q428" s="151" t="str">
        <f t="shared" si="63"/>
        <v/>
      </c>
      <c r="R428" s="118" t="str">
        <f>IF(OR(N428="",P428=""),"",IF(Q428&gt;Settings!$B$3/100,"UP",IF(Q428&lt;-Settings!$B$3/100,"DOWN","FLAT")))</f>
        <v/>
      </c>
      <c r="S428" s="118" t="str">
        <f t="shared" si="64"/>
        <v/>
      </c>
      <c r="T428" s="119" t="str">
        <f t="shared" si="65"/>
        <v/>
      </c>
      <c r="U428" s="150" t="str">
        <f>IFERROR(IF(OR(J428="",N428="",P428=""),"",IF(T428=0,0,T428*Q428-Settings!$B$4/10000-IF(T428&lt;0,Settings!$B$5/10000,0))),"")</f>
        <v/>
      </c>
      <c r="W428" s="21" t="str">
        <f t="shared" si="66"/>
        <v/>
      </c>
      <c r="X428" s="91" t="str">
        <f t="shared" si="67"/>
        <v/>
      </c>
      <c r="Y428" s="91" t="str">
        <f>IFERROR(IF($X428="","",INDEX(LLM_Data_Entry!$H$3:$H$548,MATCH($X428,INDEX(LLM_Data_Entry!$A$3:$A$548&amp;"|"&amp;LLM_Data_Entry!$C$3:$C$548&amp;"|"&amp;LLM_Data_Entry!$D$3:$D$548,0),0))),"")</f>
        <v/>
      </c>
      <c r="Z428" s="91" t="str">
        <f>IFERROR(IF($X428="","",INDEX(LLM_Data_Entry!$R$3:$R$548,MATCH($X428,INDEX(LLM_Data_Entry!$A$3:$A$548&amp;"|"&amp;LLM_Data_Entry!$C$3:$C$548&amp;"|"&amp;LLM_Data_Entry!$D$3:$D$548,0),0))),"")</f>
        <v/>
      </c>
      <c r="AL428" t="str">
        <f>IF($A428="","",IFERROR(INDEX(Company_List!$G$3:$G$207,MATCH($A428,Company_List!$A$3:$A$207,0)),"unassigned"))</f>
        <v/>
      </c>
      <c r="AP428" t="str">
        <f>IF($A428="","",IF(COUNTIFS(LLM_Data_Entry!$A$3:$A$548,$A428)&gt;0,"YES","NO"))</f>
        <v/>
      </c>
      <c r="AQ428" t="str">
        <f>IF($A428="","",IF(COUNTIFS($A$3:$A428,$A428,$C$3:$C428,$C428,$D$3:$D428,$D428)=1,"YES","NO"))</f>
        <v/>
      </c>
      <c r="AR428" t="str">
        <f>IF($A428="","",IF(AND($C428&amp;"-"&amp;$D428&gt;=Settings!$B$19,$C428&amp;"-"&amp;$D428&lt;=Settings!$B$20),"IN","OUT"))</f>
        <v/>
      </c>
      <c r="AS428" t="str">
        <f t="shared" si="68"/>
        <v/>
      </c>
      <c r="AT428" t="str">
        <f t="shared" si="69"/>
        <v/>
      </c>
      <c r="AU428" t="str">
        <f t="shared" si="70"/>
        <v/>
      </c>
      <c r="AV428" t="str">
        <f>IF(ISNUMBER($AT428),ABS(IF(ISNUMBER($I428),$I428,0)-Settings!$B$24),"")</f>
        <v/>
      </c>
      <c r="AW428" t="str">
        <f t="shared" si="71"/>
        <v/>
      </c>
      <c r="AX428" t="str">
        <f>IF(ISNUMBER($AU428),ABS(IF(ISNUMBER($I428),$I428,0)-Settings!$B$24),"")</f>
        <v/>
      </c>
      <c r="AY428" t="s">
        <v>549</v>
      </c>
      <c r="AZ428" t="str">
        <f>IF($A428="","",IFERROR(INDEX(Company_List!$H$3:$H$207,MATCH($A428,Company_List!$A$3:$A$207,0)),"unassigned"))</f>
        <v/>
      </c>
      <c r="BC428" t="str">
        <f>IF($A428="","",IF(COUNTIFS($A$3:$A428,$A428,$C$3:$C428,$C428,$D$3:$D428,$D428,$G$3:$G428,$G428)=1,1,0))</f>
        <v/>
      </c>
      <c r="BK428" t="str">
        <f t="shared" si="72"/>
        <v/>
      </c>
    </row>
    <row r="429" spans="1:71" x14ac:dyDescent="0.2">
      <c r="B429" s="142" t="str">
        <f>IF(A429="","",_xlfn.XLOOKUP(A429, Company_List!$A:$A, Company_List!$B:$B, ""))</f>
        <v/>
      </c>
      <c r="J429" s="145" t="str">
        <f>IF(OR(I429="",Settings!$B$6=""),"",IF(I429&gt;Settings!$B$6,"BUY",IF(I429&lt;-Settings!$B$6,"SELL","HOLD")))</f>
        <v/>
      </c>
      <c r="Q429" s="151" t="str">
        <f t="shared" si="63"/>
        <v/>
      </c>
      <c r="R429" s="118" t="str">
        <f>IF(OR(N429="",P429=""),"",IF(Q429&gt;Settings!$B$3/100,"UP",IF(Q429&lt;-Settings!$B$3/100,"DOWN","FLAT")))</f>
        <v/>
      </c>
      <c r="S429" s="118" t="str">
        <f t="shared" si="64"/>
        <v/>
      </c>
      <c r="T429" s="119" t="str">
        <f t="shared" si="65"/>
        <v/>
      </c>
      <c r="U429" s="150" t="str">
        <f>IFERROR(IF(OR(J429="",N429="",P429=""),"",IF(T429=0,0,T429*Q429-Settings!$B$4/10000-IF(T429&lt;0,Settings!$B$5/10000,0))),"")</f>
        <v/>
      </c>
      <c r="W429" s="21" t="str">
        <f t="shared" si="66"/>
        <v/>
      </c>
      <c r="X429" s="91" t="str">
        <f t="shared" si="67"/>
        <v/>
      </c>
      <c r="Y429" s="91" t="str">
        <f>IFERROR(IF($X429="","",INDEX(LLM_Data_Entry!$H$3:$H$548,MATCH($X429,INDEX(LLM_Data_Entry!$A$3:$A$548&amp;"|"&amp;LLM_Data_Entry!$C$3:$C$548&amp;"|"&amp;LLM_Data_Entry!$D$3:$D$548,0),0))),"")</f>
        <v/>
      </c>
      <c r="Z429" s="91" t="str">
        <f>IFERROR(IF($X429="","",INDEX(LLM_Data_Entry!$R$3:$R$548,MATCH($X429,INDEX(LLM_Data_Entry!$A$3:$A$548&amp;"|"&amp;LLM_Data_Entry!$C$3:$C$548&amp;"|"&amp;LLM_Data_Entry!$D$3:$D$548,0),0))),"")</f>
        <v/>
      </c>
      <c r="AL429" t="str">
        <f>IF($A429="","",IFERROR(INDEX(Company_List!$G$3:$G$207,MATCH($A429,Company_List!$A$3:$A$207,0)),"unassigned"))</f>
        <v/>
      </c>
      <c r="AP429" t="str">
        <f>IF($A429="","",IF(COUNTIFS(LLM_Data_Entry!$A$3:$A$548,$A429)&gt;0,"YES","NO"))</f>
        <v/>
      </c>
      <c r="AQ429" t="str">
        <f>IF($A429="","",IF(COUNTIFS($A$3:$A429,$A429,$C$3:$C429,$C429,$D$3:$D429,$D429)=1,"YES","NO"))</f>
        <v/>
      </c>
      <c r="AR429" t="str">
        <f>IF($A429="","",IF(AND($C429&amp;"-"&amp;$D429&gt;=Settings!$B$19,$C429&amp;"-"&amp;$D429&lt;=Settings!$B$20),"IN","OUT"))</f>
        <v/>
      </c>
      <c r="AS429" t="str">
        <f t="shared" si="68"/>
        <v/>
      </c>
      <c r="AT429" t="str">
        <f t="shared" si="69"/>
        <v/>
      </c>
      <c r="AU429" t="str">
        <f t="shared" si="70"/>
        <v/>
      </c>
      <c r="AV429" t="str">
        <f>IF(ISNUMBER($AT429),ABS(IF(ISNUMBER($I429),$I429,0)-Settings!$B$24),"")</f>
        <v/>
      </c>
      <c r="AW429" t="str">
        <f t="shared" si="71"/>
        <v/>
      </c>
      <c r="AX429" t="str">
        <f>IF(ISNUMBER($AU429),ABS(IF(ISNUMBER($I429),$I429,0)-Settings!$B$24),"")</f>
        <v/>
      </c>
      <c r="AY429" t="s">
        <v>549</v>
      </c>
      <c r="AZ429" t="str">
        <f>IF($A429="","",IFERROR(INDEX(Company_List!$H$3:$H$207,MATCH($A429,Company_List!$A$3:$A$207,0)),"unassigned"))</f>
        <v/>
      </c>
      <c r="BC429" t="str">
        <f>IF($A429="","",IF(COUNTIFS($A$3:$A429,$A429,$C$3:$C429,$C429,$D$3:$D429,$D429,$G$3:$G429,$G429)=1,1,0))</f>
        <v/>
      </c>
      <c r="BK429" t="str">
        <f t="shared" si="72"/>
        <v/>
      </c>
    </row>
    <row r="430" spans="1:71" x14ac:dyDescent="0.2">
      <c r="B430" s="142" t="str">
        <f>IF(A430="","",_xlfn.XLOOKUP(A430, Company_List!$A:$A, Company_List!$B:$B, ""))</f>
        <v/>
      </c>
      <c r="J430" s="145" t="str">
        <f>IF(OR(I430="",Settings!$B$6=""),"",IF(I430&gt;Settings!$B$6,"BUY",IF(I430&lt;-Settings!$B$6,"SELL","HOLD")))</f>
        <v/>
      </c>
      <c r="Q430" s="151" t="str">
        <f t="shared" si="63"/>
        <v/>
      </c>
      <c r="R430" s="118" t="str">
        <f>IF(OR(N430="",P430=""),"",IF(Q430&gt;Settings!$B$3/100,"UP",IF(Q430&lt;-Settings!$B$3/100,"DOWN","FLAT")))</f>
        <v/>
      </c>
      <c r="S430" s="118" t="str">
        <f t="shared" si="64"/>
        <v/>
      </c>
      <c r="T430" s="119" t="str">
        <f t="shared" si="65"/>
        <v/>
      </c>
      <c r="U430" s="150" t="str">
        <f>IFERROR(IF(OR(J430="",N430="",P430=""),"",IF(T430=0,0,T430*Q430-Settings!$B$4/10000-IF(T430&lt;0,Settings!$B$5/10000,0))),"")</f>
        <v/>
      </c>
      <c r="W430" s="21" t="str">
        <f t="shared" si="66"/>
        <v/>
      </c>
      <c r="X430" s="91" t="str">
        <f t="shared" si="67"/>
        <v/>
      </c>
      <c r="Y430" s="91" t="str">
        <f>IFERROR(IF($X430="","",INDEX(LLM_Data_Entry!$H$3:$H$548,MATCH($X430,INDEX(LLM_Data_Entry!$A$3:$A$548&amp;"|"&amp;LLM_Data_Entry!$C$3:$C$548&amp;"|"&amp;LLM_Data_Entry!$D$3:$D$548,0),0))),"")</f>
        <v/>
      </c>
      <c r="Z430" s="91" t="str">
        <f>IFERROR(IF($X430="","",INDEX(LLM_Data_Entry!$R$3:$R$548,MATCH($X430,INDEX(LLM_Data_Entry!$A$3:$A$548&amp;"|"&amp;LLM_Data_Entry!$C$3:$C$548&amp;"|"&amp;LLM_Data_Entry!$D$3:$D$548,0),0))),"")</f>
        <v/>
      </c>
      <c r="AL430" t="str">
        <f>IF($A430="","",IFERROR(INDEX(Company_List!$G$3:$G$207,MATCH($A430,Company_List!$A$3:$A$207,0)),"unassigned"))</f>
        <v/>
      </c>
      <c r="AP430" t="str">
        <f>IF($A430="","",IF(COUNTIFS(LLM_Data_Entry!$A$3:$A$548,$A430)&gt;0,"YES","NO"))</f>
        <v/>
      </c>
      <c r="AQ430" t="str">
        <f>IF($A430="","",IF(COUNTIFS($A$3:$A430,$A430,$C$3:$C430,$C430,$D$3:$D430,$D430)=1,"YES","NO"))</f>
        <v/>
      </c>
      <c r="AR430" t="str">
        <f>IF($A430="","",IF(AND($C430&amp;"-"&amp;$D430&gt;=Settings!$B$19,$C430&amp;"-"&amp;$D430&lt;=Settings!$B$20),"IN","OUT"))</f>
        <v/>
      </c>
      <c r="AS430" t="str">
        <f t="shared" si="68"/>
        <v/>
      </c>
      <c r="AT430" t="str">
        <f t="shared" si="69"/>
        <v/>
      </c>
      <c r="AU430" t="str">
        <f t="shared" si="70"/>
        <v/>
      </c>
      <c r="AV430" t="str">
        <f>IF(ISNUMBER($AT430),ABS(IF(ISNUMBER($I430),$I430,0)-Settings!$B$24),"")</f>
        <v/>
      </c>
      <c r="AW430" t="str">
        <f t="shared" si="71"/>
        <v/>
      </c>
      <c r="AX430" t="str">
        <f>IF(ISNUMBER($AU430),ABS(IF(ISNUMBER($I430),$I430,0)-Settings!$B$24),"")</f>
        <v/>
      </c>
      <c r="AY430" t="s">
        <v>549</v>
      </c>
      <c r="AZ430" t="str">
        <f>IF($A430="","",IFERROR(INDEX(Company_List!$H$3:$H$207,MATCH($A430,Company_List!$A$3:$A$207,0)),"unassigned"))</f>
        <v/>
      </c>
      <c r="BC430" t="str">
        <f>IF($A430="","",IF(COUNTIFS($A$3:$A430,$A430,$C$3:$C430,$C430,$D$3:$D430,$D430,$G$3:$G430,$G430)=1,1,0))</f>
        <v/>
      </c>
      <c r="BK430" t="str">
        <f t="shared" si="72"/>
        <v/>
      </c>
    </row>
    <row r="431" spans="1:71" x14ac:dyDescent="0.2">
      <c r="B431" s="142" t="str">
        <f>IF(A431="","",_xlfn.XLOOKUP(A431, Company_List!$A:$A, Company_List!$B:$B, ""))</f>
        <v/>
      </c>
      <c r="J431" s="145" t="str">
        <f>IF(OR(I431="",Settings!$B$6=""),"",IF(I431&gt;Settings!$B$6,"BUY",IF(I431&lt;-Settings!$B$6,"SELL","HOLD")))</f>
        <v/>
      </c>
      <c r="Q431" s="151" t="str">
        <f t="shared" si="63"/>
        <v/>
      </c>
      <c r="R431" s="118" t="str">
        <f>IF(OR(N431="",P431=""),"",IF(Q431&gt;Settings!$B$3/100,"UP",IF(Q431&lt;-Settings!$B$3/100,"DOWN","FLAT")))</f>
        <v/>
      </c>
      <c r="S431" s="118" t="str">
        <f t="shared" si="64"/>
        <v/>
      </c>
      <c r="T431" s="119" t="str">
        <f t="shared" si="65"/>
        <v/>
      </c>
      <c r="U431" s="150" t="str">
        <f>IFERROR(IF(OR(J431="",N431="",P431=""),"",IF(T431=0,0,T431*Q431-Settings!$B$4/10000-IF(T431&lt;0,Settings!$B$5/10000,0))),"")</f>
        <v/>
      </c>
      <c r="W431" s="21" t="str">
        <f t="shared" si="66"/>
        <v/>
      </c>
      <c r="X431" s="91" t="str">
        <f t="shared" si="67"/>
        <v/>
      </c>
      <c r="Y431" s="91" t="str">
        <f>IFERROR(IF($X431="","",INDEX(LLM_Data_Entry!$H$3:$H$548,MATCH($X431,INDEX(LLM_Data_Entry!$A$3:$A$548&amp;"|"&amp;LLM_Data_Entry!$C$3:$C$548&amp;"|"&amp;LLM_Data_Entry!$D$3:$D$548,0),0))),"")</f>
        <v/>
      </c>
      <c r="Z431" s="91" t="str">
        <f>IFERROR(IF($X431="","",INDEX(LLM_Data_Entry!$R$3:$R$548,MATCH($X431,INDEX(LLM_Data_Entry!$A$3:$A$548&amp;"|"&amp;LLM_Data_Entry!$C$3:$C$548&amp;"|"&amp;LLM_Data_Entry!$D$3:$D$548,0),0))),"")</f>
        <v/>
      </c>
      <c r="AL431" t="str">
        <f>IF($A431="","",IFERROR(INDEX(Company_List!$G$3:$G$207,MATCH($A431,Company_List!$A$3:$A$207,0)),"unassigned"))</f>
        <v/>
      </c>
      <c r="AP431" t="str">
        <f>IF($A431="","",IF(COUNTIFS(LLM_Data_Entry!$A$3:$A$548,$A431)&gt;0,"YES","NO"))</f>
        <v/>
      </c>
      <c r="AQ431" t="str">
        <f>IF($A431="","",IF(COUNTIFS($A$3:$A431,$A431,$C$3:$C431,$C431,$D$3:$D431,$D431)=1,"YES","NO"))</f>
        <v/>
      </c>
      <c r="AR431" t="str">
        <f>IF($A431="","",IF(AND($C431&amp;"-"&amp;$D431&gt;=Settings!$B$19,$C431&amp;"-"&amp;$D431&lt;=Settings!$B$20),"IN","OUT"))</f>
        <v/>
      </c>
      <c r="AS431" t="str">
        <f t="shared" si="68"/>
        <v/>
      </c>
      <c r="AT431" t="str">
        <f t="shared" si="69"/>
        <v/>
      </c>
      <c r="AU431" t="str">
        <f t="shared" si="70"/>
        <v/>
      </c>
      <c r="AV431" t="str">
        <f>IF(ISNUMBER($AT431),ABS(IF(ISNUMBER($I431),$I431,0)-Settings!$B$24),"")</f>
        <v/>
      </c>
      <c r="AW431" t="str">
        <f t="shared" si="71"/>
        <v/>
      </c>
      <c r="AX431" t="str">
        <f>IF(ISNUMBER($AU431),ABS(IF(ISNUMBER($I431),$I431,0)-Settings!$B$24),"")</f>
        <v/>
      </c>
      <c r="AY431" t="s">
        <v>549</v>
      </c>
      <c r="AZ431" t="str">
        <f>IF($A431="","",IFERROR(INDEX(Company_List!$H$3:$H$207,MATCH($A431,Company_List!$A$3:$A$207,0)),"unassigned"))</f>
        <v/>
      </c>
      <c r="BC431" t="str">
        <f>IF($A431="","",IF(COUNTIFS($A$3:$A431,$A431,$C$3:$C431,$C431,$D$3:$D431,$D431,$G$3:$G431,$G431)=1,1,0))</f>
        <v/>
      </c>
      <c r="BK431" t="str">
        <f t="shared" si="72"/>
        <v/>
      </c>
    </row>
    <row r="432" spans="1:71" x14ac:dyDescent="0.2">
      <c r="B432" s="142" t="str">
        <f>IF(A432="","",_xlfn.XLOOKUP(A432, Company_List!$A:$A, Company_List!$B:$B, ""))</f>
        <v/>
      </c>
      <c r="J432" s="145" t="str">
        <f>IF(OR(I432="",Settings!$B$6=""),"",IF(I432&gt;Settings!$B$6,"BUY",IF(I432&lt;-Settings!$B$6,"SELL","HOLD")))</f>
        <v/>
      </c>
      <c r="Q432" s="151" t="str">
        <f t="shared" si="63"/>
        <v/>
      </c>
      <c r="R432" s="118" t="str">
        <f>IF(OR(N432="",P432=""),"",IF(Q432&gt;Settings!$B$3/100,"UP",IF(Q432&lt;-Settings!$B$3/100,"DOWN","FLAT")))</f>
        <v/>
      </c>
      <c r="S432" s="118" t="str">
        <f t="shared" si="64"/>
        <v/>
      </c>
      <c r="T432" s="119" t="str">
        <f t="shared" si="65"/>
        <v/>
      </c>
      <c r="U432" s="150" t="str">
        <f>IFERROR(IF(OR(J432="",N432="",P432=""),"",IF(T432=0,0,T432*Q432-Settings!$B$4/10000-IF(T432&lt;0,Settings!$B$5/10000,0))),"")</f>
        <v/>
      </c>
      <c r="W432" s="21" t="str">
        <f t="shared" si="66"/>
        <v/>
      </c>
      <c r="X432" s="91" t="str">
        <f t="shared" si="67"/>
        <v/>
      </c>
      <c r="Y432" s="91" t="str">
        <f>IFERROR(IF($X432="","",INDEX(LLM_Data_Entry!$H$3:$H$548,MATCH($X432,INDEX(LLM_Data_Entry!$A$3:$A$548&amp;"|"&amp;LLM_Data_Entry!$C$3:$C$548&amp;"|"&amp;LLM_Data_Entry!$D$3:$D$548,0),0))),"")</f>
        <v/>
      </c>
      <c r="Z432" s="91" t="str">
        <f>IFERROR(IF($X432="","",INDEX(LLM_Data_Entry!$R$3:$R$548,MATCH($X432,INDEX(LLM_Data_Entry!$A$3:$A$548&amp;"|"&amp;LLM_Data_Entry!$C$3:$C$548&amp;"|"&amp;LLM_Data_Entry!$D$3:$D$548,0),0))),"")</f>
        <v/>
      </c>
      <c r="AL432" t="str">
        <f>IF($A432="","",IFERROR(INDEX(Company_List!$G$3:$G$207,MATCH($A432,Company_List!$A$3:$A$207,0)),"unassigned"))</f>
        <v/>
      </c>
      <c r="AP432" t="str">
        <f>IF($A432="","",IF(COUNTIFS(LLM_Data_Entry!$A$3:$A$548,$A432)&gt;0,"YES","NO"))</f>
        <v/>
      </c>
      <c r="AQ432" t="str">
        <f>IF($A432="","",IF(COUNTIFS($A$3:$A432,$A432,$C$3:$C432,$C432,$D$3:$D432,$D432)=1,"YES","NO"))</f>
        <v/>
      </c>
      <c r="AR432" t="str">
        <f>IF($A432="","",IF(AND($C432&amp;"-"&amp;$D432&gt;=Settings!$B$19,$C432&amp;"-"&amp;$D432&lt;=Settings!$B$20),"IN","OUT"))</f>
        <v/>
      </c>
      <c r="AS432" t="str">
        <f t="shared" si="68"/>
        <v/>
      </c>
      <c r="AT432" t="str">
        <f t="shared" si="69"/>
        <v/>
      </c>
      <c r="AU432" t="str">
        <f t="shared" si="70"/>
        <v/>
      </c>
      <c r="AV432" t="str">
        <f>IF(ISNUMBER($AT432),ABS(IF(ISNUMBER($I432),$I432,0)-Settings!$B$24),"")</f>
        <v/>
      </c>
      <c r="AW432" t="str">
        <f t="shared" si="71"/>
        <v/>
      </c>
      <c r="AX432" t="str">
        <f>IF(ISNUMBER($AU432),ABS(IF(ISNUMBER($I432),$I432,0)-Settings!$B$24),"")</f>
        <v/>
      </c>
      <c r="AY432" t="s">
        <v>549</v>
      </c>
      <c r="AZ432" t="str">
        <f>IF($A432="","",IFERROR(INDEX(Company_List!$H$3:$H$207,MATCH($A432,Company_List!$A$3:$A$207,0)),"unassigned"))</f>
        <v/>
      </c>
      <c r="BC432" t="str">
        <f>IF($A432="","",IF(COUNTIFS($A$3:$A432,$A432,$C$3:$C432,$C432,$D$3:$D432,$D432,$G$3:$G432,$G432)=1,1,0))</f>
        <v/>
      </c>
      <c r="BK432" t="str">
        <f t="shared" si="72"/>
        <v/>
      </c>
    </row>
    <row r="433" spans="2:63" x14ac:dyDescent="0.2">
      <c r="B433" s="142" t="str">
        <f>IF(A433="","",_xlfn.XLOOKUP(A433, Company_List!$A:$A, Company_List!$B:$B, ""))</f>
        <v/>
      </c>
      <c r="J433" s="145" t="str">
        <f>IF(OR(I433="",Settings!$B$6=""),"",IF(I433&gt;Settings!$B$6,"BUY",IF(I433&lt;-Settings!$B$6,"SELL","HOLD")))</f>
        <v/>
      </c>
      <c r="Q433" s="151" t="str">
        <f t="shared" si="63"/>
        <v/>
      </c>
      <c r="R433" s="118" t="str">
        <f>IF(OR(N433="",P433=""),"",IF(Q433&gt;Settings!$B$3/100,"UP",IF(Q433&lt;-Settings!$B$3/100,"DOWN","FLAT")))</f>
        <v/>
      </c>
      <c r="S433" s="118" t="str">
        <f t="shared" si="64"/>
        <v/>
      </c>
      <c r="T433" s="119" t="str">
        <f t="shared" si="65"/>
        <v/>
      </c>
      <c r="U433" s="150" t="str">
        <f>IFERROR(IF(OR(J433="",N433="",P433=""),"",IF(T433=0,0,T433*Q433-Settings!$B$4/10000-IF(T433&lt;0,Settings!$B$5/10000,0))),"")</f>
        <v/>
      </c>
      <c r="W433" s="21" t="str">
        <f t="shared" si="66"/>
        <v/>
      </c>
      <c r="X433" s="91" t="str">
        <f t="shared" si="67"/>
        <v/>
      </c>
      <c r="Y433" s="91" t="str">
        <f>IFERROR(IF($X433="","",INDEX(LLM_Data_Entry!$H$3:$H$548,MATCH($X433,INDEX(LLM_Data_Entry!$A$3:$A$548&amp;"|"&amp;LLM_Data_Entry!$C$3:$C$548&amp;"|"&amp;LLM_Data_Entry!$D$3:$D$548,0),0))),"")</f>
        <v/>
      </c>
      <c r="Z433" s="91" t="str">
        <f>IFERROR(IF($X433="","",INDEX(LLM_Data_Entry!$R$3:$R$548,MATCH($X433,INDEX(LLM_Data_Entry!$A$3:$A$548&amp;"|"&amp;LLM_Data_Entry!$C$3:$C$548&amp;"|"&amp;LLM_Data_Entry!$D$3:$D$548,0),0))),"")</f>
        <v/>
      </c>
      <c r="AL433" t="str">
        <f>IF($A433="","",IFERROR(INDEX(Company_List!$G$3:$G$207,MATCH($A433,Company_List!$A$3:$A$207,0)),"unassigned"))</f>
        <v/>
      </c>
      <c r="AP433" t="str">
        <f>IF($A433="","",IF(COUNTIFS(LLM_Data_Entry!$A$3:$A$548,$A433)&gt;0,"YES","NO"))</f>
        <v/>
      </c>
      <c r="AQ433" t="str">
        <f>IF($A433="","",IF(COUNTIFS($A$3:$A433,$A433,$C$3:$C433,$C433,$D$3:$D433,$D433)=1,"YES","NO"))</f>
        <v/>
      </c>
      <c r="AR433" t="str">
        <f>IF($A433="","",IF(AND($C433&amp;"-"&amp;$D433&gt;=Settings!$B$19,$C433&amp;"-"&amp;$D433&lt;=Settings!$B$20),"IN","OUT"))</f>
        <v/>
      </c>
      <c r="AS433" t="str">
        <f t="shared" si="68"/>
        <v/>
      </c>
      <c r="AT433" t="str">
        <f t="shared" si="69"/>
        <v/>
      </c>
      <c r="AU433" t="str">
        <f t="shared" si="70"/>
        <v/>
      </c>
      <c r="AV433" t="str">
        <f>IF(ISNUMBER($AT433),ABS(IF(ISNUMBER($I433),$I433,0)-Settings!$B$24),"")</f>
        <v/>
      </c>
      <c r="AW433" t="str">
        <f t="shared" si="71"/>
        <v/>
      </c>
      <c r="AX433" t="str">
        <f>IF(ISNUMBER($AU433),ABS(IF(ISNUMBER($I433),$I433,0)-Settings!$B$24),"")</f>
        <v/>
      </c>
      <c r="AY433" t="s">
        <v>549</v>
      </c>
      <c r="AZ433" t="str">
        <f>IF($A433="","",IFERROR(INDEX(Company_List!$H$3:$H$207,MATCH($A433,Company_List!$A$3:$A$207,0)),"unassigned"))</f>
        <v/>
      </c>
      <c r="BC433" t="str">
        <f>IF($A433="","",IF(COUNTIFS($A$3:$A433,$A433,$C$3:$C433,$C433,$D$3:$D433,$D433,$G$3:$G433,$G433)=1,1,0))</f>
        <v/>
      </c>
      <c r="BK433" t="str">
        <f t="shared" si="72"/>
        <v/>
      </c>
    </row>
    <row r="434" spans="2:63" x14ac:dyDescent="0.2">
      <c r="B434" s="142" t="str">
        <f>IF(A434="","",_xlfn.XLOOKUP(A434, Company_List!$A:$A, Company_List!$B:$B, ""))</f>
        <v/>
      </c>
      <c r="J434" s="145" t="str">
        <f>IF(OR(I434="",Settings!$B$6=""),"",IF(I434&gt;Settings!$B$6,"BUY",IF(I434&lt;-Settings!$B$6,"SELL","HOLD")))</f>
        <v/>
      </c>
      <c r="Q434" s="151" t="str">
        <f t="shared" si="63"/>
        <v/>
      </c>
      <c r="R434" s="118" t="str">
        <f>IF(OR(N434="",P434=""),"",IF(Q434&gt;Settings!$B$3/100,"UP",IF(Q434&lt;-Settings!$B$3/100,"DOWN","FLAT")))</f>
        <v/>
      </c>
      <c r="S434" s="118" t="str">
        <f t="shared" si="64"/>
        <v/>
      </c>
      <c r="T434" s="119" t="str">
        <f t="shared" si="65"/>
        <v/>
      </c>
      <c r="U434" s="150" t="str">
        <f>IFERROR(IF(OR(J434="",N434="",P434=""),"",IF(T434=0,0,T434*Q434-Settings!$B$4/10000-IF(T434&lt;0,Settings!$B$5/10000,0))),"")</f>
        <v/>
      </c>
      <c r="W434" s="21" t="str">
        <f t="shared" si="66"/>
        <v/>
      </c>
      <c r="X434" s="91" t="str">
        <f t="shared" si="67"/>
        <v/>
      </c>
      <c r="Y434" s="91" t="str">
        <f>IFERROR(IF($X434="","",INDEX(LLM_Data_Entry!$H$3:$H$548,MATCH($X434,INDEX(LLM_Data_Entry!$A$3:$A$548&amp;"|"&amp;LLM_Data_Entry!$C$3:$C$548&amp;"|"&amp;LLM_Data_Entry!$D$3:$D$548,0),0))),"")</f>
        <v/>
      </c>
      <c r="Z434" s="91" t="str">
        <f>IFERROR(IF($X434="","",INDEX(LLM_Data_Entry!$R$3:$R$548,MATCH($X434,INDEX(LLM_Data_Entry!$A$3:$A$548&amp;"|"&amp;LLM_Data_Entry!$C$3:$C$548&amp;"|"&amp;LLM_Data_Entry!$D$3:$D$548,0),0))),"")</f>
        <v/>
      </c>
      <c r="AL434" t="str">
        <f>IF($A434="","",IFERROR(INDEX(Company_List!$G$3:$G$207,MATCH($A434,Company_List!$A$3:$A$207,0)),"unassigned"))</f>
        <v/>
      </c>
      <c r="AP434" t="str">
        <f>IF($A434="","",IF(COUNTIFS(LLM_Data_Entry!$A$3:$A$548,$A434)&gt;0,"YES","NO"))</f>
        <v/>
      </c>
      <c r="AQ434" t="str">
        <f>IF($A434="","",IF(COUNTIFS($A$3:$A434,$A434,$C$3:$C434,$C434,$D$3:$D434,$D434)=1,"YES","NO"))</f>
        <v/>
      </c>
      <c r="AR434" t="str">
        <f>IF($A434="","",IF(AND($C434&amp;"-"&amp;$D434&gt;=Settings!$B$19,$C434&amp;"-"&amp;$D434&lt;=Settings!$B$20),"IN","OUT"))</f>
        <v/>
      </c>
      <c r="AS434" t="str">
        <f t="shared" si="68"/>
        <v/>
      </c>
      <c r="AT434" t="str">
        <f t="shared" si="69"/>
        <v/>
      </c>
      <c r="AU434" t="str">
        <f t="shared" si="70"/>
        <v/>
      </c>
      <c r="AV434" t="str">
        <f>IF(ISNUMBER($AT434),ABS(IF(ISNUMBER($I434),$I434,0)-Settings!$B$24),"")</f>
        <v/>
      </c>
      <c r="AW434" t="str">
        <f t="shared" si="71"/>
        <v/>
      </c>
      <c r="AX434" t="str">
        <f>IF(ISNUMBER($AU434),ABS(IF(ISNUMBER($I434),$I434,0)-Settings!$B$24),"")</f>
        <v/>
      </c>
      <c r="AY434" t="s">
        <v>549</v>
      </c>
      <c r="AZ434" t="str">
        <f>IF($A434="","",IFERROR(INDEX(Company_List!$H$3:$H$207,MATCH($A434,Company_List!$A$3:$A$207,0)),"unassigned"))</f>
        <v/>
      </c>
      <c r="BC434" t="str">
        <f>IF($A434="","",IF(COUNTIFS($A$3:$A434,$A434,$C$3:$C434,$C434,$D$3:$D434,$D434,$G$3:$G434,$G434)=1,1,0))</f>
        <v/>
      </c>
      <c r="BK434" t="str">
        <f t="shared" si="72"/>
        <v/>
      </c>
    </row>
    <row r="435" spans="2:63" x14ac:dyDescent="0.2">
      <c r="B435" s="142" t="str">
        <f>IF(A435="","",_xlfn.XLOOKUP(A435, Company_List!$A:$A, Company_List!$B:$B, ""))</f>
        <v/>
      </c>
      <c r="J435" s="145" t="str">
        <f>IF(OR(I435="",Settings!$B$6=""),"",IF(I435&gt;Settings!$B$6,"BUY",IF(I435&lt;-Settings!$B$6,"SELL","HOLD")))</f>
        <v/>
      </c>
      <c r="Q435" s="151" t="str">
        <f t="shared" si="63"/>
        <v/>
      </c>
      <c r="R435" s="118" t="str">
        <f>IF(OR(N435="",P435=""),"",IF(Q435&gt;Settings!$B$3/100,"UP",IF(Q435&lt;-Settings!$B$3/100,"DOWN","FLAT")))</f>
        <v/>
      </c>
      <c r="S435" s="118" t="str">
        <f t="shared" si="64"/>
        <v/>
      </c>
      <c r="T435" s="119" t="str">
        <f t="shared" si="65"/>
        <v/>
      </c>
      <c r="U435" s="150" t="str">
        <f>IFERROR(IF(OR(J435="",N435="",P435=""),"",IF(T435=0,0,T435*Q435-Settings!$B$4/10000-IF(T435&lt;0,Settings!$B$5/10000,0))),"")</f>
        <v/>
      </c>
      <c r="W435" s="21" t="str">
        <f t="shared" si="66"/>
        <v/>
      </c>
      <c r="X435" s="91" t="str">
        <f t="shared" si="67"/>
        <v/>
      </c>
      <c r="Y435" s="91" t="str">
        <f>IFERROR(IF($X435="","",INDEX(LLM_Data_Entry!$H$3:$H$548,MATCH($X435,INDEX(LLM_Data_Entry!$A$3:$A$548&amp;"|"&amp;LLM_Data_Entry!$C$3:$C$548&amp;"|"&amp;LLM_Data_Entry!$D$3:$D$548,0),0))),"")</f>
        <v/>
      </c>
      <c r="Z435" s="91" t="str">
        <f>IFERROR(IF($X435="","",INDEX(LLM_Data_Entry!$R$3:$R$548,MATCH($X435,INDEX(LLM_Data_Entry!$A$3:$A$548&amp;"|"&amp;LLM_Data_Entry!$C$3:$C$548&amp;"|"&amp;LLM_Data_Entry!$D$3:$D$548,0),0))),"")</f>
        <v/>
      </c>
      <c r="AL435" t="str">
        <f>IF($A435="","",IFERROR(INDEX(Company_List!$G$3:$G$207,MATCH($A435,Company_List!$A$3:$A$207,0)),"unassigned"))</f>
        <v/>
      </c>
      <c r="AP435" t="str">
        <f>IF($A435="","",IF(COUNTIFS(LLM_Data_Entry!$A$3:$A$548,$A435)&gt;0,"YES","NO"))</f>
        <v/>
      </c>
      <c r="AQ435" t="str">
        <f>IF($A435="","",IF(COUNTIFS($A$3:$A435,$A435,$C$3:$C435,$C435,$D$3:$D435,$D435)=1,"YES","NO"))</f>
        <v/>
      </c>
      <c r="AR435" t="str">
        <f>IF($A435="","",IF(AND($C435&amp;"-"&amp;$D435&gt;=Settings!$B$19,$C435&amp;"-"&amp;$D435&lt;=Settings!$B$20),"IN","OUT"))</f>
        <v/>
      </c>
      <c r="AS435" t="str">
        <f t="shared" si="68"/>
        <v/>
      </c>
      <c r="AT435" t="str">
        <f t="shared" si="69"/>
        <v/>
      </c>
      <c r="AU435" t="str">
        <f t="shared" si="70"/>
        <v/>
      </c>
      <c r="AV435" t="str">
        <f>IF(ISNUMBER($AT435),ABS(IF(ISNUMBER($I435),$I435,0)-Settings!$B$24),"")</f>
        <v/>
      </c>
      <c r="AW435" t="str">
        <f t="shared" si="71"/>
        <v/>
      </c>
      <c r="AX435" t="str">
        <f>IF(ISNUMBER($AU435),ABS(IF(ISNUMBER($I435),$I435,0)-Settings!$B$24),"")</f>
        <v/>
      </c>
      <c r="AY435" t="s">
        <v>549</v>
      </c>
      <c r="AZ435" t="str">
        <f>IF($A435="","",IFERROR(INDEX(Company_List!$H$3:$H$207,MATCH($A435,Company_List!$A$3:$A$207,0)),"unassigned"))</f>
        <v/>
      </c>
      <c r="BC435" t="str">
        <f>IF($A435="","",IF(COUNTIFS($A$3:$A435,$A435,$C$3:$C435,$C435,$D$3:$D435,$D435,$G$3:$G435,$G435)=1,1,0))</f>
        <v/>
      </c>
      <c r="BK435" t="str">
        <f t="shared" si="72"/>
        <v/>
      </c>
    </row>
    <row r="436" spans="2:63" x14ac:dyDescent="0.2">
      <c r="B436" s="142" t="str">
        <f>IF(A436="","",_xlfn.XLOOKUP(A436, Company_List!$A:$A, Company_List!$B:$B, ""))</f>
        <v/>
      </c>
      <c r="J436" s="145" t="str">
        <f>IF(OR(I436="",Settings!$B$6=""),"",IF(I436&gt;Settings!$B$6,"BUY",IF(I436&lt;-Settings!$B$6,"SELL","HOLD")))</f>
        <v/>
      </c>
      <c r="Q436" s="151" t="str">
        <f t="shared" si="63"/>
        <v/>
      </c>
      <c r="R436" s="118" t="str">
        <f>IF(OR(N436="",P436=""),"",IF(Q436&gt;Settings!$B$3/100,"UP",IF(Q436&lt;-Settings!$B$3/100,"DOWN","FLAT")))</f>
        <v/>
      </c>
      <c r="S436" s="118" t="str">
        <f t="shared" si="64"/>
        <v/>
      </c>
      <c r="T436" s="119" t="str">
        <f t="shared" si="65"/>
        <v/>
      </c>
      <c r="U436" s="150" t="str">
        <f>IFERROR(IF(OR(J436="",N436="",P436=""),"",IF(T436=0,0,T436*Q436-Settings!$B$4/10000-IF(T436&lt;0,Settings!$B$5/10000,0))),"")</f>
        <v/>
      </c>
      <c r="W436" s="21" t="str">
        <f t="shared" si="66"/>
        <v/>
      </c>
      <c r="X436" s="91" t="str">
        <f t="shared" si="67"/>
        <v/>
      </c>
      <c r="Y436" s="91" t="str">
        <f>IFERROR(IF($X436="","",INDEX(LLM_Data_Entry!$H$3:$H$548,MATCH($X436,INDEX(LLM_Data_Entry!$A$3:$A$548&amp;"|"&amp;LLM_Data_Entry!$C$3:$C$548&amp;"|"&amp;LLM_Data_Entry!$D$3:$D$548,0),0))),"")</f>
        <v/>
      </c>
      <c r="Z436" s="91" t="str">
        <f>IFERROR(IF($X436="","",INDEX(LLM_Data_Entry!$R$3:$R$548,MATCH($X436,INDEX(LLM_Data_Entry!$A$3:$A$548&amp;"|"&amp;LLM_Data_Entry!$C$3:$C$548&amp;"|"&amp;LLM_Data_Entry!$D$3:$D$548,0),0))),"")</f>
        <v/>
      </c>
      <c r="AL436" t="str">
        <f>IF($A436="","",IFERROR(INDEX(Company_List!$G$3:$G$207,MATCH($A436,Company_List!$A$3:$A$207,0)),"unassigned"))</f>
        <v/>
      </c>
      <c r="AP436" t="str">
        <f>IF($A436="","",IF(COUNTIFS(LLM_Data_Entry!$A$3:$A$548,$A436)&gt;0,"YES","NO"))</f>
        <v/>
      </c>
      <c r="AQ436" t="str">
        <f>IF($A436="","",IF(COUNTIFS($A$3:$A436,$A436,$C$3:$C436,$C436,$D$3:$D436,$D436)=1,"YES","NO"))</f>
        <v/>
      </c>
      <c r="AR436" t="str">
        <f>IF($A436="","",IF(AND($C436&amp;"-"&amp;$D436&gt;=Settings!$B$19,$C436&amp;"-"&amp;$D436&lt;=Settings!$B$20),"IN","OUT"))</f>
        <v/>
      </c>
      <c r="AS436" t="str">
        <f t="shared" si="68"/>
        <v/>
      </c>
      <c r="AT436" t="str">
        <f t="shared" si="69"/>
        <v/>
      </c>
      <c r="AU436" t="str">
        <f t="shared" si="70"/>
        <v/>
      </c>
      <c r="AV436" t="str">
        <f>IF(ISNUMBER($AT436),ABS(IF(ISNUMBER($I436),$I436,0)-Settings!$B$24),"")</f>
        <v/>
      </c>
      <c r="AW436" t="str">
        <f t="shared" si="71"/>
        <v/>
      </c>
      <c r="AX436" t="str">
        <f>IF(ISNUMBER($AU436),ABS(IF(ISNUMBER($I436),$I436,0)-Settings!$B$24),"")</f>
        <v/>
      </c>
      <c r="AY436" t="s">
        <v>549</v>
      </c>
      <c r="AZ436" t="str">
        <f>IF($A436="","",IFERROR(INDEX(Company_List!$H$3:$H$207,MATCH($A436,Company_List!$A$3:$A$207,0)),"unassigned"))</f>
        <v/>
      </c>
      <c r="BC436" t="str">
        <f>IF($A436="","",IF(COUNTIFS($A$3:$A436,$A436,$C$3:$C436,$C436,$D$3:$D436,$D436,$G$3:$G436,$G436)=1,1,0))</f>
        <v/>
      </c>
      <c r="BK436" t="str">
        <f t="shared" si="72"/>
        <v/>
      </c>
    </row>
    <row r="437" spans="2:63" x14ac:dyDescent="0.2">
      <c r="B437" s="142" t="str">
        <f>IF(A437="","",_xlfn.XLOOKUP(A437, Company_List!$A:$A, Company_List!$B:$B, ""))</f>
        <v/>
      </c>
      <c r="J437" s="145" t="str">
        <f>IF(OR(I437="",Settings!$B$6=""),"",IF(I437&gt;Settings!$B$6,"BUY",IF(I437&lt;-Settings!$B$6,"SELL","HOLD")))</f>
        <v/>
      </c>
      <c r="Q437" s="151" t="str">
        <f t="shared" si="63"/>
        <v/>
      </c>
      <c r="R437" s="118" t="str">
        <f>IF(OR(N437="",P437=""),"",IF(Q437&gt;Settings!$B$3/100,"UP",IF(Q437&lt;-Settings!$B$3/100,"DOWN","FLAT")))</f>
        <v/>
      </c>
      <c r="S437" s="118" t="str">
        <f t="shared" si="64"/>
        <v/>
      </c>
      <c r="T437" s="119" t="str">
        <f t="shared" si="65"/>
        <v/>
      </c>
      <c r="U437" s="150" t="str">
        <f>IFERROR(IF(OR(J437="",N437="",P437=""),"",IF(T437=0,0,T437*Q437-Settings!$B$4/10000-IF(T437&lt;0,Settings!$B$5/10000,0))),"")</f>
        <v/>
      </c>
      <c r="W437" s="21" t="str">
        <f t="shared" si="66"/>
        <v/>
      </c>
      <c r="X437" s="91" t="str">
        <f t="shared" si="67"/>
        <v/>
      </c>
      <c r="Y437" s="91" t="str">
        <f>IFERROR(IF($X437="","",INDEX(LLM_Data_Entry!$H$3:$H$548,MATCH($X437,INDEX(LLM_Data_Entry!$A$3:$A$548&amp;"|"&amp;LLM_Data_Entry!$C$3:$C$548&amp;"|"&amp;LLM_Data_Entry!$D$3:$D$548,0),0))),"")</f>
        <v/>
      </c>
      <c r="Z437" s="91" t="str">
        <f>IFERROR(IF($X437="","",INDEX(LLM_Data_Entry!$R$3:$R$548,MATCH($X437,INDEX(LLM_Data_Entry!$A$3:$A$548&amp;"|"&amp;LLM_Data_Entry!$C$3:$C$548&amp;"|"&amp;LLM_Data_Entry!$D$3:$D$548,0),0))),"")</f>
        <v/>
      </c>
      <c r="AL437" t="str">
        <f>IF($A437="","",IFERROR(INDEX(Company_List!$G$3:$G$207,MATCH($A437,Company_List!$A$3:$A$207,0)),"unassigned"))</f>
        <v/>
      </c>
      <c r="AP437" t="str">
        <f>IF($A437="","",IF(COUNTIFS(LLM_Data_Entry!$A$3:$A$548,$A437)&gt;0,"YES","NO"))</f>
        <v/>
      </c>
      <c r="AQ437" t="str">
        <f>IF($A437="","",IF(COUNTIFS($A$3:$A437,$A437,$C$3:$C437,$C437,$D$3:$D437,$D437)=1,"YES","NO"))</f>
        <v/>
      </c>
      <c r="AR437" t="str">
        <f>IF($A437="","",IF(AND($C437&amp;"-"&amp;$D437&gt;=Settings!$B$19,$C437&amp;"-"&amp;$D437&lt;=Settings!$B$20),"IN","OUT"))</f>
        <v/>
      </c>
      <c r="AS437" t="str">
        <f t="shared" si="68"/>
        <v/>
      </c>
      <c r="AT437" t="str">
        <f t="shared" si="69"/>
        <v/>
      </c>
      <c r="AU437" t="str">
        <f t="shared" si="70"/>
        <v/>
      </c>
      <c r="AV437" t="str">
        <f>IF(ISNUMBER($AT437),ABS(IF(ISNUMBER($I437),$I437,0)-Settings!$B$24),"")</f>
        <v/>
      </c>
      <c r="AW437" t="str">
        <f t="shared" si="71"/>
        <v/>
      </c>
      <c r="AX437" t="str">
        <f>IF(ISNUMBER($AU437),ABS(IF(ISNUMBER($I437),$I437,0)-Settings!$B$24),"")</f>
        <v/>
      </c>
      <c r="AY437" t="s">
        <v>549</v>
      </c>
      <c r="AZ437" t="str">
        <f>IF($A437="","",IFERROR(INDEX(Company_List!$H$3:$H$207,MATCH($A437,Company_List!$A$3:$A$207,0)),"unassigned"))</f>
        <v/>
      </c>
      <c r="BC437" t="str">
        <f>IF($A437="","",IF(COUNTIFS($A$3:$A437,$A437,$C$3:$C437,$C437,$D$3:$D437,$D437,$G$3:$G437,$G437)=1,1,0))</f>
        <v/>
      </c>
      <c r="BK437" t="str">
        <f t="shared" si="72"/>
        <v/>
      </c>
    </row>
    <row r="438" spans="2:63" x14ac:dyDescent="0.2">
      <c r="B438" s="142" t="str">
        <f>IF(A438="","",_xlfn.XLOOKUP(A438, Company_List!$A:$A, Company_List!$B:$B, ""))</f>
        <v/>
      </c>
      <c r="J438" s="145" t="str">
        <f>IF(OR(I438="",Settings!$B$6=""),"",IF(I438&gt;Settings!$B$6,"BUY",IF(I438&lt;-Settings!$B$6,"SELL","HOLD")))</f>
        <v/>
      </c>
      <c r="Q438" s="151" t="str">
        <f t="shared" si="63"/>
        <v/>
      </c>
      <c r="R438" s="118" t="str">
        <f>IF(OR(N438="",P438=""),"",IF(Q438&gt;Settings!$B$3/100,"UP",IF(Q438&lt;-Settings!$B$3/100,"DOWN","FLAT")))</f>
        <v/>
      </c>
      <c r="S438" s="118" t="str">
        <f t="shared" si="64"/>
        <v/>
      </c>
      <c r="T438" s="119" t="str">
        <f t="shared" si="65"/>
        <v/>
      </c>
      <c r="U438" s="150" t="str">
        <f>IFERROR(IF(OR(J438="",N438="",P438=""),"",IF(T438=0,0,T438*Q438-Settings!$B$4/10000-IF(T438&lt;0,Settings!$B$5/10000,0))),"")</f>
        <v/>
      </c>
      <c r="W438" s="21" t="str">
        <f t="shared" si="66"/>
        <v/>
      </c>
      <c r="X438" s="91" t="str">
        <f t="shared" si="67"/>
        <v/>
      </c>
      <c r="Y438" s="91" t="str">
        <f>IFERROR(IF($X438="","",INDEX(LLM_Data_Entry!$H$3:$H$548,MATCH($X438,INDEX(LLM_Data_Entry!$A$3:$A$548&amp;"|"&amp;LLM_Data_Entry!$C$3:$C$548&amp;"|"&amp;LLM_Data_Entry!$D$3:$D$548,0),0))),"")</f>
        <v/>
      </c>
      <c r="Z438" s="91" t="str">
        <f>IFERROR(IF($X438="","",INDEX(LLM_Data_Entry!$R$3:$R$548,MATCH($X438,INDEX(LLM_Data_Entry!$A$3:$A$548&amp;"|"&amp;LLM_Data_Entry!$C$3:$C$548&amp;"|"&amp;LLM_Data_Entry!$D$3:$D$548,0),0))),"")</f>
        <v/>
      </c>
      <c r="AL438" t="str">
        <f>IF($A438="","",IFERROR(INDEX(Company_List!$G$3:$G$207,MATCH($A438,Company_List!$A$3:$A$207,0)),"unassigned"))</f>
        <v/>
      </c>
      <c r="AP438" t="str">
        <f>IF($A438="","",IF(COUNTIFS(LLM_Data_Entry!$A$3:$A$548,$A438)&gt;0,"YES","NO"))</f>
        <v/>
      </c>
      <c r="AQ438" t="str">
        <f>IF($A438="","",IF(COUNTIFS($A$3:$A438,$A438,$C$3:$C438,$C438,$D$3:$D438,$D438)=1,"YES","NO"))</f>
        <v/>
      </c>
      <c r="AR438" t="str">
        <f>IF($A438="","",IF(AND($C438&amp;"-"&amp;$D438&gt;=Settings!$B$19,$C438&amp;"-"&amp;$D438&lt;=Settings!$B$20),"IN","OUT"))</f>
        <v/>
      </c>
      <c r="AS438" t="str">
        <f t="shared" si="68"/>
        <v/>
      </c>
      <c r="AT438" t="str">
        <f t="shared" si="69"/>
        <v/>
      </c>
      <c r="AU438" t="str">
        <f t="shared" si="70"/>
        <v/>
      </c>
      <c r="AV438" t="str">
        <f>IF(ISNUMBER($AT438),ABS(IF(ISNUMBER($I438),$I438,0)-Settings!$B$24),"")</f>
        <v/>
      </c>
      <c r="AW438" t="str">
        <f t="shared" si="71"/>
        <v/>
      </c>
      <c r="AX438" t="str">
        <f>IF(ISNUMBER($AU438),ABS(IF(ISNUMBER($I438),$I438,0)-Settings!$B$24),"")</f>
        <v/>
      </c>
      <c r="AY438" t="s">
        <v>549</v>
      </c>
      <c r="AZ438" t="str">
        <f>IF($A438="","",IFERROR(INDEX(Company_List!$H$3:$H$207,MATCH($A438,Company_List!$A$3:$A$207,0)),"unassigned"))</f>
        <v/>
      </c>
      <c r="BC438" t="str">
        <f>IF($A438="","",IF(COUNTIFS($A$3:$A438,$A438,$C$3:$C438,$C438,$D$3:$D438,$D438,$G$3:$G438,$G438)=1,1,0))</f>
        <v/>
      </c>
      <c r="BK438" t="str">
        <f t="shared" si="72"/>
        <v/>
      </c>
    </row>
    <row r="439" spans="2:63" x14ac:dyDescent="0.2">
      <c r="B439" s="142" t="str">
        <f>IF(A439="","",_xlfn.XLOOKUP(A439, Company_List!$A:$A, Company_List!$B:$B, ""))</f>
        <v/>
      </c>
      <c r="J439" s="145" t="str">
        <f>IF(OR(I439="",Settings!$B$6=""),"",IF(I439&gt;Settings!$B$6,"BUY",IF(I439&lt;-Settings!$B$6,"SELL","HOLD")))</f>
        <v/>
      </c>
      <c r="Q439" s="151" t="str">
        <f t="shared" si="63"/>
        <v/>
      </c>
      <c r="R439" s="118" t="str">
        <f>IF(OR(N439="",P439=""),"",IF(Q439&gt;Settings!$B$3/100,"UP",IF(Q439&lt;-Settings!$B$3/100,"DOWN","FLAT")))</f>
        <v/>
      </c>
      <c r="S439" s="118" t="str">
        <f t="shared" si="64"/>
        <v/>
      </c>
      <c r="T439" s="119" t="str">
        <f t="shared" si="65"/>
        <v/>
      </c>
      <c r="U439" s="150" t="str">
        <f>IFERROR(IF(OR(J439="",N439="",P439=""),"",IF(T439=0,0,T439*Q439-Settings!$B$4/10000-IF(T439&lt;0,Settings!$B$5/10000,0))),"")</f>
        <v/>
      </c>
      <c r="W439" s="21" t="str">
        <f t="shared" si="66"/>
        <v/>
      </c>
      <c r="X439" s="91" t="str">
        <f t="shared" si="67"/>
        <v/>
      </c>
      <c r="Y439" s="91" t="str">
        <f>IFERROR(IF($X439="","",INDEX(LLM_Data_Entry!$H$3:$H$548,MATCH($X439,INDEX(LLM_Data_Entry!$A$3:$A$548&amp;"|"&amp;LLM_Data_Entry!$C$3:$C$548&amp;"|"&amp;LLM_Data_Entry!$D$3:$D$548,0),0))),"")</f>
        <v/>
      </c>
      <c r="Z439" s="91" t="str">
        <f>IFERROR(IF($X439="","",INDEX(LLM_Data_Entry!$R$3:$R$548,MATCH($X439,INDEX(LLM_Data_Entry!$A$3:$A$548&amp;"|"&amp;LLM_Data_Entry!$C$3:$C$548&amp;"|"&amp;LLM_Data_Entry!$D$3:$D$548,0),0))),"")</f>
        <v/>
      </c>
      <c r="AL439" t="str">
        <f>IF($A439="","",IFERROR(INDEX(Company_List!$G$3:$G$207,MATCH($A439,Company_List!$A$3:$A$207,0)),"unassigned"))</f>
        <v/>
      </c>
      <c r="AP439" t="str">
        <f>IF($A439="","",IF(COUNTIFS(LLM_Data_Entry!$A$3:$A$548,$A439)&gt;0,"YES","NO"))</f>
        <v/>
      </c>
      <c r="AQ439" t="str">
        <f>IF($A439="","",IF(COUNTIFS($A$3:$A439,$A439,$C$3:$C439,$C439,$D$3:$D439,$D439)=1,"YES","NO"))</f>
        <v/>
      </c>
      <c r="AR439" t="str">
        <f>IF($A439="","",IF(AND($C439&amp;"-"&amp;$D439&gt;=Settings!$B$19,$C439&amp;"-"&amp;$D439&lt;=Settings!$B$20),"IN","OUT"))</f>
        <v/>
      </c>
      <c r="AS439" t="str">
        <f t="shared" si="68"/>
        <v/>
      </c>
      <c r="AT439" t="str">
        <f t="shared" si="69"/>
        <v/>
      </c>
      <c r="AU439" t="str">
        <f t="shared" si="70"/>
        <v/>
      </c>
      <c r="AV439" t="str">
        <f>IF(ISNUMBER($AT439),ABS(IF(ISNUMBER($I439),$I439,0)-Settings!$B$24),"")</f>
        <v/>
      </c>
      <c r="AW439" t="str">
        <f t="shared" si="71"/>
        <v/>
      </c>
      <c r="AX439" t="str">
        <f>IF(ISNUMBER($AU439),ABS(IF(ISNUMBER($I439),$I439,0)-Settings!$B$24),"")</f>
        <v/>
      </c>
      <c r="AY439" t="s">
        <v>549</v>
      </c>
      <c r="AZ439" t="str">
        <f>IF($A439="","",IFERROR(INDEX(Company_List!$H$3:$H$207,MATCH($A439,Company_List!$A$3:$A$207,0)),"unassigned"))</f>
        <v/>
      </c>
      <c r="BC439" t="str">
        <f>IF($A439="","",IF(COUNTIFS($A$3:$A439,$A439,$C$3:$C439,$C439,$D$3:$D439,$D439,$G$3:$G439,$G439)=1,1,0))</f>
        <v/>
      </c>
      <c r="BK439" t="str">
        <f t="shared" si="72"/>
        <v/>
      </c>
    </row>
    <row r="440" spans="2:63" x14ac:dyDescent="0.2">
      <c r="B440" s="142" t="str">
        <f>IF(A440="","",_xlfn.XLOOKUP(A440, Company_List!$A:$A, Company_List!$B:$B, ""))</f>
        <v/>
      </c>
      <c r="J440" s="145" t="str">
        <f>IF(OR(I440="",Settings!$B$6=""),"",IF(I440&gt;Settings!$B$6,"BUY",IF(I440&lt;-Settings!$B$6,"SELL","HOLD")))</f>
        <v/>
      </c>
      <c r="Q440" s="151" t="str">
        <f t="shared" si="63"/>
        <v/>
      </c>
      <c r="R440" s="118" t="str">
        <f>IF(OR(N440="",P440=""),"",IF(Q440&gt;Settings!$B$3/100,"UP",IF(Q440&lt;-Settings!$B$3/100,"DOWN","FLAT")))</f>
        <v/>
      </c>
      <c r="S440" s="118" t="str">
        <f t="shared" si="64"/>
        <v/>
      </c>
      <c r="T440" s="119" t="str">
        <f t="shared" si="65"/>
        <v/>
      </c>
      <c r="U440" s="150" t="str">
        <f>IFERROR(IF(OR(J440="",N440="",P440=""),"",IF(T440=0,0,T440*Q440-Settings!$B$4/10000-IF(T440&lt;0,Settings!$B$5/10000,0))),"")</f>
        <v/>
      </c>
      <c r="W440" s="21" t="str">
        <f t="shared" si="66"/>
        <v/>
      </c>
      <c r="X440" s="91" t="str">
        <f t="shared" si="67"/>
        <v/>
      </c>
      <c r="Y440" s="91" t="str">
        <f>IFERROR(IF($X440="","",INDEX(LLM_Data_Entry!$H$3:$H$548,MATCH($X440,INDEX(LLM_Data_Entry!$A$3:$A$548&amp;"|"&amp;LLM_Data_Entry!$C$3:$C$548&amp;"|"&amp;LLM_Data_Entry!$D$3:$D$548,0),0))),"")</f>
        <v/>
      </c>
      <c r="Z440" s="91" t="str">
        <f>IFERROR(IF($X440="","",INDEX(LLM_Data_Entry!$R$3:$R$548,MATCH($X440,INDEX(LLM_Data_Entry!$A$3:$A$548&amp;"|"&amp;LLM_Data_Entry!$C$3:$C$548&amp;"|"&amp;LLM_Data_Entry!$D$3:$D$548,0),0))),"")</f>
        <v/>
      </c>
      <c r="AL440" t="str">
        <f>IF($A440="","",IFERROR(INDEX(Company_List!$G$3:$G$207,MATCH($A440,Company_List!$A$3:$A$207,0)),"unassigned"))</f>
        <v/>
      </c>
      <c r="AP440" t="str">
        <f>IF($A440="","",IF(COUNTIFS(LLM_Data_Entry!$A$3:$A$548,$A440)&gt;0,"YES","NO"))</f>
        <v/>
      </c>
      <c r="AQ440" t="str">
        <f>IF($A440="","",IF(COUNTIFS($A$3:$A440,$A440,$C$3:$C440,$C440,$D$3:$D440,$D440)=1,"YES","NO"))</f>
        <v/>
      </c>
      <c r="AR440" t="str">
        <f>IF($A440="","",IF(AND($C440&amp;"-"&amp;$D440&gt;=Settings!$B$19,$C440&amp;"-"&amp;$D440&lt;=Settings!$B$20),"IN","OUT"))</f>
        <v/>
      </c>
      <c r="AS440" t="str">
        <f t="shared" si="68"/>
        <v/>
      </c>
      <c r="AT440" t="str">
        <f t="shared" si="69"/>
        <v/>
      </c>
      <c r="AU440" t="str">
        <f t="shared" si="70"/>
        <v/>
      </c>
      <c r="AV440" t="str">
        <f>IF(ISNUMBER($AT440),ABS(IF(ISNUMBER($I440),$I440,0)-Settings!$B$24),"")</f>
        <v/>
      </c>
      <c r="AW440" t="str">
        <f t="shared" si="71"/>
        <v/>
      </c>
      <c r="AX440" t="str">
        <f>IF(ISNUMBER($AU440),ABS(IF(ISNUMBER($I440),$I440,0)-Settings!$B$24),"")</f>
        <v/>
      </c>
      <c r="AY440" t="s">
        <v>549</v>
      </c>
      <c r="AZ440" t="str">
        <f>IF($A440="","",IFERROR(INDEX(Company_List!$H$3:$H$207,MATCH($A440,Company_List!$A$3:$A$207,0)),"unassigned"))</f>
        <v/>
      </c>
      <c r="BC440" t="str">
        <f>IF($A440="","",IF(COUNTIFS($A$3:$A440,$A440,$C$3:$C440,$C440,$D$3:$D440,$D440,$G$3:$G440,$G440)=1,1,0))</f>
        <v/>
      </c>
      <c r="BK440" t="str">
        <f t="shared" si="72"/>
        <v/>
      </c>
    </row>
    <row r="441" spans="2:63" x14ac:dyDescent="0.2">
      <c r="B441" s="142" t="str">
        <f>IF(A441="","",_xlfn.XLOOKUP(A441, Company_List!$A:$A, Company_List!$B:$B, ""))</f>
        <v/>
      </c>
      <c r="J441" s="145" t="str">
        <f>IF(OR(I441="",Settings!$B$6=""),"",IF(I441&gt;Settings!$B$6,"BUY",IF(I441&lt;-Settings!$B$6,"SELL","HOLD")))</f>
        <v/>
      </c>
      <c r="Q441" s="151" t="str">
        <f t="shared" si="63"/>
        <v/>
      </c>
      <c r="R441" s="118" t="str">
        <f>IF(OR(N441="",P441=""),"",IF(Q441&gt;Settings!$B$3/100,"UP",IF(Q441&lt;-Settings!$B$3/100,"DOWN","FLAT")))</f>
        <v/>
      </c>
      <c r="S441" s="118" t="str">
        <f t="shared" si="64"/>
        <v/>
      </c>
      <c r="T441" s="119" t="str">
        <f t="shared" si="65"/>
        <v/>
      </c>
      <c r="U441" s="150" t="str">
        <f>IFERROR(IF(OR(J441="",N441="",P441=""),"",IF(T441=0,0,T441*Q441-Settings!$B$4/10000-IF(T441&lt;0,Settings!$B$5/10000,0))),"")</f>
        <v/>
      </c>
      <c r="W441" s="21" t="str">
        <f t="shared" si="66"/>
        <v/>
      </c>
      <c r="X441" s="91" t="str">
        <f t="shared" si="67"/>
        <v/>
      </c>
      <c r="Y441" s="91" t="str">
        <f>IFERROR(IF($X441="","",INDEX(LLM_Data_Entry!$H$3:$H$548,MATCH($X441,INDEX(LLM_Data_Entry!$A$3:$A$548&amp;"|"&amp;LLM_Data_Entry!$C$3:$C$548&amp;"|"&amp;LLM_Data_Entry!$D$3:$D$548,0),0))),"")</f>
        <v/>
      </c>
      <c r="Z441" s="91" t="str">
        <f>IFERROR(IF($X441="","",INDEX(LLM_Data_Entry!$R$3:$R$548,MATCH($X441,INDEX(LLM_Data_Entry!$A$3:$A$548&amp;"|"&amp;LLM_Data_Entry!$C$3:$C$548&amp;"|"&amp;LLM_Data_Entry!$D$3:$D$548,0),0))),"")</f>
        <v/>
      </c>
      <c r="AL441" t="str">
        <f>IF($A441="","",IFERROR(INDEX(Company_List!$G$3:$G$207,MATCH($A441,Company_List!$A$3:$A$207,0)),"unassigned"))</f>
        <v/>
      </c>
      <c r="AP441" t="str">
        <f>IF($A441="","",IF(COUNTIFS(LLM_Data_Entry!$A$3:$A$548,$A441)&gt;0,"YES","NO"))</f>
        <v/>
      </c>
      <c r="AQ441" t="str">
        <f>IF($A441="","",IF(COUNTIFS($A$3:$A441,$A441,$C$3:$C441,$C441,$D$3:$D441,$D441)=1,"YES","NO"))</f>
        <v/>
      </c>
      <c r="AR441" t="str">
        <f>IF($A441="","",IF(AND($C441&amp;"-"&amp;$D441&gt;=Settings!$B$19,$C441&amp;"-"&amp;$D441&lt;=Settings!$B$20),"IN","OUT"))</f>
        <v/>
      </c>
      <c r="AS441" t="str">
        <f t="shared" si="68"/>
        <v/>
      </c>
      <c r="AT441" t="str">
        <f t="shared" si="69"/>
        <v/>
      </c>
      <c r="AU441" t="str">
        <f t="shared" si="70"/>
        <v/>
      </c>
      <c r="AV441" t="str">
        <f>IF(ISNUMBER($AT441),ABS(IF(ISNUMBER($I441),$I441,0)-Settings!$B$24),"")</f>
        <v/>
      </c>
      <c r="AW441" t="str">
        <f t="shared" si="71"/>
        <v/>
      </c>
      <c r="AX441" t="str">
        <f>IF(ISNUMBER($AU441),ABS(IF(ISNUMBER($I441),$I441,0)-Settings!$B$24),"")</f>
        <v/>
      </c>
      <c r="AY441" t="s">
        <v>549</v>
      </c>
      <c r="AZ441" t="str">
        <f>IF($A441="","",IFERROR(INDEX(Company_List!$H$3:$H$207,MATCH($A441,Company_List!$A$3:$A$207,0)),"unassigned"))</f>
        <v/>
      </c>
      <c r="BC441" t="str">
        <f>IF($A441="","",IF(COUNTIFS($A$3:$A441,$A441,$C$3:$C441,$C441,$D$3:$D441,$D441,$G$3:$G441,$G441)=1,1,0))</f>
        <v/>
      </c>
      <c r="BK441" t="str">
        <f t="shared" si="72"/>
        <v/>
      </c>
    </row>
    <row r="442" spans="2:63" x14ac:dyDescent="0.2">
      <c r="B442" s="142" t="str">
        <f>IF(A442="","",_xlfn.XLOOKUP(A442, Company_List!$A:$A, Company_List!$B:$B, ""))</f>
        <v/>
      </c>
      <c r="J442" s="145" t="str">
        <f>IF(OR(I442="",Settings!$B$6=""),"",IF(I442&gt;Settings!$B$6,"BUY",IF(I442&lt;-Settings!$B$6,"SELL","HOLD")))</f>
        <v/>
      </c>
      <c r="Q442" s="151" t="str">
        <f t="shared" si="63"/>
        <v/>
      </c>
      <c r="R442" s="118" t="str">
        <f>IF(OR(N442="",P442=""),"",IF(Q442&gt;Settings!$B$3/100,"UP",IF(Q442&lt;-Settings!$B$3/100,"DOWN","FLAT")))</f>
        <v/>
      </c>
      <c r="S442" s="118" t="str">
        <f t="shared" si="64"/>
        <v/>
      </c>
      <c r="T442" s="119" t="str">
        <f t="shared" si="65"/>
        <v/>
      </c>
      <c r="U442" s="150" t="str">
        <f>IFERROR(IF(OR(J442="",N442="",P442=""),"",IF(T442=0,0,T442*Q442-Settings!$B$4/10000-IF(T442&lt;0,Settings!$B$5/10000,0))),"")</f>
        <v/>
      </c>
      <c r="W442" s="21" t="str">
        <f t="shared" si="66"/>
        <v/>
      </c>
      <c r="X442" s="91" t="str">
        <f t="shared" si="67"/>
        <v/>
      </c>
      <c r="Y442" s="91" t="str">
        <f>IFERROR(IF($X442="","",INDEX(LLM_Data_Entry!$H$3:$H$548,MATCH($X442,INDEX(LLM_Data_Entry!$A$3:$A$548&amp;"|"&amp;LLM_Data_Entry!$C$3:$C$548&amp;"|"&amp;LLM_Data_Entry!$D$3:$D$548,0),0))),"")</f>
        <v/>
      </c>
      <c r="Z442" s="91" t="str">
        <f>IFERROR(IF($X442="","",INDEX(LLM_Data_Entry!$R$3:$R$548,MATCH($X442,INDEX(LLM_Data_Entry!$A$3:$A$548&amp;"|"&amp;LLM_Data_Entry!$C$3:$C$548&amp;"|"&amp;LLM_Data_Entry!$D$3:$D$548,0),0))),"")</f>
        <v/>
      </c>
      <c r="AL442" t="str">
        <f>IF($A442="","",IFERROR(INDEX(Company_List!$G$3:$G$207,MATCH($A442,Company_List!$A$3:$A$207,0)),"unassigned"))</f>
        <v/>
      </c>
      <c r="AP442" t="str">
        <f>IF($A442="","",IF(COUNTIFS(LLM_Data_Entry!$A$3:$A$548,$A442)&gt;0,"YES","NO"))</f>
        <v/>
      </c>
      <c r="AQ442" t="str">
        <f>IF($A442="","",IF(COUNTIFS($A$3:$A442,$A442,$C$3:$C442,$C442,$D$3:$D442,$D442)=1,"YES","NO"))</f>
        <v/>
      </c>
      <c r="AR442" t="str">
        <f>IF($A442="","",IF(AND($C442&amp;"-"&amp;$D442&gt;=Settings!$B$19,$C442&amp;"-"&amp;$D442&lt;=Settings!$B$20),"IN","OUT"))</f>
        <v/>
      </c>
      <c r="AS442" t="str">
        <f t="shared" si="68"/>
        <v/>
      </c>
      <c r="AT442" t="str">
        <f t="shared" si="69"/>
        <v/>
      </c>
      <c r="AU442" t="str">
        <f t="shared" si="70"/>
        <v/>
      </c>
      <c r="AV442" t="str">
        <f>IF(ISNUMBER($AT442),ABS(IF(ISNUMBER($I442),$I442,0)-Settings!$B$24),"")</f>
        <v/>
      </c>
      <c r="AW442" t="str">
        <f t="shared" si="71"/>
        <v/>
      </c>
      <c r="AX442" t="str">
        <f>IF(ISNUMBER($AU442),ABS(IF(ISNUMBER($I442),$I442,0)-Settings!$B$24),"")</f>
        <v/>
      </c>
      <c r="AY442" t="s">
        <v>549</v>
      </c>
      <c r="AZ442" t="str">
        <f>IF($A442="","",IFERROR(INDEX(Company_List!$H$3:$H$207,MATCH($A442,Company_List!$A$3:$A$207,0)),"unassigned"))</f>
        <v/>
      </c>
      <c r="BC442" t="str">
        <f>IF($A442="","",IF(COUNTIFS($A$3:$A442,$A442,$C$3:$C442,$C442,$D$3:$D442,$D442,$G$3:$G442,$G442)=1,1,0))</f>
        <v/>
      </c>
      <c r="BK442" t="str">
        <f t="shared" si="72"/>
        <v/>
      </c>
    </row>
    <row r="443" spans="2:63" x14ac:dyDescent="0.2">
      <c r="B443" s="142" t="str">
        <f>IF(A443="","",_xlfn.XLOOKUP(A443, Company_List!$A:$A, Company_List!$B:$B, ""))</f>
        <v/>
      </c>
      <c r="J443" s="145" t="str">
        <f>IF(OR(I443="",Settings!$B$6=""),"",IF(I443&gt;Settings!$B$6,"BUY",IF(I443&lt;-Settings!$B$6,"SELL","HOLD")))</f>
        <v/>
      </c>
      <c r="Q443" s="151" t="str">
        <f t="shared" si="63"/>
        <v/>
      </c>
      <c r="R443" s="118" t="str">
        <f>IF(OR(N443="",P443=""),"",IF(Q443&gt;Settings!$B$3/100,"UP",IF(Q443&lt;-Settings!$B$3/100,"DOWN","FLAT")))</f>
        <v/>
      </c>
      <c r="S443" s="118" t="str">
        <f t="shared" si="64"/>
        <v/>
      </c>
      <c r="T443" s="119" t="str">
        <f t="shared" si="65"/>
        <v/>
      </c>
      <c r="U443" s="150" t="str">
        <f>IFERROR(IF(OR(J443="",N443="",P443=""),"",IF(T443=0,0,T443*Q443-Settings!$B$4/10000-IF(T443&lt;0,Settings!$B$5/10000,0))),"")</f>
        <v/>
      </c>
      <c r="W443" s="21" t="str">
        <f t="shared" si="66"/>
        <v/>
      </c>
      <c r="X443" s="91" t="str">
        <f t="shared" si="67"/>
        <v/>
      </c>
      <c r="Y443" s="91" t="str">
        <f>IFERROR(IF($X443="","",INDEX(LLM_Data_Entry!$H$3:$H$548,MATCH($X443,INDEX(LLM_Data_Entry!$A$3:$A$548&amp;"|"&amp;LLM_Data_Entry!$C$3:$C$548&amp;"|"&amp;LLM_Data_Entry!$D$3:$D$548,0),0))),"")</f>
        <v/>
      </c>
      <c r="Z443" s="91" t="str">
        <f>IFERROR(IF($X443="","",INDEX(LLM_Data_Entry!$R$3:$R$548,MATCH($X443,INDEX(LLM_Data_Entry!$A$3:$A$548&amp;"|"&amp;LLM_Data_Entry!$C$3:$C$548&amp;"|"&amp;LLM_Data_Entry!$D$3:$D$548,0),0))),"")</f>
        <v/>
      </c>
      <c r="AL443" t="str">
        <f>IF($A443="","",IFERROR(INDEX(Company_List!$G$3:$G$207,MATCH($A443,Company_List!$A$3:$A$207,0)),"unassigned"))</f>
        <v/>
      </c>
      <c r="AP443" t="str">
        <f>IF($A443="","",IF(COUNTIFS(LLM_Data_Entry!$A$3:$A$548,$A443)&gt;0,"YES","NO"))</f>
        <v/>
      </c>
      <c r="AQ443" t="str">
        <f>IF($A443="","",IF(COUNTIFS($A$3:$A443,$A443,$C$3:$C443,$C443,$D$3:$D443,$D443)=1,"YES","NO"))</f>
        <v/>
      </c>
      <c r="AR443" t="str">
        <f>IF($A443="","",IF(AND($C443&amp;"-"&amp;$D443&gt;=Settings!$B$19,$C443&amp;"-"&amp;$D443&lt;=Settings!$B$20),"IN","OUT"))</f>
        <v/>
      </c>
      <c r="AS443" t="str">
        <f t="shared" si="68"/>
        <v/>
      </c>
      <c r="AT443" t="str">
        <f t="shared" si="69"/>
        <v/>
      </c>
      <c r="AU443" t="str">
        <f t="shared" si="70"/>
        <v/>
      </c>
      <c r="AV443" t="str">
        <f>IF(ISNUMBER($AT443),ABS(IF(ISNUMBER($I443),$I443,0)-Settings!$B$24),"")</f>
        <v/>
      </c>
      <c r="AW443" t="str">
        <f t="shared" si="71"/>
        <v/>
      </c>
      <c r="AX443" t="str">
        <f>IF(ISNUMBER($AU443),ABS(IF(ISNUMBER($I443),$I443,0)-Settings!$B$24),"")</f>
        <v/>
      </c>
      <c r="AY443" t="s">
        <v>549</v>
      </c>
      <c r="AZ443" t="str">
        <f>IF($A443="","",IFERROR(INDEX(Company_List!$H$3:$H$207,MATCH($A443,Company_List!$A$3:$A$207,0)),"unassigned"))</f>
        <v/>
      </c>
      <c r="BC443" t="str">
        <f>IF($A443="","",IF(COUNTIFS($A$3:$A443,$A443,$C$3:$C443,$C443,$D$3:$D443,$D443,$G$3:$G443,$G443)=1,1,0))</f>
        <v/>
      </c>
      <c r="BK443" t="str">
        <f t="shared" si="72"/>
        <v/>
      </c>
    </row>
    <row r="444" spans="2:63" x14ac:dyDescent="0.2">
      <c r="B444" s="142" t="str">
        <f>IF(A444="","",_xlfn.XLOOKUP(A444, Company_List!$A:$A, Company_List!$B:$B, ""))</f>
        <v/>
      </c>
      <c r="J444" s="145" t="str">
        <f>IF(OR(I444="",Settings!$B$6=""),"",IF(I444&gt;Settings!$B$6,"BUY",IF(I444&lt;-Settings!$B$6,"SELL","HOLD")))</f>
        <v/>
      </c>
      <c r="Q444" s="151" t="str">
        <f t="shared" si="63"/>
        <v/>
      </c>
      <c r="R444" s="118" t="str">
        <f>IF(OR(N444="",P444=""),"",IF(Q444&gt;Settings!$B$3/100,"UP",IF(Q444&lt;-Settings!$B$3/100,"DOWN","FLAT")))</f>
        <v/>
      </c>
      <c r="S444" s="118" t="str">
        <f t="shared" si="64"/>
        <v/>
      </c>
      <c r="T444" s="119" t="str">
        <f t="shared" si="65"/>
        <v/>
      </c>
      <c r="U444" s="150" t="str">
        <f>IFERROR(IF(OR(J444="",N444="",P444=""),"",IF(T444=0,0,T444*Q444-Settings!$B$4/10000-IF(T444&lt;0,Settings!$B$5/10000,0))),"")</f>
        <v/>
      </c>
      <c r="W444" s="21" t="str">
        <f t="shared" si="66"/>
        <v/>
      </c>
      <c r="X444" s="91" t="str">
        <f t="shared" si="67"/>
        <v/>
      </c>
      <c r="Y444" s="91" t="str">
        <f>IFERROR(IF($X444="","",INDEX(LLM_Data_Entry!$H$3:$H$548,MATCH($X444,INDEX(LLM_Data_Entry!$A$3:$A$548&amp;"|"&amp;LLM_Data_Entry!$C$3:$C$548&amp;"|"&amp;LLM_Data_Entry!$D$3:$D$548,0),0))),"")</f>
        <v/>
      </c>
      <c r="Z444" s="91" t="str">
        <f>IFERROR(IF($X444="","",INDEX(LLM_Data_Entry!$R$3:$R$548,MATCH($X444,INDEX(LLM_Data_Entry!$A$3:$A$548&amp;"|"&amp;LLM_Data_Entry!$C$3:$C$548&amp;"|"&amp;LLM_Data_Entry!$D$3:$D$548,0),0))),"")</f>
        <v/>
      </c>
      <c r="AL444" t="str">
        <f>IF($A444="","",IFERROR(INDEX(Company_List!$G$3:$G$207,MATCH($A444,Company_List!$A$3:$A$207,0)),"unassigned"))</f>
        <v/>
      </c>
      <c r="AP444" t="str">
        <f>IF($A444="","",IF(COUNTIFS(LLM_Data_Entry!$A$3:$A$548,$A444)&gt;0,"YES","NO"))</f>
        <v/>
      </c>
      <c r="AQ444" t="str">
        <f>IF($A444="","",IF(COUNTIFS($A$3:$A444,$A444,$C$3:$C444,$C444,$D$3:$D444,$D444)=1,"YES","NO"))</f>
        <v/>
      </c>
      <c r="AR444" t="str">
        <f>IF($A444="","",IF(AND($C444&amp;"-"&amp;$D444&gt;=Settings!$B$19,$C444&amp;"-"&amp;$D444&lt;=Settings!$B$20),"IN","OUT"))</f>
        <v/>
      </c>
      <c r="AS444" t="str">
        <f t="shared" si="68"/>
        <v/>
      </c>
      <c r="AT444" t="str">
        <f t="shared" si="69"/>
        <v/>
      </c>
      <c r="AU444" t="str">
        <f t="shared" si="70"/>
        <v/>
      </c>
      <c r="AV444" t="str">
        <f>IF(ISNUMBER($AT444),ABS(IF(ISNUMBER($I444),$I444,0)-Settings!$B$24),"")</f>
        <v/>
      </c>
      <c r="AW444" t="str">
        <f t="shared" si="71"/>
        <v/>
      </c>
      <c r="AX444" t="str">
        <f>IF(ISNUMBER($AU444),ABS(IF(ISNUMBER($I444),$I444,0)-Settings!$B$24),"")</f>
        <v/>
      </c>
      <c r="AY444" t="s">
        <v>549</v>
      </c>
      <c r="AZ444" t="str">
        <f>IF($A444="","",IFERROR(INDEX(Company_List!$H$3:$H$207,MATCH($A444,Company_List!$A$3:$A$207,0)),"unassigned"))</f>
        <v/>
      </c>
      <c r="BC444" t="str">
        <f>IF($A444="","",IF(COUNTIFS($A$3:$A444,$A444,$C$3:$C444,$C444,$D$3:$D444,$D444,$G$3:$G444,$G444)=1,1,0))</f>
        <v/>
      </c>
      <c r="BK444" t="str">
        <f t="shared" si="72"/>
        <v/>
      </c>
    </row>
    <row r="445" spans="2:63" x14ac:dyDescent="0.2">
      <c r="B445" s="142" t="str">
        <f>IF(A445="","",_xlfn.XLOOKUP(A445, Company_List!$A:$A, Company_List!$B:$B, ""))</f>
        <v/>
      </c>
      <c r="J445" s="145" t="str">
        <f>IF(OR(I445="",Settings!$B$6=""),"",IF(I445&gt;Settings!$B$6,"BUY",IF(I445&lt;-Settings!$B$6,"SELL","HOLD")))</f>
        <v/>
      </c>
      <c r="Q445" s="151" t="str">
        <f t="shared" si="63"/>
        <v/>
      </c>
      <c r="R445" s="118" t="str">
        <f>IF(OR(N445="",P445=""),"",IF(Q445&gt;Settings!$B$3/100,"UP",IF(Q445&lt;-Settings!$B$3/100,"DOWN","FLAT")))</f>
        <v/>
      </c>
      <c r="S445" s="118" t="str">
        <f t="shared" si="64"/>
        <v/>
      </c>
      <c r="T445" s="119" t="str">
        <f t="shared" si="65"/>
        <v/>
      </c>
      <c r="U445" s="150" t="str">
        <f>IFERROR(IF(OR(J445="",N445="",P445=""),"",IF(T445=0,0,T445*Q445-Settings!$B$4/10000-IF(T445&lt;0,Settings!$B$5/10000,0))),"")</f>
        <v/>
      </c>
      <c r="W445" s="21" t="str">
        <f t="shared" si="66"/>
        <v/>
      </c>
      <c r="X445" s="91" t="str">
        <f t="shared" si="67"/>
        <v/>
      </c>
      <c r="Y445" s="91" t="str">
        <f>IFERROR(IF($X445="","",INDEX(LLM_Data_Entry!$H$3:$H$548,MATCH($X445,INDEX(LLM_Data_Entry!$A$3:$A$548&amp;"|"&amp;LLM_Data_Entry!$C$3:$C$548&amp;"|"&amp;LLM_Data_Entry!$D$3:$D$548,0),0))),"")</f>
        <v/>
      </c>
      <c r="Z445" s="91" t="str">
        <f>IFERROR(IF($X445="","",INDEX(LLM_Data_Entry!$R$3:$R$548,MATCH($X445,INDEX(LLM_Data_Entry!$A$3:$A$548&amp;"|"&amp;LLM_Data_Entry!$C$3:$C$548&amp;"|"&amp;LLM_Data_Entry!$D$3:$D$548,0),0))),"")</f>
        <v/>
      </c>
      <c r="AL445" t="str">
        <f>IF($A445="","",IFERROR(INDEX(Company_List!$G$3:$G$207,MATCH($A445,Company_List!$A$3:$A$207,0)),"unassigned"))</f>
        <v/>
      </c>
      <c r="AP445" t="str">
        <f>IF($A445="","",IF(COUNTIFS(LLM_Data_Entry!$A$3:$A$548,$A445)&gt;0,"YES","NO"))</f>
        <v/>
      </c>
      <c r="AQ445" t="str">
        <f>IF($A445="","",IF(COUNTIFS($A$3:$A445,$A445,$C$3:$C445,$C445,$D$3:$D445,$D445)=1,"YES","NO"))</f>
        <v/>
      </c>
      <c r="AR445" t="str">
        <f>IF($A445="","",IF(AND($C445&amp;"-"&amp;$D445&gt;=Settings!$B$19,$C445&amp;"-"&amp;$D445&lt;=Settings!$B$20),"IN","OUT"))</f>
        <v/>
      </c>
      <c r="AS445" t="str">
        <f t="shared" si="68"/>
        <v/>
      </c>
      <c r="AT445" t="str">
        <f t="shared" si="69"/>
        <v/>
      </c>
      <c r="AU445" t="str">
        <f t="shared" si="70"/>
        <v/>
      </c>
      <c r="AV445" t="str">
        <f>IF(ISNUMBER($AT445),ABS(IF(ISNUMBER($I445),$I445,0)-Settings!$B$24),"")</f>
        <v/>
      </c>
      <c r="AW445" t="str">
        <f t="shared" si="71"/>
        <v/>
      </c>
      <c r="AX445" t="str">
        <f>IF(ISNUMBER($AU445),ABS(IF(ISNUMBER($I445),$I445,0)-Settings!$B$24),"")</f>
        <v/>
      </c>
      <c r="AY445" t="s">
        <v>549</v>
      </c>
      <c r="AZ445" t="str">
        <f>IF($A445="","",IFERROR(INDEX(Company_List!$H$3:$H$207,MATCH($A445,Company_List!$A$3:$A$207,0)),"unassigned"))</f>
        <v/>
      </c>
      <c r="BC445" t="str">
        <f>IF($A445="","",IF(COUNTIFS($A$3:$A445,$A445,$C$3:$C445,$C445,$D$3:$D445,$D445,$G$3:$G445,$G445)=1,1,0))</f>
        <v/>
      </c>
      <c r="BK445" t="str">
        <f t="shared" si="72"/>
        <v/>
      </c>
    </row>
    <row r="446" spans="2:63" x14ac:dyDescent="0.2">
      <c r="B446" s="142" t="str">
        <f>IF(A446="","",_xlfn.XLOOKUP(A446, Company_List!$A:$A, Company_List!$B:$B, ""))</f>
        <v/>
      </c>
      <c r="J446" s="145" t="str">
        <f>IF(OR(I446="",Settings!$B$6=""),"",IF(I446&gt;Settings!$B$6,"BUY",IF(I446&lt;-Settings!$B$6,"SELL","HOLD")))</f>
        <v/>
      </c>
      <c r="Q446" s="151" t="str">
        <f t="shared" si="63"/>
        <v/>
      </c>
      <c r="R446" s="118" t="str">
        <f>IF(OR(N446="",P446=""),"",IF(Q446&gt;Settings!$B$3/100,"UP",IF(Q446&lt;-Settings!$B$3/100,"DOWN","FLAT")))</f>
        <v/>
      </c>
      <c r="S446" s="118" t="str">
        <f t="shared" si="64"/>
        <v/>
      </c>
      <c r="T446" s="119" t="str">
        <f t="shared" si="65"/>
        <v/>
      </c>
      <c r="U446" s="150" t="str">
        <f>IFERROR(IF(OR(J446="",N446="",P446=""),"",IF(T446=0,0,T446*Q446-Settings!$B$4/10000-IF(T446&lt;0,Settings!$B$5/10000,0))),"")</f>
        <v/>
      </c>
      <c r="W446" s="21" t="str">
        <f t="shared" si="66"/>
        <v/>
      </c>
      <c r="X446" s="91" t="str">
        <f t="shared" si="67"/>
        <v/>
      </c>
      <c r="Y446" s="91" t="str">
        <f>IFERROR(IF($X446="","",INDEX(LLM_Data_Entry!$H$3:$H$548,MATCH($X446,INDEX(LLM_Data_Entry!$A$3:$A$548&amp;"|"&amp;LLM_Data_Entry!$C$3:$C$548&amp;"|"&amp;LLM_Data_Entry!$D$3:$D$548,0),0))),"")</f>
        <v/>
      </c>
      <c r="Z446" s="91" t="str">
        <f>IFERROR(IF($X446="","",INDEX(LLM_Data_Entry!$R$3:$R$548,MATCH($X446,INDEX(LLM_Data_Entry!$A$3:$A$548&amp;"|"&amp;LLM_Data_Entry!$C$3:$C$548&amp;"|"&amp;LLM_Data_Entry!$D$3:$D$548,0),0))),"")</f>
        <v/>
      </c>
      <c r="AL446" t="str">
        <f>IF($A446="","",IFERROR(INDEX(Company_List!$G$3:$G$207,MATCH($A446,Company_List!$A$3:$A$207,0)),"unassigned"))</f>
        <v/>
      </c>
      <c r="AP446" t="str">
        <f>IF($A446="","",IF(COUNTIFS(LLM_Data_Entry!$A$3:$A$548,$A446)&gt;0,"YES","NO"))</f>
        <v/>
      </c>
      <c r="AQ446" t="str">
        <f>IF($A446="","",IF(COUNTIFS($A$3:$A446,$A446,$C$3:$C446,$C446,$D$3:$D446,$D446)=1,"YES","NO"))</f>
        <v/>
      </c>
      <c r="AR446" t="str">
        <f>IF($A446="","",IF(AND($C446&amp;"-"&amp;$D446&gt;=Settings!$B$19,$C446&amp;"-"&amp;$D446&lt;=Settings!$B$20),"IN","OUT"))</f>
        <v/>
      </c>
      <c r="AS446" t="str">
        <f t="shared" si="68"/>
        <v/>
      </c>
      <c r="AT446" t="str">
        <f t="shared" si="69"/>
        <v/>
      </c>
      <c r="AU446" t="str">
        <f t="shared" si="70"/>
        <v/>
      </c>
      <c r="AV446" t="str">
        <f>IF(ISNUMBER($AT446),ABS(IF(ISNUMBER($I446),$I446,0)-Settings!$B$24),"")</f>
        <v/>
      </c>
      <c r="AW446" t="str">
        <f t="shared" si="71"/>
        <v/>
      </c>
      <c r="AX446" t="str">
        <f>IF(ISNUMBER($AU446),ABS(IF(ISNUMBER($I446),$I446,0)-Settings!$B$24),"")</f>
        <v/>
      </c>
      <c r="AY446" t="s">
        <v>549</v>
      </c>
      <c r="AZ446" t="str">
        <f>IF($A446="","",IFERROR(INDEX(Company_List!$H$3:$H$207,MATCH($A446,Company_List!$A$3:$A$207,0)),"unassigned"))</f>
        <v/>
      </c>
      <c r="BC446" t="str">
        <f>IF($A446="","",IF(COUNTIFS($A$3:$A446,$A446,$C$3:$C446,$C446,$D$3:$D446,$D446,$G$3:$G446,$G446)=1,1,0))</f>
        <v/>
      </c>
      <c r="BK446" t="str">
        <f t="shared" si="72"/>
        <v/>
      </c>
    </row>
    <row r="447" spans="2:63" x14ac:dyDescent="0.2">
      <c r="B447" s="142" t="str">
        <f>IF(A447="","",_xlfn.XLOOKUP(A447, Company_List!$A:$A, Company_List!$B:$B, ""))</f>
        <v/>
      </c>
      <c r="J447" s="145" t="str">
        <f>IF(OR(I447="",Settings!$B$6=""),"",IF(I447&gt;Settings!$B$6,"BUY",IF(I447&lt;-Settings!$B$6,"SELL","HOLD")))</f>
        <v/>
      </c>
      <c r="Q447" s="151" t="str">
        <f t="shared" si="63"/>
        <v/>
      </c>
      <c r="R447" s="118" t="str">
        <f>IF(OR(N447="",P447=""),"",IF(Q447&gt;Settings!$B$3/100,"UP",IF(Q447&lt;-Settings!$B$3/100,"DOWN","FLAT")))</f>
        <v/>
      </c>
      <c r="S447" s="118" t="str">
        <f t="shared" si="64"/>
        <v/>
      </c>
      <c r="T447" s="119" t="str">
        <f t="shared" si="65"/>
        <v/>
      </c>
      <c r="U447" s="150" t="str">
        <f>IFERROR(IF(OR(J447="",N447="",P447=""),"",IF(T447=0,0,T447*Q447-Settings!$B$4/10000-IF(T447&lt;0,Settings!$B$5/10000,0))),"")</f>
        <v/>
      </c>
      <c r="W447" s="21" t="str">
        <f t="shared" si="66"/>
        <v/>
      </c>
      <c r="X447" s="91" t="str">
        <f t="shared" si="67"/>
        <v/>
      </c>
      <c r="Y447" s="91" t="str">
        <f>IFERROR(IF($X447="","",INDEX(LLM_Data_Entry!$H$3:$H$548,MATCH($X447,INDEX(LLM_Data_Entry!$A$3:$A$548&amp;"|"&amp;LLM_Data_Entry!$C$3:$C$548&amp;"|"&amp;LLM_Data_Entry!$D$3:$D$548,0),0))),"")</f>
        <v/>
      </c>
      <c r="Z447" s="91" t="str">
        <f>IFERROR(IF($X447="","",INDEX(LLM_Data_Entry!$R$3:$R$548,MATCH($X447,INDEX(LLM_Data_Entry!$A$3:$A$548&amp;"|"&amp;LLM_Data_Entry!$C$3:$C$548&amp;"|"&amp;LLM_Data_Entry!$D$3:$D$548,0),0))),"")</f>
        <v/>
      </c>
      <c r="AL447" t="str">
        <f>IF($A447="","",IFERROR(INDEX(Company_List!$G$3:$G$207,MATCH($A447,Company_List!$A$3:$A$207,0)),"unassigned"))</f>
        <v/>
      </c>
      <c r="AP447" t="str">
        <f>IF($A447="","",IF(COUNTIFS(LLM_Data_Entry!$A$3:$A$548,$A447)&gt;0,"YES","NO"))</f>
        <v/>
      </c>
      <c r="AQ447" t="str">
        <f>IF($A447="","",IF(COUNTIFS($A$3:$A447,$A447,$C$3:$C447,$C447,$D$3:$D447,$D447)=1,"YES","NO"))</f>
        <v/>
      </c>
      <c r="AR447" t="str">
        <f>IF($A447="","",IF(AND($C447&amp;"-"&amp;$D447&gt;=Settings!$B$19,$C447&amp;"-"&amp;$D447&lt;=Settings!$B$20),"IN","OUT"))</f>
        <v/>
      </c>
      <c r="AS447" t="str">
        <f t="shared" si="68"/>
        <v/>
      </c>
      <c r="AT447" t="str">
        <f t="shared" si="69"/>
        <v/>
      </c>
      <c r="AU447" t="str">
        <f t="shared" si="70"/>
        <v/>
      </c>
      <c r="AV447" t="str">
        <f>IF(ISNUMBER($AT447),ABS(IF(ISNUMBER($I447),$I447,0)-Settings!$B$24),"")</f>
        <v/>
      </c>
      <c r="AW447" t="str">
        <f t="shared" si="71"/>
        <v/>
      </c>
      <c r="AX447" t="str">
        <f>IF(ISNUMBER($AU447),ABS(IF(ISNUMBER($I447),$I447,0)-Settings!$B$24),"")</f>
        <v/>
      </c>
      <c r="AY447" t="s">
        <v>549</v>
      </c>
      <c r="AZ447" t="str">
        <f>IF($A447="","",IFERROR(INDEX(Company_List!$H$3:$H$207,MATCH($A447,Company_List!$A$3:$A$207,0)),"unassigned"))</f>
        <v/>
      </c>
      <c r="BC447" t="str">
        <f>IF($A447="","",IF(COUNTIFS($A$3:$A447,$A447,$C$3:$C447,$C447,$D$3:$D447,$D447,$G$3:$G447,$G447)=1,1,0))</f>
        <v/>
      </c>
      <c r="BK447" t="str">
        <f t="shared" si="72"/>
        <v/>
      </c>
    </row>
    <row r="448" spans="2:63" x14ac:dyDescent="0.2">
      <c r="B448" s="142" t="str">
        <f>IF(A448="","",_xlfn.XLOOKUP(A448, Company_List!$A:$A, Company_List!$B:$B, ""))</f>
        <v/>
      </c>
      <c r="J448" s="145" t="str">
        <f>IF(OR(I448="",Settings!$B$6=""),"",IF(I448&gt;Settings!$B$6,"BUY",IF(I448&lt;-Settings!$B$6,"SELL","HOLD")))</f>
        <v/>
      </c>
      <c r="Q448" s="151" t="str">
        <f t="shared" si="63"/>
        <v/>
      </c>
      <c r="R448" s="118" t="str">
        <f>IF(OR(N448="",P448=""),"",IF(Q448&gt;Settings!$B$3/100,"UP",IF(Q448&lt;-Settings!$B$3/100,"DOWN","FLAT")))</f>
        <v/>
      </c>
      <c r="S448" s="118" t="str">
        <f t="shared" si="64"/>
        <v/>
      </c>
      <c r="T448" s="119" t="str">
        <f t="shared" si="65"/>
        <v/>
      </c>
      <c r="U448" s="150" t="str">
        <f>IFERROR(IF(OR(J448="",N448="",P448=""),"",IF(T448=0,0,T448*Q448-Settings!$B$4/10000-IF(T448&lt;0,Settings!$B$5/10000,0))),"")</f>
        <v/>
      </c>
      <c r="W448" s="21" t="str">
        <f t="shared" si="66"/>
        <v/>
      </c>
      <c r="X448" s="91" t="str">
        <f t="shared" si="67"/>
        <v/>
      </c>
      <c r="Y448" s="91" t="str">
        <f>IFERROR(IF($X448="","",INDEX(LLM_Data_Entry!$H$3:$H$548,MATCH($X448,INDEX(LLM_Data_Entry!$A$3:$A$548&amp;"|"&amp;LLM_Data_Entry!$C$3:$C$548&amp;"|"&amp;LLM_Data_Entry!$D$3:$D$548,0),0))),"")</f>
        <v/>
      </c>
      <c r="Z448" s="91" t="str">
        <f>IFERROR(IF($X448="","",INDEX(LLM_Data_Entry!$R$3:$R$548,MATCH($X448,INDEX(LLM_Data_Entry!$A$3:$A$548&amp;"|"&amp;LLM_Data_Entry!$C$3:$C$548&amp;"|"&amp;LLM_Data_Entry!$D$3:$D$548,0),0))),"")</f>
        <v/>
      </c>
      <c r="AL448" t="str">
        <f>IF($A448="","",IFERROR(INDEX(Company_List!$G$3:$G$207,MATCH($A448,Company_List!$A$3:$A$207,0)),"unassigned"))</f>
        <v/>
      </c>
      <c r="AP448" t="str">
        <f>IF($A448="","",IF(COUNTIFS(LLM_Data_Entry!$A$3:$A$548,$A448)&gt;0,"YES","NO"))</f>
        <v/>
      </c>
      <c r="AQ448" t="str">
        <f>IF($A448="","",IF(COUNTIFS($A$3:$A448,$A448,$C$3:$C448,$C448,$D$3:$D448,$D448)=1,"YES","NO"))</f>
        <v/>
      </c>
      <c r="AR448" t="str">
        <f>IF($A448="","",IF(AND($C448&amp;"-"&amp;$D448&gt;=Settings!$B$19,$C448&amp;"-"&amp;$D448&lt;=Settings!$B$20),"IN","OUT"))</f>
        <v/>
      </c>
      <c r="AS448" t="str">
        <f t="shared" si="68"/>
        <v/>
      </c>
      <c r="AT448" t="str">
        <f t="shared" si="69"/>
        <v/>
      </c>
      <c r="AU448" t="str">
        <f t="shared" si="70"/>
        <v/>
      </c>
      <c r="AV448" t="str">
        <f>IF(ISNUMBER($AT448),ABS(IF(ISNUMBER($I448),$I448,0)-Settings!$B$24),"")</f>
        <v/>
      </c>
      <c r="AW448" t="str">
        <f t="shared" si="71"/>
        <v/>
      </c>
      <c r="AX448" t="str">
        <f>IF(ISNUMBER($AU448),ABS(IF(ISNUMBER($I448),$I448,0)-Settings!$B$24),"")</f>
        <v/>
      </c>
      <c r="AY448" t="s">
        <v>549</v>
      </c>
      <c r="AZ448" t="str">
        <f>IF($A448="","",IFERROR(INDEX(Company_List!$H$3:$H$207,MATCH($A448,Company_List!$A$3:$A$207,0)),"unassigned"))</f>
        <v/>
      </c>
      <c r="BC448" t="str">
        <f>IF($A448="","",IF(COUNTIFS($A$3:$A448,$A448,$C$3:$C448,$C448,$D$3:$D448,$D448,$G$3:$G448,$G448)=1,1,0))</f>
        <v/>
      </c>
      <c r="BK448" t="str">
        <f t="shared" si="72"/>
        <v/>
      </c>
    </row>
    <row r="449" spans="2:63" x14ac:dyDescent="0.2">
      <c r="B449" s="142" t="str">
        <f>IF(A449="","",_xlfn.XLOOKUP(A449, Company_List!$A:$A, Company_List!$B:$B, ""))</f>
        <v/>
      </c>
      <c r="J449" s="145" t="str">
        <f>IF(OR(I449="",Settings!$B$6=""),"",IF(I449&gt;Settings!$B$6,"BUY",IF(I449&lt;-Settings!$B$6,"SELL","HOLD")))</f>
        <v/>
      </c>
      <c r="Q449" s="151" t="str">
        <f t="shared" si="63"/>
        <v/>
      </c>
      <c r="R449" s="118" t="str">
        <f>IF(OR(N449="",P449=""),"",IF(Q449&gt;Settings!$B$3/100,"UP",IF(Q449&lt;-Settings!$B$3/100,"DOWN","FLAT")))</f>
        <v/>
      </c>
      <c r="S449" s="118" t="str">
        <f t="shared" si="64"/>
        <v/>
      </c>
      <c r="T449" s="119" t="str">
        <f t="shared" si="65"/>
        <v/>
      </c>
      <c r="U449" s="150" t="str">
        <f>IFERROR(IF(OR(J449="",N449="",P449=""),"",IF(T449=0,0,T449*Q449-Settings!$B$4/10000-IF(T449&lt;0,Settings!$B$5/10000,0))),"")</f>
        <v/>
      </c>
      <c r="W449" s="21" t="str">
        <f t="shared" si="66"/>
        <v/>
      </c>
      <c r="X449" s="91" t="str">
        <f t="shared" si="67"/>
        <v/>
      </c>
      <c r="Y449" s="91" t="str">
        <f>IFERROR(IF($X449="","",INDEX(LLM_Data_Entry!$H$3:$H$548,MATCH($X449,INDEX(LLM_Data_Entry!$A$3:$A$548&amp;"|"&amp;LLM_Data_Entry!$C$3:$C$548&amp;"|"&amp;LLM_Data_Entry!$D$3:$D$548,0),0))),"")</f>
        <v/>
      </c>
      <c r="Z449" s="91" t="str">
        <f>IFERROR(IF($X449="","",INDEX(LLM_Data_Entry!$R$3:$R$548,MATCH($X449,INDEX(LLM_Data_Entry!$A$3:$A$548&amp;"|"&amp;LLM_Data_Entry!$C$3:$C$548&amp;"|"&amp;LLM_Data_Entry!$D$3:$D$548,0),0))),"")</f>
        <v/>
      </c>
      <c r="AL449" t="str">
        <f>IF($A449="","",IFERROR(INDEX(Company_List!$G$3:$G$207,MATCH($A449,Company_List!$A$3:$A$207,0)),"unassigned"))</f>
        <v/>
      </c>
      <c r="AP449" t="str">
        <f>IF($A449="","",IF(COUNTIFS(LLM_Data_Entry!$A$3:$A$548,$A449)&gt;0,"YES","NO"))</f>
        <v/>
      </c>
      <c r="AQ449" t="str">
        <f>IF($A449="","",IF(COUNTIFS($A$3:$A449,$A449,$C$3:$C449,$C449,$D$3:$D449,$D449)=1,"YES","NO"))</f>
        <v/>
      </c>
      <c r="AR449" t="str">
        <f>IF($A449="","",IF(AND($C449&amp;"-"&amp;$D449&gt;=Settings!$B$19,$C449&amp;"-"&amp;$D449&lt;=Settings!$B$20),"IN","OUT"))</f>
        <v/>
      </c>
      <c r="AS449" t="str">
        <f t="shared" si="68"/>
        <v/>
      </c>
      <c r="AT449" t="str">
        <f t="shared" si="69"/>
        <v/>
      </c>
      <c r="AU449" t="str">
        <f t="shared" si="70"/>
        <v/>
      </c>
      <c r="AV449" t="str">
        <f>IF(ISNUMBER($AT449),ABS(IF(ISNUMBER($I449),$I449,0)-Settings!$B$24),"")</f>
        <v/>
      </c>
      <c r="AW449" t="str">
        <f t="shared" si="71"/>
        <v/>
      </c>
      <c r="AX449" t="str">
        <f>IF(ISNUMBER($AU449),ABS(IF(ISNUMBER($I449),$I449,0)-Settings!$B$24),"")</f>
        <v/>
      </c>
      <c r="AY449" t="s">
        <v>549</v>
      </c>
      <c r="AZ449" t="str">
        <f>IF($A449="","",IFERROR(INDEX(Company_List!$H$3:$H$207,MATCH($A449,Company_List!$A$3:$A$207,0)),"unassigned"))</f>
        <v/>
      </c>
      <c r="BC449" t="str">
        <f>IF($A449="","",IF(COUNTIFS($A$3:$A449,$A449,$C$3:$C449,$C449,$D$3:$D449,$D449,$G$3:$G449,$G449)=1,1,0))</f>
        <v/>
      </c>
      <c r="BK449" t="str">
        <f t="shared" si="72"/>
        <v/>
      </c>
    </row>
    <row r="450" spans="2:63" x14ac:dyDescent="0.2">
      <c r="B450" s="142" t="str">
        <f>IF(A450="","",_xlfn.XLOOKUP(A450, Company_List!$A:$A, Company_List!$B:$B, ""))</f>
        <v/>
      </c>
      <c r="J450" s="145" t="str">
        <f>IF(OR(I450="",Settings!$B$6=""),"",IF(I450&gt;Settings!$B$6,"BUY",IF(I450&lt;-Settings!$B$6,"SELL","HOLD")))</f>
        <v/>
      </c>
      <c r="Q450" s="151" t="str">
        <f t="shared" ref="Q450:Q513" si="73">IF(OR(N450="",P450=""),"",ROUND((P450-N450)/N450,4))</f>
        <v/>
      </c>
      <c r="R450" s="118" t="str">
        <f>IF(OR(N450="",P450=""),"",IF(Q450&gt;Settings!$B$3/100,"UP",IF(Q450&lt;-Settings!$B$3/100,"DOWN","FLAT")))</f>
        <v/>
      </c>
      <c r="S450" s="118" t="str">
        <f t="shared" si="64"/>
        <v/>
      </c>
      <c r="T450" s="119" t="str">
        <f t="shared" si="65"/>
        <v/>
      </c>
      <c r="U450" s="150" t="str">
        <f>IFERROR(IF(OR(J450="",N450="",P450=""),"",IF(T450=0,0,T450*Q450-Settings!$B$4/10000-IF(T450&lt;0,Settings!$B$5/10000,0))),"")</f>
        <v/>
      </c>
      <c r="W450" s="21" t="str">
        <f t="shared" si="66"/>
        <v/>
      </c>
      <c r="X450" s="91" t="str">
        <f t="shared" si="67"/>
        <v/>
      </c>
      <c r="Y450" s="91" t="str">
        <f>IFERROR(IF($X450="","",INDEX(LLM_Data_Entry!$H$3:$H$548,MATCH($X450,INDEX(LLM_Data_Entry!$A$3:$A$548&amp;"|"&amp;LLM_Data_Entry!$C$3:$C$548&amp;"|"&amp;LLM_Data_Entry!$D$3:$D$548,0),0))),"")</f>
        <v/>
      </c>
      <c r="Z450" s="91" t="str">
        <f>IFERROR(IF($X450="","",INDEX(LLM_Data_Entry!$R$3:$R$548,MATCH($X450,INDEX(LLM_Data_Entry!$A$3:$A$548&amp;"|"&amp;LLM_Data_Entry!$C$3:$C$548&amp;"|"&amp;LLM_Data_Entry!$D$3:$D$548,0),0))),"")</f>
        <v/>
      </c>
      <c r="AL450" t="str">
        <f>IF($A450="","",IFERROR(INDEX(Company_List!$G$3:$G$207,MATCH($A450,Company_List!$A$3:$A$207,0)),"unassigned"))</f>
        <v/>
      </c>
      <c r="AP450" t="str">
        <f>IF($A450="","",IF(COUNTIFS(LLM_Data_Entry!$A$3:$A$548,$A450)&gt;0,"YES","NO"))</f>
        <v/>
      </c>
      <c r="AQ450" t="str">
        <f>IF($A450="","",IF(COUNTIFS($A$3:$A450,$A450,$C$3:$C450,$C450,$D$3:$D450,$D450)=1,"YES","NO"))</f>
        <v/>
      </c>
      <c r="AR450" t="str">
        <f>IF($A450="","",IF(AND($C450&amp;"-"&amp;$D450&gt;=Settings!$B$19,$C450&amp;"-"&amp;$D450&lt;=Settings!$B$20),"IN","OUT"))</f>
        <v/>
      </c>
      <c r="AS450" t="str">
        <f t="shared" si="68"/>
        <v/>
      </c>
      <c r="AT450" t="str">
        <f t="shared" si="69"/>
        <v/>
      </c>
      <c r="AU450" t="str">
        <f t="shared" si="70"/>
        <v/>
      </c>
      <c r="AV450" t="str">
        <f>IF(ISNUMBER($AT450),ABS(IF(ISNUMBER($I450),$I450,0)-Settings!$B$24),"")</f>
        <v/>
      </c>
      <c r="AW450" t="str">
        <f t="shared" si="71"/>
        <v/>
      </c>
      <c r="AX450" t="str">
        <f>IF(ISNUMBER($AU450),ABS(IF(ISNUMBER($I450),$I450,0)-Settings!$B$24),"")</f>
        <v/>
      </c>
      <c r="AY450" t="s">
        <v>549</v>
      </c>
      <c r="AZ450" t="str">
        <f>IF($A450="","",IFERROR(INDEX(Company_List!$H$3:$H$207,MATCH($A450,Company_List!$A$3:$A$207,0)),"unassigned"))</f>
        <v/>
      </c>
      <c r="BC450" t="str">
        <f>IF($A450="","",IF(COUNTIFS($A$3:$A450,$A450,$C$3:$C450,$C450,$D$3:$D450,$D450,$G$3:$G450,$G450)=1,1,0))</f>
        <v/>
      </c>
      <c r="BK450" t="str">
        <f t="shared" si="72"/>
        <v/>
      </c>
    </row>
    <row r="451" spans="2:63" x14ac:dyDescent="0.2">
      <c r="B451" s="142" t="str">
        <f>IF(A451="","",_xlfn.XLOOKUP(A451, Company_List!$A:$A, Company_List!$B:$B, ""))</f>
        <v/>
      </c>
      <c r="J451" s="145" t="str">
        <f>IF(OR(I451="",Settings!$B$6=""),"",IF(I451&gt;Settings!$B$6,"BUY",IF(I451&lt;-Settings!$B$6,"SELL","HOLD")))</f>
        <v/>
      </c>
      <c r="Q451" s="151" t="str">
        <f t="shared" si="73"/>
        <v/>
      </c>
      <c r="R451" s="118" t="str">
        <f>IF(OR(N451="",P451=""),"",IF(Q451&gt;Settings!$B$3/100,"UP",IF(Q451&lt;-Settings!$B$3/100,"DOWN","FLAT")))</f>
        <v/>
      </c>
      <c r="S451" s="118" t="str">
        <f t="shared" ref="S451:S514" si="74">IF(OR(N451="",P451="",J451=""),"",IF(OR(AND(J451="BUY",R451="UP"),AND(J451="SELL",R451="DOWN"),AND(J451="HOLD",R451="FLAT")),"YES","NO"))</f>
        <v/>
      </c>
      <c r="T451" s="119" t="str">
        <f t="shared" ref="T451:T514" si="75">IF(J451="","",IF(J451="BUY",1,IF(J451="SELL",-1,0)))</f>
        <v/>
      </c>
      <c r="U451" s="150" t="str">
        <f>IFERROR(IF(OR(J451="",N451="",P451=""),"",IF(T451=0,0,T451*Q451-Settings!$B$4/10000-IF(T451&lt;0,Settings!$B$5/10000,0))),"")</f>
        <v/>
      </c>
      <c r="W451" s="21" t="str">
        <f t="shared" ref="W451:W514" si="76">IF($K451="","",$K451*60)</f>
        <v/>
      </c>
      <c r="X451" s="91" t="str">
        <f t="shared" ref="X451:X514" si="77">IF($A451="","",$A451&amp;"|"&amp;$C451&amp;"|"&amp;$D451)</f>
        <v/>
      </c>
      <c r="Y451" s="91" t="str">
        <f>IFERROR(IF($X451="","",INDEX(LLM_Data_Entry!$H$3:$H$548,MATCH($X451,INDEX(LLM_Data_Entry!$A$3:$A$548&amp;"|"&amp;LLM_Data_Entry!$C$3:$C$548&amp;"|"&amp;LLM_Data_Entry!$D$3:$D$548,0),0))),"")</f>
        <v/>
      </c>
      <c r="Z451" s="91" t="str">
        <f>IFERROR(IF($X451="","",INDEX(LLM_Data_Entry!$R$3:$R$548,MATCH($X451,INDEX(LLM_Data_Entry!$A$3:$A$548&amp;"|"&amp;LLM_Data_Entry!$C$3:$C$548&amp;"|"&amp;LLM_Data_Entry!$D$3:$D$548,0),0))),"")</f>
        <v/>
      </c>
      <c r="AL451" t="str">
        <f>IF($A451="","",IFERROR(INDEX(Company_List!$G$3:$G$207,MATCH($A451,Company_List!$A$3:$A$207,0)),"unassigned"))</f>
        <v/>
      </c>
      <c r="AP451" t="str">
        <f>IF($A451="","",IF(COUNTIFS(LLM_Data_Entry!$A$3:$A$548,$A451)&gt;0,"YES","NO"))</f>
        <v/>
      </c>
      <c r="AQ451" t="str">
        <f>IF($A451="","",IF(COUNTIFS($A$3:$A451,$A451,$C$3:$C451,$C451,$D$3:$D451,$D451)=1,"YES","NO"))</f>
        <v/>
      </c>
      <c r="AR451" t="str">
        <f>IF($A451="","",IF(AND($C451&amp;"-"&amp;$D451&gt;=Settings!$B$19,$C451&amp;"-"&amp;$D451&lt;=Settings!$B$20),"IN","OUT"))</f>
        <v/>
      </c>
      <c r="AS451" t="str">
        <f t="shared" ref="AS451:AS514" si="78">IF($A451="","",IF($F451="Financial Results","financials",IF($F451="Outlook/Guidance","guidance",IF($F451="Transcript Q&amp;A","qanda",IF($F451="","unrecorded",IF($E451="All","full",IF($E451="","unrecorded",LOWER($E451)&amp;" only")))))))</f>
        <v/>
      </c>
      <c r="AT451" t="str">
        <f t="shared" ref="AT451:AT514" si="79">IF(AND(OR($J451="BUY",$J451="SELL"),ISNUMBER($U451)),$U451,"")</f>
        <v/>
      </c>
      <c r="AU451" t="str">
        <f t="shared" ref="AU451:AU514" si="80">IF(AND(OR($J451="BUY",$J451="SELL"),ISNUMBER($AK451)),$AK451,"")</f>
        <v/>
      </c>
      <c r="AV451" t="str">
        <f>IF(ISNUMBER($AT451),ABS(IF(ISNUMBER($I451),$I451,0)-Settings!$B$24),"")</f>
        <v/>
      </c>
      <c r="AW451" t="str">
        <f t="shared" ref="AW451:AW514" si="81">IF(ISNUMBER($AV451),$AV451*$AT451,"")</f>
        <v/>
      </c>
      <c r="AX451" t="str">
        <f>IF(ISNUMBER($AU451),ABS(IF(ISNUMBER($I451),$I451,0)-Settings!$B$24),"")</f>
        <v/>
      </c>
      <c r="AY451" t="s">
        <v>549</v>
      </c>
      <c r="AZ451" t="str">
        <f>IF($A451="","",IFERROR(INDEX(Company_List!$H$3:$H$207,MATCH($A451,Company_List!$A$3:$A$207,0)),"unassigned"))</f>
        <v/>
      </c>
      <c r="BC451" t="str">
        <f>IF($A451="","",IF(COUNTIFS($A$3:$A451,$A451,$C$3:$C451,$C451,$D$3:$D451,$D451,$G$3:$G451,$G451)=1,1,0))</f>
        <v/>
      </c>
      <c r="BK451" t="str">
        <f t="shared" ref="BK451:BK514" si="82">IF(OR($H451&lt;&gt;"Human",$S451="",$J451="",$Y451="",$Z451=""),"",IF(EXACT(UPPER($J451),UPPER($Y451)),1,0))</f>
        <v/>
      </c>
    </row>
    <row r="452" spans="2:63" x14ac:dyDescent="0.2">
      <c r="B452" s="142" t="str">
        <f>IF(A452="","",_xlfn.XLOOKUP(A452, Company_List!$A:$A, Company_List!$B:$B, ""))</f>
        <v/>
      </c>
      <c r="J452" s="145" t="str">
        <f>IF(OR(I452="",Settings!$B$6=""),"",IF(I452&gt;Settings!$B$6,"BUY",IF(I452&lt;-Settings!$B$6,"SELL","HOLD")))</f>
        <v/>
      </c>
      <c r="Q452" s="151" t="str">
        <f t="shared" si="73"/>
        <v/>
      </c>
      <c r="R452" s="118" t="str">
        <f>IF(OR(N452="",P452=""),"",IF(Q452&gt;Settings!$B$3/100,"UP",IF(Q452&lt;-Settings!$B$3/100,"DOWN","FLAT")))</f>
        <v/>
      </c>
      <c r="S452" s="118" t="str">
        <f t="shared" si="74"/>
        <v/>
      </c>
      <c r="T452" s="119" t="str">
        <f t="shared" si="75"/>
        <v/>
      </c>
      <c r="U452" s="150" t="str">
        <f>IFERROR(IF(OR(J452="",N452="",P452=""),"",IF(T452=0,0,T452*Q452-Settings!$B$4/10000-IF(T452&lt;0,Settings!$B$5/10000,0))),"")</f>
        <v/>
      </c>
      <c r="W452" s="21" t="str">
        <f t="shared" si="76"/>
        <v/>
      </c>
      <c r="X452" s="91" t="str">
        <f t="shared" si="77"/>
        <v/>
      </c>
      <c r="Y452" s="91" t="str">
        <f>IFERROR(IF($X452="","",INDEX(LLM_Data_Entry!$H$3:$H$548,MATCH($X452,INDEX(LLM_Data_Entry!$A$3:$A$548&amp;"|"&amp;LLM_Data_Entry!$C$3:$C$548&amp;"|"&amp;LLM_Data_Entry!$D$3:$D$548,0),0))),"")</f>
        <v/>
      </c>
      <c r="Z452" s="91" t="str">
        <f>IFERROR(IF($X452="","",INDEX(LLM_Data_Entry!$R$3:$R$548,MATCH($X452,INDEX(LLM_Data_Entry!$A$3:$A$548&amp;"|"&amp;LLM_Data_Entry!$C$3:$C$548&amp;"|"&amp;LLM_Data_Entry!$D$3:$D$548,0),0))),"")</f>
        <v/>
      </c>
      <c r="AL452" t="str">
        <f>IF($A452="","",IFERROR(INDEX(Company_List!$G$3:$G$207,MATCH($A452,Company_List!$A$3:$A$207,0)),"unassigned"))</f>
        <v/>
      </c>
      <c r="AP452" t="str">
        <f>IF($A452="","",IF(COUNTIFS(LLM_Data_Entry!$A$3:$A$548,$A452)&gt;0,"YES","NO"))</f>
        <v/>
      </c>
      <c r="AQ452" t="str">
        <f>IF($A452="","",IF(COUNTIFS($A$3:$A452,$A452,$C$3:$C452,$C452,$D$3:$D452,$D452)=1,"YES","NO"))</f>
        <v/>
      </c>
      <c r="AR452" t="str">
        <f>IF($A452="","",IF(AND($C452&amp;"-"&amp;$D452&gt;=Settings!$B$19,$C452&amp;"-"&amp;$D452&lt;=Settings!$B$20),"IN","OUT"))</f>
        <v/>
      </c>
      <c r="AS452" t="str">
        <f t="shared" si="78"/>
        <v/>
      </c>
      <c r="AT452" t="str">
        <f t="shared" si="79"/>
        <v/>
      </c>
      <c r="AU452" t="str">
        <f t="shared" si="80"/>
        <v/>
      </c>
      <c r="AV452" t="str">
        <f>IF(ISNUMBER($AT452),ABS(IF(ISNUMBER($I452),$I452,0)-Settings!$B$24),"")</f>
        <v/>
      </c>
      <c r="AW452" t="str">
        <f t="shared" si="81"/>
        <v/>
      </c>
      <c r="AX452" t="str">
        <f>IF(ISNUMBER($AU452),ABS(IF(ISNUMBER($I452),$I452,0)-Settings!$B$24),"")</f>
        <v/>
      </c>
      <c r="AY452" t="s">
        <v>549</v>
      </c>
      <c r="AZ452" t="str">
        <f>IF($A452="","",IFERROR(INDEX(Company_List!$H$3:$H$207,MATCH($A452,Company_List!$A$3:$A$207,0)),"unassigned"))</f>
        <v/>
      </c>
      <c r="BC452" t="str">
        <f>IF($A452="","",IF(COUNTIFS($A$3:$A452,$A452,$C$3:$C452,$C452,$D$3:$D452,$D452,$G$3:$G452,$G452)=1,1,0))</f>
        <v/>
      </c>
      <c r="BK452" t="str">
        <f t="shared" si="82"/>
        <v/>
      </c>
    </row>
    <row r="453" spans="2:63" x14ac:dyDescent="0.2">
      <c r="B453" s="142" t="str">
        <f>IF(A453="","",_xlfn.XLOOKUP(A453, Company_List!$A:$A, Company_List!$B:$B, ""))</f>
        <v/>
      </c>
      <c r="J453" s="145" t="str">
        <f>IF(OR(I453="",Settings!$B$6=""),"",IF(I453&gt;Settings!$B$6,"BUY",IF(I453&lt;-Settings!$B$6,"SELL","HOLD")))</f>
        <v/>
      </c>
      <c r="Q453" s="151" t="str">
        <f t="shared" si="73"/>
        <v/>
      </c>
      <c r="R453" s="118" t="str">
        <f>IF(OR(N453="",P453=""),"",IF(Q453&gt;Settings!$B$3/100,"UP",IF(Q453&lt;-Settings!$B$3/100,"DOWN","FLAT")))</f>
        <v/>
      </c>
      <c r="S453" s="118" t="str">
        <f t="shared" si="74"/>
        <v/>
      </c>
      <c r="T453" s="119" t="str">
        <f t="shared" si="75"/>
        <v/>
      </c>
      <c r="U453" s="150" t="str">
        <f>IFERROR(IF(OR(J453="",N453="",P453=""),"",IF(T453=0,0,T453*Q453-Settings!$B$4/10000-IF(T453&lt;0,Settings!$B$5/10000,0))),"")</f>
        <v/>
      </c>
      <c r="W453" s="21" t="str">
        <f t="shared" si="76"/>
        <v/>
      </c>
      <c r="X453" s="91" t="str">
        <f t="shared" si="77"/>
        <v/>
      </c>
      <c r="Y453" s="91" t="str">
        <f>IFERROR(IF($X453="","",INDEX(LLM_Data_Entry!$H$3:$H$548,MATCH($X453,INDEX(LLM_Data_Entry!$A$3:$A$548&amp;"|"&amp;LLM_Data_Entry!$C$3:$C$548&amp;"|"&amp;LLM_Data_Entry!$D$3:$D$548,0),0))),"")</f>
        <v/>
      </c>
      <c r="Z453" s="91" t="str">
        <f>IFERROR(IF($X453="","",INDEX(LLM_Data_Entry!$R$3:$R$548,MATCH($X453,INDEX(LLM_Data_Entry!$A$3:$A$548&amp;"|"&amp;LLM_Data_Entry!$C$3:$C$548&amp;"|"&amp;LLM_Data_Entry!$D$3:$D$548,0),0))),"")</f>
        <v/>
      </c>
      <c r="AL453" t="str">
        <f>IF($A453="","",IFERROR(INDEX(Company_List!$G$3:$G$207,MATCH($A453,Company_List!$A$3:$A$207,0)),"unassigned"))</f>
        <v/>
      </c>
      <c r="AP453" t="str">
        <f>IF($A453="","",IF(COUNTIFS(LLM_Data_Entry!$A$3:$A$548,$A453)&gt;0,"YES","NO"))</f>
        <v/>
      </c>
      <c r="AQ453" t="str">
        <f>IF($A453="","",IF(COUNTIFS($A$3:$A453,$A453,$C$3:$C453,$C453,$D$3:$D453,$D453)=1,"YES","NO"))</f>
        <v/>
      </c>
      <c r="AR453" t="str">
        <f>IF($A453="","",IF(AND($C453&amp;"-"&amp;$D453&gt;=Settings!$B$19,$C453&amp;"-"&amp;$D453&lt;=Settings!$B$20),"IN","OUT"))</f>
        <v/>
      </c>
      <c r="AS453" t="str">
        <f t="shared" si="78"/>
        <v/>
      </c>
      <c r="AT453" t="str">
        <f t="shared" si="79"/>
        <v/>
      </c>
      <c r="AU453" t="str">
        <f t="shared" si="80"/>
        <v/>
      </c>
      <c r="AV453" t="str">
        <f>IF(ISNUMBER($AT453),ABS(IF(ISNUMBER($I453),$I453,0)-Settings!$B$24),"")</f>
        <v/>
      </c>
      <c r="AW453" t="str">
        <f t="shared" si="81"/>
        <v/>
      </c>
      <c r="AX453" t="str">
        <f>IF(ISNUMBER($AU453),ABS(IF(ISNUMBER($I453),$I453,0)-Settings!$B$24),"")</f>
        <v/>
      </c>
      <c r="AY453" t="s">
        <v>549</v>
      </c>
      <c r="AZ453" t="str">
        <f>IF($A453="","",IFERROR(INDEX(Company_List!$H$3:$H$207,MATCH($A453,Company_List!$A$3:$A$207,0)),"unassigned"))</f>
        <v/>
      </c>
      <c r="BC453" t="str">
        <f>IF($A453="","",IF(COUNTIFS($A$3:$A453,$A453,$C$3:$C453,$C453,$D$3:$D453,$D453,$G$3:$G453,$G453)=1,1,0))</f>
        <v/>
      </c>
      <c r="BK453" t="str">
        <f t="shared" si="82"/>
        <v/>
      </c>
    </row>
    <row r="454" spans="2:63" x14ac:dyDescent="0.2">
      <c r="B454" s="142" t="str">
        <f>IF(A454="","",_xlfn.XLOOKUP(A454, Company_List!$A:$A, Company_List!$B:$B, ""))</f>
        <v/>
      </c>
      <c r="J454" s="145" t="str">
        <f>IF(OR(I454="",Settings!$B$6=""),"",IF(I454&gt;Settings!$B$6,"BUY",IF(I454&lt;-Settings!$B$6,"SELL","HOLD")))</f>
        <v/>
      </c>
      <c r="Q454" s="151" t="str">
        <f t="shared" si="73"/>
        <v/>
      </c>
      <c r="R454" s="118" t="str">
        <f>IF(OR(N454="",P454=""),"",IF(Q454&gt;Settings!$B$3/100,"UP",IF(Q454&lt;-Settings!$B$3/100,"DOWN","FLAT")))</f>
        <v/>
      </c>
      <c r="S454" s="118" t="str">
        <f t="shared" si="74"/>
        <v/>
      </c>
      <c r="T454" s="119" t="str">
        <f t="shared" si="75"/>
        <v/>
      </c>
      <c r="U454" s="150" t="str">
        <f>IFERROR(IF(OR(J454="",N454="",P454=""),"",IF(T454=0,0,T454*Q454-Settings!$B$4/10000-IF(T454&lt;0,Settings!$B$5/10000,0))),"")</f>
        <v/>
      </c>
      <c r="W454" s="21" t="str">
        <f t="shared" si="76"/>
        <v/>
      </c>
      <c r="X454" s="91" t="str">
        <f t="shared" si="77"/>
        <v/>
      </c>
      <c r="Y454" s="91" t="str">
        <f>IFERROR(IF($X454="","",INDEX(LLM_Data_Entry!$H$3:$H$548,MATCH($X454,INDEX(LLM_Data_Entry!$A$3:$A$548&amp;"|"&amp;LLM_Data_Entry!$C$3:$C$548&amp;"|"&amp;LLM_Data_Entry!$D$3:$D$548,0),0))),"")</f>
        <v/>
      </c>
      <c r="Z454" s="91" t="str">
        <f>IFERROR(IF($X454="","",INDEX(LLM_Data_Entry!$R$3:$R$548,MATCH($X454,INDEX(LLM_Data_Entry!$A$3:$A$548&amp;"|"&amp;LLM_Data_Entry!$C$3:$C$548&amp;"|"&amp;LLM_Data_Entry!$D$3:$D$548,0),0))),"")</f>
        <v/>
      </c>
      <c r="AL454" t="str">
        <f>IF($A454="","",IFERROR(INDEX(Company_List!$G$3:$G$207,MATCH($A454,Company_List!$A$3:$A$207,0)),"unassigned"))</f>
        <v/>
      </c>
      <c r="AP454" t="str">
        <f>IF($A454="","",IF(COUNTIFS(LLM_Data_Entry!$A$3:$A$548,$A454)&gt;0,"YES","NO"))</f>
        <v/>
      </c>
      <c r="AQ454" t="str">
        <f>IF($A454="","",IF(COUNTIFS($A$3:$A454,$A454,$C$3:$C454,$C454,$D$3:$D454,$D454)=1,"YES","NO"))</f>
        <v/>
      </c>
      <c r="AR454" t="str">
        <f>IF($A454="","",IF(AND($C454&amp;"-"&amp;$D454&gt;=Settings!$B$19,$C454&amp;"-"&amp;$D454&lt;=Settings!$B$20),"IN","OUT"))</f>
        <v/>
      </c>
      <c r="AS454" t="str">
        <f t="shared" si="78"/>
        <v/>
      </c>
      <c r="AT454" t="str">
        <f t="shared" si="79"/>
        <v/>
      </c>
      <c r="AU454" t="str">
        <f t="shared" si="80"/>
        <v/>
      </c>
      <c r="AV454" t="str">
        <f>IF(ISNUMBER($AT454),ABS(IF(ISNUMBER($I454),$I454,0)-Settings!$B$24),"")</f>
        <v/>
      </c>
      <c r="AW454" t="str">
        <f t="shared" si="81"/>
        <v/>
      </c>
      <c r="AX454" t="str">
        <f>IF(ISNUMBER($AU454),ABS(IF(ISNUMBER($I454),$I454,0)-Settings!$B$24),"")</f>
        <v/>
      </c>
      <c r="AY454" t="s">
        <v>549</v>
      </c>
      <c r="AZ454" t="str">
        <f>IF($A454="","",IFERROR(INDEX(Company_List!$H$3:$H$207,MATCH($A454,Company_List!$A$3:$A$207,0)),"unassigned"))</f>
        <v/>
      </c>
      <c r="BC454" t="str">
        <f>IF($A454="","",IF(COUNTIFS($A$3:$A454,$A454,$C$3:$C454,$C454,$D$3:$D454,$D454,$G$3:$G454,$G454)=1,1,0))</f>
        <v/>
      </c>
      <c r="BK454" t="str">
        <f t="shared" si="82"/>
        <v/>
      </c>
    </row>
    <row r="455" spans="2:63" x14ac:dyDescent="0.2">
      <c r="B455" s="142" t="str">
        <f>IF(A455="","",_xlfn.XLOOKUP(A455, Company_List!$A:$A, Company_List!$B:$B, ""))</f>
        <v/>
      </c>
      <c r="J455" s="145" t="str">
        <f>IF(OR(I455="",Settings!$B$6=""),"",IF(I455&gt;Settings!$B$6,"BUY",IF(I455&lt;-Settings!$B$6,"SELL","HOLD")))</f>
        <v/>
      </c>
      <c r="Q455" s="151" t="str">
        <f t="shared" si="73"/>
        <v/>
      </c>
      <c r="R455" s="118" t="str">
        <f>IF(OR(N455="",P455=""),"",IF(Q455&gt;Settings!$B$3/100,"UP",IF(Q455&lt;-Settings!$B$3/100,"DOWN","FLAT")))</f>
        <v/>
      </c>
      <c r="S455" s="118" t="str">
        <f t="shared" si="74"/>
        <v/>
      </c>
      <c r="T455" s="119" t="str">
        <f t="shared" si="75"/>
        <v/>
      </c>
      <c r="U455" s="150" t="str">
        <f>IFERROR(IF(OR(J455="",N455="",P455=""),"",IF(T455=0,0,T455*Q455-Settings!$B$4/10000-IF(T455&lt;0,Settings!$B$5/10000,0))),"")</f>
        <v/>
      </c>
      <c r="W455" s="21" t="str">
        <f t="shared" si="76"/>
        <v/>
      </c>
      <c r="X455" s="91" t="str">
        <f t="shared" si="77"/>
        <v/>
      </c>
      <c r="Y455" s="91" t="str">
        <f>IFERROR(IF($X455="","",INDEX(LLM_Data_Entry!$H$3:$H$548,MATCH($X455,INDEX(LLM_Data_Entry!$A$3:$A$548&amp;"|"&amp;LLM_Data_Entry!$C$3:$C$548&amp;"|"&amp;LLM_Data_Entry!$D$3:$D$548,0),0))),"")</f>
        <v/>
      </c>
      <c r="Z455" s="91" t="str">
        <f>IFERROR(IF($X455="","",INDEX(LLM_Data_Entry!$R$3:$R$548,MATCH($X455,INDEX(LLM_Data_Entry!$A$3:$A$548&amp;"|"&amp;LLM_Data_Entry!$C$3:$C$548&amp;"|"&amp;LLM_Data_Entry!$D$3:$D$548,0),0))),"")</f>
        <v/>
      </c>
      <c r="AL455" t="str">
        <f>IF($A455="","",IFERROR(INDEX(Company_List!$G$3:$G$207,MATCH($A455,Company_List!$A$3:$A$207,0)),"unassigned"))</f>
        <v/>
      </c>
      <c r="AP455" t="str">
        <f>IF($A455="","",IF(COUNTIFS(LLM_Data_Entry!$A$3:$A$548,$A455)&gt;0,"YES","NO"))</f>
        <v/>
      </c>
      <c r="AQ455" t="str">
        <f>IF($A455="","",IF(COUNTIFS($A$3:$A455,$A455,$C$3:$C455,$C455,$D$3:$D455,$D455)=1,"YES","NO"))</f>
        <v/>
      </c>
      <c r="AR455" t="str">
        <f>IF($A455="","",IF(AND($C455&amp;"-"&amp;$D455&gt;=Settings!$B$19,$C455&amp;"-"&amp;$D455&lt;=Settings!$B$20),"IN","OUT"))</f>
        <v/>
      </c>
      <c r="AS455" t="str">
        <f t="shared" si="78"/>
        <v/>
      </c>
      <c r="AT455" t="str">
        <f t="shared" si="79"/>
        <v/>
      </c>
      <c r="AU455" t="str">
        <f t="shared" si="80"/>
        <v/>
      </c>
      <c r="AV455" t="str">
        <f>IF(ISNUMBER($AT455),ABS(IF(ISNUMBER($I455),$I455,0)-Settings!$B$24),"")</f>
        <v/>
      </c>
      <c r="AW455" t="str">
        <f t="shared" si="81"/>
        <v/>
      </c>
      <c r="AX455" t="str">
        <f>IF(ISNUMBER($AU455),ABS(IF(ISNUMBER($I455),$I455,0)-Settings!$B$24),"")</f>
        <v/>
      </c>
      <c r="AY455" t="s">
        <v>549</v>
      </c>
      <c r="AZ455" t="str">
        <f>IF($A455="","",IFERROR(INDEX(Company_List!$H$3:$H$207,MATCH($A455,Company_List!$A$3:$A$207,0)),"unassigned"))</f>
        <v/>
      </c>
      <c r="BC455" t="str">
        <f>IF($A455="","",IF(COUNTIFS($A$3:$A455,$A455,$C$3:$C455,$C455,$D$3:$D455,$D455,$G$3:$G455,$G455)=1,1,0))</f>
        <v/>
      </c>
      <c r="BK455" t="str">
        <f t="shared" si="82"/>
        <v/>
      </c>
    </row>
    <row r="456" spans="2:63" x14ac:dyDescent="0.2">
      <c r="B456" s="142" t="str">
        <f>IF(A456="","",_xlfn.XLOOKUP(A456, Company_List!$A:$A, Company_List!$B:$B, ""))</f>
        <v/>
      </c>
      <c r="J456" s="145" t="str">
        <f>IF(OR(I456="",Settings!$B$6=""),"",IF(I456&gt;Settings!$B$6,"BUY",IF(I456&lt;-Settings!$B$6,"SELL","HOLD")))</f>
        <v/>
      </c>
      <c r="Q456" s="151" t="str">
        <f t="shared" si="73"/>
        <v/>
      </c>
      <c r="R456" s="118" t="str">
        <f>IF(OR(N456="",P456=""),"",IF(Q456&gt;Settings!$B$3/100,"UP",IF(Q456&lt;-Settings!$B$3/100,"DOWN","FLAT")))</f>
        <v/>
      </c>
      <c r="S456" s="118" t="str">
        <f t="shared" si="74"/>
        <v/>
      </c>
      <c r="T456" s="119" t="str">
        <f t="shared" si="75"/>
        <v/>
      </c>
      <c r="U456" s="150" t="str">
        <f>IFERROR(IF(OR(J456="",N456="",P456=""),"",IF(T456=0,0,T456*Q456-Settings!$B$4/10000-IF(T456&lt;0,Settings!$B$5/10000,0))),"")</f>
        <v/>
      </c>
      <c r="W456" s="21" t="str">
        <f t="shared" si="76"/>
        <v/>
      </c>
      <c r="X456" s="91" t="str">
        <f t="shared" si="77"/>
        <v/>
      </c>
      <c r="Y456" s="91" t="str">
        <f>IFERROR(IF($X456="","",INDEX(LLM_Data_Entry!$H$3:$H$548,MATCH($X456,INDEX(LLM_Data_Entry!$A$3:$A$548&amp;"|"&amp;LLM_Data_Entry!$C$3:$C$548&amp;"|"&amp;LLM_Data_Entry!$D$3:$D$548,0),0))),"")</f>
        <v/>
      </c>
      <c r="Z456" s="91" t="str">
        <f>IFERROR(IF($X456="","",INDEX(LLM_Data_Entry!$R$3:$R$548,MATCH($X456,INDEX(LLM_Data_Entry!$A$3:$A$548&amp;"|"&amp;LLM_Data_Entry!$C$3:$C$548&amp;"|"&amp;LLM_Data_Entry!$D$3:$D$548,0),0))),"")</f>
        <v/>
      </c>
      <c r="AL456" t="str">
        <f>IF($A456="","",IFERROR(INDEX(Company_List!$G$3:$G$207,MATCH($A456,Company_List!$A$3:$A$207,0)),"unassigned"))</f>
        <v/>
      </c>
      <c r="AP456" t="str">
        <f>IF($A456="","",IF(COUNTIFS(LLM_Data_Entry!$A$3:$A$548,$A456)&gt;0,"YES","NO"))</f>
        <v/>
      </c>
      <c r="AQ456" t="str">
        <f>IF($A456="","",IF(COUNTIFS($A$3:$A456,$A456,$C$3:$C456,$C456,$D$3:$D456,$D456)=1,"YES","NO"))</f>
        <v/>
      </c>
      <c r="AR456" t="str">
        <f>IF($A456="","",IF(AND($C456&amp;"-"&amp;$D456&gt;=Settings!$B$19,$C456&amp;"-"&amp;$D456&lt;=Settings!$B$20),"IN","OUT"))</f>
        <v/>
      </c>
      <c r="AS456" t="str">
        <f t="shared" si="78"/>
        <v/>
      </c>
      <c r="AT456" t="str">
        <f t="shared" si="79"/>
        <v/>
      </c>
      <c r="AU456" t="str">
        <f t="shared" si="80"/>
        <v/>
      </c>
      <c r="AV456" t="str">
        <f>IF(ISNUMBER($AT456),ABS(IF(ISNUMBER($I456),$I456,0)-Settings!$B$24),"")</f>
        <v/>
      </c>
      <c r="AW456" t="str">
        <f t="shared" si="81"/>
        <v/>
      </c>
      <c r="AX456" t="str">
        <f>IF(ISNUMBER($AU456),ABS(IF(ISNUMBER($I456),$I456,0)-Settings!$B$24),"")</f>
        <v/>
      </c>
      <c r="AY456" t="s">
        <v>549</v>
      </c>
      <c r="AZ456" t="str">
        <f>IF($A456="","",IFERROR(INDEX(Company_List!$H$3:$H$207,MATCH($A456,Company_List!$A$3:$A$207,0)),"unassigned"))</f>
        <v/>
      </c>
      <c r="BC456" t="str">
        <f>IF($A456="","",IF(COUNTIFS($A$3:$A456,$A456,$C$3:$C456,$C456,$D$3:$D456,$D456,$G$3:$G456,$G456)=1,1,0))</f>
        <v/>
      </c>
      <c r="BK456" t="str">
        <f t="shared" si="82"/>
        <v/>
      </c>
    </row>
    <row r="457" spans="2:63" x14ac:dyDescent="0.2">
      <c r="B457" s="142" t="str">
        <f>IF(A457="","",_xlfn.XLOOKUP(A457, Company_List!$A:$A, Company_List!$B:$B, ""))</f>
        <v/>
      </c>
      <c r="J457" s="145" t="str">
        <f>IF(OR(I457="",Settings!$B$6=""),"",IF(I457&gt;Settings!$B$6,"BUY",IF(I457&lt;-Settings!$B$6,"SELL","HOLD")))</f>
        <v/>
      </c>
      <c r="Q457" s="151" t="str">
        <f t="shared" si="73"/>
        <v/>
      </c>
      <c r="R457" s="118" t="str">
        <f>IF(OR(N457="",P457=""),"",IF(Q457&gt;Settings!$B$3/100,"UP",IF(Q457&lt;-Settings!$B$3/100,"DOWN","FLAT")))</f>
        <v/>
      </c>
      <c r="S457" s="118" t="str">
        <f t="shared" si="74"/>
        <v/>
      </c>
      <c r="T457" s="119" t="str">
        <f t="shared" si="75"/>
        <v/>
      </c>
      <c r="U457" s="150" t="str">
        <f>IFERROR(IF(OR(J457="",N457="",P457=""),"",IF(T457=0,0,T457*Q457-Settings!$B$4/10000-IF(T457&lt;0,Settings!$B$5/10000,0))),"")</f>
        <v/>
      </c>
      <c r="W457" s="21" t="str">
        <f t="shared" si="76"/>
        <v/>
      </c>
      <c r="X457" s="91" t="str">
        <f t="shared" si="77"/>
        <v/>
      </c>
      <c r="Y457" s="91" t="str">
        <f>IFERROR(IF($X457="","",INDEX(LLM_Data_Entry!$H$3:$H$548,MATCH($X457,INDEX(LLM_Data_Entry!$A$3:$A$548&amp;"|"&amp;LLM_Data_Entry!$C$3:$C$548&amp;"|"&amp;LLM_Data_Entry!$D$3:$D$548,0),0))),"")</f>
        <v/>
      </c>
      <c r="Z457" s="91" t="str">
        <f>IFERROR(IF($X457="","",INDEX(LLM_Data_Entry!$R$3:$R$548,MATCH($X457,INDEX(LLM_Data_Entry!$A$3:$A$548&amp;"|"&amp;LLM_Data_Entry!$C$3:$C$548&amp;"|"&amp;LLM_Data_Entry!$D$3:$D$548,0),0))),"")</f>
        <v/>
      </c>
      <c r="AL457" t="str">
        <f>IF($A457="","",IFERROR(INDEX(Company_List!$G$3:$G$207,MATCH($A457,Company_List!$A$3:$A$207,0)),"unassigned"))</f>
        <v/>
      </c>
      <c r="AP457" t="str">
        <f>IF($A457="","",IF(COUNTIFS(LLM_Data_Entry!$A$3:$A$548,$A457)&gt;0,"YES","NO"))</f>
        <v/>
      </c>
      <c r="AQ457" t="str">
        <f>IF($A457="","",IF(COUNTIFS($A$3:$A457,$A457,$C$3:$C457,$C457,$D$3:$D457,$D457)=1,"YES","NO"))</f>
        <v/>
      </c>
      <c r="AR457" t="str">
        <f>IF($A457="","",IF(AND($C457&amp;"-"&amp;$D457&gt;=Settings!$B$19,$C457&amp;"-"&amp;$D457&lt;=Settings!$B$20),"IN","OUT"))</f>
        <v/>
      </c>
      <c r="AS457" t="str">
        <f t="shared" si="78"/>
        <v/>
      </c>
      <c r="AT457" t="str">
        <f t="shared" si="79"/>
        <v/>
      </c>
      <c r="AU457" t="str">
        <f t="shared" si="80"/>
        <v/>
      </c>
      <c r="AV457" t="str">
        <f>IF(ISNUMBER($AT457),ABS(IF(ISNUMBER($I457),$I457,0)-Settings!$B$24),"")</f>
        <v/>
      </c>
      <c r="AW457" t="str">
        <f t="shared" si="81"/>
        <v/>
      </c>
      <c r="AX457" t="str">
        <f>IF(ISNUMBER($AU457),ABS(IF(ISNUMBER($I457),$I457,0)-Settings!$B$24),"")</f>
        <v/>
      </c>
      <c r="AY457" t="s">
        <v>549</v>
      </c>
      <c r="AZ457" t="str">
        <f>IF($A457="","",IFERROR(INDEX(Company_List!$H$3:$H$207,MATCH($A457,Company_List!$A$3:$A$207,0)),"unassigned"))</f>
        <v/>
      </c>
      <c r="BC457" t="str">
        <f>IF($A457="","",IF(COUNTIFS($A$3:$A457,$A457,$C$3:$C457,$C457,$D$3:$D457,$D457,$G$3:$G457,$G457)=1,1,0))</f>
        <v/>
      </c>
      <c r="BK457" t="str">
        <f t="shared" si="82"/>
        <v/>
      </c>
    </row>
    <row r="458" spans="2:63" x14ac:dyDescent="0.2">
      <c r="B458" s="142" t="str">
        <f>IF(A458="","",_xlfn.XLOOKUP(A458, Company_List!$A:$A, Company_List!$B:$B, ""))</f>
        <v/>
      </c>
      <c r="J458" s="145" t="str">
        <f>IF(OR(I458="",Settings!$B$6=""),"",IF(I458&gt;Settings!$B$6,"BUY",IF(I458&lt;-Settings!$B$6,"SELL","HOLD")))</f>
        <v/>
      </c>
      <c r="Q458" s="151" t="str">
        <f t="shared" si="73"/>
        <v/>
      </c>
      <c r="R458" s="118" t="str">
        <f>IF(OR(N458="",P458=""),"",IF(Q458&gt;Settings!$B$3/100,"UP",IF(Q458&lt;-Settings!$B$3/100,"DOWN","FLAT")))</f>
        <v/>
      </c>
      <c r="S458" s="118" t="str">
        <f t="shared" si="74"/>
        <v/>
      </c>
      <c r="T458" s="119" t="str">
        <f t="shared" si="75"/>
        <v/>
      </c>
      <c r="U458" s="150" t="str">
        <f>IFERROR(IF(OR(J458="",N458="",P458=""),"",IF(T458=0,0,T458*Q458-Settings!$B$4/10000-IF(T458&lt;0,Settings!$B$5/10000,0))),"")</f>
        <v/>
      </c>
      <c r="W458" s="21" t="str">
        <f t="shared" si="76"/>
        <v/>
      </c>
      <c r="X458" s="91" t="str">
        <f t="shared" si="77"/>
        <v/>
      </c>
      <c r="Y458" s="91" t="str">
        <f>IFERROR(IF($X458="","",INDEX(LLM_Data_Entry!$H$3:$H$548,MATCH($X458,INDEX(LLM_Data_Entry!$A$3:$A$548&amp;"|"&amp;LLM_Data_Entry!$C$3:$C$548&amp;"|"&amp;LLM_Data_Entry!$D$3:$D$548,0),0))),"")</f>
        <v/>
      </c>
      <c r="Z458" s="91" t="str">
        <f>IFERROR(IF($X458="","",INDEX(LLM_Data_Entry!$R$3:$R$548,MATCH($X458,INDEX(LLM_Data_Entry!$A$3:$A$548&amp;"|"&amp;LLM_Data_Entry!$C$3:$C$548&amp;"|"&amp;LLM_Data_Entry!$D$3:$D$548,0),0))),"")</f>
        <v/>
      </c>
      <c r="AL458" t="str">
        <f>IF($A458="","",IFERROR(INDEX(Company_List!$G$3:$G$207,MATCH($A458,Company_List!$A$3:$A$207,0)),"unassigned"))</f>
        <v/>
      </c>
      <c r="AP458" t="str">
        <f>IF($A458="","",IF(COUNTIFS(LLM_Data_Entry!$A$3:$A$548,$A458)&gt;0,"YES","NO"))</f>
        <v/>
      </c>
      <c r="AQ458" t="str">
        <f>IF($A458="","",IF(COUNTIFS($A$3:$A458,$A458,$C$3:$C458,$C458,$D$3:$D458,$D458)=1,"YES","NO"))</f>
        <v/>
      </c>
      <c r="AR458" t="str">
        <f>IF($A458="","",IF(AND($C458&amp;"-"&amp;$D458&gt;=Settings!$B$19,$C458&amp;"-"&amp;$D458&lt;=Settings!$B$20),"IN","OUT"))</f>
        <v/>
      </c>
      <c r="AS458" t="str">
        <f t="shared" si="78"/>
        <v/>
      </c>
      <c r="AT458" t="str">
        <f t="shared" si="79"/>
        <v/>
      </c>
      <c r="AU458" t="str">
        <f t="shared" si="80"/>
        <v/>
      </c>
      <c r="AV458" t="str">
        <f>IF(ISNUMBER($AT458),ABS(IF(ISNUMBER($I458),$I458,0)-Settings!$B$24),"")</f>
        <v/>
      </c>
      <c r="AW458" t="str">
        <f t="shared" si="81"/>
        <v/>
      </c>
      <c r="AX458" t="str">
        <f>IF(ISNUMBER($AU458),ABS(IF(ISNUMBER($I458),$I458,0)-Settings!$B$24),"")</f>
        <v/>
      </c>
      <c r="AY458" t="s">
        <v>549</v>
      </c>
      <c r="AZ458" t="str">
        <f>IF($A458="","",IFERROR(INDEX(Company_List!$H$3:$H$207,MATCH($A458,Company_List!$A$3:$A$207,0)),"unassigned"))</f>
        <v/>
      </c>
      <c r="BC458" t="str">
        <f>IF($A458="","",IF(COUNTIFS($A$3:$A458,$A458,$C$3:$C458,$C458,$D$3:$D458,$D458,$G$3:$G458,$G458)=1,1,0))</f>
        <v/>
      </c>
      <c r="BK458" t="str">
        <f t="shared" si="82"/>
        <v/>
      </c>
    </row>
    <row r="459" spans="2:63" x14ac:dyDescent="0.2">
      <c r="B459" s="142" t="str">
        <f>IF(A459="","",_xlfn.XLOOKUP(A459, Company_List!$A:$A, Company_List!$B:$B, ""))</f>
        <v/>
      </c>
      <c r="J459" s="145" t="str">
        <f>IF(OR(I459="",Settings!$B$6=""),"",IF(I459&gt;Settings!$B$6,"BUY",IF(I459&lt;-Settings!$B$6,"SELL","HOLD")))</f>
        <v/>
      </c>
      <c r="Q459" s="151" t="str">
        <f t="shared" si="73"/>
        <v/>
      </c>
      <c r="R459" s="118" t="str">
        <f>IF(OR(N459="",P459=""),"",IF(Q459&gt;Settings!$B$3/100,"UP",IF(Q459&lt;-Settings!$B$3/100,"DOWN","FLAT")))</f>
        <v/>
      </c>
      <c r="S459" s="118" t="str">
        <f t="shared" si="74"/>
        <v/>
      </c>
      <c r="T459" s="119" t="str">
        <f t="shared" si="75"/>
        <v/>
      </c>
      <c r="U459" s="150" t="str">
        <f>IFERROR(IF(OR(J459="",N459="",P459=""),"",IF(T459=0,0,T459*Q459-Settings!$B$4/10000-IF(T459&lt;0,Settings!$B$5/10000,0))),"")</f>
        <v/>
      </c>
      <c r="W459" s="21" t="str">
        <f t="shared" si="76"/>
        <v/>
      </c>
      <c r="X459" s="91" t="str">
        <f t="shared" si="77"/>
        <v/>
      </c>
      <c r="Y459" s="91" t="str">
        <f>IFERROR(IF($X459="","",INDEX(LLM_Data_Entry!$H$3:$H$548,MATCH($X459,INDEX(LLM_Data_Entry!$A$3:$A$548&amp;"|"&amp;LLM_Data_Entry!$C$3:$C$548&amp;"|"&amp;LLM_Data_Entry!$D$3:$D$548,0),0))),"")</f>
        <v/>
      </c>
      <c r="Z459" s="91" t="str">
        <f>IFERROR(IF($X459="","",INDEX(LLM_Data_Entry!$R$3:$R$548,MATCH($X459,INDEX(LLM_Data_Entry!$A$3:$A$548&amp;"|"&amp;LLM_Data_Entry!$C$3:$C$548&amp;"|"&amp;LLM_Data_Entry!$D$3:$D$548,0),0))),"")</f>
        <v/>
      </c>
      <c r="AL459" t="str">
        <f>IF($A459="","",IFERROR(INDEX(Company_List!$G$3:$G$207,MATCH($A459,Company_List!$A$3:$A$207,0)),"unassigned"))</f>
        <v/>
      </c>
      <c r="AP459" t="str">
        <f>IF($A459="","",IF(COUNTIFS(LLM_Data_Entry!$A$3:$A$548,$A459)&gt;0,"YES","NO"))</f>
        <v/>
      </c>
      <c r="AQ459" t="str">
        <f>IF($A459="","",IF(COUNTIFS($A$3:$A459,$A459,$C$3:$C459,$C459,$D$3:$D459,$D459)=1,"YES","NO"))</f>
        <v/>
      </c>
      <c r="AR459" t="str">
        <f>IF($A459="","",IF(AND($C459&amp;"-"&amp;$D459&gt;=Settings!$B$19,$C459&amp;"-"&amp;$D459&lt;=Settings!$B$20),"IN","OUT"))</f>
        <v/>
      </c>
      <c r="AS459" t="str">
        <f t="shared" si="78"/>
        <v/>
      </c>
      <c r="AT459" t="str">
        <f t="shared" si="79"/>
        <v/>
      </c>
      <c r="AU459" t="str">
        <f t="shared" si="80"/>
        <v/>
      </c>
      <c r="AV459" t="str">
        <f>IF(ISNUMBER($AT459),ABS(IF(ISNUMBER($I459),$I459,0)-Settings!$B$24),"")</f>
        <v/>
      </c>
      <c r="AW459" t="str">
        <f t="shared" si="81"/>
        <v/>
      </c>
      <c r="AX459" t="str">
        <f>IF(ISNUMBER($AU459),ABS(IF(ISNUMBER($I459),$I459,0)-Settings!$B$24),"")</f>
        <v/>
      </c>
      <c r="AY459" t="s">
        <v>549</v>
      </c>
      <c r="AZ459" t="str">
        <f>IF($A459="","",IFERROR(INDEX(Company_List!$H$3:$H$207,MATCH($A459,Company_List!$A$3:$A$207,0)),"unassigned"))</f>
        <v/>
      </c>
      <c r="BC459" t="str">
        <f>IF($A459="","",IF(COUNTIFS($A$3:$A459,$A459,$C$3:$C459,$C459,$D$3:$D459,$D459,$G$3:$G459,$G459)=1,1,0))</f>
        <v/>
      </c>
      <c r="BK459" t="str">
        <f t="shared" si="82"/>
        <v/>
      </c>
    </row>
    <row r="460" spans="2:63" x14ac:dyDescent="0.2">
      <c r="B460" s="142" t="str">
        <f>IF(A460="","",_xlfn.XLOOKUP(A460, Company_List!$A:$A, Company_List!$B:$B, ""))</f>
        <v/>
      </c>
      <c r="J460" s="145" t="str">
        <f>IF(OR(I460="",Settings!$B$6=""),"",IF(I460&gt;Settings!$B$6,"BUY",IF(I460&lt;-Settings!$B$6,"SELL","HOLD")))</f>
        <v/>
      </c>
      <c r="Q460" s="151" t="str">
        <f t="shared" si="73"/>
        <v/>
      </c>
      <c r="R460" s="118" t="str">
        <f>IF(OR(N460="",P460=""),"",IF(Q460&gt;Settings!$B$3/100,"UP",IF(Q460&lt;-Settings!$B$3/100,"DOWN","FLAT")))</f>
        <v/>
      </c>
      <c r="S460" s="118" t="str">
        <f t="shared" si="74"/>
        <v/>
      </c>
      <c r="T460" s="119" t="str">
        <f t="shared" si="75"/>
        <v/>
      </c>
      <c r="U460" s="150" t="str">
        <f>IFERROR(IF(OR(J460="",N460="",P460=""),"",IF(T460=0,0,T460*Q460-Settings!$B$4/10000-IF(T460&lt;0,Settings!$B$5/10000,0))),"")</f>
        <v/>
      </c>
      <c r="W460" s="21" t="str">
        <f t="shared" si="76"/>
        <v/>
      </c>
      <c r="X460" s="91" t="str">
        <f t="shared" si="77"/>
        <v/>
      </c>
      <c r="Y460" s="91" t="str">
        <f>IFERROR(IF($X460="","",INDEX(LLM_Data_Entry!$H$3:$H$548,MATCH($X460,INDEX(LLM_Data_Entry!$A$3:$A$548&amp;"|"&amp;LLM_Data_Entry!$C$3:$C$548&amp;"|"&amp;LLM_Data_Entry!$D$3:$D$548,0),0))),"")</f>
        <v/>
      </c>
      <c r="Z460" s="91" t="str">
        <f>IFERROR(IF($X460="","",INDEX(LLM_Data_Entry!$R$3:$R$548,MATCH($X460,INDEX(LLM_Data_Entry!$A$3:$A$548&amp;"|"&amp;LLM_Data_Entry!$C$3:$C$548&amp;"|"&amp;LLM_Data_Entry!$D$3:$D$548,0),0))),"")</f>
        <v/>
      </c>
      <c r="AL460" t="str">
        <f>IF($A460="","",IFERROR(INDEX(Company_List!$G$3:$G$207,MATCH($A460,Company_List!$A$3:$A$207,0)),"unassigned"))</f>
        <v/>
      </c>
      <c r="AP460" t="str">
        <f>IF($A460="","",IF(COUNTIFS(LLM_Data_Entry!$A$3:$A$548,$A460)&gt;0,"YES","NO"))</f>
        <v/>
      </c>
      <c r="AQ460" t="str">
        <f>IF($A460="","",IF(COUNTIFS($A$3:$A460,$A460,$C$3:$C460,$C460,$D$3:$D460,$D460)=1,"YES","NO"))</f>
        <v/>
      </c>
      <c r="AR460" t="str">
        <f>IF($A460="","",IF(AND($C460&amp;"-"&amp;$D460&gt;=Settings!$B$19,$C460&amp;"-"&amp;$D460&lt;=Settings!$B$20),"IN","OUT"))</f>
        <v/>
      </c>
      <c r="AS460" t="str">
        <f t="shared" si="78"/>
        <v/>
      </c>
      <c r="AT460" t="str">
        <f t="shared" si="79"/>
        <v/>
      </c>
      <c r="AU460" t="str">
        <f t="shared" si="80"/>
        <v/>
      </c>
      <c r="AV460" t="str">
        <f>IF(ISNUMBER($AT460),ABS(IF(ISNUMBER($I460),$I460,0)-Settings!$B$24),"")</f>
        <v/>
      </c>
      <c r="AW460" t="str">
        <f t="shared" si="81"/>
        <v/>
      </c>
      <c r="AX460" t="str">
        <f>IF(ISNUMBER($AU460),ABS(IF(ISNUMBER($I460),$I460,0)-Settings!$B$24),"")</f>
        <v/>
      </c>
      <c r="AY460" t="s">
        <v>549</v>
      </c>
      <c r="AZ460" t="str">
        <f>IF($A460="","",IFERROR(INDEX(Company_List!$H$3:$H$207,MATCH($A460,Company_List!$A$3:$A$207,0)),"unassigned"))</f>
        <v/>
      </c>
      <c r="BC460" t="str">
        <f>IF($A460="","",IF(COUNTIFS($A$3:$A460,$A460,$C$3:$C460,$C460,$D$3:$D460,$D460,$G$3:$G460,$G460)=1,1,0))</f>
        <v/>
      </c>
      <c r="BK460" t="str">
        <f t="shared" si="82"/>
        <v/>
      </c>
    </row>
    <row r="461" spans="2:63" x14ac:dyDescent="0.2">
      <c r="B461" s="142" t="str">
        <f>IF(A461="","",_xlfn.XLOOKUP(A461, Company_List!$A:$A, Company_List!$B:$B, ""))</f>
        <v/>
      </c>
      <c r="J461" s="145" t="str">
        <f>IF(OR(I461="",Settings!$B$6=""),"",IF(I461&gt;Settings!$B$6,"BUY",IF(I461&lt;-Settings!$B$6,"SELL","HOLD")))</f>
        <v/>
      </c>
      <c r="Q461" s="151" t="str">
        <f t="shared" si="73"/>
        <v/>
      </c>
      <c r="R461" s="118" t="str">
        <f>IF(OR(N461="",P461=""),"",IF(Q461&gt;Settings!$B$3/100,"UP",IF(Q461&lt;-Settings!$B$3/100,"DOWN","FLAT")))</f>
        <v/>
      </c>
      <c r="S461" s="118" t="str">
        <f t="shared" si="74"/>
        <v/>
      </c>
      <c r="T461" s="119" t="str">
        <f t="shared" si="75"/>
        <v/>
      </c>
      <c r="U461" s="150" t="str">
        <f>IFERROR(IF(OR(J461="",N461="",P461=""),"",IF(T461=0,0,T461*Q461-Settings!$B$4/10000-IF(T461&lt;0,Settings!$B$5/10000,0))),"")</f>
        <v/>
      </c>
      <c r="W461" s="21" t="str">
        <f t="shared" si="76"/>
        <v/>
      </c>
      <c r="X461" s="91" t="str">
        <f t="shared" si="77"/>
        <v/>
      </c>
      <c r="Y461" s="91" t="str">
        <f>IFERROR(IF($X461="","",INDEX(LLM_Data_Entry!$H$3:$H$548,MATCH($X461,INDEX(LLM_Data_Entry!$A$3:$A$548&amp;"|"&amp;LLM_Data_Entry!$C$3:$C$548&amp;"|"&amp;LLM_Data_Entry!$D$3:$D$548,0),0))),"")</f>
        <v/>
      </c>
      <c r="Z461" s="91" t="str">
        <f>IFERROR(IF($X461="","",INDEX(LLM_Data_Entry!$R$3:$R$548,MATCH($X461,INDEX(LLM_Data_Entry!$A$3:$A$548&amp;"|"&amp;LLM_Data_Entry!$C$3:$C$548&amp;"|"&amp;LLM_Data_Entry!$D$3:$D$548,0),0))),"")</f>
        <v/>
      </c>
      <c r="AL461" t="str">
        <f>IF($A461="","",IFERROR(INDEX(Company_List!$G$3:$G$207,MATCH($A461,Company_List!$A$3:$A$207,0)),"unassigned"))</f>
        <v/>
      </c>
      <c r="AP461" t="str">
        <f>IF($A461="","",IF(COUNTIFS(LLM_Data_Entry!$A$3:$A$548,$A461)&gt;0,"YES","NO"))</f>
        <v/>
      </c>
      <c r="AQ461" t="str">
        <f>IF($A461="","",IF(COUNTIFS($A$3:$A461,$A461,$C$3:$C461,$C461,$D$3:$D461,$D461)=1,"YES","NO"))</f>
        <v/>
      </c>
      <c r="AR461" t="str">
        <f>IF($A461="","",IF(AND($C461&amp;"-"&amp;$D461&gt;=Settings!$B$19,$C461&amp;"-"&amp;$D461&lt;=Settings!$B$20),"IN","OUT"))</f>
        <v/>
      </c>
      <c r="AS461" t="str">
        <f t="shared" si="78"/>
        <v/>
      </c>
      <c r="AT461" t="str">
        <f t="shared" si="79"/>
        <v/>
      </c>
      <c r="AU461" t="str">
        <f t="shared" si="80"/>
        <v/>
      </c>
      <c r="AV461" t="str">
        <f>IF(ISNUMBER($AT461),ABS(IF(ISNUMBER($I461),$I461,0)-Settings!$B$24),"")</f>
        <v/>
      </c>
      <c r="AW461" t="str">
        <f t="shared" si="81"/>
        <v/>
      </c>
      <c r="AX461" t="str">
        <f>IF(ISNUMBER($AU461),ABS(IF(ISNUMBER($I461),$I461,0)-Settings!$B$24),"")</f>
        <v/>
      </c>
      <c r="AY461" t="s">
        <v>549</v>
      </c>
      <c r="AZ461" t="str">
        <f>IF($A461="","",IFERROR(INDEX(Company_List!$H$3:$H$207,MATCH($A461,Company_List!$A$3:$A$207,0)),"unassigned"))</f>
        <v/>
      </c>
      <c r="BC461" t="str">
        <f>IF($A461="","",IF(COUNTIFS($A$3:$A461,$A461,$C$3:$C461,$C461,$D$3:$D461,$D461,$G$3:$G461,$G461)=1,1,0))</f>
        <v/>
      </c>
      <c r="BK461" t="str">
        <f t="shared" si="82"/>
        <v/>
      </c>
    </row>
    <row r="462" spans="2:63" x14ac:dyDescent="0.2">
      <c r="B462" s="142" t="str">
        <f>IF(A462="","",_xlfn.XLOOKUP(A462, Company_List!$A:$A, Company_List!$B:$B, ""))</f>
        <v/>
      </c>
      <c r="J462" s="145" t="str">
        <f>IF(OR(I462="",Settings!$B$6=""),"",IF(I462&gt;Settings!$B$6,"BUY",IF(I462&lt;-Settings!$B$6,"SELL","HOLD")))</f>
        <v/>
      </c>
      <c r="Q462" s="151" t="str">
        <f t="shared" si="73"/>
        <v/>
      </c>
      <c r="R462" s="118" t="str">
        <f>IF(OR(N462="",P462=""),"",IF(Q462&gt;Settings!$B$3/100,"UP",IF(Q462&lt;-Settings!$B$3/100,"DOWN","FLAT")))</f>
        <v/>
      </c>
      <c r="S462" s="118" t="str">
        <f t="shared" si="74"/>
        <v/>
      </c>
      <c r="T462" s="119" t="str">
        <f t="shared" si="75"/>
        <v/>
      </c>
      <c r="U462" s="150" t="str">
        <f>IFERROR(IF(OR(J462="",N462="",P462=""),"",IF(T462=0,0,T462*Q462-Settings!$B$4/10000-IF(T462&lt;0,Settings!$B$5/10000,0))),"")</f>
        <v/>
      </c>
      <c r="W462" s="21" t="str">
        <f t="shared" si="76"/>
        <v/>
      </c>
      <c r="X462" s="91" t="str">
        <f t="shared" si="77"/>
        <v/>
      </c>
      <c r="Y462" s="91" t="str">
        <f>IFERROR(IF($X462="","",INDEX(LLM_Data_Entry!$H$3:$H$548,MATCH($X462,INDEX(LLM_Data_Entry!$A$3:$A$548&amp;"|"&amp;LLM_Data_Entry!$C$3:$C$548&amp;"|"&amp;LLM_Data_Entry!$D$3:$D$548,0),0))),"")</f>
        <v/>
      </c>
      <c r="Z462" s="91" t="str">
        <f>IFERROR(IF($X462="","",INDEX(LLM_Data_Entry!$R$3:$R$548,MATCH($X462,INDEX(LLM_Data_Entry!$A$3:$A$548&amp;"|"&amp;LLM_Data_Entry!$C$3:$C$548&amp;"|"&amp;LLM_Data_Entry!$D$3:$D$548,0),0))),"")</f>
        <v/>
      </c>
      <c r="AL462" t="str">
        <f>IF($A462="","",IFERROR(INDEX(Company_List!$G$3:$G$207,MATCH($A462,Company_List!$A$3:$A$207,0)),"unassigned"))</f>
        <v/>
      </c>
      <c r="AP462" t="str">
        <f>IF($A462="","",IF(COUNTIFS(LLM_Data_Entry!$A$3:$A$548,$A462)&gt;0,"YES","NO"))</f>
        <v/>
      </c>
      <c r="AQ462" t="str">
        <f>IF($A462="","",IF(COUNTIFS($A$3:$A462,$A462,$C$3:$C462,$C462,$D$3:$D462,$D462)=1,"YES","NO"))</f>
        <v/>
      </c>
      <c r="AR462" t="str">
        <f>IF($A462="","",IF(AND($C462&amp;"-"&amp;$D462&gt;=Settings!$B$19,$C462&amp;"-"&amp;$D462&lt;=Settings!$B$20),"IN","OUT"))</f>
        <v/>
      </c>
      <c r="AS462" t="str">
        <f t="shared" si="78"/>
        <v/>
      </c>
      <c r="AT462" t="str">
        <f t="shared" si="79"/>
        <v/>
      </c>
      <c r="AU462" t="str">
        <f t="shared" si="80"/>
        <v/>
      </c>
      <c r="AV462" t="str">
        <f>IF(ISNUMBER($AT462),ABS(IF(ISNUMBER($I462),$I462,0)-Settings!$B$24),"")</f>
        <v/>
      </c>
      <c r="AW462" t="str">
        <f t="shared" si="81"/>
        <v/>
      </c>
      <c r="AX462" t="str">
        <f>IF(ISNUMBER($AU462),ABS(IF(ISNUMBER($I462),$I462,0)-Settings!$B$24),"")</f>
        <v/>
      </c>
      <c r="AY462" t="s">
        <v>549</v>
      </c>
      <c r="AZ462" t="str">
        <f>IF($A462="","",IFERROR(INDEX(Company_List!$H$3:$H$207,MATCH($A462,Company_List!$A$3:$A$207,0)),"unassigned"))</f>
        <v/>
      </c>
      <c r="BC462" t="str">
        <f>IF($A462="","",IF(COUNTIFS($A$3:$A462,$A462,$C$3:$C462,$C462,$D$3:$D462,$D462,$G$3:$G462,$G462)=1,1,0))</f>
        <v/>
      </c>
      <c r="BK462" t="str">
        <f t="shared" si="82"/>
        <v/>
      </c>
    </row>
    <row r="463" spans="2:63" x14ac:dyDescent="0.2">
      <c r="B463" s="142" t="str">
        <f>IF(A463="","",_xlfn.XLOOKUP(A463, Company_List!$A:$A, Company_List!$B:$B, ""))</f>
        <v/>
      </c>
      <c r="J463" s="145" t="str">
        <f>IF(OR(I463="",Settings!$B$6=""),"",IF(I463&gt;Settings!$B$6,"BUY",IF(I463&lt;-Settings!$B$6,"SELL","HOLD")))</f>
        <v/>
      </c>
      <c r="Q463" s="151" t="str">
        <f t="shared" si="73"/>
        <v/>
      </c>
      <c r="R463" s="118" t="str">
        <f>IF(OR(N463="",P463=""),"",IF(Q463&gt;Settings!$B$3/100,"UP",IF(Q463&lt;-Settings!$B$3/100,"DOWN","FLAT")))</f>
        <v/>
      </c>
      <c r="S463" s="118" t="str">
        <f t="shared" si="74"/>
        <v/>
      </c>
      <c r="T463" s="119" t="str">
        <f t="shared" si="75"/>
        <v/>
      </c>
      <c r="U463" s="150" t="str">
        <f>IFERROR(IF(OR(J463="",N463="",P463=""),"",IF(T463=0,0,T463*Q463-Settings!$B$4/10000-IF(T463&lt;0,Settings!$B$5/10000,0))),"")</f>
        <v/>
      </c>
      <c r="W463" s="21" t="str">
        <f t="shared" si="76"/>
        <v/>
      </c>
      <c r="X463" s="91" t="str">
        <f t="shared" si="77"/>
        <v/>
      </c>
      <c r="Y463" s="91" t="str">
        <f>IFERROR(IF($X463="","",INDEX(LLM_Data_Entry!$H$3:$H$548,MATCH($X463,INDEX(LLM_Data_Entry!$A$3:$A$548&amp;"|"&amp;LLM_Data_Entry!$C$3:$C$548&amp;"|"&amp;LLM_Data_Entry!$D$3:$D$548,0),0))),"")</f>
        <v/>
      </c>
      <c r="Z463" s="91" t="str">
        <f>IFERROR(IF($X463="","",INDEX(LLM_Data_Entry!$R$3:$R$548,MATCH($X463,INDEX(LLM_Data_Entry!$A$3:$A$548&amp;"|"&amp;LLM_Data_Entry!$C$3:$C$548&amp;"|"&amp;LLM_Data_Entry!$D$3:$D$548,0),0))),"")</f>
        <v/>
      </c>
      <c r="AL463" t="str">
        <f>IF($A463="","",IFERROR(INDEX(Company_List!$G$3:$G$207,MATCH($A463,Company_List!$A$3:$A$207,0)),"unassigned"))</f>
        <v/>
      </c>
      <c r="AP463" t="str">
        <f>IF($A463="","",IF(COUNTIFS(LLM_Data_Entry!$A$3:$A$548,$A463)&gt;0,"YES","NO"))</f>
        <v/>
      </c>
      <c r="AQ463" t="str">
        <f>IF($A463="","",IF(COUNTIFS($A$3:$A463,$A463,$C$3:$C463,$C463,$D$3:$D463,$D463)=1,"YES","NO"))</f>
        <v/>
      </c>
      <c r="AR463" t="str">
        <f>IF($A463="","",IF(AND($C463&amp;"-"&amp;$D463&gt;=Settings!$B$19,$C463&amp;"-"&amp;$D463&lt;=Settings!$B$20),"IN","OUT"))</f>
        <v/>
      </c>
      <c r="AS463" t="str">
        <f t="shared" si="78"/>
        <v/>
      </c>
      <c r="AT463" t="str">
        <f t="shared" si="79"/>
        <v/>
      </c>
      <c r="AU463" t="str">
        <f t="shared" si="80"/>
        <v/>
      </c>
      <c r="AV463" t="str">
        <f>IF(ISNUMBER($AT463),ABS(IF(ISNUMBER($I463),$I463,0)-Settings!$B$24),"")</f>
        <v/>
      </c>
      <c r="AW463" t="str">
        <f t="shared" si="81"/>
        <v/>
      </c>
      <c r="AX463" t="str">
        <f>IF(ISNUMBER($AU463),ABS(IF(ISNUMBER($I463),$I463,0)-Settings!$B$24),"")</f>
        <v/>
      </c>
      <c r="AY463" t="s">
        <v>549</v>
      </c>
      <c r="AZ463" t="str">
        <f>IF($A463="","",IFERROR(INDEX(Company_List!$H$3:$H$207,MATCH($A463,Company_List!$A$3:$A$207,0)),"unassigned"))</f>
        <v/>
      </c>
      <c r="BC463" t="str">
        <f>IF($A463="","",IF(COUNTIFS($A$3:$A463,$A463,$C$3:$C463,$C463,$D$3:$D463,$D463,$G$3:$G463,$G463)=1,1,0))</f>
        <v/>
      </c>
      <c r="BK463" t="str">
        <f t="shared" si="82"/>
        <v/>
      </c>
    </row>
    <row r="464" spans="2:63" x14ac:dyDescent="0.2">
      <c r="B464" s="142" t="str">
        <f>IF(A464="","",_xlfn.XLOOKUP(A464, Company_List!$A:$A, Company_List!$B:$B, ""))</f>
        <v/>
      </c>
      <c r="J464" s="145" t="str">
        <f>IF(OR(I464="",Settings!$B$6=""),"",IF(I464&gt;Settings!$B$6,"BUY",IF(I464&lt;-Settings!$B$6,"SELL","HOLD")))</f>
        <v/>
      </c>
      <c r="Q464" s="151" t="str">
        <f t="shared" si="73"/>
        <v/>
      </c>
      <c r="R464" s="118" t="str">
        <f>IF(OR(N464="",P464=""),"",IF(Q464&gt;Settings!$B$3/100,"UP",IF(Q464&lt;-Settings!$B$3/100,"DOWN","FLAT")))</f>
        <v/>
      </c>
      <c r="S464" s="118" t="str">
        <f t="shared" si="74"/>
        <v/>
      </c>
      <c r="T464" s="119" t="str">
        <f t="shared" si="75"/>
        <v/>
      </c>
      <c r="U464" s="150" t="str">
        <f>IFERROR(IF(OR(J464="",N464="",P464=""),"",IF(T464=0,0,T464*Q464-Settings!$B$4/10000-IF(T464&lt;0,Settings!$B$5/10000,0))),"")</f>
        <v/>
      </c>
      <c r="W464" s="21" t="str">
        <f t="shared" si="76"/>
        <v/>
      </c>
      <c r="X464" s="91" t="str">
        <f t="shared" si="77"/>
        <v/>
      </c>
      <c r="Y464" s="91" t="str">
        <f>IFERROR(IF($X464="","",INDEX(LLM_Data_Entry!$H$3:$H$548,MATCH($X464,INDEX(LLM_Data_Entry!$A$3:$A$548&amp;"|"&amp;LLM_Data_Entry!$C$3:$C$548&amp;"|"&amp;LLM_Data_Entry!$D$3:$D$548,0),0))),"")</f>
        <v/>
      </c>
      <c r="Z464" s="91" t="str">
        <f>IFERROR(IF($X464="","",INDEX(LLM_Data_Entry!$R$3:$R$548,MATCH($X464,INDEX(LLM_Data_Entry!$A$3:$A$548&amp;"|"&amp;LLM_Data_Entry!$C$3:$C$548&amp;"|"&amp;LLM_Data_Entry!$D$3:$D$548,0),0))),"")</f>
        <v/>
      </c>
      <c r="AL464" t="str">
        <f>IF($A464="","",IFERROR(INDEX(Company_List!$G$3:$G$207,MATCH($A464,Company_List!$A$3:$A$207,0)),"unassigned"))</f>
        <v/>
      </c>
      <c r="AP464" t="str">
        <f>IF($A464="","",IF(COUNTIFS(LLM_Data_Entry!$A$3:$A$548,$A464)&gt;0,"YES","NO"))</f>
        <v/>
      </c>
      <c r="AQ464" t="str">
        <f>IF($A464="","",IF(COUNTIFS($A$3:$A464,$A464,$C$3:$C464,$C464,$D$3:$D464,$D464)=1,"YES","NO"))</f>
        <v/>
      </c>
      <c r="AR464" t="str">
        <f>IF($A464="","",IF(AND($C464&amp;"-"&amp;$D464&gt;=Settings!$B$19,$C464&amp;"-"&amp;$D464&lt;=Settings!$B$20),"IN","OUT"))</f>
        <v/>
      </c>
      <c r="AS464" t="str">
        <f t="shared" si="78"/>
        <v/>
      </c>
      <c r="AT464" t="str">
        <f t="shared" si="79"/>
        <v/>
      </c>
      <c r="AU464" t="str">
        <f t="shared" si="80"/>
        <v/>
      </c>
      <c r="AV464" t="str">
        <f>IF(ISNUMBER($AT464),ABS(IF(ISNUMBER($I464),$I464,0)-Settings!$B$24),"")</f>
        <v/>
      </c>
      <c r="AW464" t="str">
        <f t="shared" si="81"/>
        <v/>
      </c>
      <c r="AX464" t="str">
        <f>IF(ISNUMBER($AU464),ABS(IF(ISNUMBER($I464),$I464,0)-Settings!$B$24),"")</f>
        <v/>
      </c>
      <c r="AY464" t="s">
        <v>549</v>
      </c>
      <c r="AZ464" t="str">
        <f>IF($A464="","",IFERROR(INDEX(Company_List!$H$3:$H$207,MATCH($A464,Company_List!$A$3:$A$207,0)),"unassigned"))</f>
        <v/>
      </c>
      <c r="BC464" t="str">
        <f>IF($A464="","",IF(COUNTIFS($A$3:$A464,$A464,$C$3:$C464,$C464,$D$3:$D464,$D464,$G$3:$G464,$G464)=1,1,0))</f>
        <v/>
      </c>
      <c r="BK464" t="str">
        <f t="shared" si="82"/>
        <v/>
      </c>
    </row>
    <row r="465" spans="2:63" x14ac:dyDescent="0.2">
      <c r="B465" s="142" t="str">
        <f>IF(A465="","",_xlfn.XLOOKUP(A465, Company_List!$A:$A, Company_List!$B:$B, ""))</f>
        <v/>
      </c>
      <c r="J465" s="145" t="str">
        <f>IF(OR(I465="",Settings!$B$6=""),"",IF(I465&gt;Settings!$B$6,"BUY",IF(I465&lt;-Settings!$B$6,"SELL","HOLD")))</f>
        <v/>
      </c>
      <c r="Q465" s="151" t="str">
        <f t="shared" si="73"/>
        <v/>
      </c>
      <c r="R465" s="118" t="str">
        <f>IF(OR(N465="",P465=""),"",IF(Q465&gt;Settings!$B$3/100,"UP",IF(Q465&lt;-Settings!$B$3/100,"DOWN","FLAT")))</f>
        <v/>
      </c>
      <c r="S465" s="118" t="str">
        <f t="shared" si="74"/>
        <v/>
      </c>
      <c r="T465" s="119" t="str">
        <f t="shared" si="75"/>
        <v/>
      </c>
      <c r="U465" s="150" t="str">
        <f>IFERROR(IF(OR(J465="",N465="",P465=""),"",IF(T465=0,0,T465*Q465-Settings!$B$4/10000-IF(T465&lt;0,Settings!$B$5/10000,0))),"")</f>
        <v/>
      </c>
      <c r="W465" s="21" t="str">
        <f t="shared" si="76"/>
        <v/>
      </c>
      <c r="X465" s="91" t="str">
        <f t="shared" si="77"/>
        <v/>
      </c>
      <c r="Y465" s="91" t="str">
        <f>IFERROR(IF($X465="","",INDEX(LLM_Data_Entry!$H$3:$H$548,MATCH($X465,INDEX(LLM_Data_Entry!$A$3:$A$548&amp;"|"&amp;LLM_Data_Entry!$C$3:$C$548&amp;"|"&amp;LLM_Data_Entry!$D$3:$D$548,0),0))),"")</f>
        <v/>
      </c>
      <c r="Z465" s="91" t="str">
        <f>IFERROR(IF($X465="","",INDEX(LLM_Data_Entry!$R$3:$R$548,MATCH($X465,INDEX(LLM_Data_Entry!$A$3:$A$548&amp;"|"&amp;LLM_Data_Entry!$C$3:$C$548&amp;"|"&amp;LLM_Data_Entry!$D$3:$D$548,0),0))),"")</f>
        <v/>
      </c>
      <c r="AL465" t="str">
        <f>IF($A465="","",IFERROR(INDEX(Company_List!$G$3:$G$207,MATCH($A465,Company_List!$A$3:$A$207,0)),"unassigned"))</f>
        <v/>
      </c>
      <c r="AP465" t="str">
        <f>IF($A465="","",IF(COUNTIFS(LLM_Data_Entry!$A$3:$A$548,$A465)&gt;0,"YES","NO"))</f>
        <v/>
      </c>
      <c r="AQ465" t="str">
        <f>IF($A465="","",IF(COUNTIFS($A$3:$A465,$A465,$C$3:$C465,$C465,$D$3:$D465,$D465)=1,"YES","NO"))</f>
        <v/>
      </c>
      <c r="AR465" t="str">
        <f>IF($A465="","",IF(AND($C465&amp;"-"&amp;$D465&gt;=Settings!$B$19,$C465&amp;"-"&amp;$D465&lt;=Settings!$B$20),"IN","OUT"))</f>
        <v/>
      </c>
      <c r="AS465" t="str">
        <f t="shared" si="78"/>
        <v/>
      </c>
      <c r="AT465" t="str">
        <f t="shared" si="79"/>
        <v/>
      </c>
      <c r="AU465" t="str">
        <f t="shared" si="80"/>
        <v/>
      </c>
      <c r="AV465" t="str">
        <f>IF(ISNUMBER($AT465),ABS(IF(ISNUMBER($I465),$I465,0)-Settings!$B$24),"")</f>
        <v/>
      </c>
      <c r="AW465" t="str">
        <f t="shared" si="81"/>
        <v/>
      </c>
      <c r="AX465" t="str">
        <f>IF(ISNUMBER($AU465),ABS(IF(ISNUMBER($I465),$I465,0)-Settings!$B$24),"")</f>
        <v/>
      </c>
      <c r="AY465" t="s">
        <v>549</v>
      </c>
      <c r="AZ465" t="str">
        <f>IF($A465="","",IFERROR(INDEX(Company_List!$H$3:$H$207,MATCH($A465,Company_List!$A$3:$A$207,0)),"unassigned"))</f>
        <v/>
      </c>
      <c r="BC465" t="str">
        <f>IF($A465="","",IF(COUNTIFS($A$3:$A465,$A465,$C$3:$C465,$C465,$D$3:$D465,$D465,$G$3:$G465,$G465)=1,1,0))</f>
        <v/>
      </c>
      <c r="BK465" t="str">
        <f t="shared" si="82"/>
        <v/>
      </c>
    </row>
    <row r="466" spans="2:63" x14ac:dyDescent="0.2">
      <c r="B466" s="142" t="str">
        <f>IF(A466="","",_xlfn.XLOOKUP(A466, Company_List!$A:$A, Company_List!$B:$B, ""))</f>
        <v/>
      </c>
      <c r="J466" s="145" t="str">
        <f>IF(OR(I466="",Settings!$B$6=""),"",IF(I466&gt;Settings!$B$6,"BUY",IF(I466&lt;-Settings!$B$6,"SELL","HOLD")))</f>
        <v/>
      </c>
      <c r="Q466" s="151" t="str">
        <f t="shared" si="73"/>
        <v/>
      </c>
      <c r="R466" s="118" t="str">
        <f>IF(OR(N466="",P466=""),"",IF(Q466&gt;Settings!$B$3/100,"UP",IF(Q466&lt;-Settings!$B$3/100,"DOWN","FLAT")))</f>
        <v/>
      </c>
      <c r="S466" s="118" t="str">
        <f t="shared" si="74"/>
        <v/>
      </c>
      <c r="T466" s="119" t="str">
        <f t="shared" si="75"/>
        <v/>
      </c>
      <c r="U466" s="150" t="str">
        <f>IFERROR(IF(OR(J466="",N466="",P466=""),"",IF(T466=0,0,T466*Q466-Settings!$B$4/10000-IF(T466&lt;0,Settings!$B$5/10000,0))),"")</f>
        <v/>
      </c>
      <c r="W466" s="21" t="str">
        <f t="shared" si="76"/>
        <v/>
      </c>
      <c r="X466" s="91" t="str">
        <f t="shared" si="77"/>
        <v/>
      </c>
      <c r="Y466" s="91" t="str">
        <f>IFERROR(IF($X466="","",INDEX(LLM_Data_Entry!$H$3:$H$548,MATCH($X466,INDEX(LLM_Data_Entry!$A$3:$A$548&amp;"|"&amp;LLM_Data_Entry!$C$3:$C$548&amp;"|"&amp;LLM_Data_Entry!$D$3:$D$548,0),0))),"")</f>
        <v/>
      </c>
      <c r="Z466" s="91" t="str">
        <f>IFERROR(IF($X466="","",INDEX(LLM_Data_Entry!$R$3:$R$548,MATCH($X466,INDEX(LLM_Data_Entry!$A$3:$A$548&amp;"|"&amp;LLM_Data_Entry!$C$3:$C$548&amp;"|"&amp;LLM_Data_Entry!$D$3:$D$548,0),0))),"")</f>
        <v/>
      </c>
      <c r="AL466" t="str">
        <f>IF($A466="","",IFERROR(INDEX(Company_List!$G$3:$G$207,MATCH($A466,Company_List!$A$3:$A$207,0)),"unassigned"))</f>
        <v/>
      </c>
      <c r="AP466" t="str">
        <f>IF($A466="","",IF(COUNTIFS(LLM_Data_Entry!$A$3:$A$548,$A466)&gt;0,"YES","NO"))</f>
        <v/>
      </c>
      <c r="AQ466" t="str">
        <f>IF($A466="","",IF(COUNTIFS($A$3:$A466,$A466,$C$3:$C466,$C466,$D$3:$D466,$D466)=1,"YES","NO"))</f>
        <v/>
      </c>
      <c r="AR466" t="str">
        <f>IF($A466="","",IF(AND($C466&amp;"-"&amp;$D466&gt;=Settings!$B$19,$C466&amp;"-"&amp;$D466&lt;=Settings!$B$20),"IN","OUT"))</f>
        <v/>
      </c>
      <c r="AS466" t="str">
        <f t="shared" si="78"/>
        <v/>
      </c>
      <c r="AT466" t="str">
        <f t="shared" si="79"/>
        <v/>
      </c>
      <c r="AU466" t="str">
        <f t="shared" si="80"/>
        <v/>
      </c>
      <c r="AV466" t="str">
        <f>IF(ISNUMBER($AT466),ABS(IF(ISNUMBER($I466),$I466,0)-Settings!$B$24),"")</f>
        <v/>
      </c>
      <c r="AW466" t="str">
        <f t="shared" si="81"/>
        <v/>
      </c>
      <c r="AX466" t="str">
        <f>IF(ISNUMBER($AU466),ABS(IF(ISNUMBER($I466),$I466,0)-Settings!$B$24),"")</f>
        <v/>
      </c>
      <c r="AY466" t="s">
        <v>549</v>
      </c>
      <c r="AZ466" t="str">
        <f>IF($A466="","",IFERROR(INDEX(Company_List!$H$3:$H$207,MATCH($A466,Company_List!$A$3:$A$207,0)),"unassigned"))</f>
        <v/>
      </c>
      <c r="BC466" t="str">
        <f>IF($A466="","",IF(COUNTIFS($A$3:$A466,$A466,$C$3:$C466,$C466,$D$3:$D466,$D466,$G$3:$G466,$G466)=1,1,0))</f>
        <v/>
      </c>
      <c r="BK466" t="str">
        <f t="shared" si="82"/>
        <v/>
      </c>
    </row>
    <row r="467" spans="2:63" x14ac:dyDescent="0.2">
      <c r="B467" s="142" t="str">
        <f>IF(A467="","",_xlfn.XLOOKUP(A467, Company_List!$A:$A, Company_List!$B:$B, ""))</f>
        <v/>
      </c>
      <c r="J467" s="145" t="str">
        <f>IF(OR(I467="",Settings!$B$6=""),"",IF(I467&gt;Settings!$B$6,"BUY",IF(I467&lt;-Settings!$B$6,"SELL","HOLD")))</f>
        <v/>
      </c>
      <c r="Q467" s="151" t="str">
        <f t="shared" si="73"/>
        <v/>
      </c>
      <c r="R467" s="118" t="str">
        <f>IF(OR(N467="",P467=""),"",IF(Q467&gt;Settings!$B$3/100,"UP",IF(Q467&lt;-Settings!$B$3/100,"DOWN","FLAT")))</f>
        <v/>
      </c>
      <c r="S467" s="118" t="str">
        <f t="shared" si="74"/>
        <v/>
      </c>
      <c r="T467" s="119" t="str">
        <f t="shared" si="75"/>
        <v/>
      </c>
      <c r="U467" s="150" t="str">
        <f>IFERROR(IF(OR(J467="",N467="",P467=""),"",IF(T467=0,0,T467*Q467-Settings!$B$4/10000-IF(T467&lt;0,Settings!$B$5/10000,0))),"")</f>
        <v/>
      </c>
      <c r="W467" s="21" t="str">
        <f t="shared" si="76"/>
        <v/>
      </c>
      <c r="X467" s="91" t="str">
        <f t="shared" si="77"/>
        <v/>
      </c>
      <c r="Y467" s="91" t="str">
        <f>IFERROR(IF($X467="","",INDEX(LLM_Data_Entry!$H$3:$H$548,MATCH($X467,INDEX(LLM_Data_Entry!$A$3:$A$548&amp;"|"&amp;LLM_Data_Entry!$C$3:$C$548&amp;"|"&amp;LLM_Data_Entry!$D$3:$D$548,0),0))),"")</f>
        <v/>
      </c>
      <c r="Z467" s="91" t="str">
        <f>IFERROR(IF($X467="","",INDEX(LLM_Data_Entry!$R$3:$R$548,MATCH($X467,INDEX(LLM_Data_Entry!$A$3:$A$548&amp;"|"&amp;LLM_Data_Entry!$C$3:$C$548&amp;"|"&amp;LLM_Data_Entry!$D$3:$D$548,0),0))),"")</f>
        <v/>
      </c>
      <c r="AL467" t="str">
        <f>IF($A467="","",IFERROR(INDEX(Company_List!$G$3:$G$207,MATCH($A467,Company_List!$A$3:$A$207,0)),"unassigned"))</f>
        <v/>
      </c>
      <c r="AP467" t="str">
        <f>IF($A467="","",IF(COUNTIFS(LLM_Data_Entry!$A$3:$A$548,$A467)&gt;0,"YES","NO"))</f>
        <v/>
      </c>
      <c r="AQ467" t="str">
        <f>IF($A467="","",IF(COUNTIFS($A$3:$A467,$A467,$C$3:$C467,$C467,$D$3:$D467,$D467)=1,"YES","NO"))</f>
        <v/>
      </c>
      <c r="AR467" t="str">
        <f>IF($A467="","",IF(AND($C467&amp;"-"&amp;$D467&gt;=Settings!$B$19,$C467&amp;"-"&amp;$D467&lt;=Settings!$B$20),"IN","OUT"))</f>
        <v/>
      </c>
      <c r="AS467" t="str">
        <f t="shared" si="78"/>
        <v/>
      </c>
      <c r="AT467" t="str">
        <f t="shared" si="79"/>
        <v/>
      </c>
      <c r="AU467" t="str">
        <f t="shared" si="80"/>
        <v/>
      </c>
      <c r="AV467" t="str">
        <f>IF(ISNUMBER($AT467),ABS(IF(ISNUMBER($I467),$I467,0)-Settings!$B$24),"")</f>
        <v/>
      </c>
      <c r="AW467" t="str">
        <f t="shared" si="81"/>
        <v/>
      </c>
      <c r="AX467" t="str">
        <f>IF(ISNUMBER($AU467),ABS(IF(ISNUMBER($I467),$I467,0)-Settings!$B$24),"")</f>
        <v/>
      </c>
      <c r="AY467" t="s">
        <v>549</v>
      </c>
      <c r="AZ467" t="str">
        <f>IF($A467="","",IFERROR(INDEX(Company_List!$H$3:$H$207,MATCH($A467,Company_List!$A$3:$A$207,0)),"unassigned"))</f>
        <v/>
      </c>
      <c r="BC467" t="str">
        <f>IF($A467="","",IF(COUNTIFS($A$3:$A467,$A467,$C$3:$C467,$C467,$D$3:$D467,$D467,$G$3:$G467,$G467)=1,1,0))</f>
        <v/>
      </c>
      <c r="BK467" t="str">
        <f t="shared" si="82"/>
        <v/>
      </c>
    </row>
    <row r="468" spans="2:63" x14ac:dyDescent="0.2">
      <c r="B468" s="142" t="str">
        <f>IF(A468="","",_xlfn.XLOOKUP(A468, Company_List!$A:$A, Company_List!$B:$B, ""))</f>
        <v/>
      </c>
      <c r="J468" s="145" t="str">
        <f>IF(OR(I468="",Settings!$B$6=""),"",IF(I468&gt;Settings!$B$6,"BUY",IF(I468&lt;-Settings!$B$6,"SELL","HOLD")))</f>
        <v/>
      </c>
      <c r="Q468" s="151" t="str">
        <f t="shared" si="73"/>
        <v/>
      </c>
      <c r="R468" s="118" t="str">
        <f>IF(OR(N468="",P468=""),"",IF(Q468&gt;Settings!$B$3/100,"UP",IF(Q468&lt;-Settings!$B$3/100,"DOWN","FLAT")))</f>
        <v/>
      </c>
      <c r="S468" s="118" t="str">
        <f t="shared" si="74"/>
        <v/>
      </c>
      <c r="T468" s="119" t="str">
        <f t="shared" si="75"/>
        <v/>
      </c>
      <c r="U468" s="150" t="str">
        <f>IFERROR(IF(OR(J468="",N468="",P468=""),"",IF(T468=0,0,T468*Q468-Settings!$B$4/10000-IF(T468&lt;0,Settings!$B$5/10000,0))),"")</f>
        <v/>
      </c>
      <c r="W468" s="21" t="str">
        <f t="shared" si="76"/>
        <v/>
      </c>
      <c r="X468" s="91" t="str">
        <f t="shared" si="77"/>
        <v/>
      </c>
      <c r="Y468" s="91" t="str">
        <f>IFERROR(IF($X468="","",INDEX(LLM_Data_Entry!$H$3:$H$548,MATCH($X468,INDEX(LLM_Data_Entry!$A$3:$A$548&amp;"|"&amp;LLM_Data_Entry!$C$3:$C$548&amp;"|"&amp;LLM_Data_Entry!$D$3:$D$548,0),0))),"")</f>
        <v/>
      </c>
      <c r="Z468" s="91" t="str">
        <f>IFERROR(IF($X468="","",INDEX(LLM_Data_Entry!$R$3:$R$548,MATCH($X468,INDEX(LLM_Data_Entry!$A$3:$A$548&amp;"|"&amp;LLM_Data_Entry!$C$3:$C$548&amp;"|"&amp;LLM_Data_Entry!$D$3:$D$548,0),0))),"")</f>
        <v/>
      </c>
      <c r="AL468" t="str">
        <f>IF($A468="","",IFERROR(INDEX(Company_List!$G$3:$G$207,MATCH($A468,Company_List!$A$3:$A$207,0)),"unassigned"))</f>
        <v/>
      </c>
      <c r="AP468" t="str">
        <f>IF($A468="","",IF(COUNTIFS(LLM_Data_Entry!$A$3:$A$548,$A468)&gt;0,"YES","NO"))</f>
        <v/>
      </c>
      <c r="AQ468" t="str">
        <f>IF($A468="","",IF(COUNTIFS($A$3:$A468,$A468,$C$3:$C468,$C468,$D$3:$D468,$D468)=1,"YES","NO"))</f>
        <v/>
      </c>
      <c r="AR468" t="str">
        <f>IF($A468="","",IF(AND($C468&amp;"-"&amp;$D468&gt;=Settings!$B$19,$C468&amp;"-"&amp;$D468&lt;=Settings!$B$20),"IN","OUT"))</f>
        <v/>
      </c>
      <c r="AS468" t="str">
        <f t="shared" si="78"/>
        <v/>
      </c>
      <c r="AT468" t="str">
        <f t="shared" si="79"/>
        <v/>
      </c>
      <c r="AU468" t="str">
        <f t="shared" si="80"/>
        <v/>
      </c>
      <c r="AV468" t="str">
        <f>IF(ISNUMBER($AT468),ABS(IF(ISNUMBER($I468),$I468,0)-Settings!$B$24),"")</f>
        <v/>
      </c>
      <c r="AW468" t="str">
        <f t="shared" si="81"/>
        <v/>
      </c>
      <c r="AX468" t="str">
        <f>IF(ISNUMBER($AU468),ABS(IF(ISNUMBER($I468),$I468,0)-Settings!$B$24),"")</f>
        <v/>
      </c>
      <c r="AY468" t="s">
        <v>549</v>
      </c>
      <c r="AZ468" t="str">
        <f>IF($A468="","",IFERROR(INDEX(Company_List!$H$3:$H$207,MATCH($A468,Company_List!$A$3:$A$207,0)),"unassigned"))</f>
        <v/>
      </c>
      <c r="BC468" t="str">
        <f>IF($A468="","",IF(COUNTIFS($A$3:$A468,$A468,$C$3:$C468,$C468,$D$3:$D468,$D468,$G$3:$G468,$G468)=1,1,0))</f>
        <v/>
      </c>
      <c r="BK468" t="str">
        <f t="shared" si="82"/>
        <v/>
      </c>
    </row>
    <row r="469" spans="2:63" x14ac:dyDescent="0.2">
      <c r="B469" s="142" t="str">
        <f>IF(A469="","",_xlfn.XLOOKUP(A469, Company_List!$A:$A, Company_List!$B:$B, ""))</f>
        <v/>
      </c>
      <c r="J469" s="145" t="str">
        <f>IF(OR(I469="",Settings!$B$6=""),"",IF(I469&gt;Settings!$B$6,"BUY",IF(I469&lt;-Settings!$B$6,"SELL","HOLD")))</f>
        <v/>
      </c>
      <c r="Q469" s="151" t="str">
        <f t="shared" si="73"/>
        <v/>
      </c>
      <c r="R469" s="118" t="str">
        <f>IF(OR(N469="",P469=""),"",IF(Q469&gt;Settings!$B$3/100,"UP",IF(Q469&lt;-Settings!$B$3/100,"DOWN","FLAT")))</f>
        <v/>
      </c>
      <c r="S469" s="118" t="str">
        <f t="shared" si="74"/>
        <v/>
      </c>
      <c r="T469" s="119" t="str">
        <f t="shared" si="75"/>
        <v/>
      </c>
      <c r="U469" s="150" t="str">
        <f>IFERROR(IF(OR(J469="",N469="",P469=""),"",IF(T469=0,0,T469*Q469-Settings!$B$4/10000-IF(T469&lt;0,Settings!$B$5/10000,0))),"")</f>
        <v/>
      </c>
      <c r="W469" s="21" t="str">
        <f t="shared" si="76"/>
        <v/>
      </c>
      <c r="X469" s="91" t="str">
        <f t="shared" si="77"/>
        <v/>
      </c>
      <c r="Y469" s="91" t="str">
        <f>IFERROR(IF($X469="","",INDEX(LLM_Data_Entry!$H$3:$H$548,MATCH($X469,INDEX(LLM_Data_Entry!$A$3:$A$548&amp;"|"&amp;LLM_Data_Entry!$C$3:$C$548&amp;"|"&amp;LLM_Data_Entry!$D$3:$D$548,0),0))),"")</f>
        <v/>
      </c>
      <c r="Z469" s="91" t="str">
        <f>IFERROR(IF($X469="","",INDEX(LLM_Data_Entry!$R$3:$R$548,MATCH($X469,INDEX(LLM_Data_Entry!$A$3:$A$548&amp;"|"&amp;LLM_Data_Entry!$C$3:$C$548&amp;"|"&amp;LLM_Data_Entry!$D$3:$D$548,0),0))),"")</f>
        <v/>
      </c>
      <c r="AL469" t="str">
        <f>IF($A469="","",IFERROR(INDEX(Company_List!$G$3:$G$207,MATCH($A469,Company_List!$A$3:$A$207,0)),"unassigned"))</f>
        <v/>
      </c>
      <c r="AP469" t="str">
        <f>IF($A469="","",IF(COUNTIFS(LLM_Data_Entry!$A$3:$A$548,$A469)&gt;0,"YES","NO"))</f>
        <v/>
      </c>
      <c r="AQ469" t="str">
        <f>IF($A469="","",IF(COUNTIFS($A$3:$A469,$A469,$C$3:$C469,$C469,$D$3:$D469,$D469)=1,"YES","NO"))</f>
        <v/>
      </c>
      <c r="AR469" t="str">
        <f>IF($A469="","",IF(AND($C469&amp;"-"&amp;$D469&gt;=Settings!$B$19,$C469&amp;"-"&amp;$D469&lt;=Settings!$B$20),"IN","OUT"))</f>
        <v/>
      </c>
      <c r="AS469" t="str">
        <f t="shared" si="78"/>
        <v/>
      </c>
      <c r="AT469" t="str">
        <f t="shared" si="79"/>
        <v/>
      </c>
      <c r="AU469" t="str">
        <f t="shared" si="80"/>
        <v/>
      </c>
      <c r="AV469" t="str">
        <f>IF(ISNUMBER($AT469),ABS(IF(ISNUMBER($I469),$I469,0)-Settings!$B$24),"")</f>
        <v/>
      </c>
      <c r="AW469" t="str">
        <f t="shared" si="81"/>
        <v/>
      </c>
      <c r="AX469" t="str">
        <f>IF(ISNUMBER($AU469),ABS(IF(ISNUMBER($I469),$I469,0)-Settings!$B$24),"")</f>
        <v/>
      </c>
      <c r="AY469" t="s">
        <v>549</v>
      </c>
      <c r="AZ469" t="str">
        <f>IF($A469="","",IFERROR(INDEX(Company_List!$H$3:$H$207,MATCH($A469,Company_List!$A$3:$A$207,0)),"unassigned"))</f>
        <v/>
      </c>
      <c r="BC469" t="str">
        <f>IF($A469="","",IF(COUNTIFS($A$3:$A469,$A469,$C$3:$C469,$C469,$D$3:$D469,$D469,$G$3:$G469,$G469)=1,1,0))</f>
        <v/>
      </c>
      <c r="BK469" t="str">
        <f t="shared" si="82"/>
        <v/>
      </c>
    </row>
    <row r="470" spans="2:63" x14ac:dyDescent="0.2">
      <c r="B470" s="142" t="str">
        <f>IF(A470="","",_xlfn.XLOOKUP(A470, Company_List!$A:$A, Company_List!$B:$B, ""))</f>
        <v/>
      </c>
      <c r="J470" s="145" t="str">
        <f>IF(OR(I470="",Settings!$B$6=""),"",IF(I470&gt;Settings!$B$6,"BUY",IF(I470&lt;-Settings!$B$6,"SELL","HOLD")))</f>
        <v/>
      </c>
      <c r="Q470" s="151" t="str">
        <f t="shared" si="73"/>
        <v/>
      </c>
      <c r="R470" s="118" t="str">
        <f>IF(OR(N470="",P470=""),"",IF(Q470&gt;Settings!$B$3/100,"UP",IF(Q470&lt;-Settings!$B$3/100,"DOWN","FLAT")))</f>
        <v/>
      </c>
      <c r="S470" s="118" t="str">
        <f t="shared" si="74"/>
        <v/>
      </c>
      <c r="T470" s="119" t="str">
        <f t="shared" si="75"/>
        <v/>
      </c>
      <c r="U470" s="150" t="str">
        <f>IFERROR(IF(OR(J470="",N470="",P470=""),"",IF(T470=0,0,T470*Q470-Settings!$B$4/10000-IF(T470&lt;0,Settings!$B$5/10000,0))),"")</f>
        <v/>
      </c>
      <c r="W470" s="21" t="str">
        <f t="shared" si="76"/>
        <v/>
      </c>
      <c r="X470" s="91" t="str">
        <f t="shared" si="77"/>
        <v/>
      </c>
      <c r="Y470" s="91" t="str">
        <f>IFERROR(IF($X470="","",INDEX(LLM_Data_Entry!$H$3:$H$548,MATCH($X470,INDEX(LLM_Data_Entry!$A$3:$A$548&amp;"|"&amp;LLM_Data_Entry!$C$3:$C$548&amp;"|"&amp;LLM_Data_Entry!$D$3:$D$548,0),0))),"")</f>
        <v/>
      </c>
      <c r="Z470" s="91" t="str">
        <f>IFERROR(IF($X470="","",INDEX(LLM_Data_Entry!$R$3:$R$548,MATCH($X470,INDEX(LLM_Data_Entry!$A$3:$A$548&amp;"|"&amp;LLM_Data_Entry!$C$3:$C$548&amp;"|"&amp;LLM_Data_Entry!$D$3:$D$548,0),0))),"")</f>
        <v/>
      </c>
      <c r="AL470" t="str">
        <f>IF($A470="","",IFERROR(INDEX(Company_List!$G$3:$G$207,MATCH($A470,Company_List!$A$3:$A$207,0)),"unassigned"))</f>
        <v/>
      </c>
      <c r="AP470" t="str">
        <f>IF($A470="","",IF(COUNTIFS(LLM_Data_Entry!$A$3:$A$548,$A470)&gt;0,"YES","NO"))</f>
        <v/>
      </c>
      <c r="AQ470" t="str">
        <f>IF($A470="","",IF(COUNTIFS($A$3:$A470,$A470,$C$3:$C470,$C470,$D$3:$D470,$D470)=1,"YES","NO"))</f>
        <v/>
      </c>
      <c r="AR470" t="str">
        <f>IF($A470="","",IF(AND($C470&amp;"-"&amp;$D470&gt;=Settings!$B$19,$C470&amp;"-"&amp;$D470&lt;=Settings!$B$20),"IN","OUT"))</f>
        <v/>
      </c>
      <c r="AS470" t="str">
        <f t="shared" si="78"/>
        <v/>
      </c>
      <c r="AT470" t="str">
        <f t="shared" si="79"/>
        <v/>
      </c>
      <c r="AU470" t="str">
        <f t="shared" si="80"/>
        <v/>
      </c>
      <c r="AV470" t="str">
        <f>IF(ISNUMBER($AT470),ABS(IF(ISNUMBER($I470),$I470,0)-Settings!$B$24),"")</f>
        <v/>
      </c>
      <c r="AW470" t="str">
        <f t="shared" si="81"/>
        <v/>
      </c>
      <c r="AX470" t="str">
        <f>IF(ISNUMBER($AU470),ABS(IF(ISNUMBER($I470),$I470,0)-Settings!$B$24),"")</f>
        <v/>
      </c>
      <c r="AY470" t="s">
        <v>549</v>
      </c>
      <c r="AZ470" t="str">
        <f>IF($A470="","",IFERROR(INDEX(Company_List!$H$3:$H$207,MATCH($A470,Company_List!$A$3:$A$207,0)),"unassigned"))</f>
        <v/>
      </c>
      <c r="BC470" t="str">
        <f>IF($A470="","",IF(COUNTIFS($A$3:$A470,$A470,$C$3:$C470,$C470,$D$3:$D470,$D470,$G$3:$G470,$G470)=1,1,0))</f>
        <v/>
      </c>
      <c r="BK470" t="str">
        <f t="shared" si="82"/>
        <v/>
      </c>
    </row>
    <row r="471" spans="2:63" x14ac:dyDescent="0.2">
      <c r="B471" s="142" t="str">
        <f>IF(A471="","",_xlfn.XLOOKUP(A471, Company_List!$A:$A, Company_List!$B:$B, ""))</f>
        <v/>
      </c>
      <c r="J471" s="145" t="str">
        <f>IF(OR(I471="",Settings!$B$6=""),"",IF(I471&gt;Settings!$B$6,"BUY",IF(I471&lt;-Settings!$B$6,"SELL","HOLD")))</f>
        <v/>
      </c>
      <c r="Q471" s="151" t="str">
        <f t="shared" si="73"/>
        <v/>
      </c>
      <c r="R471" s="118" t="str">
        <f>IF(OR(N471="",P471=""),"",IF(Q471&gt;Settings!$B$3/100,"UP",IF(Q471&lt;-Settings!$B$3/100,"DOWN","FLAT")))</f>
        <v/>
      </c>
      <c r="S471" s="118" t="str">
        <f t="shared" si="74"/>
        <v/>
      </c>
      <c r="T471" s="119" t="str">
        <f t="shared" si="75"/>
        <v/>
      </c>
      <c r="U471" s="150" t="str">
        <f>IFERROR(IF(OR(J471="",N471="",P471=""),"",IF(T471=0,0,T471*Q471-Settings!$B$4/10000-IF(T471&lt;0,Settings!$B$5/10000,0))),"")</f>
        <v/>
      </c>
      <c r="W471" s="21" t="str">
        <f t="shared" si="76"/>
        <v/>
      </c>
      <c r="X471" s="91" t="str">
        <f t="shared" si="77"/>
        <v/>
      </c>
      <c r="Y471" s="91" t="str">
        <f>IFERROR(IF($X471="","",INDEX(LLM_Data_Entry!$H$3:$H$548,MATCH($X471,INDEX(LLM_Data_Entry!$A$3:$A$548&amp;"|"&amp;LLM_Data_Entry!$C$3:$C$548&amp;"|"&amp;LLM_Data_Entry!$D$3:$D$548,0),0))),"")</f>
        <v/>
      </c>
      <c r="Z471" s="91" t="str">
        <f>IFERROR(IF($X471="","",INDEX(LLM_Data_Entry!$R$3:$R$548,MATCH($X471,INDEX(LLM_Data_Entry!$A$3:$A$548&amp;"|"&amp;LLM_Data_Entry!$C$3:$C$548&amp;"|"&amp;LLM_Data_Entry!$D$3:$D$548,0),0))),"")</f>
        <v/>
      </c>
      <c r="AL471" t="str">
        <f>IF($A471="","",IFERROR(INDEX(Company_List!$G$3:$G$207,MATCH($A471,Company_List!$A$3:$A$207,0)),"unassigned"))</f>
        <v/>
      </c>
      <c r="AP471" t="str">
        <f>IF($A471="","",IF(COUNTIFS(LLM_Data_Entry!$A$3:$A$548,$A471)&gt;0,"YES","NO"))</f>
        <v/>
      </c>
      <c r="AQ471" t="str">
        <f>IF($A471="","",IF(COUNTIFS($A$3:$A471,$A471,$C$3:$C471,$C471,$D$3:$D471,$D471)=1,"YES","NO"))</f>
        <v/>
      </c>
      <c r="AR471" t="str">
        <f>IF($A471="","",IF(AND($C471&amp;"-"&amp;$D471&gt;=Settings!$B$19,$C471&amp;"-"&amp;$D471&lt;=Settings!$B$20),"IN","OUT"))</f>
        <v/>
      </c>
      <c r="AS471" t="str">
        <f t="shared" si="78"/>
        <v/>
      </c>
      <c r="AT471" t="str">
        <f t="shared" si="79"/>
        <v/>
      </c>
      <c r="AU471" t="str">
        <f t="shared" si="80"/>
        <v/>
      </c>
      <c r="AV471" t="str">
        <f>IF(ISNUMBER($AT471),ABS(IF(ISNUMBER($I471),$I471,0)-Settings!$B$24),"")</f>
        <v/>
      </c>
      <c r="AW471" t="str">
        <f t="shared" si="81"/>
        <v/>
      </c>
      <c r="AX471" t="str">
        <f>IF(ISNUMBER($AU471),ABS(IF(ISNUMBER($I471),$I471,0)-Settings!$B$24),"")</f>
        <v/>
      </c>
      <c r="AY471" t="s">
        <v>549</v>
      </c>
      <c r="AZ471" t="str">
        <f>IF($A471="","",IFERROR(INDEX(Company_List!$H$3:$H$207,MATCH($A471,Company_List!$A$3:$A$207,0)),"unassigned"))</f>
        <v/>
      </c>
      <c r="BC471" t="str">
        <f>IF($A471="","",IF(COUNTIFS($A$3:$A471,$A471,$C$3:$C471,$C471,$D$3:$D471,$D471,$G$3:$G471,$G471)=1,1,0))</f>
        <v/>
      </c>
      <c r="BK471" t="str">
        <f t="shared" si="82"/>
        <v/>
      </c>
    </row>
    <row r="472" spans="2:63" x14ac:dyDescent="0.2">
      <c r="B472" s="142" t="str">
        <f>IF(A472="","",_xlfn.XLOOKUP(A472, Company_List!$A:$A, Company_List!$B:$B, ""))</f>
        <v/>
      </c>
      <c r="J472" s="145" t="str">
        <f>IF(OR(I472="",Settings!$B$6=""),"",IF(I472&gt;Settings!$B$6,"BUY",IF(I472&lt;-Settings!$B$6,"SELL","HOLD")))</f>
        <v/>
      </c>
      <c r="Q472" s="151" t="str">
        <f t="shared" si="73"/>
        <v/>
      </c>
      <c r="R472" s="118" t="str">
        <f>IF(OR(N472="",P472=""),"",IF(Q472&gt;Settings!$B$3/100,"UP",IF(Q472&lt;-Settings!$B$3/100,"DOWN","FLAT")))</f>
        <v/>
      </c>
      <c r="S472" s="118" t="str">
        <f t="shared" si="74"/>
        <v/>
      </c>
      <c r="T472" s="119" t="str">
        <f t="shared" si="75"/>
        <v/>
      </c>
      <c r="U472" s="150" t="str">
        <f>IFERROR(IF(OR(J472="",N472="",P472=""),"",IF(T472=0,0,T472*Q472-Settings!$B$4/10000-IF(T472&lt;0,Settings!$B$5/10000,0))),"")</f>
        <v/>
      </c>
      <c r="W472" s="21" t="str">
        <f t="shared" si="76"/>
        <v/>
      </c>
      <c r="X472" s="91" t="str">
        <f t="shared" si="77"/>
        <v/>
      </c>
      <c r="Y472" s="91" t="str">
        <f>IFERROR(IF($X472="","",INDEX(LLM_Data_Entry!$H$3:$H$548,MATCH($X472,INDEX(LLM_Data_Entry!$A$3:$A$548&amp;"|"&amp;LLM_Data_Entry!$C$3:$C$548&amp;"|"&amp;LLM_Data_Entry!$D$3:$D$548,0),0))),"")</f>
        <v/>
      </c>
      <c r="Z472" s="91" t="str">
        <f>IFERROR(IF($X472="","",INDEX(LLM_Data_Entry!$R$3:$R$548,MATCH($X472,INDEX(LLM_Data_Entry!$A$3:$A$548&amp;"|"&amp;LLM_Data_Entry!$C$3:$C$548&amp;"|"&amp;LLM_Data_Entry!$D$3:$D$548,0),0))),"")</f>
        <v/>
      </c>
      <c r="AL472" t="str">
        <f>IF($A472="","",IFERROR(INDEX(Company_List!$G$3:$G$207,MATCH($A472,Company_List!$A$3:$A$207,0)),"unassigned"))</f>
        <v/>
      </c>
      <c r="AP472" t="str">
        <f>IF($A472="","",IF(COUNTIFS(LLM_Data_Entry!$A$3:$A$548,$A472)&gt;0,"YES","NO"))</f>
        <v/>
      </c>
      <c r="AQ472" t="str">
        <f>IF($A472="","",IF(COUNTIFS($A$3:$A472,$A472,$C$3:$C472,$C472,$D$3:$D472,$D472)=1,"YES","NO"))</f>
        <v/>
      </c>
      <c r="AR472" t="str">
        <f>IF($A472="","",IF(AND($C472&amp;"-"&amp;$D472&gt;=Settings!$B$19,$C472&amp;"-"&amp;$D472&lt;=Settings!$B$20),"IN","OUT"))</f>
        <v/>
      </c>
      <c r="AS472" t="str">
        <f t="shared" si="78"/>
        <v/>
      </c>
      <c r="AT472" t="str">
        <f t="shared" si="79"/>
        <v/>
      </c>
      <c r="AU472" t="str">
        <f t="shared" si="80"/>
        <v/>
      </c>
      <c r="AV472" t="str">
        <f>IF(ISNUMBER($AT472),ABS(IF(ISNUMBER($I472),$I472,0)-Settings!$B$24),"")</f>
        <v/>
      </c>
      <c r="AW472" t="str">
        <f t="shared" si="81"/>
        <v/>
      </c>
      <c r="AX472" t="str">
        <f>IF(ISNUMBER($AU472),ABS(IF(ISNUMBER($I472),$I472,0)-Settings!$B$24),"")</f>
        <v/>
      </c>
      <c r="AY472" t="s">
        <v>549</v>
      </c>
      <c r="AZ472" t="str">
        <f>IF($A472="","",IFERROR(INDEX(Company_List!$H$3:$H$207,MATCH($A472,Company_List!$A$3:$A$207,0)),"unassigned"))</f>
        <v/>
      </c>
      <c r="BC472" t="str">
        <f>IF($A472="","",IF(COUNTIFS($A$3:$A472,$A472,$C$3:$C472,$C472,$D$3:$D472,$D472,$G$3:$G472,$G472)=1,1,0))</f>
        <v/>
      </c>
      <c r="BK472" t="str">
        <f t="shared" si="82"/>
        <v/>
      </c>
    </row>
    <row r="473" spans="2:63" x14ac:dyDescent="0.2">
      <c r="B473" s="142" t="str">
        <f>IF(A473="","",_xlfn.XLOOKUP(A473, Company_List!$A:$A, Company_List!$B:$B, ""))</f>
        <v/>
      </c>
      <c r="J473" s="145" t="str">
        <f>IF(OR(I473="",Settings!$B$6=""),"",IF(I473&gt;Settings!$B$6,"BUY",IF(I473&lt;-Settings!$B$6,"SELL","HOLD")))</f>
        <v/>
      </c>
      <c r="Q473" s="151" t="str">
        <f t="shared" si="73"/>
        <v/>
      </c>
      <c r="R473" s="118" t="str">
        <f>IF(OR(N473="",P473=""),"",IF(Q473&gt;Settings!$B$3/100,"UP",IF(Q473&lt;-Settings!$B$3/100,"DOWN","FLAT")))</f>
        <v/>
      </c>
      <c r="S473" s="118" t="str">
        <f t="shared" si="74"/>
        <v/>
      </c>
      <c r="T473" s="119" t="str">
        <f t="shared" si="75"/>
        <v/>
      </c>
      <c r="U473" s="150" t="str">
        <f>IFERROR(IF(OR(J473="",N473="",P473=""),"",IF(T473=0,0,T473*Q473-Settings!$B$4/10000-IF(T473&lt;0,Settings!$B$5/10000,0))),"")</f>
        <v/>
      </c>
      <c r="W473" s="21" t="str">
        <f t="shared" si="76"/>
        <v/>
      </c>
      <c r="X473" s="91" t="str">
        <f t="shared" si="77"/>
        <v/>
      </c>
      <c r="Y473" s="91" t="str">
        <f>IFERROR(IF($X473="","",INDEX(LLM_Data_Entry!$H$3:$H$548,MATCH($X473,INDEX(LLM_Data_Entry!$A$3:$A$548&amp;"|"&amp;LLM_Data_Entry!$C$3:$C$548&amp;"|"&amp;LLM_Data_Entry!$D$3:$D$548,0),0))),"")</f>
        <v/>
      </c>
      <c r="Z473" s="91" t="str">
        <f>IFERROR(IF($X473="","",INDEX(LLM_Data_Entry!$R$3:$R$548,MATCH($X473,INDEX(LLM_Data_Entry!$A$3:$A$548&amp;"|"&amp;LLM_Data_Entry!$C$3:$C$548&amp;"|"&amp;LLM_Data_Entry!$D$3:$D$548,0),0))),"")</f>
        <v/>
      </c>
      <c r="AL473" t="str">
        <f>IF($A473="","",IFERROR(INDEX(Company_List!$G$3:$G$207,MATCH($A473,Company_List!$A$3:$A$207,0)),"unassigned"))</f>
        <v/>
      </c>
      <c r="AP473" t="str">
        <f>IF($A473="","",IF(COUNTIFS(LLM_Data_Entry!$A$3:$A$548,$A473)&gt;0,"YES","NO"))</f>
        <v/>
      </c>
      <c r="AQ473" t="str">
        <f>IF($A473="","",IF(COUNTIFS($A$3:$A473,$A473,$C$3:$C473,$C473,$D$3:$D473,$D473)=1,"YES","NO"))</f>
        <v/>
      </c>
      <c r="AR473" t="str">
        <f>IF($A473="","",IF(AND($C473&amp;"-"&amp;$D473&gt;=Settings!$B$19,$C473&amp;"-"&amp;$D473&lt;=Settings!$B$20),"IN","OUT"))</f>
        <v/>
      </c>
      <c r="AS473" t="str">
        <f t="shared" si="78"/>
        <v/>
      </c>
      <c r="AT473" t="str">
        <f t="shared" si="79"/>
        <v/>
      </c>
      <c r="AU473" t="str">
        <f t="shared" si="80"/>
        <v/>
      </c>
      <c r="AV473" t="str">
        <f>IF(ISNUMBER($AT473),ABS(IF(ISNUMBER($I473),$I473,0)-Settings!$B$24),"")</f>
        <v/>
      </c>
      <c r="AW473" t="str">
        <f t="shared" si="81"/>
        <v/>
      </c>
      <c r="AX473" t="str">
        <f>IF(ISNUMBER($AU473),ABS(IF(ISNUMBER($I473),$I473,0)-Settings!$B$24),"")</f>
        <v/>
      </c>
      <c r="AY473" t="s">
        <v>549</v>
      </c>
      <c r="AZ473" t="str">
        <f>IF($A473="","",IFERROR(INDEX(Company_List!$H$3:$H$207,MATCH($A473,Company_List!$A$3:$A$207,0)),"unassigned"))</f>
        <v/>
      </c>
      <c r="BC473" t="str">
        <f>IF($A473="","",IF(COUNTIFS($A$3:$A473,$A473,$C$3:$C473,$C473,$D$3:$D473,$D473,$G$3:$G473,$G473)=1,1,0))</f>
        <v/>
      </c>
      <c r="BK473" t="str">
        <f t="shared" si="82"/>
        <v/>
      </c>
    </row>
    <row r="474" spans="2:63" x14ac:dyDescent="0.2">
      <c r="B474" s="142" t="str">
        <f>IF(A474="","",_xlfn.XLOOKUP(A474, Company_List!$A:$A, Company_List!$B:$B, ""))</f>
        <v/>
      </c>
      <c r="J474" s="145" t="str">
        <f>IF(OR(I474="",Settings!$B$6=""),"",IF(I474&gt;Settings!$B$6,"BUY",IF(I474&lt;-Settings!$B$6,"SELL","HOLD")))</f>
        <v/>
      </c>
      <c r="Q474" s="151" t="str">
        <f t="shared" si="73"/>
        <v/>
      </c>
      <c r="R474" s="118" t="str">
        <f>IF(OR(N474="",P474=""),"",IF(Q474&gt;Settings!$B$3/100,"UP",IF(Q474&lt;-Settings!$B$3/100,"DOWN","FLAT")))</f>
        <v/>
      </c>
      <c r="S474" s="118" t="str">
        <f t="shared" si="74"/>
        <v/>
      </c>
      <c r="T474" s="119" t="str">
        <f t="shared" si="75"/>
        <v/>
      </c>
      <c r="U474" s="150" t="str">
        <f>IFERROR(IF(OR(J474="",N474="",P474=""),"",IF(T474=0,0,T474*Q474-Settings!$B$4/10000-IF(T474&lt;0,Settings!$B$5/10000,0))),"")</f>
        <v/>
      </c>
      <c r="W474" s="21" t="str">
        <f t="shared" si="76"/>
        <v/>
      </c>
      <c r="X474" s="91" t="str">
        <f t="shared" si="77"/>
        <v/>
      </c>
      <c r="Y474" s="91" t="str">
        <f>IFERROR(IF($X474="","",INDEX(LLM_Data_Entry!$H$3:$H$548,MATCH($X474,INDEX(LLM_Data_Entry!$A$3:$A$548&amp;"|"&amp;LLM_Data_Entry!$C$3:$C$548&amp;"|"&amp;LLM_Data_Entry!$D$3:$D$548,0),0))),"")</f>
        <v/>
      </c>
      <c r="Z474" s="91" t="str">
        <f>IFERROR(IF($X474="","",INDEX(LLM_Data_Entry!$R$3:$R$548,MATCH($X474,INDEX(LLM_Data_Entry!$A$3:$A$548&amp;"|"&amp;LLM_Data_Entry!$C$3:$C$548&amp;"|"&amp;LLM_Data_Entry!$D$3:$D$548,0),0))),"")</f>
        <v/>
      </c>
      <c r="AL474" t="str">
        <f>IF($A474="","",IFERROR(INDEX(Company_List!$G$3:$G$207,MATCH($A474,Company_List!$A$3:$A$207,0)),"unassigned"))</f>
        <v/>
      </c>
      <c r="AP474" t="str">
        <f>IF($A474="","",IF(COUNTIFS(LLM_Data_Entry!$A$3:$A$548,$A474)&gt;0,"YES","NO"))</f>
        <v/>
      </c>
      <c r="AQ474" t="str">
        <f>IF($A474="","",IF(COUNTIFS($A$3:$A474,$A474,$C$3:$C474,$C474,$D$3:$D474,$D474)=1,"YES","NO"))</f>
        <v/>
      </c>
      <c r="AR474" t="str">
        <f>IF($A474="","",IF(AND($C474&amp;"-"&amp;$D474&gt;=Settings!$B$19,$C474&amp;"-"&amp;$D474&lt;=Settings!$B$20),"IN","OUT"))</f>
        <v/>
      </c>
      <c r="AS474" t="str">
        <f t="shared" si="78"/>
        <v/>
      </c>
      <c r="AT474" t="str">
        <f t="shared" si="79"/>
        <v/>
      </c>
      <c r="AU474" t="str">
        <f t="shared" si="80"/>
        <v/>
      </c>
      <c r="AV474" t="str">
        <f>IF(ISNUMBER($AT474),ABS(IF(ISNUMBER($I474),$I474,0)-Settings!$B$24),"")</f>
        <v/>
      </c>
      <c r="AW474" t="str">
        <f t="shared" si="81"/>
        <v/>
      </c>
      <c r="AX474" t="str">
        <f>IF(ISNUMBER($AU474),ABS(IF(ISNUMBER($I474),$I474,0)-Settings!$B$24),"")</f>
        <v/>
      </c>
      <c r="AY474" t="s">
        <v>549</v>
      </c>
      <c r="AZ474" t="str">
        <f>IF($A474="","",IFERROR(INDEX(Company_List!$H$3:$H$207,MATCH($A474,Company_List!$A$3:$A$207,0)),"unassigned"))</f>
        <v/>
      </c>
      <c r="BC474" t="str">
        <f>IF($A474="","",IF(COUNTIFS($A$3:$A474,$A474,$C$3:$C474,$C474,$D$3:$D474,$D474,$G$3:$G474,$G474)=1,1,0))</f>
        <v/>
      </c>
      <c r="BK474" t="str">
        <f t="shared" si="82"/>
        <v/>
      </c>
    </row>
    <row r="475" spans="2:63" x14ac:dyDescent="0.2">
      <c r="B475" s="142" t="str">
        <f>IF(A475="","",_xlfn.XLOOKUP(A475, Company_List!$A:$A, Company_List!$B:$B, ""))</f>
        <v/>
      </c>
      <c r="J475" s="145" t="str">
        <f>IF(OR(I475="",Settings!$B$6=""),"",IF(I475&gt;Settings!$B$6,"BUY",IF(I475&lt;-Settings!$B$6,"SELL","HOLD")))</f>
        <v/>
      </c>
      <c r="Q475" s="151" t="str">
        <f t="shared" si="73"/>
        <v/>
      </c>
      <c r="R475" s="118" t="str">
        <f>IF(OR(N475="",P475=""),"",IF(Q475&gt;Settings!$B$3/100,"UP",IF(Q475&lt;-Settings!$B$3/100,"DOWN","FLAT")))</f>
        <v/>
      </c>
      <c r="S475" s="118" t="str">
        <f t="shared" si="74"/>
        <v/>
      </c>
      <c r="T475" s="119" t="str">
        <f t="shared" si="75"/>
        <v/>
      </c>
      <c r="U475" s="150" t="str">
        <f>IFERROR(IF(OR(J475="",N475="",P475=""),"",IF(T475=0,0,T475*Q475-Settings!$B$4/10000-IF(T475&lt;0,Settings!$B$5/10000,0))),"")</f>
        <v/>
      </c>
      <c r="W475" s="21" t="str">
        <f t="shared" si="76"/>
        <v/>
      </c>
      <c r="X475" s="91" t="str">
        <f t="shared" si="77"/>
        <v/>
      </c>
      <c r="Y475" s="91" t="str">
        <f>IFERROR(IF($X475="","",INDEX(LLM_Data_Entry!$H$3:$H$548,MATCH($X475,INDEX(LLM_Data_Entry!$A$3:$A$548&amp;"|"&amp;LLM_Data_Entry!$C$3:$C$548&amp;"|"&amp;LLM_Data_Entry!$D$3:$D$548,0),0))),"")</f>
        <v/>
      </c>
      <c r="Z475" s="91" t="str">
        <f>IFERROR(IF($X475="","",INDEX(LLM_Data_Entry!$R$3:$R$548,MATCH($X475,INDEX(LLM_Data_Entry!$A$3:$A$548&amp;"|"&amp;LLM_Data_Entry!$C$3:$C$548&amp;"|"&amp;LLM_Data_Entry!$D$3:$D$548,0),0))),"")</f>
        <v/>
      </c>
      <c r="AL475" t="str">
        <f>IF($A475="","",IFERROR(INDEX(Company_List!$G$3:$G$207,MATCH($A475,Company_List!$A$3:$A$207,0)),"unassigned"))</f>
        <v/>
      </c>
      <c r="AP475" t="str">
        <f>IF($A475="","",IF(COUNTIFS(LLM_Data_Entry!$A$3:$A$548,$A475)&gt;0,"YES","NO"))</f>
        <v/>
      </c>
      <c r="AQ475" t="str">
        <f>IF($A475="","",IF(COUNTIFS($A$3:$A475,$A475,$C$3:$C475,$C475,$D$3:$D475,$D475)=1,"YES","NO"))</f>
        <v/>
      </c>
      <c r="AR475" t="str">
        <f>IF($A475="","",IF(AND($C475&amp;"-"&amp;$D475&gt;=Settings!$B$19,$C475&amp;"-"&amp;$D475&lt;=Settings!$B$20),"IN","OUT"))</f>
        <v/>
      </c>
      <c r="AS475" t="str">
        <f t="shared" si="78"/>
        <v/>
      </c>
      <c r="AT475" t="str">
        <f t="shared" si="79"/>
        <v/>
      </c>
      <c r="AU475" t="str">
        <f t="shared" si="80"/>
        <v/>
      </c>
      <c r="AV475" t="str">
        <f>IF(ISNUMBER($AT475),ABS(IF(ISNUMBER($I475),$I475,0)-Settings!$B$24),"")</f>
        <v/>
      </c>
      <c r="AW475" t="str">
        <f t="shared" si="81"/>
        <v/>
      </c>
      <c r="AX475" t="str">
        <f>IF(ISNUMBER($AU475),ABS(IF(ISNUMBER($I475),$I475,0)-Settings!$B$24),"")</f>
        <v/>
      </c>
      <c r="AY475" t="s">
        <v>549</v>
      </c>
      <c r="AZ475" t="str">
        <f>IF($A475="","",IFERROR(INDEX(Company_List!$H$3:$H$207,MATCH($A475,Company_List!$A$3:$A$207,0)),"unassigned"))</f>
        <v/>
      </c>
      <c r="BC475" t="str">
        <f>IF($A475="","",IF(COUNTIFS($A$3:$A475,$A475,$C$3:$C475,$C475,$D$3:$D475,$D475,$G$3:$G475,$G475)=1,1,0))</f>
        <v/>
      </c>
      <c r="BK475" t="str">
        <f t="shared" si="82"/>
        <v/>
      </c>
    </row>
    <row r="476" spans="2:63" x14ac:dyDescent="0.2">
      <c r="B476" s="142" t="str">
        <f>IF(A476="","",_xlfn.XLOOKUP(A476, Company_List!$A:$A, Company_List!$B:$B, ""))</f>
        <v/>
      </c>
      <c r="J476" s="145" t="str">
        <f>IF(OR(I476="",Settings!$B$6=""),"",IF(I476&gt;Settings!$B$6,"BUY",IF(I476&lt;-Settings!$B$6,"SELL","HOLD")))</f>
        <v/>
      </c>
      <c r="Q476" s="151" t="str">
        <f t="shared" si="73"/>
        <v/>
      </c>
      <c r="R476" s="118" t="str">
        <f>IF(OR(N476="",P476=""),"",IF(Q476&gt;Settings!$B$3/100,"UP",IF(Q476&lt;-Settings!$B$3/100,"DOWN","FLAT")))</f>
        <v/>
      </c>
      <c r="S476" s="118" t="str">
        <f t="shared" si="74"/>
        <v/>
      </c>
      <c r="T476" s="119" t="str">
        <f t="shared" si="75"/>
        <v/>
      </c>
      <c r="U476" s="150" t="str">
        <f>IFERROR(IF(OR(J476="",N476="",P476=""),"",IF(T476=0,0,T476*Q476-Settings!$B$4/10000-IF(T476&lt;0,Settings!$B$5/10000,0))),"")</f>
        <v/>
      </c>
      <c r="W476" s="21" t="str">
        <f t="shared" si="76"/>
        <v/>
      </c>
      <c r="X476" s="91" t="str">
        <f t="shared" si="77"/>
        <v/>
      </c>
      <c r="Y476" s="91" t="str">
        <f>IFERROR(IF($X476="","",INDEX(LLM_Data_Entry!$H$3:$H$548,MATCH($X476,INDEX(LLM_Data_Entry!$A$3:$A$548&amp;"|"&amp;LLM_Data_Entry!$C$3:$C$548&amp;"|"&amp;LLM_Data_Entry!$D$3:$D$548,0),0))),"")</f>
        <v/>
      </c>
      <c r="Z476" s="91" t="str">
        <f>IFERROR(IF($X476="","",INDEX(LLM_Data_Entry!$R$3:$R$548,MATCH($X476,INDEX(LLM_Data_Entry!$A$3:$A$548&amp;"|"&amp;LLM_Data_Entry!$C$3:$C$548&amp;"|"&amp;LLM_Data_Entry!$D$3:$D$548,0),0))),"")</f>
        <v/>
      </c>
      <c r="AL476" t="str">
        <f>IF($A476="","",IFERROR(INDEX(Company_List!$G$3:$G$207,MATCH($A476,Company_List!$A$3:$A$207,0)),"unassigned"))</f>
        <v/>
      </c>
      <c r="AP476" t="str">
        <f>IF($A476="","",IF(COUNTIFS(LLM_Data_Entry!$A$3:$A$548,$A476)&gt;0,"YES","NO"))</f>
        <v/>
      </c>
      <c r="AQ476" t="str">
        <f>IF($A476="","",IF(COUNTIFS($A$3:$A476,$A476,$C$3:$C476,$C476,$D$3:$D476,$D476)=1,"YES","NO"))</f>
        <v/>
      </c>
      <c r="AR476" t="str">
        <f>IF($A476="","",IF(AND($C476&amp;"-"&amp;$D476&gt;=Settings!$B$19,$C476&amp;"-"&amp;$D476&lt;=Settings!$B$20),"IN","OUT"))</f>
        <v/>
      </c>
      <c r="AS476" t="str">
        <f t="shared" si="78"/>
        <v/>
      </c>
      <c r="AT476" t="str">
        <f t="shared" si="79"/>
        <v/>
      </c>
      <c r="AU476" t="str">
        <f t="shared" si="80"/>
        <v/>
      </c>
      <c r="AV476" t="str">
        <f>IF(ISNUMBER($AT476),ABS(IF(ISNUMBER($I476),$I476,0)-Settings!$B$24),"")</f>
        <v/>
      </c>
      <c r="AW476" t="str">
        <f t="shared" si="81"/>
        <v/>
      </c>
      <c r="AX476" t="str">
        <f>IF(ISNUMBER($AU476),ABS(IF(ISNUMBER($I476),$I476,0)-Settings!$B$24),"")</f>
        <v/>
      </c>
      <c r="AY476" t="s">
        <v>549</v>
      </c>
      <c r="AZ476" t="str">
        <f>IF($A476="","",IFERROR(INDEX(Company_List!$H$3:$H$207,MATCH($A476,Company_List!$A$3:$A$207,0)),"unassigned"))</f>
        <v/>
      </c>
      <c r="BC476" t="str">
        <f>IF($A476="","",IF(COUNTIFS($A$3:$A476,$A476,$C$3:$C476,$C476,$D$3:$D476,$D476,$G$3:$G476,$G476)=1,1,0))</f>
        <v/>
      </c>
      <c r="BK476" t="str">
        <f t="shared" si="82"/>
        <v/>
      </c>
    </row>
    <row r="477" spans="2:63" x14ac:dyDescent="0.2">
      <c r="B477" s="142" t="str">
        <f>IF(A477="","",_xlfn.XLOOKUP(A477, Company_List!$A:$A, Company_List!$B:$B, ""))</f>
        <v/>
      </c>
      <c r="J477" s="145" t="str">
        <f>IF(OR(I477="",Settings!$B$6=""),"",IF(I477&gt;Settings!$B$6,"BUY",IF(I477&lt;-Settings!$B$6,"SELL","HOLD")))</f>
        <v/>
      </c>
      <c r="Q477" s="151" t="str">
        <f t="shared" si="73"/>
        <v/>
      </c>
      <c r="R477" s="118" t="str">
        <f>IF(OR(N477="",P477=""),"",IF(Q477&gt;Settings!$B$3/100,"UP",IF(Q477&lt;-Settings!$B$3/100,"DOWN","FLAT")))</f>
        <v/>
      </c>
      <c r="S477" s="118" t="str">
        <f t="shared" si="74"/>
        <v/>
      </c>
      <c r="T477" s="119" t="str">
        <f t="shared" si="75"/>
        <v/>
      </c>
      <c r="U477" s="150" t="str">
        <f>IFERROR(IF(OR(J477="",N477="",P477=""),"",IF(T477=0,0,T477*Q477-Settings!$B$4/10000-IF(T477&lt;0,Settings!$B$5/10000,0))),"")</f>
        <v/>
      </c>
      <c r="W477" s="21" t="str">
        <f t="shared" si="76"/>
        <v/>
      </c>
      <c r="X477" s="91" t="str">
        <f t="shared" si="77"/>
        <v/>
      </c>
      <c r="Y477" s="91" t="str">
        <f>IFERROR(IF($X477="","",INDEX(LLM_Data_Entry!$H$3:$H$548,MATCH($X477,INDEX(LLM_Data_Entry!$A$3:$A$548&amp;"|"&amp;LLM_Data_Entry!$C$3:$C$548&amp;"|"&amp;LLM_Data_Entry!$D$3:$D$548,0),0))),"")</f>
        <v/>
      </c>
      <c r="Z477" s="91" t="str">
        <f>IFERROR(IF($X477="","",INDEX(LLM_Data_Entry!$R$3:$R$548,MATCH($X477,INDEX(LLM_Data_Entry!$A$3:$A$548&amp;"|"&amp;LLM_Data_Entry!$C$3:$C$548&amp;"|"&amp;LLM_Data_Entry!$D$3:$D$548,0),0))),"")</f>
        <v/>
      </c>
      <c r="AL477" t="str">
        <f>IF($A477="","",IFERROR(INDEX(Company_List!$G$3:$G$207,MATCH($A477,Company_List!$A$3:$A$207,0)),"unassigned"))</f>
        <v/>
      </c>
      <c r="AP477" t="str">
        <f>IF($A477="","",IF(COUNTIFS(LLM_Data_Entry!$A$3:$A$548,$A477)&gt;0,"YES","NO"))</f>
        <v/>
      </c>
      <c r="AQ477" t="str">
        <f>IF($A477="","",IF(COUNTIFS($A$3:$A477,$A477,$C$3:$C477,$C477,$D$3:$D477,$D477)=1,"YES","NO"))</f>
        <v/>
      </c>
      <c r="AR477" t="str">
        <f>IF($A477="","",IF(AND($C477&amp;"-"&amp;$D477&gt;=Settings!$B$19,$C477&amp;"-"&amp;$D477&lt;=Settings!$B$20),"IN","OUT"))</f>
        <v/>
      </c>
      <c r="AS477" t="str">
        <f t="shared" si="78"/>
        <v/>
      </c>
      <c r="AT477" t="str">
        <f t="shared" si="79"/>
        <v/>
      </c>
      <c r="AU477" t="str">
        <f t="shared" si="80"/>
        <v/>
      </c>
      <c r="AV477" t="str">
        <f>IF(ISNUMBER($AT477),ABS(IF(ISNUMBER($I477),$I477,0)-Settings!$B$24),"")</f>
        <v/>
      </c>
      <c r="AW477" t="str">
        <f t="shared" si="81"/>
        <v/>
      </c>
      <c r="AX477" t="str">
        <f>IF(ISNUMBER($AU477),ABS(IF(ISNUMBER($I477),$I477,0)-Settings!$B$24),"")</f>
        <v/>
      </c>
      <c r="AY477" t="s">
        <v>549</v>
      </c>
      <c r="AZ477" t="str">
        <f>IF($A477="","",IFERROR(INDEX(Company_List!$H$3:$H$207,MATCH($A477,Company_List!$A$3:$A$207,0)),"unassigned"))</f>
        <v/>
      </c>
      <c r="BC477" t="str">
        <f>IF($A477="","",IF(COUNTIFS($A$3:$A477,$A477,$C$3:$C477,$C477,$D$3:$D477,$D477,$G$3:$G477,$G477)=1,1,0))</f>
        <v/>
      </c>
      <c r="BK477" t="str">
        <f t="shared" si="82"/>
        <v/>
      </c>
    </row>
    <row r="478" spans="2:63" x14ac:dyDescent="0.2">
      <c r="B478" s="142" t="str">
        <f>IF(A478="","",_xlfn.XLOOKUP(A478, Company_List!$A:$A, Company_List!$B:$B, ""))</f>
        <v/>
      </c>
      <c r="J478" s="145" t="str">
        <f>IF(OR(I478="",Settings!$B$6=""),"",IF(I478&gt;Settings!$B$6,"BUY",IF(I478&lt;-Settings!$B$6,"SELL","HOLD")))</f>
        <v/>
      </c>
      <c r="Q478" s="151" t="str">
        <f t="shared" si="73"/>
        <v/>
      </c>
      <c r="R478" s="118" t="str">
        <f>IF(OR(N478="",P478=""),"",IF(Q478&gt;Settings!$B$3/100,"UP",IF(Q478&lt;-Settings!$B$3/100,"DOWN","FLAT")))</f>
        <v/>
      </c>
      <c r="S478" s="118" t="str">
        <f t="shared" si="74"/>
        <v/>
      </c>
      <c r="T478" s="119" t="str">
        <f t="shared" si="75"/>
        <v/>
      </c>
      <c r="U478" s="150" t="str">
        <f>IFERROR(IF(OR(J478="",N478="",P478=""),"",IF(T478=0,0,T478*Q478-Settings!$B$4/10000-IF(T478&lt;0,Settings!$B$5/10000,0))),"")</f>
        <v/>
      </c>
      <c r="W478" s="21" t="str">
        <f t="shared" si="76"/>
        <v/>
      </c>
      <c r="X478" s="91" t="str">
        <f t="shared" si="77"/>
        <v/>
      </c>
      <c r="Y478" s="91" t="str">
        <f>IFERROR(IF($X478="","",INDEX(LLM_Data_Entry!$H$3:$H$548,MATCH($X478,INDEX(LLM_Data_Entry!$A$3:$A$548&amp;"|"&amp;LLM_Data_Entry!$C$3:$C$548&amp;"|"&amp;LLM_Data_Entry!$D$3:$D$548,0),0))),"")</f>
        <v/>
      </c>
      <c r="Z478" s="91" t="str">
        <f>IFERROR(IF($X478="","",INDEX(LLM_Data_Entry!$R$3:$R$548,MATCH($X478,INDEX(LLM_Data_Entry!$A$3:$A$548&amp;"|"&amp;LLM_Data_Entry!$C$3:$C$548&amp;"|"&amp;LLM_Data_Entry!$D$3:$D$548,0),0))),"")</f>
        <v/>
      </c>
      <c r="AL478" t="str">
        <f>IF($A478="","",IFERROR(INDEX(Company_List!$G$3:$G$207,MATCH($A478,Company_List!$A$3:$A$207,0)),"unassigned"))</f>
        <v/>
      </c>
      <c r="AP478" t="str">
        <f>IF($A478="","",IF(COUNTIFS(LLM_Data_Entry!$A$3:$A$548,$A478)&gt;0,"YES","NO"))</f>
        <v/>
      </c>
      <c r="AQ478" t="str">
        <f>IF($A478="","",IF(COUNTIFS($A$3:$A478,$A478,$C$3:$C478,$C478,$D$3:$D478,$D478)=1,"YES","NO"))</f>
        <v/>
      </c>
      <c r="AR478" t="str">
        <f>IF($A478="","",IF(AND($C478&amp;"-"&amp;$D478&gt;=Settings!$B$19,$C478&amp;"-"&amp;$D478&lt;=Settings!$B$20),"IN","OUT"))</f>
        <v/>
      </c>
      <c r="AS478" t="str">
        <f t="shared" si="78"/>
        <v/>
      </c>
      <c r="AT478" t="str">
        <f t="shared" si="79"/>
        <v/>
      </c>
      <c r="AU478" t="str">
        <f t="shared" si="80"/>
        <v/>
      </c>
      <c r="AV478" t="str">
        <f>IF(ISNUMBER($AT478),ABS(IF(ISNUMBER($I478),$I478,0)-Settings!$B$24),"")</f>
        <v/>
      </c>
      <c r="AW478" t="str">
        <f t="shared" si="81"/>
        <v/>
      </c>
      <c r="AX478" t="str">
        <f>IF(ISNUMBER($AU478),ABS(IF(ISNUMBER($I478),$I478,0)-Settings!$B$24),"")</f>
        <v/>
      </c>
      <c r="AY478" t="s">
        <v>549</v>
      </c>
      <c r="AZ478" t="str">
        <f>IF($A478="","",IFERROR(INDEX(Company_List!$H$3:$H$207,MATCH($A478,Company_List!$A$3:$A$207,0)),"unassigned"))</f>
        <v/>
      </c>
      <c r="BC478" t="str">
        <f>IF($A478="","",IF(COUNTIFS($A$3:$A478,$A478,$C$3:$C478,$C478,$D$3:$D478,$D478,$G$3:$G478,$G478)=1,1,0))</f>
        <v/>
      </c>
      <c r="BK478" t="str">
        <f t="shared" si="82"/>
        <v/>
      </c>
    </row>
    <row r="479" spans="2:63" x14ac:dyDescent="0.2">
      <c r="B479" s="142" t="str">
        <f>IF(A479="","",_xlfn.XLOOKUP(A479, Company_List!$A:$A, Company_List!$B:$B, ""))</f>
        <v/>
      </c>
      <c r="J479" s="145" t="str">
        <f>IF(OR(I479="",Settings!$B$6=""),"",IF(I479&gt;Settings!$B$6,"BUY",IF(I479&lt;-Settings!$B$6,"SELL","HOLD")))</f>
        <v/>
      </c>
      <c r="Q479" s="151" t="str">
        <f t="shared" si="73"/>
        <v/>
      </c>
      <c r="R479" s="118" t="str">
        <f>IF(OR(N479="",P479=""),"",IF(Q479&gt;Settings!$B$3/100,"UP",IF(Q479&lt;-Settings!$B$3/100,"DOWN","FLAT")))</f>
        <v/>
      </c>
      <c r="S479" s="118" t="str">
        <f t="shared" si="74"/>
        <v/>
      </c>
      <c r="T479" s="119" t="str">
        <f t="shared" si="75"/>
        <v/>
      </c>
      <c r="U479" s="150" t="str">
        <f>IFERROR(IF(OR(J479="",N479="",P479=""),"",IF(T479=0,0,T479*Q479-Settings!$B$4/10000-IF(T479&lt;0,Settings!$B$5/10000,0))),"")</f>
        <v/>
      </c>
      <c r="W479" s="21" t="str">
        <f t="shared" si="76"/>
        <v/>
      </c>
      <c r="X479" s="91" t="str">
        <f t="shared" si="77"/>
        <v/>
      </c>
      <c r="Y479" s="91" t="str">
        <f>IFERROR(IF($X479="","",INDEX(LLM_Data_Entry!$H$3:$H$548,MATCH($X479,INDEX(LLM_Data_Entry!$A$3:$A$548&amp;"|"&amp;LLM_Data_Entry!$C$3:$C$548&amp;"|"&amp;LLM_Data_Entry!$D$3:$D$548,0),0))),"")</f>
        <v/>
      </c>
      <c r="Z479" s="91" t="str">
        <f>IFERROR(IF($X479="","",INDEX(LLM_Data_Entry!$R$3:$R$548,MATCH($X479,INDEX(LLM_Data_Entry!$A$3:$A$548&amp;"|"&amp;LLM_Data_Entry!$C$3:$C$548&amp;"|"&amp;LLM_Data_Entry!$D$3:$D$548,0),0))),"")</f>
        <v/>
      </c>
      <c r="AL479" t="str">
        <f>IF($A479="","",IFERROR(INDEX(Company_List!$G$3:$G$207,MATCH($A479,Company_List!$A$3:$A$207,0)),"unassigned"))</f>
        <v/>
      </c>
      <c r="AP479" t="str">
        <f>IF($A479="","",IF(COUNTIFS(LLM_Data_Entry!$A$3:$A$548,$A479)&gt;0,"YES","NO"))</f>
        <v/>
      </c>
      <c r="AQ479" t="str">
        <f>IF($A479="","",IF(COUNTIFS($A$3:$A479,$A479,$C$3:$C479,$C479,$D$3:$D479,$D479)=1,"YES","NO"))</f>
        <v/>
      </c>
      <c r="AR479" t="str">
        <f>IF($A479="","",IF(AND($C479&amp;"-"&amp;$D479&gt;=Settings!$B$19,$C479&amp;"-"&amp;$D479&lt;=Settings!$B$20),"IN","OUT"))</f>
        <v/>
      </c>
      <c r="AS479" t="str">
        <f t="shared" si="78"/>
        <v/>
      </c>
      <c r="AT479" t="str">
        <f t="shared" si="79"/>
        <v/>
      </c>
      <c r="AU479" t="str">
        <f t="shared" si="80"/>
        <v/>
      </c>
      <c r="AV479" t="str">
        <f>IF(ISNUMBER($AT479),ABS(IF(ISNUMBER($I479),$I479,0)-Settings!$B$24),"")</f>
        <v/>
      </c>
      <c r="AW479" t="str">
        <f t="shared" si="81"/>
        <v/>
      </c>
      <c r="AX479" t="str">
        <f>IF(ISNUMBER($AU479),ABS(IF(ISNUMBER($I479),$I479,0)-Settings!$B$24),"")</f>
        <v/>
      </c>
      <c r="AY479" t="s">
        <v>549</v>
      </c>
      <c r="AZ479" t="str">
        <f>IF($A479="","",IFERROR(INDEX(Company_List!$H$3:$H$207,MATCH($A479,Company_List!$A$3:$A$207,0)),"unassigned"))</f>
        <v/>
      </c>
      <c r="BC479" t="str">
        <f>IF($A479="","",IF(COUNTIFS($A$3:$A479,$A479,$C$3:$C479,$C479,$D$3:$D479,$D479,$G$3:$G479,$G479)=1,1,0))</f>
        <v/>
      </c>
      <c r="BK479" t="str">
        <f t="shared" si="82"/>
        <v/>
      </c>
    </row>
    <row r="480" spans="2:63" x14ac:dyDescent="0.2">
      <c r="B480" s="142" t="str">
        <f>IF(A480="","",_xlfn.XLOOKUP(A480, Company_List!$A:$A, Company_List!$B:$B, ""))</f>
        <v/>
      </c>
      <c r="J480" s="145" t="str">
        <f>IF(OR(I480="",Settings!$B$6=""),"",IF(I480&gt;Settings!$B$6,"BUY",IF(I480&lt;-Settings!$B$6,"SELL","HOLD")))</f>
        <v/>
      </c>
      <c r="Q480" s="151" t="str">
        <f t="shared" si="73"/>
        <v/>
      </c>
      <c r="R480" s="118" t="str">
        <f>IF(OR(N480="",P480=""),"",IF(Q480&gt;Settings!$B$3/100,"UP",IF(Q480&lt;-Settings!$B$3/100,"DOWN","FLAT")))</f>
        <v/>
      </c>
      <c r="S480" s="118" t="str">
        <f t="shared" si="74"/>
        <v/>
      </c>
      <c r="T480" s="119" t="str">
        <f t="shared" si="75"/>
        <v/>
      </c>
      <c r="U480" s="150" t="str">
        <f>IFERROR(IF(OR(J480="",N480="",P480=""),"",IF(T480=0,0,T480*Q480-Settings!$B$4/10000-IF(T480&lt;0,Settings!$B$5/10000,0))),"")</f>
        <v/>
      </c>
      <c r="W480" s="21" t="str">
        <f t="shared" si="76"/>
        <v/>
      </c>
      <c r="X480" s="91" t="str">
        <f t="shared" si="77"/>
        <v/>
      </c>
      <c r="Y480" s="91" t="str">
        <f>IFERROR(IF($X480="","",INDEX(LLM_Data_Entry!$H$3:$H$548,MATCH($X480,INDEX(LLM_Data_Entry!$A$3:$A$548&amp;"|"&amp;LLM_Data_Entry!$C$3:$C$548&amp;"|"&amp;LLM_Data_Entry!$D$3:$D$548,0),0))),"")</f>
        <v/>
      </c>
      <c r="Z480" s="91" t="str">
        <f>IFERROR(IF($X480="","",INDEX(LLM_Data_Entry!$R$3:$R$548,MATCH($X480,INDEX(LLM_Data_Entry!$A$3:$A$548&amp;"|"&amp;LLM_Data_Entry!$C$3:$C$548&amp;"|"&amp;LLM_Data_Entry!$D$3:$D$548,0),0))),"")</f>
        <v/>
      </c>
      <c r="AL480" t="str">
        <f>IF($A480="","",IFERROR(INDEX(Company_List!$G$3:$G$207,MATCH($A480,Company_List!$A$3:$A$207,0)),"unassigned"))</f>
        <v/>
      </c>
      <c r="AP480" t="str">
        <f>IF($A480="","",IF(COUNTIFS(LLM_Data_Entry!$A$3:$A$548,$A480)&gt;0,"YES","NO"))</f>
        <v/>
      </c>
      <c r="AQ480" t="str">
        <f>IF($A480="","",IF(COUNTIFS($A$3:$A480,$A480,$C$3:$C480,$C480,$D$3:$D480,$D480)=1,"YES","NO"))</f>
        <v/>
      </c>
      <c r="AR480" t="str">
        <f>IF($A480="","",IF(AND($C480&amp;"-"&amp;$D480&gt;=Settings!$B$19,$C480&amp;"-"&amp;$D480&lt;=Settings!$B$20),"IN","OUT"))</f>
        <v/>
      </c>
      <c r="AS480" t="str">
        <f t="shared" si="78"/>
        <v/>
      </c>
      <c r="AT480" t="str">
        <f t="shared" si="79"/>
        <v/>
      </c>
      <c r="AU480" t="str">
        <f t="shared" si="80"/>
        <v/>
      </c>
      <c r="AV480" t="str">
        <f>IF(ISNUMBER($AT480),ABS(IF(ISNUMBER($I480),$I480,0)-Settings!$B$24),"")</f>
        <v/>
      </c>
      <c r="AW480" t="str">
        <f t="shared" si="81"/>
        <v/>
      </c>
      <c r="AX480" t="str">
        <f>IF(ISNUMBER($AU480),ABS(IF(ISNUMBER($I480),$I480,0)-Settings!$B$24),"")</f>
        <v/>
      </c>
      <c r="AY480" t="s">
        <v>549</v>
      </c>
      <c r="AZ480" t="str">
        <f>IF($A480="","",IFERROR(INDEX(Company_List!$H$3:$H$207,MATCH($A480,Company_List!$A$3:$A$207,0)),"unassigned"))</f>
        <v/>
      </c>
      <c r="BC480" t="str">
        <f>IF($A480="","",IF(COUNTIFS($A$3:$A480,$A480,$C$3:$C480,$C480,$D$3:$D480,$D480,$G$3:$G480,$G480)=1,1,0))</f>
        <v/>
      </c>
      <c r="BK480" t="str">
        <f t="shared" si="82"/>
        <v/>
      </c>
    </row>
    <row r="481" spans="2:63" x14ac:dyDescent="0.2">
      <c r="B481" s="142" t="str">
        <f>IF(A481="","",_xlfn.XLOOKUP(A481, Company_List!$A:$A, Company_List!$B:$B, ""))</f>
        <v/>
      </c>
      <c r="J481" s="145" t="str">
        <f>IF(OR(I481="",Settings!$B$6=""),"",IF(I481&gt;Settings!$B$6,"BUY",IF(I481&lt;-Settings!$B$6,"SELL","HOLD")))</f>
        <v/>
      </c>
      <c r="Q481" s="151" t="str">
        <f t="shared" si="73"/>
        <v/>
      </c>
      <c r="R481" s="118" t="str">
        <f>IF(OR(N481="",P481=""),"",IF(Q481&gt;Settings!$B$3/100,"UP",IF(Q481&lt;-Settings!$B$3/100,"DOWN","FLAT")))</f>
        <v/>
      </c>
      <c r="S481" s="118" t="str">
        <f t="shared" si="74"/>
        <v/>
      </c>
      <c r="T481" s="119" t="str">
        <f t="shared" si="75"/>
        <v/>
      </c>
      <c r="U481" s="150" t="str">
        <f>IFERROR(IF(OR(J481="",N481="",P481=""),"",IF(T481=0,0,T481*Q481-Settings!$B$4/10000-IF(T481&lt;0,Settings!$B$5/10000,0))),"")</f>
        <v/>
      </c>
      <c r="W481" s="21" t="str">
        <f t="shared" si="76"/>
        <v/>
      </c>
      <c r="X481" s="91" t="str">
        <f t="shared" si="77"/>
        <v/>
      </c>
      <c r="Y481" s="91" t="str">
        <f>IFERROR(IF($X481="","",INDEX(LLM_Data_Entry!$H$3:$H$548,MATCH($X481,INDEX(LLM_Data_Entry!$A$3:$A$548&amp;"|"&amp;LLM_Data_Entry!$C$3:$C$548&amp;"|"&amp;LLM_Data_Entry!$D$3:$D$548,0),0))),"")</f>
        <v/>
      </c>
      <c r="Z481" s="91" t="str">
        <f>IFERROR(IF($X481="","",INDEX(LLM_Data_Entry!$R$3:$R$548,MATCH($X481,INDEX(LLM_Data_Entry!$A$3:$A$548&amp;"|"&amp;LLM_Data_Entry!$C$3:$C$548&amp;"|"&amp;LLM_Data_Entry!$D$3:$D$548,0),0))),"")</f>
        <v/>
      </c>
      <c r="AL481" t="str">
        <f>IF($A481="","",IFERROR(INDEX(Company_List!$G$3:$G$207,MATCH($A481,Company_List!$A$3:$A$207,0)),"unassigned"))</f>
        <v/>
      </c>
      <c r="AP481" t="str">
        <f>IF($A481="","",IF(COUNTIFS(LLM_Data_Entry!$A$3:$A$548,$A481)&gt;0,"YES","NO"))</f>
        <v/>
      </c>
      <c r="AQ481" t="str">
        <f>IF($A481="","",IF(COUNTIFS($A$3:$A481,$A481,$C$3:$C481,$C481,$D$3:$D481,$D481)=1,"YES","NO"))</f>
        <v/>
      </c>
      <c r="AR481" t="str">
        <f>IF($A481="","",IF(AND($C481&amp;"-"&amp;$D481&gt;=Settings!$B$19,$C481&amp;"-"&amp;$D481&lt;=Settings!$B$20),"IN","OUT"))</f>
        <v/>
      </c>
      <c r="AS481" t="str">
        <f t="shared" si="78"/>
        <v/>
      </c>
      <c r="AT481" t="str">
        <f t="shared" si="79"/>
        <v/>
      </c>
      <c r="AU481" t="str">
        <f t="shared" si="80"/>
        <v/>
      </c>
      <c r="AV481" t="str">
        <f>IF(ISNUMBER($AT481),ABS(IF(ISNUMBER($I481),$I481,0)-Settings!$B$24),"")</f>
        <v/>
      </c>
      <c r="AW481" t="str">
        <f t="shared" si="81"/>
        <v/>
      </c>
      <c r="AX481" t="str">
        <f>IF(ISNUMBER($AU481),ABS(IF(ISNUMBER($I481),$I481,0)-Settings!$B$24),"")</f>
        <v/>
      </c>
      <c r="AY481" t="s">
        <v>549</v>
      </c>
      <c r="AZ481" t="str">
        <f>IF($A481="","",IFERROR(INDEX(Company_List!$H$3:$H$207,MATCH($A481,Company_List!$A$3:$A$207,0)),"unassigned"))</f>
        <v/>
      </c>
      <c r="BC481" t="str">
        <f>IF($A481="","",IF(COUNTIFS($A$3:$A481,$A481,$C$3:$C481,$C481,$D$3:$D481,$D481,$G$3:$G481,$G481)=1,1,0))</f>
        <v/>
      </c>
      <c r="BK481" t="str">
        <f t="shared" si="82"/>
        <v/>
      </c>
    </row>
    <row r="482" spans="2:63" x14ac:dyDescent="0.2">
      <c r="B482" s="142" t="str">
        <f>IF(A482="","",_xlfn.XLOOKUP(A482, Company_List!$A:$A, Company_List!$B:$B, ""))</f>
        <v/>
      </c>
      <c r="J482" s="145" t="str">
        <f>IF(OR(I482="",Settings!$B$6=""),"",IF(I482&gt;Settings!$B$6,"BUY",IF(I482&lt;-Settings!$B$6,"SELL","HOLD")))</f>
        <v/>
      </c>
      <c r="Q482" s="151" t="str">
        <f t="shared" si="73"/>
        <v/>
      </c>
      <c r="R482" s="118" t="str">
        <f>IF(OR(N482="",P482=""),"",IF(Q482&gt;Settings!$B$3/100,"UP",IF(Q482&lt;-Settings!$B$3/100,"DOWN","FLAT")))</f>
        <v/>
      </c>
      <c r="S482" s="118" t="str">
        <f t="shared" si="74"/>
        <v/>
      </c>
      <c r="T482" s="119" t="str">
        <f t="shared" si="75"/>
        <v/>
      </c>
      <c r="U482" s="150" t="str">
        <f>IFERROR(IF(OR(J482="",N482="",P482=""),"",IF(T482=0,0,T482*Q482-Settings!$B$4/10000-IF(T482&lt;0,Settings!$B$5/10000,0))),"")</f>
        <v/>
      </c>
      <c r="W482" s="21" t="str">
        <f t="shared" si="76"/>
        <v/>
      </c>
      <c r="X482" s="91" t="str">
        <f t="shared" si="77"/>
        <v/>
      </c>
      <c r="Y482" s="91" t="str">
        <f>IFERROR(IF($X482="","",INDEX(LLM_Data_Entry!$H$3:$H$548,MATCH($X482,INDEX(LLM_Data_Entry!$A$3:$A$548&amp;"|"&amp;LLM_Data_Entry!$C$3:$C$548&amp;"|"&amp;LLM_Data_Entry!$D$3:$D$548,0),0))),"")</f>
        <v/>
      </c>
      <c r="Z482" s="91" t="str">
        <f>IFERROR(IF($X482="","",INDEX(LLM_Data_Entry!$R$3:$R$548,MATCH($X482,INDEX(LLM_Data_Entry!$A$3:$A$548&amp;"|"&amp;LLM_Data_Entry!$C$3:$C$548&amp;"|"&amp;LLM_Data_Entry!$D$3:$D$548,0),0))),"")</f>
        <v/>
      </c>
      <c r="AL482" t="str">
        <f>IF($A482="","",IFERROR(INDEX(Company_List!$G$3:$G$207,MATCH($A482,Company_List!$A$3:$A$207,0)),"unassigned"))</f>
        <v/>
      </c>
      <c r="AP482" t="str">
        <f>IF($A482="","",IF(COUNTIFS(LLM_Data_Entry!$A$3:$A$548,$A482)&gt;0,"YES","NO"))</f>
        <v/>
      </c>
      <c r="AQ482" t="str">
        <f>IF($A482="","",IF(COUNTIFS($A$3:$A482,$A482,$C$3:$C482,$C482,$D$3:$D482,$D482)=1,"YES","NO"))</f>
        <v/>
      </c>
      <c r="AR482" t="str">
        <f>IF($A482="","",IF(AND($C482&amp;"-"&amp;$D482&gt;=Settings!$B$19,$C482&amp;"-"&amp;$D482&lt;=Settings!$B$20),"IN","OUT"))</f>
        <v/>
      </c>
      <c r="AS482" t="str">
        <f t="shared" si="78"/>
        <v/>
      </c>
      <c r="AT482" t="str">
        <f t="shared" si="79"/>
        <v/>
      </c>
      <c r="AU482" t="str">
        <f t="shared" si="80"/>
        <v/>
      </c>
      <c r="AV482" t="str">
        <f>IF(ISNUMBER($AT482),ABS(IF(ISNUMBER($I482),$I482,0)-Settings!$B$24),"")</f>
        <v/>
      </c>
      <c r="AW482" t="str">
        <f t="shared" si="81"/>
        <v/>
      </c>
      <c r="AX482" t="str">
        <f>IF(ISNUMBER($AU482),ABS(IF(ISNUMBER($I482),$I482,0)-Settings!$B$24),"")</f>
        <v/>
      </c>
      <c r="AY482" t="s">
        <v>549</v>
      </c>
      <c r="AZ482" t="str">
        <f>IF($A482="","",IFERROR(INDEX(Company_List!$H$3:$H$207,MATCH($A482,Company_List!$A$3:$A$207,0)),"unassigned"))</f>
        <v/>
      </c>
      <c r="BC482" t="str">
        <f>IF($A482="","",IF(COUNTIFS($A$3:$A482,$A482,$C$3:$C482,$C482,$D$3:$D482,$D482,$G$3:$G482,$G482)=1,1,0))</f>
        <v/>
      </c>
      <c r="BK482" t="str">
        <f t="shared" si="82"/>
        <v/>
      </c>
    </row>
    <row r="483" spans="2:63" x14ac:dyDescent="0.2">
      <c r="B483" s="142" t="str">
        <f>IF(A483="","",_xlfn.XLOOKUP(A483, Company_List!$A:$A, Company_List!$B:$B, ""))</f>
        <v/>
      </c>
      <c r="J483" s="145" t="str">
        <f>IF(OR(I483="",Settings!$B$6=""),"",IF(I483&gt;Settings!$B$6,"BUY",IF(I483&lt;-Settings!$B$6,"SELL","HOLD")))</f>
        <v/>
      </c>
      <c r="Q483" s="151" t="str">
        <f t="shared" si="73"/>
        <v/>
      </c>
      <c r="R483" s="118" t="str">
        <f>IF(OR(N483="",P483=""),"",IF(Q483&gt;Settings!$B$3/100,"UP",IF(Q483&lt;-Settings!$B$3/100,"DOWN","FLAT")))</f>
        <v/>
      </c>
      <c r="S483" s="118" t="str">
        <f t="shared" si="74"/>
        <v/>
      </c>
      <c r="T483" s="119" t="str">
        <f t="shared" si="75"/>
        <v/>
      </c>
      <c r="U483" s="150" t="str">
        <f>IFERROR(IF(OR(J483="",N483="",P483=""),"",IF(T483=0,0,T483*Q483-Settings!$B$4/10000-IF(T483&lt;0,Settings!$B$5/10000,0))),"")</f>
        <v/>
      </c>
      <c r="W483" s="21" t="str">
        <f t="shared" si="76"/>
        <v/>
      </c>
      <c r="X483" s="91" t="str">
        <f t="shared" si="77"/>
        <v/>
      </c>
      <c r="Y483" s="91" t="str">
        <f>IFERROR(IF($X483="","",INDEX(LLM_Data_Entry!$H$3:$H$548,MATCH($X483,INDEX(LLM_Data_Entry!$A$3:$A$548&amp;"|"&amp;LLM_Data_Entry!$C$3:$C$548&amp;"|"&amp;LLM_Data_Entry!$D$3:$D$548,0),0))),"")</f>
        <v/>
      </c>
      <c r="Z483" s="91" t="str">
        <f>IFERROR(IF($X483="","",INDEX(LLM_Data_Entry!$R$3:$R$548,MATCH($X483,INDEX(LLM_Data_Entry!$A$3:$A$548&amp;"|"&amp;LLM_Data_Entry!$C$3:$C$548&amp;"|"&amp;LLM_Data_Entry!$D$3:$D$548,0),0))),"")</f>
        <v/>
      </c>
      <c r="AL483" t="str">
        <f>IF($A483="","",IFERROR(INDEX(Company_List!$G$3:$G$207,MATCH($A483,Company_List!$A$3:$A$207,0)),"unassigned"))</f>
        <v/>
      </c>
      <c r="AP483" t="str">
        <f>IF($A483="","",IF(COUNTIFS(LLM_Data_Entry!$A$3:$A$548,$A483)&gt;0,"YES","NO"))</f>
        <v/>
      </c>
      <c r="AQ483" t="str">
        <f>IF($A483="","",IF(COUNTIFS($A$3:$A483,$A483,$C$3:$C483,$C483,$D$3:$D483,$D483)=1,"YES","NO"))</f>
        <v/>
      </c>
      <c r="AR483" t="str">
        <f>IF($A483="","",IF(AND($C483&amp;"-"&amp;$D483&gt;=Settings!$B$19,$C483&amp;"-"&amp;$D483&lt;=Settings!$B$20),"IN","OUT"))</f>
        <v/>
      </c>
      <c r="AS483" t="str">
        <f t="shared" si="78"/>
        <v/>
      </c>
      <c r="AT483" t="str">
        <f t="shared" si="79"/>
        <v/>
      </c>
      <c r="AU483" t="str">
        <f t="shared" si="80"/>
        <v/>
      </c>
      <c r="AV483" t="str">
        <f>IF(ISNUMBER($AT483),ABS(IF(ISNUMBER($I483),$I483,0)-Settings!$B$24),"")</f>
        <v/>
      </c>
      <c r="AW483" t="str">
        <f t="shared" si="81"/>
        <v/>
      </c>
      <c r="AX483" t="str">
        <f>IF(ISNUMBER($AU483),ABS(IF(ISNUMBER($I483),$I483,0)-Settings!$B$24),"")</f>
        <v/>
      </c>
      <c r="AY483" t="s">
        <v>549</v>
      </c>
      <c r="AZ483" t="str">
        <f>IF($A483="","",IFERROR(INDEX(Company_List!$H$3:$H$207,MATCH($A483,Company_List!$A$3:$A$207,0)),"unassigned"))</f>
        <v/>
      </c>
      <c r="BC483" t="str">
        <f>IF($A483="","",IF(COUNTIFS($A$3:$A483,$A483,$C$3:$C483,$C483,$D$3:$D483,$D483,$G$3:$G483,$G483)=1,1,0))</f>
        <v/>
      </c>
      <c r="BK483" t="str">
        <f t="shared" si="82"/>
        <v/>
      </c>
    </row>
    <row r="484" spans="2:63" x14ac:dyDescent="0.2">
      <c r="B484" s="142" t="str">
        <f>IF(A484="","",_xlfn.XLOOKUP(A484, Company_List!$A:$A, Company_List!$B:$B, ""))</f>
        <v/>
      </c>
      <c r="J484" s="145" t="str">
        <f>IF(OR(I484="",Settings!$B$6=""),"",IF(I484&gt;Settings!$B$6,"BUY",IF(I484&lt;-Settings!$B$6,"SELL","HOLD")))</f>
        <v/>
      </c>
      <c r="Q484" s="151" t="str">
        <f t="shared" si="73"/>
        <v/>
      </c>
      <c r="R484" s="118" t="str">
        <f>IF(OR(N484="",P484=""),"",IF(Q484&gt;Settings!$B$3/100,"UP",IF(Q484&lt;-Settings!$B$3/100,"DOWN","FLAT")))</f>
        <v/>
      </c>
      <c r="S484" s="118" t="str">
        <f t="shared" si="74"/>
        <v/>
      </c>
      <c r="T484" s="119" t="str">
        <f t="shared" si="75"/>
        <v/>
      </c>
      <c r="U484" s="150" t="str">
        <f>IFERROR(IF(OR(J484="",N484="",P484=""),"",IF(T484=0,0,T484*Q484-Settings!$B$4/10000-IF(T484&lt;0,Settings!$B$5/10000,0))),"")</f>
        <v/>
      </c>
      <c r="W484" s="21" t="str">
        <f t="shared" si="76"/>
        <v/>
      </c>
      <c r="X484" s="91" t="str">
        <f t="shared" si="77"/>
        <v/>
      </c>
      <c r="Y484" s="91" t="str">
        <f>IFERROR(IF($X484="","",INDEX(LLM_Data_Entry!$H$3:$H$548,MATCH($X484,INDEX(LLM_Data_Entry!$A$3:$A$548&amp;"|"&amp;LLM_Data_Entry!$C$3:$C$548&amp;"|"&amp;LLM_Data_Entry!$D$3:$D$548,0),0))),"")</f>
        <v/>
      </c>
      <c r="Z484" s="91" t="str">
        <f>IFERROR(IF($X484="","",INDEX(LLM_Data_Entry!$R$3:$R$548,MATCH($X484,INDEX(LLM_Data_Entry!$A$3:$A$548&amp;"|"&amp;LLM_Data_Entry!$C$3:$C$548&amp;"|"&amp;LLM_Data_Entry!$D$3:$D$548,0),0))),"")</f>
        <v/>
      </c>
      <c r="AL484" t="str">
        <f>IF($A484="","",IFERROR(INDEX(Company_List!$G$3:$G$207,MATCH($A484,Company_List!$A$3:$A$207,0)),"unassigned"))</f>
        <v/>
      </c>
      <c r="AP484" t="str">
        <f>IF($A484="","",IF(COUNTIFS(LLM_Data_Entry!$A$3:$A$548,$A484)&gt;0,"YES","NO"))</f>
        <v/>
      </c>
      <c r="AQ484" t="str">
        <f>IF($A484="","",IF(COUNTIFS($A$3:$A484,$A484,$C$3:$C484,$C484,$D$3:$D484,$D484)=1,"YES","NO"))</f>
        <v/>
      </c>
      <c r="AR484" t="str">
        <f>IF($A484="","",IF(AND($C484&amp;"-"&amp;$D484&gt;=Settings!$B$19,$C484&amp;"-"&amp;$D484&lt;=Settings!$B$20),"IN","OUT"))</f>
        <v/>
      </c>
      <c r="AS484" t="str">
        <f t="shared" si="78"/>
        <v/>
      </c>
      <c r="AT484" t="str">
        <f t="shared" si="79"/>
        <v/>
      </c>
      <c r="AU484" t="str">
        <f t="shared" si="80"/>
        <v/>
      </c>
      <c r="AV484" t="str">
        <f>IF(ISNUMBER($AT484),ABS(IF(ISNUMBER($I484),$I484,0)-Settings!$B$24),"")</f>
        <v/>
      </c>
      <c r="AW484" t="str">
        <f t="shared" si="81"/>
        <v/>
      </c>
      <c r="AX484" t="str">
        <f>IF(ISNUMBER($AU484),ABS(IF(ISNUMBER($I484),$I484,0)-Settings!$B$24),"")</f>
        <v/>
      </c>
      <c r="AY484" t="s">
        <v>549</v>
      </c>
      <c r="AZ484" t="str">
        <f>IF($A484="","",IFERROR(INDEX(Company_List!$H$3:$H$207,MATCH($A484,Company_List!$A$3:$A$207,0)),"unassigned"))</f>
        <v/>
      </c>
      <c r="BC484" t="str">
        <f>IF($A484="","",IF(COUNTIFS($A$3:$A484,$A484,$C$3:$C484,$C484,$D$3:$D484,$D484,$G$3:$G484,$G484)=1,1,0))</f>
        <v/>
      </c>
      <c r="BK484" t="str">
        <f t="shared" si="82"/>
        <v/>
      </c>
    </row>
    <row r="485" spans="2:63" x14ac:dyDescent="0.2">
      <c r="B485" s="142" t="str">
        <f>IF(A485="","",_xlfn.XLOOKUP(A485, Company_List!$A:$A, Company_List!$B:$B, ""))</f>
        <v/>
      </c>
      <c r="J485" s="145" t="str">
        <f>IF(OR(I485="",Settings!$B$6=""),"",IF(I485&gt;Settings!$B$6,"BUY",IF(I485&lt;-Settings!$B$6,"SELL","HOLD")))</f>
        <v/>
      </c>
      <c r="Q485" s="151" t="str">
        <f t="shared" si="73"/>
        <v/>
      </c>
      <c r="R485" s="118" t="str">
        <f>IF(OR(N485="",P485=""),"",IF(Q485&gt;Settings!$B$3/100,"UP",IF(Q485&lt;-Settings!$B$3/100,"DOWN","FLAT")))</f>
        <v/>
      </c>
      <c r="S485" s="118" t="str">
        <f t="shared" si="74"/>
        <v/>
      </c>
      <c r="T485" s="119" t="str">
        <f t="shared" si="75"/>
        <v/>
      </c>
      <c r="U485" s="150" t="str">
        <f>IFERROR(IF(OR(J485="",N485="",P485=""),"",IF(T485=0,0,T485*Q485-Settings!$B$4/10000-IF(T485&lt;0,Settings!$B$5/10000,0))),"")</f>
        <v/>
      </c>
      <c r="W485" s="21" t="str">
        <f t="shared" si="76"/>
        <v/>
      </c>
      <c r="X485" s="91" t="str">
        <f t="shared" si="77"/>
        <v/>
      </c>
      <c r="Y485" s="91" t="str">
        <f>IFERROR(IF($X485="","",INDEX(LLM_Data_Entry!$H$3:$H$548,MATCH($X485,INDEX(LLM_Data_Entry!$A$3:$A$548&amp;"|"&amp;LLM_Data_Entry!$C$3:$C$548&amp;"|"&amp;LLM_Data_Entry!$D$3:$D$548,0),0))),"")</f>
        <v/>
      </c>
      <c r="Z485" s="91" t="str">
        <f>IFERROR(IF($X485="","",INDEX(LLM_Data_Entry!$R$3:$R$548,MATCH($X485,INDEX(LLM_Data_Entry!$A$3:$A$548&amp;"|"&amp;LLM_Data_Entry!$C$3:$C$548&amp;"|"&amp;LLM_Data_Entry!$D$3:$D$548,0),0))),"")</f>
        <v/>
      </c>
      <c r="AL485" t="str">
        <f>IF($A485="","",IFERROR(INDEX(Company_List!$G$3:$G$207,MATCH($A485,Company_List!$A$3:$A$207,0)),"unassigned"))</f>
        <v/>
      </c>
      <c r="AP485" t="str">
        <f>IF($A485="","",IF(COUNTIFS(LLM_Data_Entry!$A$3:$A$548,$A485)&gt;0,"YES","NO"))</f>
        <v/>
      </c>
      <c r="AQ485" t="str">
        <f>IF($A485="","",IF(COUNTIFS($A$3:$A485,$A485,$C$3:$C485,$C485,$D$3:$D485,$D485)=1,"YES","NO"))</f>
        <v/>
      </c>
      <c r="AR485" t="str">
        <f>IF($A485="","",IF(AND($C485&amp;"-"&amp;$D485&gt;=Settings!$B$19,$C485&amp;"-"&amp;$D485&lt;=Settings!$B$20),"IN","OUT"))</f>
        <v/>
      </c>
      <c r="AS485" t="str">
        <f t="shared" si="78"/>
        <v/>
      </c>
      <c r="AT485" t="str">
        <f t="shared" si="79"/>
        <v/>
      </c>
      <c r="AU485" t="str">
        <f t="shared" si="80"/>
        <v/>
      </c>
      <c r="AV485" t="str">
        <f>IF(ISNUMBER($AT485),ABS(IF(ISNUMBER($I485),$I485,0)-Settings!$B$24),"")</f>
        <v/>
      </c>
      <c r="AW485" t="str">
        <f t="shared" si="81"/>
        <v/>
      </c>
      <c r="AX485" t="str">
        <f>IF(ISNUMBER($AU485),ABS(IF(ISNUMBER($I485),$I485,0)-Settings!$B$24),"")</f>
        <v/>
      </c>
      <c r="AY485" t="s">
        <v>549</v>
      </c>
      <c r="AZ485" t="str">
        <f>IF($A485="","",IFERROR(INDEX(Company_List!$H$3:$H$207,MATCH($A485,Company_List!$A$3:$A$207,0)),"unassigned"))</f>
        <v/>
      </c>
      <c r="BC485" t="str">
        <f>IF($A485="","",IF(COUNTIFS($A$3:$A485,$A485,$C$3:$C485,$C485,$D$3:$D485,$D485,$G$3:$G485,$G485)=1,1,0))</f>
        <v/>
      </c>
      <c r="BK485" t="str">
        <f t="shared" si="82"/>
        <v/>
      </c>
    </row>
    <row r="486" spans="2:63" x14ac:dyDescent="0.2">
      <c r="B486" s="142" t="str">
        <f>IF(A486="","",_xlfn.XLOOKUP(A486, Company_List!$A:$A, Company_List!$B:$B, ""))</f>
        <v/>
      </c>
      <c r="J486" s="145" t="str">
        <f>IF(OR(I486="",Settings!$B$6=""),"",IF(I486&gt;Settings!$B$6,"BUY",IF(I486&lt;-Settings!$B$6,"SELL","HOLD")))</f>
        <v/>
      </c>
      <c r="Q486" s="151" t="str">
        <f t="shared" si="73"/>
        <v/>
      </c>
      <c r="R486" s="118" t="str">
        <f>IF(OR(N486="",P486=""),"",IF(Q486&gt;Settings!$B$3/100,"UP",IF(Q486&lt;-Settings!$B$3/100,"DOWN","FLAT")))</f>
        <v/>
      </c>
      <c r="S486" s="118" t="str">
        <f t="shared" si="74"/>
        <v/>
      </c>
      <c r="T486" s="119" t="str">
        <f t="shared" si="75"/>
        <v/>
      </c>
      <c r="U486" s="150" t="str">
        <f>IFERROR(IF(OR(J486="",N486="",P486=""),"",IF(T486=0,0,T486*Q486-Settings!$B$4/10000-IF(T486&lt;0,Settings!$B$5/10000,0))),"")</f>
        <v/>
      </c>
      <c r="W486" s="21" t="str">
        <f t="shared" si="76"/>
        <v/>
      </c>
      <c r="X486" s="91" t="str">
        <f t="shared" si="77"/>
        <v/>
      </c>
      <c r="Y486" s="91" t="str">
        <f>IFERROR(IF($X486="","",INDEX(LLM_Data_Entry!$H$3:$H$548,MATCH($X486,INDEX(LLM_Data_Entry!$A$3:$A$548&amp;"|"&amp;LLM_Data_Entry!$C$3:$C$548&amp;"|"&amp;LLM_Data_Entry!$D$3:$D$548,0),0))),"")</f>
        <v/>
      </c>
      <c r="Z486" s="91" t="str">
        <f>IFERROR(IF($X486="","",INDEX(LLM_Data_Entry!$R$3:$R$548,MATCH($X486,INDEX(LLM_Data_Entry!$A$3:$A$548&amp;"|"&amp;LLM_Data_Entry!$C$3:$C$548&amp;"|"&amp;LLM_Data_Entry!$D$3:$D$548,0),0))),"")</f>
        <v/>
      </c>
      <c r="AL486" t="str">
        <f>IF($A486="","",IFERROR(INDEX(Company_List!$G$3:$G$207,MATCH($A486,Company_List!$A$3:$A$207,0)),"unassigned"))</f>
        <v/>
      </c>
      <c r="AP486" t="str">
        <f>IF($A486="","",IF(COUNTIFS(LLM_Data_Entry!$A$3:$A$548,$A486)&gt;0,"YES","NO"))</f>
        <v/>
      </c>
      <c r="AQ486" t="str">
        <f>IF($A486="","",IF(COUNTIFS($A$3:$A486,$A486,$C$3:$C486,$C486,$D$3:$D486,$D486)=1,"YES","NO"))</f>
        <v/>
      </c>
      <c r="AR486" t="str">
        <f>IF($A486="","",IF(AND($C486&amp;"-"&amp;$D486&gt;=Settings!$B$19,$C486&amp;"-"&amp;$D486&lt;=Settings!$B$20),"IN","OUT"))</f>
        <v/>
      </c>
      <c r="AS486" t="str">
        <f t="shared" si="78"/>
        <v/>
      </c>
      <c r="AT486" t="str">
        <f t="shared" si="79"/>
        <v/>
      </c>
      <c r="AU486" t="str">
        <f t="shared" si="80"/>
        <v/>
      </c>
      <c r="AV486" t="str">
        <f>IF(ISNUMBER($AT486),ABS(IF(ISNUMBER($I486),$I486,0)-Settings!$B$24),"")</f>
        <v/>
      </c>
      <c r="AW486" t="str">
        <f t="shared" si="81"/>
        <v/>
      </c>
      <c r="AX486" t="str">
        <f>IF(ISNUMBER($AU486),ABS(IF(ISNUMBER($I486),$I486,0)-Settings!$B$24),"")</f>
        <v/>
      </c>
      <c r="AY486" t="s">
        <v>549</v>
      </c>
      <c r="AZ486" t="str">
        <f>IF($A486="","",IFERROR(INDEX(Company_List!$H$3:$H$207,MATCH($A486,Company_List!$A$3:$A$207,0)),"unassigned"))</f>
        <v/>
      </c>
      <c r="BC486" t="str">
        <f>IF($A486="","",IF(COUNTIFS($A$3:$A486,$A486,$C$3:$C486,$C486,$D$3:$D486,$D486,$G$3:$G486,$G486)=1,1,0))</f>
        <v/>
      </c>
      <c r="BK486" t="str">
        <f t="shared" si="82"/>
        <v/>
      </c>
    </row>
    <row r="487" spans="2:63" x14ac:dyDescent="0.2">
      <c r="B487" s="142" t="str">
        <f>IF(A487="","",_xlfn.XLOOKUP(A487, Company_List!$A:$A, Company_List!$B:$B, ""))</f>
        <v/>
      </c>
      <c r="J487" s="145" t="str">
        <f>IF(OR(I487="",Settings!$B$6=""),"",IF(I487&gt;Settings!$B$6,"BUY",IF(I487&lt;-Settings!$B$6,"SELL","HOLD")))</f>
        <v/>
      </c>
      <c r="Q487" s="151" t="str">
        <f t="shared" si="73"/>
        <v/>
      </c>
      <c r="R487" s="118" t="str">
        <f>IF(OR(N487="",P487=""),"",IF(Q487&gt;Settings!$B$3/100,"UP",IF(Q487&lt;-Settings!$B$3/100,"DOWN","FLAT")))</f>
        <v/>
      </c>
      <c r="S487" s="118" t="str">
        <f t="shared" si="74"/>
        <v/>
      </c>
      <c r="T487" s="119" t="str">
        <f t="shared" si="75"/>
        <v/>
      </c>
      <c r="U487" s="150" t="str">
        <f>IFERROR(IF(OR(J487="",N487="",P487=""),"",IF(T487=0,0,T487*Q487-Settings!$B$4/10000-IF(T487&lt;0,Settings!$B$5/10000,0))),"")</f>
        <v/>
      </c>
      <c r="W487" s="21" t="str">
        <f t="shared" si="76"/>
        <v/>
      </c>
      <c r="X487" s="91" t="str">
        <f t="shared" si="77"/>
        <v/>
      </c>
      <c r="Y487" s="91" t="str">
        <f>IFERROR(IF($X487="","",INDEX(LLM_Data_Entry!$H$3:$H$548,MATCH($X487,INDEX(LLM_Data_Entry!$A$3:$A$548&amp;"|"&amp;LLM_Data_Entry!$C$3:$C$548&amp;"|"&amp;LLM_Data_Entry!$D$3:$D$548,0),0))),"")</f>
        <v/>
      </c>
      <c r="Z487" s="91" t="str">
        <f>IFERROR(IF($X487="","",INDEX(LLM_Data_Entry!$R$3:$R$548,MATCH($X487,INDEX(LLM_Data_Entry!$A$3:$A$548&amp;"|"&amp;LLM_Data_Entry!$C$3:$C$548&amp;"|"&amp;LLM_Data_Entry!$D$3:$D$548,0),0))),"")</f>
        <v/>
      </c>
      <c r="AL487" t="str">
        <f>IF($A487="","",IFERROR(INDEX(Company_List!$G$3:$G$207,MATCH($A487,Company_List!$A$3:$A$207,0)),"unassigned"))</f>
        <v/>
      </c>
      <c r="AP487" t="str">
        <f>IF($A487="","",IF(COUNTIFS(LLM_Data_Entry!$A$3:$A$548,$A487)&gt;0,"YES","NO"))</f>
        <v/>
      </c>
      <c r="AQ487" t="str">
        <f>IF($A487="","",IF(COUNTIFS($A$3:$A487,$A487,$C$3:$C487,$C487,$D$3:$D487,$D487)=1,"YES","NO"))</f>
        <v/>
      </c>
      <c r="AR487" t="str">
        <f>IF($A487="","",IF(AND($C487&amp;"-"&amp;$D487&gt;=Settings!$B$19,$C487&amp;"-"&amp;$D487&lt;=Settings!$B$20),"IN","OUT"))</f>
        <v/>
      </c>
      <c r="AS487" t="str">
        <f t="shared" si="78"/>
        <v/>
      </c>
      <c r="AT487" t="str">
        <f t="shared" si="79"/>
        <v/>
      </c>
      <c r="AU487" t="str">
        <f t="shared" si="80"/>
        <v/>
      </c>
      <c r="AV487" t="str">
        <f>IF(ISNUMBER($AT487),ABS(IF(ISNUMBER($I487),$I487,0)-Settings!$B$24),"")</f>
        <v/>
      </c>
      <c r="AW487" t="str">
        <f t="shared" si="81"/>
        <v/>
      </c>
      <c r="AX487" t="str">
        <f>IF(ISNUMBER($AU487),ABS(IF(ISNUMBER($I487),$I487,0)-Settings!$B$24),"")</f>
        <v/>
      </c>
      <c r="AY487" t="s">
        <v>549</v>
      </c>
      <c r="AZ487" t="str">
        <f>IF($A487="","",IFERROR(INDEX(Company_List!$H$3:$H$207,MATCH($A487,Company_List!$A$3:$A$207,0)),"unassigned"))</f>
        <v/>
      </c>
      <c r="BC487" t="str">
        <f>IF($A487="","",IF(COUNTIFS($A$3:$A487,$A487,$C$3:$C487,$C487,$D$3:$D487,$D487,$G$3:$G487,$G487)=1,1,0))</f>
        <v/>
      </c>
      <c r="BK487" t="str">
        <f t="shared" si="82"/>
        <v/>
      </c>
    </row>
    <row r="488" spans="2:63" x14ac:dyDescent="0.2">
      <c r="B488" s="142" t="str">
        <f>IF(A488="","",_xlfn.XLOOKUP(A488, Company_List!$A:$A, Company_List!$B:$B, ""))</f>
        <v/>
      </c>
      <c r="J488" s="145" t="str">
        <f>IF(OR(I488="",Settings!$B$6=""),"",IF(I488&gt;Settings!$B$6,"BUY",IF(I488&lt;-Settings!$B$6,"SELL","HOLD")))</f>
        <v/>
      </c>
      <c r="Q488" s="151" t="str">
        <f t="shared" si="73"/>
        <v/>
      </c>
      <c r="R488" s="118" t="str">
        <f>IF(OR(N488="",P488=""),"",IF(Q488&gt;Settings!$B$3/100,"UP",IF(Q488&lt;-Settings!$B$3/100,"DOWN","FLAT")))</f>
        <v/>
      </c>
      <c r="S488" s="118" t="str">
        <f t="shared" si="74"/>
        <v/>
      </c>
      <c r="T488" s="119" t="str">
        <f t="shared" si="75"/>
        <v/>
      </c>
      <c r="U488" s="150" t="str">
        <f>IFERROR(IF(OR(J488="",N488="",P488=""),"",IF(T488=0,0,T488*Q488-Settings!$B$4/10000-IF(T488&lt;0,Settings!$B$5/10000,0))),"")</f>
        <v/>
      </c>
      <c r="W488" s="21" t="str">
        <f t="shared" si="76"/>
        <v/>
      </c>
      <c r="X488" s="91" t="str">
        <f t="shared" si="77"/>
        <v/>
      </c>
      <c r="Y488" s="91" t="str">
        <f>IFERROR(IF($X488="","",INDEX(LLM_Data_Entry!$H$3:$H$548,MATCH($X488,INDEX(LLM_Data_Entry!$A$3:$A$548&amp;"|"&amp;LLM_Data_Entry!$C$3:$C$548&amp;"|"&amp;LLM_Data_Entry!$D$3:$D$548,0),0))),"")</f>
        <v/>
      </c>
      <c r="Z488" s="91" t="str">
        <f>IFERROR(IF($X488="","",INDEX(LLM_Data_Entry!$R$3:$R$548,MATCH($X488,INDEX(LLM_Data_Entry!$A$3:$A$548&amp;"|"&amp;LLM_Data_Entry!$C$3:$C$548&amp;"|"&amp;LLM_Data_Entry!$D$3:$D$548,0),0))),"")</f>
        <v/>
      </c>
      <c r="AL488" t="str">
        <f>IF($A488="","",IFERROR(INDEX(Company_List!$G$3:$G$207,MATCH($A488,Company_List!$A$3:$A$207,0)),"unassigned"))</f>
        <v/>
      </c>
      <c r="AP488" t="str">
        <f>IF($A488="","",IF(COUNTIFS(LLM_Data_Entry!$A$3:$A$548,$A488)&gt;0,"YES","NO"))</f>
        <v/>
      </c>
      <c r="AQ488" t="str">
        <f>IF($A488="","",IF(COUNTIFS($A$3:$A488,$A488,$C$3:$C488,$C488,$D$3:$D488,$D488)=1,"YES","NO"))</f>
        <v/>
      </c>
      <c r="AR488" t="str">
        <f>IF($A488="","",IF(AND($C488&amp;"-"&amp;$D488&gt;=Settings!$B$19,$C488&amp;"-"&amp;$D488&lt;=Settings!$B$20),"IN","OUT"))</f>
        <v/>
      </c>
      <c r="AS488" t="str">
        <f t="shared" si="78"/>
        <v/>
      </c>
      <c r="AT488" t="str">
        <f t="shared" si="79"/>
        <v/>
      </c>
      <c r="AU488" t="str">
        <f t="shared" si="80"/>
        <v/>
      </c>
      <c r="AV488" t="str">
        <f>IF(ISNUMBER($AT488),ABS(IF(ISNUMBER($I488),$I488,0)-Settings!$B$24),"")</f>
        <v/>
      </c>
      <c r="AW488" t="str">
        <f t="shared" si="81"/>
        <v/>
      </c>
      <c r="AX488" t="str">
        <f>IF(ISNUMBER($AU488),ABS(IF(ISNUMBER($I488),$I488,0)-Settings!$B$24),"")</f>
        <v/>
      </c>
      <c r="AY488" t="s">
        <v>549</v>
      </c>
      <c r="AZ488" t="str">
        <f>IF($A488="","",IFERROR(INDEX(Company_List!$H$3:$H$207,MATCH($A488,Company_List!$A$3:$A$207,0)),"unassigned"))</f>
        <v/>
      </c>
      <c r="BC488" t="str">
        <f>IF($A488="","",IF(COUNTIFS($A$3:$A488,$A488,$C$3:$C488,$C488,$D$3:$D488,$D488,$G$3:$G488,$G488)=1,1,0))</f>
        <v/>
      </c>
      <c r="BK488" t="str">
        <f t="shared" si="82"/>
        <v/>
      </c>
    </row>
    <row r="489" spans="2:63" x14ac:dyDescent="0.2">
      <c r="B489" s="142" t="str">
        <f>IF(A489="","",_xlfn.XLOOKUP(A489, Company_List!$A:$A, Company_List!$B:$B, ""))</f>
        <v/>
      </c>
      <c r="J489" s="145" t="str">
        <f>IF(OR(I489="",Settings!$B$6=""),"",IF(I489&gt;Settings!$B$6,"BUY",IF(I489&lt;-Settings!$B$6,"SELL","HOLD")))</f>
        <v/>
      </c>
      <c r="Q489" s="151" t="str">
        <f t="shared" si="73"/>
        <v/>
      </c>
      <c r="R489" s="118" t="str">
        <f>IF(OR(N489="",P489=""),"",IF(Q489&gt;Settings!$B$3/100,"UP",IF(Q489&lt;-Settings!$B$3/100,"DOWN","FLAT")))</f>
        <v/>
      </c>
      <c r="S489" s="118" t="str">
        <f t="shared" si="74"/>
        <v/>
      </c>
      <c r="T489" s="119" t="str">
        <f t="shared" si="75"/>
        <v/>
      </c>
      <c r="U489" s="150" t="str">
        <f>IFERROR(IF(OR(J489="",N489="",P489=""),"",IF(T489=0,0,T489*Q489-Settings!$B$4/10000-IF(T489&lt;0,Settings!$B$5/10000,0))),"")</f>
        <v/>
      </c>
      <c r="W489" s="21" t="str">
        <f t="shared" si="76"/>
        <v/>
      </c>
      <c r="X489" s="91" t="str">
        <f t="shared" si="77"/>
        <v/>
      </c>
      <c r="Y489" s="91" t="str">
        <f>IFERROR(IF($X489="","",INDEX(LLM_Data_Entry!$H$3:$H$548,MATCH($X489,INDEX(LLM_Data_Entry!$A$3:$A$548&amp;"|"&amp;LLM_Data_Entry!$C$3:$C$548&amp;"|"&amp;LLM_Data_Entry!$D$3:$D$548,0),0))),"")</f>
        <v/>
      </c>
      <c r="Z489" s="91" t="str">
        <f>IFERROR(IF($X489="","",INDEX(LLM_Data_Entry!$R$3:$R$548,MATCH($X489,INDEX(LLM_Data_Entry!$A$3:$A$548&amp;"|"&amp;LLM_Data_Entry!$C$3:$C$548&amp;"|"&amp;LLM_Data_Entry!$D$3:$D$548,0),0))),"")</f>
        <v/>
      </c>
      <c r="AL489" t="str">
        <f>IF($A489="","",IFERROR(INDEX(Company_List!$G$3:$G$207,MATCH($A489,Company_List!$A$3:$A$207,0)),"unassigned"))</f>
        <v/>
      </c>
      <c r="AP489" t="str">
        <f>IF($A489="","",IF(COUNTIFS(LLM_Data_Entry!$A$3:$A$548,$A489)&gt;0,"YES","NO"))</f>
        <v/>
      </c>
      <c r="AQ489" t="str">
        <f>IF($A489="","",IF(COUNTIFS($A$3:$A489,$A489,$C$3:$C489,$C489,$D$3:$D489,$D489)=1,"YES","NO"))</f>
        <v/>
      </c>
      <c r="AR489" t="str">
        <f>IF($A489="","",IF(AND($C489&amp;"-"&amp;$D489&gt;=Settings!$B$19,$C489&amp;"-"&amp;$D489&lt;=Settings!$B$20),"IN","OUT"))</f>
        <v/>
      </c>
      <c r="AS489" t="str">
        <f t="shared" si="78"/>
        <v/>
      </c>
      <c r="AT489" t="str">
        <f t="shared" si="79"/>
        <v/>
      </c>
      <c r="AU489" t="str">
        <f t="shared" si="80"/>
        <v/>
      </c>
      <c r="AV489" t="str">
        <f>IF(ISNUMBER($AT489),ABS(IF(ISNUMBER($I489),$I489,0)-Settings!$B$24),"")</f>
        <v/>
      </c>
      <c r="AW489" t="str">
        <f t="shared" si="81"/>
        <v/>
      </c>
      <c r="AX489" t="str">
        <f>IF(ISNUMBER($AU489),ABS(IF(ISNUMBER($I489),$I489,0)-Settings!$B$24),"")</f>
        <v/>
      </c>
      <c r="AY489" t="s">
        <v>549</v>
      </c>
      <c r="AZ489" t="str">
        <f>IF($A489="","",IFERROR(INDEX(Company_List!$H$3:$H$207,MATCH($A489,Company_List!$A$3:$A$207,0)),"unassigned"))</f>
        <v/>
      </c>
      <c r="BC489" t="str">
        <f>IF($A489="","",IF(COUNTIFS($A$3:$A489,$A489,$C$3:$C489,$C489,$D$3:$D489,$D489,$G$3:$G489,$G489)=1,1,0))</f>
        <v/>
      </c>
      <c r="BK489" t="str">
        <f t="shared" si="82"/>
        <v/>
      </c>
    </row>
    <row r="490" spans="2:63" x14ac:dyDescent="0.2">
      <c r="B490" s="142" t="str">
        <f>IF(A490="","",_xlfn.XLOOKUP(A490, Company_List!$A:$A, Company_List!$B:$B, ""))</f>
        <v/>
      </c>
      <c r="J490" s="145" t="str">
        <f>IF(OR(I490="",Settings!$B$6=""),"",IF(I490&gt;Settings!$B$6,"BUY",IF(I490&lt;-Settings!$B$6,"SELL","HOLD")))</f>
        <v/>
      </c>
      <c r="Q490" s="151" t="str">
        <f t="shared" si="73"/>
        <v/>
      </c>
      <c r="R490" s="118" t="str">
        <f>IF(OR(N490="",P490=""),"",IF(Q490&gt;Settings!$B$3/100,"UP",IF(Q490&lt;-Settings!$B$3/100,"DOWN","FLAT")))</f>
        <v/>
      </c>
      <c r="S490" s="118" t="str">
        <f t="shared" si="74"/>
        <v/>
      </c>
      <c r="T490" s="119" t="str">
        <f t="shared" si="75"/>
        <v/>
      </c>
      <c r="U490" s="150" t="str">
        <f>IFERROR(IF(OR(J490="",N490="",P490=""),"",IF(T490=0,0,T490*Q490-Settings!$B$4/10000-IF(T490&lt;0,Settings!$B$5/10000,0))),"")</f>
        <v/>
      </c>
      <c r="W490" s="21" t="str">
        <f t="shared" si="76"/>
        <v/>
      </c>
      <c r="X490" s="91" t="str">
        <f t="shared" si="77"/>
        <v/>
      </c>
      <c r="Y490" s="91" t="str">
        <f>IFERROR(IF($X490="","",INDEX(LLM_Data_Entry!$H$3:$H$548,MATCH($X490,INDEX(LLM_Data_Entry!$A$3:$A$548&amp;"|"&amp;LLM_Data_Entry!$C$3:$C$548&amp;"|"&amp;LLM_Data_Entry!$D$3:$D$548,0),0))),"")</f>
        <v/>
      </c>
      <c r="Z490" s="91" t="str">
        <f>IFERROR(IF($X490="","",INDEX(LLM_Data_Entry!$R$3:$R$548,MATCH($X490,INDEX(LLM_Data_Entry!$A$3:$A$548&amp;"|"&amp;LLM_Data_Entry!$C$3:$C$548&amp;"|"&amp;LLM_Data_Entry!$D$3:$D$548,0),0))),"")</f>
        <v/>
      </c>
      <c r="AL490" t="str">
        <f>IF($A490="","",IFERROR(INDEX(Company_List!$G$3:$G$207,MATCH($A490,Company_List!$A$3:$A$207,0)),"unassigned"))</f>
        <v/>
      </c>
      <c r="AP490" t="str">
        <f>IF($A490="","",IF(COUNTIFS(LLM_Data_Entry!$A$3:$A$548,$A490)&gt;0,"YES","NO"))</f>
        <v/>
      </c>
      <c r="AQ490" t="str">
        <f>IF($A490="","",IF(COUNTIFS($A$3:$A490,$A490,$C$3:$C490,$C490,$D$3:$D490,$D490)=1,"YES","NO"))</f>
        <v/>
      </c>
      <c r="AR490" t="str">
        <f>IF($A490="","",IF(AND($C490&amp;"-"&amp;$D490&gt;=Settings!$B$19,$C490&amp;"-"&amp;$D490&lt;=Settings!$B$20),"IN","OUT"))</f>
        <v/>
      </c>
      <c r="AS490" t="str">
        <f t="shared" si="78"/>
        <v/>
      </c>
      <c r="AT490" t="str">
        <f t="shared" si="79"/>
        <v/>
      </c>
      <c r="AU490" t="str">
        <f t="shared" si="80"/>
        <v/>
      </c>
      <c r="AV490" t="str">
        <f>IF(ISNUMBER($AT490),ABS(IF(ISNUMBER($I490),$I490,0)-Settings!$B$24),"")</f>
        <v/>
      </c>
      <c r="AW490" t="str">
        <f t="shared" si="81"/>
        <v/>
      </c>
      <c r="AX490" t="str">
        <f>IF(ISNUMBER($AU490),ABS(IF(ISNUMBER($I490),$I490,0)-Settings!$B$24),"")</f>
        <v/>
      </c>
      <c r="AY490" t="s">
        <v>549</v>
      </c>
      <c r="AZ490" t="str">
        <f>IF($A490="","",IFERROR(INDEX(Company_List!$H$3:$H$207,MATCH($A490,Company_List!$A$3:$A$207,0)),"unassigned"))</f>
        <v/>
      </c>
      <c r="BC490" t="str">
        <f>IF($A490="","",IF(COUNTIFS($A$3:$A490,$A490,$C$3:$C490,$C490,$D$3:$D490,$D490,$G$3:$G490,$G490)=1,1,0))</f>
        <v/>
      </c>
      <c r="BK490" t="str">
        <f t="shared" si="82"/>
        <v/>
      </c>
    </row>
    <row r="491" spans="2:63" x14ac:dyDescent="0.2">
      <c r="B491" s="142" t="str">
        <f>IF(A491="","",_xlfn.XLOOKUP(A491, Company_List!$A:$A, Company_List!$B:$B, ""))</f>
        <v/>
      </c>
      <c r="J491" s="145" t="str">
        <f>IF(OR(I491="",Settings!$B$6=""),"",IF(I491&gt;Settings!$B$6,"BUY",IF(I491&lt;-Settings!$B$6,"SELL","HOLD")))</f>
        <v/>
      </c>
      <c r="Q491" s="151" t="str">
        <f t="shared" si="73"/>
        <v/>
      </c>
      <c r="R491" s="118" t="str">
        <f>IF(OR(N491="",P491=""),"",IF(Q491&gt;Settings!$B$3/100,"UP",IF(Q491&lt;-Settings!$B$3/100,"DOWN","FLAT")))</f>
        <v/>
      </c>
      <c r="S491" s="118" t="str">
        <f t="shared" si="74"/>
        <v/>
      </c>
      <c r="T491" s="119" t="str">
        <f t="shared" si="75"/>
        <v/>
      </c>
      <c r="U491" s="150" t="str">
        <f>IFERROR(IF(OR(J491="",N491="",P491=""),"",IF(T491=0,0,T491*Q491-Settings!$B$4/10000-IF(T491&lt;0,Settings!$B$5/10000,0))),"")</f>
        <v/>
      </c>
      <c r="W491" s="21" t="str">
        <f t="shared" si="76"/>
        <v/>
      </c>
      <c r="X491" s="91" t="str">
        <f t="shared" si="77"/>
        <v/>
      </c>
      <c r="Y491" s="91" t="str">
        <f>IFERROR(IF($X491="","",INDEX(LLM_Data_Entry!$H$3:$H$548,MATCH($X491,INDEX(LLM_Data_Entry!$A$3:$A$548&amp;"|"&amp;LLM_Data_Entry!$C$3:$C$548&amp;"|"&amp;LLM_Data_Entry!$D$3:$D$548,0),0))),"")</f>
        <v/>
      </c>
      <c r="Z491" s="91" t="str">
        <f>IFERROR(IF($X491="","",INDEX(LLM_Data_Entry!$R$3:$R$548,MATCH($X491,INDEX(LLM_Data_Entry!$A$3:$A$548&amp;"|"&amp;LLM_Data_Entry!$C$3:$C$548&amp;"|"&amp;LLM_Data_Entry!$D$3:$D$548,0),0))),"")</f>
        <v/>
      </c>
      <c r="AL491" t="str">
        <f>IF($A491="","",IFERROR(INDEX(Company_List!$G$3:$G$207,MATCH($A491,Company_List!$A$3:$A$207,0)),"unassigned"))</f>
        <v/>
      </c>
      <c r="AP491" t="str">
        <f>IF($A491="","",IF(COUNTIFS(LLM_Data_Entry!$A$3:$A$548,$A491)&gt;0,"YES","NO"))</f>
        <v/>
      </c>
      <c r="AQ491" t="str">
        <f>IF($A491="","",IF(COUNTIFS($A$3:$A491,$A491,$C$3:$C491,$C491,$D$3:$D491,$D491)=1,"YES","NO"))</f>
        <v/>
      </c>
      <c r="AR491" t="str">
        <f>IF($A491="","",IF(AND($C491&amp;"-"&amp;$D491&gt;=Settings!$B$19,$C491&amp;"-"&amp;$D491&lt;=Settings!$B$20),"IN","OUT"))</f>
        <v/>
      </c>
      <c r="AS491" t="str">
        <f t="shared" si="78"/>
        <v/>
      </c>
      <c r="AT491" t="str">
        <f t="shared" si="79"/>
        <v/>
      </c>
      <c r="AU491" t="str">
        <f t="shared" si="80"/>
        <v/>
      </c>
      <c r="AV491" t="str">
        <f>IF(ISNUMBER($AT491),ABS(IF(ISNUMBER($I491),$I491,0)-Settings!$B$24),"")</f>
        <v/>
      </c>
      <c r="AW491" t="str">
        <f t="shared" si="81"/>
        <v/>
      </c>
      <c r="AX491" t="str">
        <f>IF(ISNUMBER($AU491),ABS(IF(ISNUMBER($I491),$I491,0)-Settings!$B$24),"")</f>
        <v/>
      </c>
      <c r="AY491" t="s">
        <v>549</v>
      </c>
      <c r="AZ491" t="str">
        <f>IF($A491="","",IFERROR(INDEX(Company_List!$H$3:$H$207,MATCH($A491,Company_List!$A$3:$A$207,0)),"unassigned"))</f>
        <v/>
      </c>
      <c r="BC491" t="str">
        <f>IF($A491="","",IF(COUNTIFS($A$3:$A491,$A491,$C$3:$C491,$C491,$D$3:$D491,$D491,$G$3:$G491,$G491)=1,1,0))</f>
        <v/>
      </c>
      <c r="BK491" t="str">
        <f t="shared" si="82"/>
        <v/>
      </c>
    </row>
    <row r="492" spans="2:63" x14ac:dyDescent="0.2">
      <c r="B492" s="142" t="str">
        <f>IF(A492="","",_xlfn.XLOOKUP(A492, Company_List!$A:$A, Company_List!$B:$B, ""))</f>
        <v/>
      </c>
      <c r="J492" s="145" t="str">
        <f>IF(OR(I492="",Settings!$B$6=""),"",IF(I492&gt;Settings!$B$6,"BUY",IF(I492&lt;-Settings!$B$6,"SELL","HOLD")))</f>
        <v/>
      </c>
      <c r="Q492" s="151" t="str">
        <f t="shared" si="73"/>
        <v/>
      </c>
      <c r="R492" s="118" t="str">
        <f>IF(OR(N492="",P492=""),"",IF(Q492&gt;Settings!$B$3/100,"UP",IF(Q492&lt;-Settings!$B$3/100,"DOWN","FLAT")))</f>
        <v/>
      </c>
      <c r="S492" s="118" t="str">
        <f t="shared" si="74"/>
        <v/>
      </c>
      <c r="T492" s="119" t="str">
        <f t="shared" si="75"/>
        <v/>
      </c>
      <c r="U492" s="150" t="str">
        <f>IFERROR(IF(OR(J492="",N492="",P492=""),"",IF(T492=0,0,T492*Q492-Settings!$B$4/10000-IF(T492&lt;0,Settings!$B$5/10000,0))),"")</f>
        <v/>
      </c>
      <c r="W492" s="21" t="str">
        <f t="shared" si="76"/>
        <v/>
      </c>
      <c r="X492" s="91" t="str">
        <f t="shared" si="77"/>
        <v/>
      </c>
      <c r="Y492" s="91" t="str">
        <f>IFERROR(IF($X492="","",INDEX(LLM_Data_Entry!$H$3:$H$548,MATCH($X492,INDEX(LLM_Data_Entry!$A$3:$A$548&amp;"|"&amp;LLM_Data_Entry!$C$3:$C$548&amp;"|"&amp;LLM_Data_Entry!$D$3:$D$548,0),0))),"")</f>
        <v/>
      </c>
      <c r="Z492" s="91" t="str">
        <f>IFERROR(IF($X492="","",INDEX(LLM_Data_Entry!$R$3:$R$548,MATCH($X492,INDEX(LLM_Data_Entry!$A$3:$A$548&amp;"|"&amp;LLM_Data_Entry!$C$3:$C$548&amp;"|"&amp;LLM_Data_Entry!$D$3:$D$548,0),0))),"")</f>
        <v/>
      </c>
      <c r="AL492" t="str">
        <f>IF($A492="","",IFERROR(INDEX(Company_List!$G$3:$G$207,MATCH($A492,Company_List!$A$3:$A$207,0)),"unassigned"))</f>
        <v/>
      </c>
      <c r="AP492" t="str">
        <f>IF($A492="","",IF(COUNTIFS(LLM_Data_Entry!$A$3:$A$548,$A492)&gt;0,"YES","NO"))</f>
        <v/>
      </c>
      <c r="AQ492" t="str">
        <f>IF($A492="","",IF(COUNTIFS($A$3:$A492,$A492,$C$3:$C492,$C492,$D$3:$D492,$D492)=1,"YES","NO"))</f>
        <v/>
      </c>
      <c r="AR492" t="str">
        <f>IF($A492="","",IF(AND($C492&amp;"-"&amp;$D492&gt;=Settings!$B$19,$C492&amp;"-"&amp;$D492&lt;=Settings!$B$20),"IN","OUT"))</f>
        <v/>
      </c>
      <c r="AS492" t="str">
        <f t="shared" si="78"/>
        <v/>
      </c>
      <c r="AT492" t="str">
        <f t="shared" si="79"/>
        <v/>
      </c>
      <c r="AU492" t="str">
        <f t="shared" si="80"/>
        <v/>
      </c>
      <c r="AV492" t="str">
        <f>IF(ISNUMBER($AT492),ABS(IF(ISNUMBER($I492),$I492,0)-Settings!$B$24),"")</f>
        <v/>
      </c>
      <c r="AW492" t="str">
        <f t="shared" si="81"/>
        <v/>
      </c>
      <c r="AX492" t="str">
        <f>IF(ISNUMBER($AU492),ABS(IF(ISNUMBER($I492),$I492,0)-Settings!$B$24),"")</f>
        <v/>
      </c>
      <c r="AY492" t="s">
        <v>549</v>
      </c>
      <c r="AZ492" t="str">
        <f>IF($A492="","",IFERROR(INDEX(Company_List!$H$3:$H$207,MATCH($A492,Company_List!$A$3:$A$207,0)),"unassigned"))</f>
        <v/>
      </c>
      <c r="BC492" t="str">
        <f>IF($A492="","",IF(COUNTIFS($A$3:$A492,$A492,$C$3:$C492,$C492,$D$3:$D492,$D492,$G$3:$G492,$G492)=1,1,0))</f>
        <v/>
      </c>
      <c r="BK492" t="str">
        <f t="shared" si="82"/>
        <v/>
      </c>
    </row>
    <row r="493" spans="2:63" x14ac:dyDescent="0.2">
      <c r="B493" s="142" t="str">
        <f>IF(A493="","",_xlfn.XLOOKUP(A493, Company_List!$A:$A, Company_List!$B:$B, ""))</f>
        <v/>
      </c>
      <c r="J493" s="145" t="str">
        <f>IF(OR(I493="",Settings!$B$6=""),"",IF(I493&gt;Settings!$B$6,"BUY",IF(I493&lt;-Settings!$B$6,"SELL","HOLD")))</f>
        <v/>
      </c>
      <c r="Q493" s="151" t="str">
        <f t="shared" si="73"/>
        <v/>
      </c>
      <c r="R493" s="118" t="str">
        <f>IF(OR(N493="",P493=""),"",IF(Q493&gt;Settings!$B$3/100,"UP",IF(Q493&lt;-Settings!$B$3/100,"DOWN","FLAT")))</f>
        <v/>
      </c>
      <c r="S493" s="118" t="str">
        <f t="shared" si="74"/>
        <v/>
      </c>
      <c r="T493" s="119" t="str">
        <f t="shared" si="75"/>
        <v/>
      </c>
      <c r="U493" s="150" t="str">
        <f>IFERROR(IF(OR(J493="",N493="",P493=""),"",IF(T493=0,0,T493*Q493-Settings!$B$4/10000-IF(T493&lt;0,Settings!$B$5/10000,0))),"")</f>
        <v/>
      </c>
      <c r="W493" s="21" t="str">
        <f t="shared" si="76"/>
        <v/>
      </c>
      <c r="X493" s="91" t="str">
        <f t="shared" si="77"/>
        <v/>
      </c>
      <c r="Y493" s="91" t="str">
        <f>IFERROR(IF($X493="","",INDEX(LLM_Data_Entry!$H$3:$H$548,MATCH($X493,INDEX(LLM_Data_Entry!$A$3:$A$548&amp;"|"&amp;LLM_Data_Entry!$C$3:$C$548&amp;"|"&amp;LLM_Data_Entry!$D$3:$D$548,0),0))),"")</f>
        <v/>
      </c>
      <c r="Z493" s="91" t="str">
        <f>IFERROR(IF($X493="","",INDEX(LLM_Data_Entry!$R$3:$R$548,MATCH($X493,INDEX(LLM_Data_Entry!$A$3:$A$548&amp;"|"&amp;LLM_Data_Entry!$C$3:$C$548&amp;"|"&amp;LLM_Data_Entry!$D$3:$D$548,0),0))),"")</f>
        <v/>
      </c>
      <c r="AL493" t="str">
        <f>IF($A493="","",IFERROR(INDEX(Company_List!$G$3:$G$207,MATCH($A493,Company_List!$A$3:$A$207,0)),"unassigned"))</f>
        <v/>
      </c>
      <c r="AP493" t="str">
        <f>IF($A493="","",IF(COUNTIFS(LLM_Data_Entry!$A$3:$A$548,$A493)&gt;0,"YES","NO"))</f>
        <v/>
      </c>
      <c r="AQ493" t="str">
        <f>IF($A493="","",IF(COUNTIFS($A$3:$A493,$A493,$C$3:$C493,$C493,$D$3:$D493,$D493)=1,"YES","NO"))</f>
        <v/>
      </c>
      <c r="AR493" t="str">
        <f>IF($A493="","",IF(AND($C493&amp;"-"&amp;$D493&gt;=Settings!$B$19,$C493&amp;"-"&amp;$D493&lt;=Settings!$B$20),"IN","OUT"))</f>
        <v/>
      </c>
      <c r="AS493" t="str">
        <f t="shared" si="78"/>
        <v/>
      </c>
      <c r="AT493" t="str">
        <f t="shared" si="79"/>
        <v/>
      </c>
      <c r="AU493" t="str">
        <f t="shared" si="80"/>
        <v/>
      </c>
      <c r="AV493" t="str">
        <f>IF(ISNUMBER($AT493),ABS(IF(ISNUMBER($I493),$I493,0)-Settings!$B$24),"")</f>
        <v/>
      </c>
      <c r="AW493" t="str">
        <f t="shared" si="81"/>
        <v/>
      </c>
      <c r="AX493" t="str">
        <f>IF(ISNUMBER($AU493),ABS(IF(ISNUMBER($I493),$I493,0)-Settings!$B$24),"")</f>
        <v/>
      </c>
      <c r="AY493" t="s">
        <v>549</v>
      </c>
      <c r="AZ493" t="str">
        <f>IF($A493="","",IFERROR(INDEX(Company_List!$H$3:$H$207,MATCH($A493,Company_List!$A$3:$A$207,0)),"unassigned"))</f>
        <v/>
      </c>
      <c r="BC493" t="str">
        <f>IF($A493="","",IF(COUNTIFS($A$3:$A493,$A493,$C$3:$C493,$C493,$D$3:$D493,$D493,$G$3:$G493,$G493)=1,1,0))</f>
        <v/>
      </c>
      <c r="BK493" t="str">
        <f t="shared" si="82"/>
        <v/>
      </c>
    </row>
    <row r="494" spans="2:63" x14ac:dyDescent="0.2">
      <c r="B494" s="142" t="str">
        <f>IF(A494="","",_xlfn.XLOOKUP(A494, Company_List!$A:$A, Company_List!$B:$B, ""))</f>
        <v/>
      </c>
      <c r="J494" s="145" t="str">
        <f>IF(OR(I494="",Settings!$B$6=""),"",IF(I494&gt;Settings!$B$6,"BUY",IF(I494&lt;-Settings!$B$6,"SELL","HOLD")))</f>
        <v/>
      </c>
      <c r="Q494" s="151" t="str">
        <f t="shared" si="73"/>
        <v/>
      </c>
      <c r="R494" s="118" t="str">
        <f>IF(OR(N494="",P494=""),"",IF(Q494&gt;Settings!$B$3/100,"UP",IF(Q494&lt;-Settings!$B$3/100,"DOWN","FLAT")))</f>
        <v/>
      </c>
      <c r="S494" s="118" t="str">
        <f t="shared" si="74"/>
        <v/>
      </c>
      <c r="T494" s="119" t="str">
        <f t="shared" si="75"/>
        <v/>
      </c>
      <c r="U494" s="150" t="str">
        <f>IFERROR(IF(OR(J494="",N494="",P494=""),"",IF(T494=0,0,T494*Q494-Settings!$B$4/10000-IF(T494&lt;0,Settings!$B$5/10000,0))),"")</f>
        <v/>
      </c>
      <c r="W494" s="21" t="str">
        <f t="shared" si="76"/>
        <v/>
      </c>
      <c r="X494" s="91" t="str">
        <f t="shared" si="77"/>
        <v/>
      </c>
      <c r="Y494" s="91" t="str">
        <f>IFERROR(IF($X494="","",INDEX(LLM_Data_Entry!$H$3:$H$548,MATCH($X494,INDEX(LLM_Data_Entry!$A$3:$A$548&amp;"|"&amp;LLM_Data_Entry!$C$3:$C$548&amp;"|"&amp;LLM_Data_Entry!$D$3:$D$548,0),0))),"")</f>
        <v/>
      </c>
      <c r="Z494" s="91" t="str">
        <f>IFERROR(IF($X494="","",INDEX(LLM_Data_Entry!$R$3:$R$548,MATCH($X494,INDEX(LLM_Data_Entry!$A$3:$A$548&amp;"|"&amp;LLM_Data_Entry!$C$3:$C$548&amp;"|"&amp;LLM_Data_Entry!$D$3:$D$548,0),0))),"")</f>
        <v/>
      </c>
      <c r="AL494" t="str">
        <f>IF($A494="","",IFERROR(INDEX(Company_List!$G$3:$G$207,MATCH($A494,Company_List!$A$3:$A$207,0)),"unassigned"))</f>
        <v/>
      </c>
      <c r="AP494" t="str">
        <f>IF($A494="","",IF(COUNTIFS(LLM_Data_Entry!$A$3:$A$548,$A494)&gt;0,"YES","NO"))</f>
        <v/>
      </c>
      <c r="AQ494" t="str">
        <f>IF($A494="","",IF(COUNTIFS($A$3:$A494,$A494,$C$3:$C494,$C494,$D$3:$D494,$D494)=1,"YES","NO"))</f>
        <v/>
      </c>
      <c r="AR494" t="str">
        <f>IF($A494="","",IF(AND($C494&amp;"-"&amp;$D494&gt;=Settings!$B$19,$C494&amp;"-"&amp;$D494&lt;=Settings!$B$20),"IN","OUT"))</f>
        <v/>
      </c>
      <c r="AS494" t="str">
        <f t="shared" si="78"/>
        <v/>
      </c>
      <c r="AT494" t="str">
        <f t="shared" si="79"/>
        <v/>
      </c>
      <c r="AU494" t="str">
        <f t="shared" si="80"/>
        <v/>
      </c>
      <c r="AV494" t="str">
        <f>IF(ISNUMBER($AT494),ABS(IF(ISNUMBER($I494),$I494,0)-Settings!$B$24),"")</f>
        <v/>
      </c>
      <c r="AW494" t="str">
        <f t="shared" si="81"/>
        <v/>
      </c>
      <c r="AX494" t="str">
        <f>IF(ISNUMBER($AU494),ABS(IF(ISNUMBER($I494),$I494,0)-Settings!$B$24),"")</f>
        <v/>
      </c>
      <c r="AY494" t="s">
        <v>549</v>
      </c>
      <c r="AZ494" t="str">
        <f>IF($A494="","",IFERROR(INDEX(Company_List!$H$3:$H$207,MATCH($A494,Company_List!$A$3:$A$207,0)),"unassigned"))</f>
        <v/>
      </c>
      <c r="BC494" t="str">
        <f>IF($A494="","",IF(COUNTIFS($A$3:$A494,$A494,$C$3:$C494,$C494,$D$3:$D494,$D494,$G$3:$G494,$G494)=1,1,0))</f>
        <v/>
      </c>
      <c r="BK494" t="str">
        <f t="shared" si="82"/>
        <v/>
      </c>
    </row>
    <row r="495" spans="2:63" x14ac:dyDescent="0.2">
      <c r="B495" s="142" t="str">
        <f>IF(A495="","",_xlfn.XLOOKUP(A495, Company_List!$A:$A, Company_List!$B:$B, ""))</f>
        <v/>
      </c>
      <c r="J495" s="145" t="str">
        <f>IF(OR(I495="",Settings!$B$6=""),"",IF(I495&gt;Settings!$B$6,"BUY",IF(I495&lt;-Settings!$B$6,"SELL","HOLD")))</f>
        <v/>
      </c>
      <c r="Q495" s="151" t="str">
        <f t="shared" si="73"/>
        <v/>
      </c>
      <c r="R495" s="118" t="str">
        <f>IF(OR(N495="",P495=""),"",IF(Q495&gt;Settings!$B$3/100,"UP",IF(Q495&lt;-Settings!$B$3/100,"DOWN","FLAT")))</f>
        <v/>
      </c>
      <c r="S495" s="118" t="str">
        <f t="shared" si="74"/>
        <v/>
      </c>
      <c r="T495" s="119" t="str">
        <f t="shared" si="75"/>
        <v/>
      </c>
      <c r="U495" s="150" t="str">
        <f>IFERROR(IF(OR(J495="",N495="",P495=""),"",IF(T495=0,0,T495*Q495-Settings!$B$4/10000-IF(T495&lt;0,Settings!$B$5/10000,0))),"")</f>
        <v/>
      </c>
      <c r="W495" s="21" t="str">
        <f t="shared" si="76"/>
        <v/>
      </c>
      <c r="X495" s="91" t="str">
        <f t="shared" si="77"/>
        <v/>
      </c>
      <c r="Y495" s="91" t="str">
        <f>IFERROR(IF($X495="","",INDEX(LLM_Data_Entry!$H$3:$H$548,MATCH($X495,INDEX(LLM_Data_Entry!$A$3:$A$548&amp;"|"&amp;LLM_Data_Entry!$C$3:$C$548&amp;"|"&amp;LLM_Data_Entry!$D$3:$D$548,0),0))),"")</f>
        <v/>
      </c>
      <c r="Z495" s="91" t="str">
        <f>IFERROR(IF($X495="","",INDEX(LLM_Data_Entry!$R$3:$R$548,MATCH($X495,INDEX(LLM_Data_Entry!$A$3:$A$548&amp;"|"&amp;LLM_Data_Entry!$C$3:$C$548&amp;"|"&amp;LLM_Data_Entry!$D$3:$D$548,0),0))),"")</f>
        <v/>
      </c>
      <c r="AL495" t="str">
        <f>IF($A495="","",IFERROR(INDEX(Company_List!$G$3:$G$207,MATCH($A495,Company_List!$A$3:$A$207,0)),"unassigned"))</f>
        <v/>
      </c>
      <c r="AP495" t="str">
        <f>IF($A495="","",IF(COUNTIFS(LLM_Data_Entry!$A$3:$A$548,$A495)&gt;0,"YES","NO"))</f>
        <v/>
      </c>
      <c r="AQ495" t="str">
        <f>IF($A495="","",IF(COUNTIFS($A$3:$A495,$A495,$C$3:$C495,$C495,$D$3:$D495,$D495)=1,"YES","NO"))</f>
        <v/>
      </c>
      <c r="AR495" t="str">
        <f>IF($A495="","",IF(AND($C495&amp;"-"&amp;$D495&gt;=Settings!$B$19,$C495&amp;"-"&amp;$D495&lt;=Settings!$B$20),"IN","OUT"))</f>
        <v/>
      </c>
      <c r="AS495" t="str">
        <f t="shared" si="78"/>
        <v/>
      </c>
      <c r="AT495" t="str">
        <f t="shared" si="79"/>
        <v/>
      </c>
      <c r="AU495" t="str">
        <f t="shared" si="80"/>
        <v/>
      </c>
      <c r="AV495" t="str">
        <f>IF(ISNUMBER($AT495),ABS(IF(ISNUMBER($I495),$I495,0)-Settings!$B$24),"")</f>
        <v/>
      </c>
      <c r="AW495" t="str">
        <f t="shared" si="81"/>
        <v/>
      </c>
      <c r="AX495" t="str">
        <f>IF(ISNUMBER($AU495),ABS(IF(ISNUMBER($I495),$I495,0)-Settings!$B$24),"")</f>
        <v/>
      </c>
      <c r="AY495" t="s">
        <v>549</v>
      </c>
      <c r="AZ495" t="str">
        <f>IF($A495="","",IFERROR(INDEX(Company_List!$H$3:$H$207,MATCH($A495,Company_List!$A$3:$A$207,0)),"unassigned"))</f>
        <v/>
      </c>
      <c r="BC495" t="str">
        <f>IF($A495="","",IF(COUNTIFS($A$3:$A495,$A495,$C$3:$C495,$C495,$D$3:$D495,$D495,$G$3:$G495,$G495)=1,1,0))</f>
        <v/>
      </c>
      <c r="BK495" t="str">
        <f t="shared" si="82"/>
        <v/>
      </c>
    </row>
    <row r="496" spans="2:63" x14ac:dyDescent="0.2">
      <c r="B496" s="142" t="str">
        <f>IF(A496="","",_xlfn.XLOOKUP(A496, Company_List!$A:$A, Company_List!$B:$B, ""))</f>
        <v/>
      </c>
      <c r="J496" s="145" t="str">
        <f>IF(OR(I496="",Settings!$B$6=""),"",IF(I496&gt;Settings!$B$6,"BUY",IF(I496&lt;-Settings!$B$6,"SELL","HOLD")))</f>
        <v/>
      </c>
      <c r="Q496" s="151" t="str">
        <f t="shared" si="73"/>
        <v/>
      </c>
      <c r="R496" s="118" t="str">
        <f>IF(OR(N496="",P496=""),"",IF(Q496&gt;Settings!$B$3/100,"UP",IF(Q496&lt;-Settings!$B$3/100,"DOWN","FLAT")))</f>
        <v/>
      </c>
      <c r="S496" s="118" t="str">
        <f t="shared" si="74"/>
        <v/>
      </c>
      <c r="T496" s="119" t="str">
        <f t="shared" si="75"/>
        <v/>
      </c>
      <c r="U496" s="150" t="str">
        <f>IFERROR(IF(OR(J496="",N496="",P496=""),"",IF(T496=0,0,T496*Q496-Settings!$B$4/10000-IF(T496&lt;0,Settings!$B$5/10000,0))),"")</f>
        <v/>
      </c>
      <c r="W496" s="21" t="str">
        <f t="shared" si="76"/>
        <v/>
      </c>
      <c r="X496" s="91" t="str">
        <f t="shared" si="77"/>
        <v/>
      </c>
      <c r="Y496" s="91" t="str">
        <f>IFERROR(IF($X496="","",INDEX(LLM_Data_Entry!$H$3:$H$548,MATCH($X496,INDEX(LLM_Data_Entry!$A$3:$A$548&amp;"|"&amp;LLM_Data_Entry!$C$3:$C$548&amp;"|"&amp;LLM_Data_Entry!$D$3:$D$548,0),0))),"")</f>
        <v/>
      </c>
      <c r="Z496" s="91" t="str">
        <f>IFERROR(IF($X496="","",INDEX(LLM_Data_Entry!$R$3:$R$548,MATCH($X496,INDEX(LLM_Data_Entry!$A$3:$A$548&amp;"|"&amp;LLM_Data_Entry!$C$3:$C$548&amp;"|"&amp;LLM_Data_Entry!$D$3:$D$548,0),0))),"")</f>
        <v/>
      </c>
      <c r="AL496" t="str">
        <f>IF($A496="","",IFERROR(INDEX(Company_List!$G$3:$G$207,MATCH($A496,Company_List!$A$3:$A$207,0)),"unassigned"))</f>
        <v/>
      </c>
      <c r="AP496" t="str">
        <f>IF($A496="","",IF(COUNTIFS(LLM_Data_Entry!$A$3:$A$548,$A496)&gt;0,"YES","NO"))</f>
        <v/>
      </c>
      <c r="AQ496" t="str">
        <f>IF($A496="","",IF(COUNTIFS($A$3:$A496,$A496,$C$3:$C496,$C496,$D$3:$D496,$D496)=1,"YES","NO"))</f>
        <v/>
      </c>
      <c r="AR496" t="str">
        <f>IF($A496="","",IF(AND($C496&amp;"-"&amp;$D496&gt;=Settings!$B$19,$C496&amp;"-"&amp;$D496&lt;=Settings!$B$20),"IN","OUT"))</f>
        <v/>
      </c>
      <c r="AS496" t="str">
        <f t="shared" si="78"/>
        <v/>
      </c>
      <c r="AT496" t="str">
        <f t="shared" si="79"/>
        <v/>
      </c>
      <c r="AU496" t="str">
        <f t="shared" si="80"/>
        <v/>
      </c>
      <c r="AV496" t="str">
        <f>IF(ISNUMBER($AT496),ABS(IF(ISNUMBER($I496),$I496,0)-Settings!$B$24),"")</f>
        <v/>
      </c>
      <c r="AW496" t="str">
        <f t="shared" si="81"/>
        <v/>
      </c>
      <c r="AX496" t="str">
        <f>IF(ISNUMBER($AU496),ABS(IF(ISNUMBER($I496),$I496,0)-Settings!$B$24),"")</f>
        <v/>
      </c>
      <c r="AY496" t="s">
        <v>549</v>
      </c>
      <c r="AZ496" t="str">
        <f>IF($A496="","",IFERROR(INDEX(Company_List!$H$3:$H$207,MATCH($A496,Company_List!$A$3:$A$207,0)),"unassigned"))</f>
        <v/>
      </c>
      <c r="BC496" t="str">
        <f>IF($A496="","",IF(COUNTIFS($A$3:$A496,$A496,$C$3:$C496,$C496,$D$3:$D496,$D496,$G$3:$G496,$G496)=1,1,0))</f>
        <v/>
      </c>
      <c r="BK496" t="str">
        <f t="shared" si="82"/>
        <v/>
      </c>
    </row>
    <row r="497" spans="2:63" x14ac:dyDescent="0.2">
      <c r="B497" s="142" t="str">
        <f>IF(A497="","",_xlfn.XLOOKUP(A497, Company_List!$A:$A, Company_List!$B:$B, ""))</f>
        <v/>
      </c>
      <c r="J497" s="145" t="str">
        <f>IF(OR(I497="",Settings!$B$6=""),"",IF(I497&gt;Settings!$B$6,"BUY",IF(I497&lt;-Settings!$B$6,"SELL","HOLD")))</f>
        <v/>
      </c>
      <c r="Q497" s="151" t="str">
        <f t="shared" si="73"/>
        <v/>
      </c>
      <c r="R497" s="118" t="str">
        <f>IF(OR(N497="",P497=""),"",IF(Q497&gt;Settings!$B$3/100,"UP",IF(Q497&lt;-Settings!$B$3/100,"DOWN","FLAT")))</f>
        <v/>
      </c>
      <c r="S497" s="118" t="str">
        <f t="shared" si="74"/>
        <v/>
      </c>
      <c r="T497" s="119" t="str">
        <f t="shared" si="75"/>
        <v/>
      </c>
      <c r="U497" s="150" t="str">
        <f>IFERROR(IF(OR(J497="",N497="",P497=""),"",IF(T497=0,0,T497*Q497-Settings!$B$4/10000-IF(T497&lt;0,Settings!$B$5/10000,0))),"")</f>
        <v/>
      </c>
      <c r="W497" s="21" t="str">
        <f t="shared" si="76"/>
        <v/>
      </c>
      <c r="X497" s="91" t="str">
        <f t="shared" si="77"/>
        <v/>
      </c>
      <c r="Y497" s="91" t="str">
        <f>IFERROR(IF($X497="","",INDEX(LLM_Data_Entry!$H$3:$H$548,MATCH($X497,INDEX(LLM_Data_Entry!$A$3:$A$548&amp;"|"&amp;LLM_Data_Entry!$C$3:$C$548&amp;"|"&amp;LLM_Data_Entry!$D$3:$D$548,0),0))),"")</f>
        <v/>
      </c>
      <c r="Z497" s="91" t="str">
        <f>IFERROR(IF($X497="","",INDEX(LLM_Data_Entry!$R$3:$R$548,MATCH($X497,INDEX(LLM_Data_Entry!$A$3:$A$548&amp;"|"&amp;LLM_Data_Entry!$C$3:$C$548&amp;"|"&amp;LLM_Data_Entry!$D$3:$D$548,0),0))),"")</f>
        <v/>
      </c>
      <c r="AL497" t="str">
        <f>IF($A497="","",IFERROR(INDEX(Company_List!$G$3:$G$207,MATCH($A497,Company_List!$A$3:$A$207,0)),"unassigned"))</f>
        <v/>
      </c>
      <c r="AP497" t="str">
        <f>IF($A497="","",IF(COUNTIFS(LLM_Data_Entry!$A$3:$A$548,$A497)&gt;0,"YES","NO"))</f>
        <v/>
      </c>
      <c r="AQ497" t="str">
        <f>IF($A497="","",IF(COUNTIFS($A$3:$A497,$A497,$C$3:$C497,$C497,$D$3:$D497,$D497)=1,"YES","NO"))</f>
        <v/>
      </c>
      <c r="AR497" t="str">
        <f>IF($A497="","",IF(AND($C497&amp;"-"&amp;$D497&gt;=Settings!$B$19,$C497&amp;"-"&amp;$D497&lt;=Settings!$B$20),"IN","OUT"))</f>
        <v/>
      </c>
      <c r="AS497" t="str">
        <f t="shared" si="78"/>
        <v/>
      </c>
      <c r="AT497" t="str">
        <f t="shared" si="79"/>
        <v/>
      </c>
      <c r="AU497" t="str">
        <f t="shared" si="80"/>
        <v/>
      </c>
      <c r="AV497" t="str">
        <f>IF(ISNUMBER($AT497),ABS(IF(ISNUMBER($I497),$I497,0)-Settings!$B$24),"")</f>
        <v/>
      </c>
      <c r="AW497" t="str">
        <f t="shared" si="81"/>
        <v/>
      </c>
      <c r="AX497" t="str">
        <f>IF(ISNUMBER($AU497),ABS(IF(ISNUMBER($I497),$I497,0)-Settings!$B$24),"")</f>
        <v/>
      </c>
      <c r="AY497" t="s">
        <v>549</v>
      </c>
      <c r="AZ497" t="str">
        <f>IF($A497="","",IFERROR(INDEX(Company_List!$H$3:$H$207,MATCH($A497,Company_List!$A$3:$A$207,0)),"unassigned"))</f>
        <v/>
      </c>
      <c r="BC497" t="str">
        <f>IF($A497="","",IF(COUNTIFS($A$3:$A497,$A497,$C$3:$C497,$C497,$D$3:$D497,$D497,$G$3:$G497,$G497)=1,1,0))</f>
        <v/>
      </c>
      <c r="BK497" t="str">
        <f t="shared" si="82"/>
        <v/>
      </c>
    </row>
    <row r="498" spans="2:63" x14ac:dyDescent="0.2">
      <c r="B498" s="142" t="str">
        <f>IF(A498="","",_xlfn.XLOOKUP(A498, Company_List!$A:$A, Company_List!$B:$B, ""))</f>
        <v/>
      </c>
      <c r="J498" s="145" t="str">
        <f>IF(OR(I498="",Settings!$B$6=""),"",IF(I498&gt;Settings!$B$6,"BUY",IF(I498&lt;-Settings!$B$6,"SELL","HOLD")))</f>
        <v/>
      </c>
      <c r="Q498" s="151" t="str">
        <f t="shared" si="73"/>
        <v/>
      </c>
      <c r="R498" s="118" t="str">
        <f>IF(OR(N498="",P498=""),"",IF(Q498&gt;Settings!$B$3/100,"UP",IF(Q498&lt;-Settings!$B$3/100,"DOWN","FLAT")))</f>
        <v/>
      </c>
      <c r="S498" s="118" t="str">
        <f t="shared" si="74"/>
        <v/>
      </c>
      <c r="T498" s="119" t="str">
        <f t="shared" si="75"/>
        <v/>
      </c>
      <c r="U498" s="150" t="str">
        <f>IFERROR(IF(OR(J498="",N498="",P498=""),"",IF(T498=0,0,T498*Q498-Settings!$B$4/10000-IF(T498&lt;0,Settings!$B$5/10000,0))),"")</f>
        <v/>
      </c>
      <c r="W498" s="21" t="str">
        <f t="shared" si="76"/>
        <v/>
      </c>
      <c r="X498" s="91" t="str">
        <f t="shared" si="77"/>
        <v/>
      </c>
      <c r="Y498" s="91" t="str">
        <f>IFERROR(IF($X498="","",INDEX(LLM_Data_Entry!$H$3:$H$548,MATCH($X498,INDEX(LLM_Data_Entry!$A$3:$A$548&amp;"|"&amp;LLM_Data_Entry!$C$3:$C$548&amp;"|"&amp;LLM_Data_Entry!$D$3:$D$548,0),0))),"")</f>
        <v/>
      </c>
      <c r="Z498" s="91" t="str">
        <f>IFERROR(IF($X498="","",INDEX(LLM_Data_Entry!$R$3:$R$548,MATCH($X498,INDEX(LLM_Data_Entry!$A$3:$A$548&amp;"|"&amp;LLM_Data_Entry!$C$3:$C$548&amp;"|"&amp;LLM_Data_Entry!$D$3:$D$548,0),0))),"")</f>
        <v/>
      </c>
      <c r="AL498" t="str">
        <f>IF($A498="","",IFERROR(INDEX(Company_List!$G$3:$G$207,MATCH($A498,Company_List!$A$3:$A$207,0)),"unassigned"))</f>
        <v/>
      </c>
      <c r="AP498" t="str">
        <f>IF($A498="","",IF(COUNTIFS(LLM_Data_Entry!$A$3:$A$548,$A498)&gt;0,"YES","NO"))</f>
        <v/>
      </c>
      <c r="AQ498" t="str">
        <f>IF($A498="","",IF(COUNTIFS($A$3:$A498,$A498,$C$3:$C498,$C498,$D$3:$D498,$D498)=1,"YES","NO"))</f>
        <v/>
      </c>
      <c r="AR498" t="str">
        <f>IF($A498="","",IF(AND($C498&amp;"-"&amp;$D498&gt;=Settings!$B$19,$C498&amp;"-"&amp;$D498&lt;=Settings!$B$20),"IN","OUT"))</f>
        <v/>
      </c>
      <c r="AS498" t="str">
        <f t="shared" si="78"/>
        <v/>
      </c>
      <c r="AT498" t="str">
        <f t="shared" si="79"/>
        <v/>
      </c>
      <c r="AU498" t="str">
        <f t="shared" si="80"/>
        <v/>
      </c>
      <c r="AV498" t="str">
        <f>IF(ISNUMBER($AT498),ABS(IF(ISNUMBER($I498),$I498,0)-Settings!$B$24),"")</f>
        <v/>
      </c>
      <c r="AW498" t="str">
        <f t="shared" si="81"/>
        <v/>
      </c>
      <c r="AX498" t="str">
        <f>IF(ISNUMBER($AU498),ABS(IF(ISNUMBER($I498),$I498,0)-Settings!$B$24),"")</f>
        <v/>
      </c>
      <c r="AY498" t="s">
        <v>549</v>
      </c>
      <c r="AZ498" t="str">
        <f>IF($A498="","",IFERROR(INDEX(Company_List!$H$3:$H$207,MATCH($A498,Company_List!$A$3:$A$207,0)),"unassigned"))</f>
        <v/>
      </c>
      <c r="BC498" t="str">
        <f>IF($A498="","",IF(COUNTIFS($A$3:$A498,$A498,$C$3:$C498,$C498,$D$3:$D498,$D498,$G$3:$G498,$G498)=1,1,0))</f>
        <v/>
      </c>
      <c r="BK498" t="str">
        <f t="shared" si="82"/>
        <v/>
      </c>
    </row>
    <row r="499" spans="2:63" x14ac:dyDescent="0.2">
      <c r="B499" s="142" t="str">
        <f>IF(A499="","",_xlfn.XLOOKUP(A499, Company_List!$A:$A, Company_List!$B:$B, ""))</f>
        <v/>
      </c>
      <c r="J499" s="145" t="str">
        <f>IF(OR(I499="",Settings!$B$6=""),"",IF(I499&gt;Settings!$B$6,"BUY",IF(I499&lt;-Settings!$B$6,"SELL","HOLD")))</f>
        <v/>
      </c>
      <c r="Q499" s="151" t="str">
        <f t="shared" si="73"/>
        <v/>
      </c>
      <c r="R499" s="118" t="str">
        <f>IF(OR(N499="",P499=""),"",IF(Q499&gt;Settings!$B$3/100,"UP",IF(Q499&lt;-Settings!$B$3/100,"DOWN","FLAT")))</f>
        <v/>
      </c>
      <c r="S499" s="118" t="str">
        <f t="shared" si="74"/>
        <v/>
      </c>
      <c r="T499" s="119" t="str">
        <f t="shared" si="75"/>
        <v/>
      </c>
      <c r="U499" s="150" t="str">
        <f>IFERROR(IF(OR(J499="",N499="",P499=""),"",IF(T499=0,0,T499*Q499-Settings!$B$4/10000-IF(T499&lt;0,Settings!$B$5/10000,0))),"")</f>
        <v/>
      </c>
      <c r="W499" s="21" t="str">
        <f t="shared" si="76"/>
        <v/>
      </c>
      <c r="X499" s="91" t="str">
        <f t="shared" si="77"/>
        <v/>
      </c>
      <c r="Y499" s="91" t="str">
        <f>IFERROR(IF($X499="","",INDEX(LLM_Data_Entry!$H$3:$H$548,MATCH($X499,INDEX(LLM_Data_Entry!$A$3:$A$548&amp;"|"&amp;LLM_Data_Entry!$C$3:$C$548&amp;"|"&amp;LLM_Data_Entry!$D$3:$D$548,0),0))),"")</f>
        <v/>
      </c>
      <c r="Z499" s="91" t="str">
        <f>IFERROR(IF($X499="","",INDEX(LLM_Data_Entry!$R$3:$R$548,MATCH($X499,INDEX(LLM_Data_Entry!$A$3:$A$548&amp;"|"&amp;LLM_Data_Entry!$C$3:$C$548&amp;"|"&amp;LLM_Data_Entry!$D$3:$D$548,0),0))),"")</f>
        <v/>
      </c>
      <c r="AL499" t="str">
        <f>IF($A499="","",IFERROR(INDEX(Company_List!$G$3:$G$207,MATCH($A499,Company_List!$A$3:$A$207,0)),"unassigned"))</f>
        <v/>
      </c>
      <c r="AP499" t="str">
        <f>IF($A499="","",IF(COUNTIFS(LLM_Data_Entry!$A$3:$A$548,$A499)&gt;0,"YES","NO"))</f>
        <v/>
      </c>
      <c r="AQ499" t="str">
        <f>IF($A499="","",IF(COUNTIFS($A$3:$A499,$A499,$C$3:$C499,$C499,$D$3:$D499,$D499)=1,"YES","NO"))</f>
        <v/>
      </c>
      <c r="AR499" t="str">
        <f>IF($A499="","",IF(AND($C499&amp;"-"&amp;$D499&gt;=Settings!$B$19,$C499&amp;"-"&amp;$D499&lt;=Settings!$B$20),"IN","OUT"))</f>
        <v/>
      </c>
      <c r="AS499" t="str">
        <f t="shared" si="78"/>
        <v/>
      </c>
      <c r="AT499" t="str">
        <f t="shared" si="79"/>
        <v/>
      </c>
      <c r="AU499" t="str">
        <f t="shared" si="80"/>
        <v/>
      </c>
      <c r="AV499" t="str">
        <f>IF(ISNUMBER($AT499),ABS(IF(ISNUMBER($I499),$I499,0)-Settings!$B$24),"")</f>
        <v/>
      </c>
      <c r="AW499" t="str">
        <f t="shared" si="81"/>
        <v/>
      </c>
      <c r="AX499" t="str">
        <f>IF(ISNUMBER($AU499),ABS(IF(ISNUMBER($I499),$I499,0)-Settings!$B$24),"")</f>
        <v/>
      </c>
      <c r="AY499" t="s">
        <v>549</v>
      </c>
      <c r="AZ499" t="str">
        <f>IF($A499="","",IFERROR(INDEX(Company_List!$H$3:$H$207,MATCH($A499,Company_List!$A$3:$A$207,0)),"unassigned"))</f>
        <v/>
      </c>
      <c r="BC499" t="str">
        <f>IF($A499="","",IF(COUNTIFS($A$3:$A499,$A499,$C$3:$C499,$C499,$D$3:$D499,$D499,$G$3:$G499,$G499)=1,1,0))</f>
        <v/>
      </c>
      <c r="BK499" t="str">
        <f t="shared" si="82"/>
        <v/>
      </c>
    </row>
    <row r="500" spans="2:63" x14ac:dyDescent="0.2">
      <c r="B500" s="142" t="str">
        <f>IF(A500="","",_xlfn.XLOOKUP(A500, Company_List!$A:$A, Company_List!$B:$B, ""))</f>
        <v/>
      </c>
      <c r="J500" s="145" t="str">
        <f>IF(OR(I500="",Settings!$B$6=""),"",IF(I500&gt;Settings!$B$6,"BUY",IF(I500&lt;-Settings!$B$6,"SELL","HOLD")))</f>
        <v/>
      </c>
      <c r="Q500" s="151" t="str">
        <f t="shared" si="73"/>
        <v/>
      </c>
      <c r="R500" s="118" t="str">
        <f>IF(OR(N500="",P500=""),"",IF(Q500&gt;Settings!$B$3/100,"UP",IF(Q500&lt;-Settings!$B$3/100,"DOWN","FLAT")))</f>
        <v/>
      </c>
      <c r="S500" s="118" t="str">
        <f t="shared" si="74"/>
        <v/>
      </c>
      <c r="T500" s="119" t="str">
        <f t="shared" si="75"/>
        <v/>
      </c>
      <c r="U500" s="150" t="str">
        <f>IFERROR(IF(OR(J500="",N500="",P500=""),"",IF(T500=0,0,T500*Q500-Settings!$B$4/10000-IF(T500&lt;0,Settings!$B$5/10000,0))),"")</f>
        <v/>
      </c>
      <c r="W500" s="21" t="str">
        <f t="shared" si="76"/>
        <v/>
      </c>
      <c r="X500" s="91" t="str">
        <f t="shared" si="77"/>
        <v/>
      </c>
      <c r="Y500" s="91" t="str">
        <f>IFERROR(IF($X500="","",INDEX(LLM_Data_Entry!$H$3:$H$548,MATCH($X500,INDEX(LLM_Data_Entry!$A$3:$A$548&amp;"|"&amp;LLM_Data_Entry!$C$3:$C$548&amp;"|"&amp;LLM_Data_Entry!$D$3:$D$548,0),0))),"")</f>
        <v/>
      </c>
      <c r="Z500" s="91" t="str">
        <f>IFERROR(IF($X500="","",INDEX(LLM_Data_Entry!$R$3:$R$548,MATCH($X500,INDEX(LLM_Data_Entry!$A$3:$A$548&amp;"|"&amp;LLM_Data_Entry!$C$3:$C$548&amp;"|"&amp;LLM_Data_Entry!$D$3:$D$548,0),0))),"")</f>
        <v/>
      </c>
      <c r="AL500" t="str">
        <f>IF($A500="","",IFERROR(INDEX(Company_List!$G$3:$G$207,MATCH($A500,Company_List!$A$3:$A$207,0)),"unassigned"))</f>
        <v/>
      </c>
      <c r="AP500" t="str">
        <f>IF($A500="","",IF(COUNTIFS(LLM_Data_Entry!$A$3:$A$548,$A500)&gt;0,"YES","NO"))</f>
        <v/>
      </c>
      <c r="AQ500" t="str">
        <f>IF($A500="","",IF(COUNTIFS($A$3:$A500,$A500,$C$3:$C500,$C500,$D$3:$D500,$D500)=1,"YES","NO"))</f>
        <v/>
      </c>
      <c r="AR500" t="str">
        <f>IF($A500="","",IF(AND($C500&amp;"-"&amp;$D500&gt;=Settings!$B$19,$C500&amp;"-"&amp;$D500&lt;=Settings!$B$20),"IN","OUT"))</f>
        <v/>
      </c>
      <c r="AS500" t="str">
        <f t="shared" si="78"/>
        <v/>
      </c>
      <c r="AT500" t="str">
        <f t="shared" si="79"/>
        <v/>
      </c>
      <c r="AU500" t="str">
        <f t="shared" si="80"/>
        <v/>
      </c>
      <c r="AV500" t="str">
        <f>IF(ISNUMBER($AT500),ABS(IF(ISNUMBER($I500),$I500,0)-Settings!$B$24),"")</f>
        <v/>
      </c>
      <c r="AW500" t="str">
        <f t="shared" si="81"/>
        <v/>
      </c>
      <c r="AX500" t="str">
        <f>IF(ISNUMBER($AU500),ABS(IF(ISNUMBER($I500),$I500,0)-Settings!$B$24),"")</f>
        <v/>
      </c>
      <c r="AY500" t="s">
        <v>549</v>
      </c>
      <c r="AZ500" t="str">
        <f>IF($A500="","",IFERROR(INDEX(Company_List!$H$3:$H$207,MATCH($A500,Company_List!$A$3:$A$207,0)),"unassigned"))</f>
        <v/>
      </c>
      <c r="BC500" t="str">
        <f>IF($A500="","",IF(COUNTIFS($A$3:$A500,$A500,$C$3:$C500,$C500,$D$3:$D500,$D500,$G$3:$G500,$G500)=1,1,0))</f>
        <v/>
      </c>
      <c r="BK500" t="str">
        <f t="shared" si="82"/>
        <v/>
      </c>
    </row>
    <row r="501" spans="2:63" x14ac:dyDescent="0.2">
      <c r="B501" s="142" t="str">
        <f>IF(A501="","",_xlfn.XLOOKUP(A501, Company_List!$A:$A, Company_List!$B:$B, ""))</f>
        <v/>
      </c>
      <c r="J501" s="145" t="str">
        <f>IF(OR(I501="",Settings!$B$6=""),"",IF(I501&gt;Settings!$B$6,"BUY",IF(I501&lt;-Settings!$B$6,"SELL","HOLD")))</f>
        <v/>
      </c>
      <c r="Q501" s="151" t="str">
        <f t="shared" si="73"/>
        <v/>
      </c>
      <c r="R501" s="118" t="str">
        <f>IF(OR(N501="",P501=""),"",IF(Q501&gt;Settings!$B$3/100,"UP",IF(Q501&lt;-Settings!$B$3/100,"DOWN","FLAT")))</f>
        <v/>
      </c>
      <c r="S501" s="118" t="str">
        <f t="shared" si="74"/>
        <v/>
      </c>
      <c r="T501" s="119" t="str">
        <f t="shared" si="75"/>
        <v/>
      </c>
      <c r="U501" s="150" t="str">
        <f>IFERROR(IF(OR(J501="",N501="",P501=""),"",IF(T501=0,0,T501*Q501-Settings!$B$4/10000-IF(T501&lt;0,Settings!$B$5/10000,0))),"")</f>
        <v/>
      </c>
      <c r="W501" s="21" t="str">
        <f t="shared" si="76"/>
        <v/>
      </c>
      <c r="X501" s="91" t="str">
        <f t="shared" si="77"/>
        <v/>
      </c>
      <c r="Y501" s="91" t="str">
        <f>IFERROR(IF($X501="","",INDEX(LLM_Data_Entry!$H$3:$H$548,MATCH($X501,INDEX(LLM_Data_Entry!$A$3:$A$548&amp;"|"&amp;LLM_Data_Entry!$C$3:$C$548&amp;"|"&amp;LLM_Data_Entry!$D$3:$D$548,0),0))),"")</f>
        <v/>
      </c>
      <c r="Z501" s="91" t="str">
        <f>IFERROR(IF($X501="","",INDEX(LLM_Data_Entry!$R$3:$R$548,MATCH($X501,INDEX(LLM_Data_Entry!$A$3:$A$548&amp;"|"&amp;LLM_Data_Entry!$C$3:$C$548&amp;"|"&amp;LLM_Data_Entry!$D$3:$D$548,0),0))),"")</f>
        <v/>
      </c>
      <c r="AL501" t="str">
        <f>IF($A501="","",IFERROR(INDEX(Company_List!$G$3:$G$207,MATCH($A501,Company_List!$A$3:$A$207,0)),"unassigned"))</f>
        <v/>
      </c>
      <c r="AP501" t="str">
        <f>IF($A501="","",IF(COUNTIFS(LLM_Data_Entry!$A$3:$A$548,$A501)&gt;0,"YES","NO"))</f>
        <v/>
      </c>
      <c r="AQ501" t="str">
        <f>IF($A501="","",IF(COUNTIFS($A$3:$A501,$A501,$C$3:$C501,$C501,$D$3:$D501,$D501)=1,"YES","NO"))</f>
        <v/>
      </c>
      <c r="AR501" t="str">
        <f>IF($A501="","",IF(AND($C501&amp;"-"&amp;$D501&gt;=Settings!$B$19,$C501&amp;"-"&amp;$D501&lt;=Settings!$B$20),"IN","OUT"))</f>
        <v/>
      </c>
      <c r="AS501" t="str">
        <f t="shared" si="78"/>
        <v/>
      </c>
      <c r="AT501" t="str">
        <f t="shared" si="79"/>
        <v/>
      </c>
      <c r="AU501" t="str">
        <f t="shared" si="80"/>
        <v/>
      </c>
      <c r="AV501" t="str">
        <f>IF(ISNUMBER($AT501),ABS(IF(ISNUMBER($I501),$I501,0)-Settings!$B$24),"")</f>
        <v/>
      </c>
      <c r="AW501" t="str">
        <f t="shared" si="81"/>
        <v/>
      </c>
      <c r="AX501" t="str">
        <f>IF(ISNUMBER($AU501),ABS(IF(ISNUMBER($I501),$I501,0)-Settings!$B$24),"")</f>
        <v/>
      </c>
      <c r="AY501" t="s">
        <v>549</v>
      </c>
      <c r="AZ501" t="str">
        <f>IF($A501="","",IFERROR(INDEX(Company_List!$H$3:$H$207,MATCH($A501,Company_List!$A$3:$A$207,0)),"unassigned"))</f>
        <v/>
      </c>
      <c r="BC501" t="str">
        <f>IF($A501="","",IF(COUNTIFS($A$3:$A501,$A501,$C$3:$C501,$C501,$D$3:$D501,$D501,$G$3:$G501,$G501)=1,1,0))</f>
        <v/>
      </c>
      <c r="BK501" t="str">
        <f t="shared" si="82"/>
        <v/>
      </c>
    </row>
    <row r="502" spans="2:63" x14ac:dyDescent="0.2">
      <c r="B502" s="142" t="str">
        <f>IF(A502="","",_xlfn.XLOOKUP(A502, Company_List!$A:$A, Company_List!$B:$B, ""))</f>
        <v/>
      </c>
      <c r="J502" s="145" t="str">
        <f>IF(OR(I502="",Settings!$B$6=""),"",IF(I502&gt;Settings!$B$6,"BUY",IF(I502&lt;-Settings!$B$6,"SELL","HOLD")))</f>
        <v/>
      </c>
      <c r="Q502" s="151" t="str">
        <f t="shared" si="73"/>
        <v/>
      </c>
      <c r="R502" s="118" t="str">
        <f>IF(OR(N502="",P502=""),"",IF(Q502&gt;Settings!$B$3/100,"UP",IF(Q502&lt;-Settings!$B$3/100,"DOWN","FLAT")))</f>
        <v/>
      </c>
      <c r="S502" s="118" t="str">
        <f t="shared" si="74"/>
        <v/>
      </c>
      <c r="T502" s="119" t="str">
        <f t="shared" si="75"/>
        <v/>
      </c>
      <c r="U502" s="150" t="str">
        <f>IFERROR(IF(OR(J502="",N502="",P502=""),"",IF(T502=0,0,T502*Q502-Settings!$B$4/10000-IF(T502&lt;0,Settings!$B$5/10000,0))),"")</f>
        <v/>
      </c>
      <c r="W502" s="21" t="str">
        <f t="shared" si="76"/>
        <v/>
      </c>
      <c r="X502" s="91" t="str">
        <f t="shared" si="77"/>
        <v/>
      </c>
      <c r="Y502" s="91" t="str">
        <f>IFERROR(IF($X502="","",INDEX(LLM_Data_Entry!$H$3:$H$548,MATCH($X502,INDEX(LLM_Data_Entry!$A$3:$A$548&amp;"|"&amp;LLM_Data_Entry!$C$3:$C$548&amp;"|"&amp;LLM_Data_Entry!$D$3:$D$548,0),0))),"")</f>
        <v/>
      </c>
      <c r="Z502" s="91" t="str">
        <f>IFERROR(IF($X502="","",INDEX(LLM_Data_Entry!$R$3:$R$548,MATCH($X502,INDEX(LLM_Data_Entry!$A$3:$A$548&amp;"|"&amp;LLM_Data_Entry!$C$3:$C$548&amp;"|"&amp;LLM_Data_Entry!$D$3:$D$548,0),0))),"")</f>
        <v/>
      </c>
      <c r="AL502" t="str">
        <f>IF($A502="","",IFERROR(INDEX(Company_List!$G$3:$G$207,MATCH($A502,Company_List!$A$3:$A$207,0)),"unassigned"))</f>
        <v/>
      </c>
      <c r="AP502" t="str">
        <f>IF($A502="","",IF(COUNTIFS(LLM_Data_Entry!$A$3:$A$548,$A502)&gt;0,"YES","NO"))</f>
        <v/>
      </c>
      <c r="AQ502" t="str">
        <f>IF($A502="","",IF(COUNTIFS($A$3:$A502,$A502,$C$3:$C502,$C502,$D$3:$D502,$D502)=1,"YES","NO"))</f>
        <v/>
      </c>
      <c r="AR502" t="str">
        <f>IF($A502="","",IF(AND($C502&amp;"-"&amp;$D502&gt;=Settings!$B$19,$C502&amp;"-"&amp;$D502&lt;=Settings!$B$20),"IN","OUT"))</f>
        <v/>
      </c>
      <c r="AS502" t="str">
        <f t="shared" si="78"/>
        <v/>
      </c>
      <c r="AT502" t="str">
        <f t="shared" si="79"/>
        <v/>
      </c>
      <c r="AU502" t="str">
        <f t="shared" si="80"/>
        <v/>
      </c>
      <c r="AV502" t="str">
        <f>IF(ISNUMBER($AT502),ABS(IF(ISNUMBER($I502),$I502,0)-Settings!$B$24),"")</f>
        <v/>
      </c>
      <c r="AW502" t="str">
        <f t="shared" si="81"/>
        <v/>
      </c>
      <c r="AX502" t="str">
        <f>IF(ISNUMBER($AU502),ABS(IF(ISNUMBER($I502),$I502,0)-Settings!$B$24),"")</f>
        <v/>
      </c>
      <c r="AY502" t="s">
        <v>549</v>
      </c>
      <c r="AZ502" t="str">
        <f>IF($A502="","",IFERROR(INDEX(Company_List!$H$3:$H$207,MATCH($A502,Company_List!$A$3:$A$207,0)),"unassigned"))</f>
        <v/>
      </c>
      <c r="BC502" t="str">
        <f>IF($A502="","",IF(COUNTIFS($A$3:$A502,$A502,$C$3:$C502,$C502,$D$3:$D502,$D502,$G$3:$G502,$G502)=1,1,0))</f>
        <v/>
      </c>
      <c r="BK502" t="str">
        <f t="shared" si="82"/>
        <v/>
      </c>
    </row>
    <row r="503" spans="2:63" x14ac:dyDescent="0.2">
      <c r="B503" s="142" t="str">
        <f>IF(A503="","",_xlfn.XLOOKUP(A503, Company_List!$A:$A, Company_List!$B:$B, ""))</f>
        <v/>
      </c>
      <c r="J503" s="145" t="str">
        <f>IF(OR(I503="",Settings!$B$6=""),"",IF(I503&gt;Settings!$B$6,"BUY",IF(I503&lt;-Settings!$B$6,"SELL","HOLD")))</f>
        <v/>
      </c>
      <c r="Q503" s="151" t="str">
        <f t="shared" si="73"/>
        <v/>
      </c>
      <c r="R503" s="118" t="str">
        <f>IF(OR(N503="",P503=""),"",IF(Q503&gt;Settings!$B$3/100,"UP",IF(Q503&lt;-Settings!$B$3/100,"DOWN","FLAT")))</f>
        <v/>
      </c>
      <c r="S503" s="118" t="str">
        <f t="shared" si="74"/>
        <v/>
      </c>
      <c r="T503" s="119" t="str">
        <f t="shared" si="75"/>
        <v/>
      </c>
      <c r="U503" s="150" t="str">
        <f>IFERROR(IF(OR(J503="",N503="",P503=""),"",IF(T503=0,0,T503*Q503-Settings!$B$4/10000-IF(T503&lt;0,Settings!$B$5/10000,0))),"")</f>
        <v/>
      </c>
      <c r="W503" s="21" t="str">
        <f t="shared" si="76"/>
        <v/>
      </c>
      <c r="X503" s="91" t="str">
        <f t="shared" si="77"/>
        <v/>
      </c>
      <c r="Y503" s="91" t="str">
        <f>IFERROR(IF($X503="","",INDEX(LLM_Data_Entry!$H$3:$H$548,MATCH($X503,INDEX(LLM_Data_Entry!$A$3:$A$548&amp;"|"&amp;LLM_Data_Entry!$C$3:$C$548&amp;"|"&amp;LLM_Data_Entry!$D$3:$D$548,0),0))),"")</f>
        <v/>
      </c>
      <c r="Z503" s="91" t="str">
        <f>IFERROR(IF($X503="","",INDEX(LLM_Data_Entry!$R$3:$R$548,MATCH($X503,INDEX(LLM_Data_Entry!$A$3:$A$548&amp;"|"&amp;LLM_Data_Entry!$C$3:$C$548&amp;"|"&amp;LLM_Data_Entry!$D$3:$D$548,0),0))),"")</f>
        <v/>
      </c>
      <c r="AL503" t="str">
        <f>IF($A503="","",IFERROR(INDEX(Company_List!$G$3:$G$207,MATCH($A503,Company_List!$A$3:$A$207,0)),"unassigned"))</f>
        <v/>
      </c>
      <c r="AP503" t="str">
        <f>IF($A503="","",IF(COUNTIFS(LLM_Data_Entry!$A$3:$A$548,$A503)&gt;0,"YES","NO"))</f>
        <v/>
      </c>
      <c r="AQ503" t="str">
        <f>IF($A503="","",IF(COUNTIFS($A$3:$A503,$A503,$C$3:$C503,$C503,$D$3:$D503,$D503)=1,"YES","NO"))</f>
        <v/>
      </c>
      <c r="AR503" t="str">
        <f>IF($A503="","",IF(AND($C503&amp;"-"&amp;$D503&gt;=Settings!$B$19,$C503&amp;"-"&amp;$D503&lt;=Settings!$B$20),"IN","OUT"))</f>
        <v/>
      </c>
      <c r="AS503" t="str">
        <f t="shared" si="78"/>
        <v/>
      </c>
      <c r="AT503" t="str">
        <f t="shared" si="79"/>
        <v/>
      </c>
      <c r="AU503" t="str">
        <f t="shared" si="80"/>
        <v/>
      </c>
      <c r="AV503" t="str">
        <f>IF(ISNUMBER($AT503),ABS(IF(ISNUMBER($I503),$I503,0)-Settings!$B$24),"")</f>
        <v/>
      </c>
      <c r="AW503" t="str">
        <f t="shared" si="81"/>
        <v/>
      </c>
      <c r="AX503" t="str">
        <f>IF(ISNUMBER($AU503),ABS(IF(ISNUMBER($I503),$I503,0)-Settings!$B$24),"")</f>
        <v/>
      </c>
      <c r="AY503" t="s">
        <v>549</v>
      </c>
      <c r="AZ503" t="str">
        <f>IF($A503="","",IFERROR(INDEX(Company_List!$H$3:$H$207,MATCH($A503,Company_List!$A$3:$A$207,0)),"unassigned"))</f>
        <v/>
      </c>
      <c r="BC503" t="str">
        <f>IF($A503="","",IF(COUNTIFS($A$3:$A503,$A503,$C$3:$C503,$C503,$D$3:$D503,$D503,$G$3:$G503,$G503)=1,1,0))</f>
        <v/>
      </c>
      <c r="BK503" t="str">
        <f t="shared" si="82"/>
        <v/>
      </c>
    </row>
    <row r="504" spans="2:63" x14ac:dyDescent="0.2">
      <c r="B504" s="142" t="str">
        <f>IF(A504="","",_xlfn.XLOOKUP(A504, Company_List!$A:$A, Company_List!$B:$B, ""))</f>
        <v/>
      </c>
      <c r="J504" s="145" t="str">
        <f>IF(OR(I504="",Settings!$B$6=""),"",IF(I504&gt;Settings!$B$6,"BUY",IF(I504&lt;-Settings!$B$6,"SELL","HOLD")))</f>
        <v/>
      </c>
      <c r="Q504" s="151" t="str">
        <f t="shared" si="73"/>
        <v/>
      </c>
      <c r="R504" s="118" t="str">
        <f>IF(OR(N504="",P504=""),"",IF(Q504&gt;Settings!$B$3/100,"UP",IF(Q504&lt;-Settings!$B$3/100,"DOWN","FLAT")))</f>
        <v/>
      </c>
      <c r="S504" s="118" t="str">
        <f t="shared" si="74"/>
        <v/>
      </c>
      <c r="T504" s="119" t="str">
        <f t="shared" si="75"/>
        <v/>
      </c>
      <c r="U504" s="150" t="str">
        <f>IFERROR(IF(OR(J504="",N504="",P504=""),"",IF(T504=0,0,T504*Q504-Settings!$B$4/10000-IF(T504&lt;0,Settings!$B$5/10000,0))),"")</f>
        <v/>
      </c>
      <c r="W504" s="21" t="str">
        <f t="shared" si="76"/>
        <v/>
      </c>
      <c r="X504" s="91" t="str">
        <f t="shared" si="77"/>
        <v/>
      </c>
      <c r="Y504" s="91" t="str">
        <f>IFERROR(IF($X504="","",INDEX(LLM_Data_Entry!$H$3:$H$548,MATCH($X504,INDEX(LLM_Data_Entry!$A$3:$A$548&amp;"|"&amp;LLM_Data_Entry!$C$3:$C$548&amp;"|"&amp;LLM_Data_Entry!$D$3:$D$548,0),0))),"")</f>
        <v/>
      </c>
      <c r="Z504" s="91" t="str">
        <f>IFERROR(IF($X504="","",INDEX(LLM_Data_Entry!$R$3:$R$548,MATCH($X504,INDEX(LLM_Data_Entry!$A$3:$A$548&amp;"|"&amp;LLM_Data_Entry!$C$3:$C$548&amp;"|"&amp;LLM_Data_Entry!$D$3:$D$548,0),0))),"")</f>
        <v/>
      </c>
      <c r="AL504" t="str">
        <f>IF($A504="","",IFERROR(INDEX(Company_List!$G$3:$G$207,MATCH($A504,Company_List!$A$3:$A$207,0)),"unassigned"))</f>
        <v/>
      </c>
      <c r="AP504" t="str">
        <f>IF($A504="","",IF(COUNTIFS(LLM_Data_Entry!$A$3:$A$548,$A504)&gt;0,"YES","NO"))</f>
        <v/>
      </c>
      <c r="AQ504" t="str">
        <f>IF($A504="","",IF(COUNTIFS($A$3:$A504,$A504,$C$3:$C504,$C504,$D$3:$D504,$D504)=1,"YES","NO"))</f>
        <v/>
      </c>
      <c r="AR504" t="str">
        <f>IF($A504="","",IF(AND($C504&amp;"-"&amp;$D504&gt;=Settings!$B$19,$C504&amp;"-"&amp;$D504&lt;=Settings!$B$20),"IN","OUT"))</f>
        <v/>
      </c>
      <c r="AS504" t="str">
        <f t="shared" si="78"/>
        <v/>
      </c>
      <c r="AT504" t="str">
        <f t="shared" si="79"/>
        <v/>
      </c>
      <c r="AU504" t="str">
        <f t="shared" si="80"/>
        <v/>
      </c>
      <c r="AV504" t="str">
        <f>IF(ISNUMBER($AT504),ABS(IF(ISNUMBER($I504),$I504,0)-Settings!$B$24),"")</f>
        <v/>
      </c>
      <c r="AW504" t="str">
        <f t="shared" si="81"/>
        <v/>
      </c>
      <c r="AX504" t="str">
        <f>IF(ISNUMBER($AU504),ABS(IF(ISNUMBER($I504),$I504,0)-Settings!$B$24),"")</f>
        <v/>
      </c>
      <c r="AY504" t="s">
        <v>549</v>
      </c>
      <c r="AZ504" t="str">
        <f>IF($A504="","",IFERROR(INDEX(Company_List!$H$3:$H$207,MATCH($A504,Company_List!$A$3:$A$207,0)),"unassigned"))</f>
        <v/>
      </c>
      <c r="BC504" t="str">
        <f>IF($A504="","",IF(COUNTIFS($A$3:$A504,$A504,$C$3:$C504,$C504,$D$3:$D504,$D504,$G$3:$G504,$G504)=1,1,0))</f>
        <v/>
      </c>
      <c r="BK504" t="str">
        <f t="shared" si="82"/>
        <v/>
      </c>
    </row>
    <row r="505" spans="2:63" x14ac:dyDescent="0.2">
      <c r="B505" s="142" t="str">
        <f>IF(A505="","",_xlfn.XLOOKUP(A505, Company_List!$A:$A, Company_List!$B:$B, ""))</f>
        <v/>
      </c>
      <c r="J505" s="145" t="str">
        <f>IF(OR(I505="",Settings!$B$6=""),"",IF(I505&gt;Settings!$B$6,"BUY",IF(I505&lt;-Settings!$B$6,"SELL","HOLD")))</f>
        <v/>
      </c>
      <c r="Q505" s="151" t="str">
        <f t="shared" si="73"/>
        <v/>
      </c>
      <c r="R505" s="118" t="str">
        <f>IF(OR(N505="",P505=""),"",IF(Q505&gt;Settings!$B$3/100,"UP",IF(Q505&lt;-Settings!$B$3/100,"DOWN","FLAT")))</f>
        <v/>
      </c>
      <c r="S505" s="118" t="str">
        <f t="shared" si="74"/>
        <v/>
      </c>
      <c r="T505" s="119" t="str">
        <f t="shared" si="75"/>
        <v/>
      </c>
      <c r="U505" s="150" t="str">
        <f>IFERROR(IF(OR(J505="",N505="",P505=""),"",IF(T505=0,0,T505*Q505-Settings!$B$4/10000-IF(T505&lt;0,Settings!$B$5/10000,0))),"")</f>
        <v/>
      </c>
      <c r="W505" s="21" t="str">
        <f t="shared" si="76"/>
        <v/>
      </c>
      <c r="X505" s="91" t="str">
        <f t="shared" si="77"/>
        <v/>
      </c>
      <c r="Y505" s="91" t="str">
        <f>IFERROR(IF($X505="","",INDEX(LLM_Data_Entry!$H$3:$H$548,MATCH($X505,INDEX(LLM_Data_Entry!$A$3:$A$548&amp;"|"&amp;LLM_Data_Entry!$C$3:$C$548&amp;"|"&amp;LLM_Data_Entry!$D$3:$D$548,0),0))),"")</f>
        <v/>
      </c>
      <c r="Z505" s="91" t="str">
        <f>IFERROR(IF($X505="","",INDEX(LLM_Data_Entry!$R$3:$R$548,MATCH($X505,INDEX(LLM_Data_Entry!$A$3:$A$548&amp;"|"&amp;LLM_Data_Entry!$C$3:$C$548&amp;"|"&amp;LLM_Data_Entry!$D$3:$D$548,0),0))),"")</f>
        <v/>
      </c>
      <c r="AL505" t="str">
        <f>IF($A505="","",IFERROR(INDEX(Company_List!$G$3:$G$207,MATCH($A505,Company_List!$A$3:$A$207,0)),"unassigned"))</f>
        <v/>
      </c>
      <c r="AP505" t="str">
        <f>IF($A505="","",IF(COUNTIFS(LLM_Data_Entry!$A$3:$A$548,$A505)&gt;0,"YES","NO"))</f>
        <v/>
      </c>
      <c r="AQ505" t="str">
        <f>IF($A505="","",IF(COUNTIFS($A$3:$A505,$A505,$C$3:$C505,$C505,$D$3:$D505,$D505)=1,"YES","NO"))</f>
        <v/>
      </c>
      <c r="AR505" t="str">
        <f>IF($A505="","",IF(AND($C505&amp;"-"&amp;$D505&gt;=Settings!$B$19,$C505&amp;"-"&amp;$D505&lt;=Settings!$B$20),"IN","OUT"))</f>
        <v/>
      </c>
      <c r="AS505" t="str">
        <f t="shared" si="78"/>
        <v/>
      </c>
      <c r="AT505" t="str">
        <f t="shared" si="79"/>
        <v/>
      </c>
      <c r="AU505" t="str">
        <f t="shared" si="80"/>
        <v/>
      </c>
      <c r="AV505" t="str">
        <f>IF(ISNUMBER($AT505),ABS(IF(ISNUMBER($I505),$I505,0)-Settings!$B$24),"")</f>
        <v/>
      </c>
      <c r="AW505" t="str">
        <f t="shared" si="81"/>
        <v/>
      </c>
      <c r="AX505" t="str">
        <f>IF(ISNUMBER($AU505),ABS(IF(ISNUMBER($I505),$I505,0)-Settings!$B$24),"")</f>
        <v/>
      </c>
      <c r="AY505" t="s">
        <v>549</v>
      </c>
      <c r="AZ505" t="str">
        <f>IF($A505="","",IFERROR(INDEX(Company_List!$H$3:$H$207,MATCH($A505,Company_List!$A$3:$A$207,0)),"unassigned"))</f>
        <v/>
      </c>
      <c r="BC505" t="str">
        <f>IF($A505="","",IF(COUNTIFS($A$3:$A505,$A505,$C$3:$C505,$C505,$D$3:$D505,$D505,$G$3:$G505,$G505)=1,1,0))</f>
        <v/>
      </c>
      <c r="BK505" t="str">
        <f t="shared" si="82"/>
        <v/>
      </c>
    </row>
    <row r="506" spans="2:63" x14ac:dyDescent="0.2">
      <c r="B506" s="142" t="str">
        <f>IF(A506="","",_xlfn.XLOOKUP(A506, Company_List!$A:$A, Company_List!$B:$B, ""))</f>
        <v/>
      </c>
      <c r="J506" s="145" t="str">
        <f>IF(OR(I506="",Settings!$B$6=""),"",IF(I506&gt;Settings!$B$6,"BUY",IF(I506&lt;-Settings!$B$6,"SELL","HOLD")))</f>
        <v/>
      </c>
      <c r="Q506" s="151" t="str">
        <f t="shared" si="73"/>
        <v/>
      </c>
      <c r="R506" s="118" t="str">
        <f>IF(OR(N506="",P506=""),"",IF(Q506&gt;Settings!$B$3/100,"UP",IF(Q506&lt;-Settings!$B$3/100,"DOWN","FLAT")))</f>
        <v/>
      </c>
      <c r="S506" s="118" t="str">
        <f t="shared" si="74"/>
        <v/>
      </c>
      <c r="T506" s="119" t="str">
        <f t="shared" si="75"/>
        <v/>
      </c>
      <c r="U506" s="150" t="str">
        <f>IFERROR(IF(OR(J506="",N506="",P506=""),"",IF(T506=0,0,T506*Q506-Settings!$B$4/10000-IF(T506&lt;0,Settings!$B$5/10000,0))),"")</f>
        <v/>
      </c>
      <c r="W506" s="21" t="str">
        <f t="shared" si="76"/>
        <v/>
      </c>
      <c r="X506" s="91" t="str">
        <f t="shared" si="77"/>
        <v/>
      </c>
      <c r="Y506" s="91" t="str">
        <f>IFERROR(IF($X506="","",INDEX(LLM_Data_Entry!$H$3:$H$548,MATCH($X506,INDEX(LLM_Data_Entry!$A$3:$A$548&amp;"|"&amp;LLM_Data_Entry!$C$3:$C$548&amp;"|"&amp;LLM_Data_Entry!$D$3:$D$548,0),0))),"")</f>
        <v/>
      </c>
      <c r="Z506" s="91" t="str">
        <f>IFERROR(IF($X506="","",INDEX(LLM_Data_Entry!$R$3:$R$548,MATCH($X506,INDEX(LLM_Data_Entry!$A$3:$A$548&amp;"|"&amp;LLM_Data_Entry!$C$3:$C$548&amp;"|"&amp;LLM_Data_Entry!$D$3:$D$548,0),0))),"")</f>
        <v/>
      </c>
      <c r="AL506" t="str">
        <f>IF($A506="","",IFERROR(INDEX(Company_List!$G$3:$G$207,MATCH($A506,Company_List!$A$3:$A$207,0)),"unassigned"))</f>
        <v/>
      </c>
      <c r="AP506" t="str">
        <f>IF($A506="","",IF(COUNTIFS(LLM_Data_Entry!$A$3:$A$548,$A506)&gt;0,"YES","NO"))</f>
        <v/>
      </c>
      <c r="AQ506" t="str">
        <f>IF($A506="","",IF(COUNTIFS($A$3:$A506,$A506,$C$3:$C506,$C506,$D$3:$D506,$D506)=1,"YES","NO"))</f>
        <v/>
      </c>
      <c r="AR506" t="str">
        <f>IF($A506="","",IF(AND($C506&amp;"-"&amp;$D506&gt;=Settings!$B$19,$C506&amp;"-"&amp;$D506&lt;=Settings!$B$20),"IN","OUT"))</f>
        <v/>
      </c>
      <c r="AS506" t="str">
        <f t="shared" si="78"/>
        <v/>
      </c>
      <c r="AT506" t="str">
        <f t="shared" si="79"/>
        <v/>
      </c>
      <c r="AU506" t="str">
        <f t="shared" si="80"/>
        <v/>
      </c>
      <c r="AV506" t="str">
        <f>IF(ISNUMBER($AT506),ABS(IF(ISNUMBER($I506),$I506,0)-Settings!$B$24),"")</f>
        <v/>
      </c>
      <c r="AW506" t="str">
        <f t="shared" si="81"/>
        <v/>
      </c>
      <c r="AX506" t="str">
        <f>IF(ISNUMBER($AU506),ABS(IF(ISNUMBER($I506),$I506,0)-Settings!$B$24),"")</f>
        <v/>
      </c>
      <c r="AY506" t="s">
        <v>549</v>
      </c>
      <c r="AZ506" t="str">
        <f>IF($A506="","",IFERROR(INDEX(Company_List!$H$3:$H$207,MATCH($A506,Company_List!$A$3:$A$207,0)),"unassigned"))</f>
        <v/>
      </c>
      <c r="BC506" t="str">
        <f>IF($A506="","",IF(COUNTIFS($A$3:$A506,$A506,$C$3:$C506,$C506,$D$3:$D506,$D506,$G$3:$G506,$G506)=1,1,0))</f>
        <v/>
      </c>
      <c r="BK506" t="str">
        <f t="shared" si="82"/>
        <v/>
      </c>
    </row>
    <row r="507" spans="2:63" x14ac:dyDescent="0.2">
      <c r="B507" s="142" t="str">
        <f>IF(A507="","",_xlfn.XLOOKUP(A507, Company_List!$A:$A, Company_List!$B:$B, ""))</f>
        <v/>
      </c>
      <c r="J507" s="145" t="str">
        <f>IF(OR(I507="",Settings!$B$6=""),"",IF(I507&gt;Settings!$B$6,"BUY",IF(I507&lt;-Settings!$B$6,"SELL","HOLD")))</f>
        <v/>
      </c>
      <c r="Q507" s="151" t="str">
        <f t="shared" si="73"/>
        <v/>
      </c>
      <c r="R507" s="118" t="str">
        <f>IF(OR(N507="",P507=""),"",IF(Q507&gt;Settings!$B$3/100,"UP",IF(Q507&lt;-Settings!$B$3/100,"DOWN","FLAT")))</f>
        <v/>
      </c>
      <c r="S507" s="118" t="str">
        <f t="shared" si="74"/>
        <v/>
      </c>
      <c r="T507" s="119" t="str">
        <f t="shared" si="75"/>
        <v/>
      </c>
      <c r="U507" s="150" t="str">
        <f>IFERROR(IF(OR(J507="",N507="",P507=""),"",IF(T507=0,0,T507*Q507-Settings!$B$4/10000-IF(T507&lt;0,Settings!$B$5/10000,0))),"")</f>
        <v/>
      </c>
      <c r="W507" s="21" t="str">
        <f t="shared" si="76"/>
        <v/>
      </c>
      <c r="X507" s="91" t="str">
        <f t="shared" si="77"/>
        <v/>
      </c>
      <c r="Y507" s="91" t="str">
        <f>IFERROR(IF($X507="","",INDEX(LLM_Data_Entry!$H$3:$H$548,MATCH($X507,INDEX(LLM_Data_Entry!$A$3:$A$548&amp;"|"&amp;LLM_Data_Entry!$C$3:$C$548&amp;"|"&amp;LLM_Data_Entry!$D$3:$D$548,0),0))),"")</f>
        <v/>
      </c>
      <c r="Z507" s="91" t="str">
        <f>IFERROR(IF($X507="","",INDEX(LLM_Data_Entry!$R$3:$R$548,MATCH($X507,INDEX(LLM_Data_Entry!$A$3:$A$548&amp;"|"&amp;LLM_Data_Entry!$C$3:$C$548&amp;"|"&amp;LLM_Data_Entry!$D$3:$D$548,0),0))),"")</f>
        <v/>
      </c>
      <c r="AL507" t="str">
        <f>IF($A507="","",IFERROR(INDEX(Company_List!$G$3:$G$207,MATCH($A507,Company_List!$A$3:$A$207,0)),"unassigned"))</f>
        <v/>
      </c>
      <c r="AP507" t="str">
        <f>IF($A507="","",IF(COUNTIFS(LLM_Data_Entry!$A$3:$A$548,$A507)&gt;0,"YES","NO"))</f>
        <v/>
      </c>
      <c r="AQ507" t="str">
        <f>IF($A507="","",IF(COUNTIFS($A$3:$A507,$A507,$C$3:$C507,$C507,$D$3:$D507,$D507)=1,"YES","NO"))</f>
        <v/>
      </c>
      <c r="AR507" t="str">
        <f>IF($A507="","",IF(AND($C507&amp;"-"&amp;$D507&gt;=Settings!$B$19,$C507&amp;"-"&amp;$D507&lt;=Settings!$B$20),"IN","OUT"))</f>
        <v/>
      </c>
      <c r="AS507" t="str">
        <f t="shared" si="78"/>
        <v/>
      </c>
      <c r="AT507" t="str">
        <f t="shared" si="79"/>
        <v/>
      </c>
      <c r="AU507" t="str">
        <f t="shared" si="80"/>
        <v/>
      </c>
      <c r="AV507" t="str">
        <f>IF(ISNUMBER($AT507),ABS(IF(ISNUMBER($I507),$I507,0)-Settings!$B$24),"")</f>
        <v/>
      </c>
      <c r="AW507" t="str">
        <f t="shared" si="81"/>
        <v/>
      </c>
      <c r="AX507" t="str">
        <f>IF(ISNUMBER($AU507),ABS(IF(ISNUMBER($I507),$I507,0)-Settings!$B$24),"")</f>
        <v/>
      </c>
      <c r="AY507" t="s">
        <v>549</v>
      </c>
      <c r="AZ507" t="str">
        <f>IF($A507="","",IFERROR(INDEX(Company_List!$H$3:$H$207,MATCH($A507,Company_List!$A$3:$A$207,0)),"unassigned"))</f>
        <v/>
      </c>
      <c r="BC507" t="str">
        <f>IF($A507="","",IF(COUNTIFS($A$3:$A507,$A507,$C$3:$C507,$C507,$D$3:$D507,$D507,$G$3:$G507,$G507)=1,1,0))</f>
        <v/>
      </c>
      <c r="BK507" t="str">
        <f t="shared" si="82"/>
        <v/>
      </c>
    </row>
    <row r="508" spans="2:63" x14ac:dyDescent="0.2">
      <c r="B508" s="142" t="str">
        <f>IF(A508="","",_xlfn.XLOOKUP(A508, Company_List!$A:$A, Company_List!$B:$B, ""))</f>
        <v/>
      </c>
      <c r="J508" s="145" t="str">
        <f>IF(OR(I508="",Settings!$B$6=""),"",IF(I508&gt;Settings!$B$6,"BUY",IF(I508&lt;-Settings!$B$6,"SELL","HOLD")))</f>
        <v/>
      </c>
      <c r="Q508" s="151" t="str">
        <f t="shared" si="73"/>
        <v/>
      </c>
      <c r="R508" s="118" t="str">
        <f>IF(OR(N508="",P508=""),"",IF(Q508&gt;Settings!$B$3/100,"UP",IF(Q508&lt;-Settings!$B$3/100,"DOWN","FLAT")))</f>
        <v/>
      </c>
      <c r="S508" s="118" t="str">
        <f t="shared" si="74"/>
        <v/>
      </c>
      <c r="T508" s="119" t="str">
        <f t="shared" si="75"/>
        <v/>
      </c>
      <c r="U508" s="150" t="str">
        <f>IFERROR(IF(OR(J508="",N508="",P508=""),"",IF(T508=0,0,T508*Q508-Settings!$B$4/10000-IF(T508&lt;0,Settings!$B$5/10000,0))),"")</f>
        <v/>
      </c>
      <c r="W508" s="21" t="str">
        <f t="shared" si="76"/>
        <v/>
      </c>
      <c r="X508" s="91" t="str">
        <f t="shared" si="77"/>
        <v/>
      </c>
      <c r="Y508" s="91" t="str">
        <f>IFERROR(IF($X508="","",INDEX(LLM_Data_Entry!$H$3:$H$548,MATCH($X508,INDEX(LLM_Data_Entry!$A$3:$A$548&amp;"|"&amp;LLM_Data_Entry!$C$3:$C$548&amp;"|"&amp;LLM_Data_Entry!$D$3:$D$548,0),0))),"")</f>
        <v/>
      </c>
      <c r="Z508" s="91" t="str">
        <f>IFERROR(IF($X508="","",INDEX(LLM_Data_Entry!$R$3:$R$548,MATCH($X508,INDEX(LLM_Data_Entry!$A$3:$A$548&amp;"|"&amp;LLM_Data_Entry!$C$3:$C$548&amp;"|"&amp;LLM_Data_Entry!$D$3:$D$548,0),0))),"")</f>
        <v/>
      </c>
      <c r="AL508" t="str">
        <f>IF($A508="","",IFERROR(INDEX(Company_List!$G$3:$G$207,MATCH($A508,Company_List!$A$3:$A$207,0)),"unassigned"))</f>
        <v/>
      </c>
      <c r="AP508" t="str">
        <f>IF($A508="","",IF(COUNTIFS(LLM_Data_Entry!$A$3:$A$548,$A508)&gt;0,"YES","NO"))</f>
        <v/>
      </c>
      <c r="AQ508" t="str">
        <f>IF($A508="","",IF(COUNTIFS($A$3:$A508,$A508,$C$3:$C508,$C508,$D$3:$D508,$D508)=1,"YES","NO"))</f>
        <v/>
      </c>
      <c r="AR508" t="str">
        <f>IF($A508="","",IF(AND($C508&amp;"-"&amp;$D508&gt;=Settings!$B$19,$C508&amp;"-"&amp;$D508&lt;=Settings!$B$20),"IN","OUT"))</f>
        <v/>
      </c>
      <c r="AS508" t="str">
        <f t="shared" si="78"/>
        <v/>
      </c>
      <c r="AT508" t="str">
        <f t="shared" si="79"/>
        <v/>
      </c>
      <c r="AU508" t="str">
        <f t="shared" si="80"/>
        <v/>
      </c>
      <c r="AV508" t="str">
        <f>IF(ISNUMBER($AT508),ABS(IF(ISNUMBER($I508),$I508,0)-Settings!$B$24),"")</f>
        <v/>
      </c>
      <c r="AW508" t="str">
        <f t="shared" si="81"/>
        <v/>
      </c>
      <c r="AX508" t="str">
        <f>IF(ISNUMBER($AU508),ABS(IF(ISNUMBER($I508),$I508,0)-Settings!$B$24),"")</f>
        <v/>
      </c>
      <c r="AY508" t="s">
        <v>549</v>
      </c>
      <c r="AZ508" t="str">
        <f>IF($A508="","",IFERROR(INDEX(Company_List!$H$3:$H$207,MATCH($A508,Company_List!$A$3:$A$207,0)),"unassigned"))</f>
        <v/>
      </c>
      <c r="BC508" t="str">
        <f>IF($A508="","",IF(COUNTIFS($A$3:$A508,$A508,$C$3:$C508,$C508,$D$3:$D508,$D508,$G$3:$G508,$G508)=1,1,0))</f>
        <v/>
      </c>
      <c r="BK508" t="str">
        <f t="shared" si="82"/>
        <v/>
      </c>
    </row>
    <row r="509" spans="2:63" x14ac:dyDescent="0.2">
      <c r="B509" s="142" t="str">
        <f>IF(A509="","",_xlfn.XLOOKUP(A509, Company_List!$A:$A, Company_List!$B:$B, ""))</f>
        <v/>
      </c>
      <c r="J509" s="145" t="str">
        <f>IF(OR(I509="",Settings!$B$6=""),"",IF(I509&gt;Settings!$B$6,"BUY",IF(I509&lt;-Settings!$B$6,"SELL","HOLD")))</f>
        <v/>
      </c>
      <c r="Q509" s="151" t="str">
        <f t="shared" si="73"/>
        <v/>
      </c>
      <c r="R509" s="118" t="str">
        <f>IF(OR(N509="",P509=""),"",IF(Q509&gt;Settings!$B$3/100,"UP",IF(Q509&lt;-Settings!$B$3/100,"DOWN","FLAT")))</f>
        <v/>
      </c>
      <c r="S509" s="118" t="str">
        <f t="shared" si="74"/>
        <v/>
      </c>
      <c r="T509" s="119" t="str">
        <f t="shared" si="75"/>
        <v/>
      </c>
      <c r="U509" s="150" t="str">
        <f>IFERROR(IF(OR(J509="",N509="",P509=""),"",IF(T509=0,0,T509*Q509-Settings!$B$4/10000-IF(T509&lt;0,Settings!$B$5/10000,0))),"")</f>
        <v/>
      </c>
      <c r="W509" s="21" t="str">
        <f t="shared" si="76"/>
        <v/>
      </c>
      <c r="X509" s="91" t="str">
        <f t="shared" si="77"/>
        <v/>
      </c>
      <c r="Y509" s="91" t="str">
        <f>IFERROR(IF($X509="","",INDEX(LLM_Data_Entry!$H$3:$H$548,MATCH($X509,INDEX(LLM_Data_Entry!$A$3:$A$548&amp;"|"&amp;LLM_Data_Entry!$C$3:$C$548&amp;"|"&amp;LLM_Data_Entry!$D$3:$D$548,0),0))),"")</f>
        <v/>
      </c>
      <c r="Z509" s="91" t="str">
        <f>IFERROR(IF($X509="","",INDEX(LLM_Data_Entry!$R$3:$R$548,MATCH($X509,INDEX(LLM_Data_Entry!$A$3:$A$548&amp;"|"&amp;LLM_Data_Entry!$C$3:$C$548&amp;"|"&amp;LLM_Data_Entry!$D$3:$D$548,0),0))),"")</f>
        <v/>
      </c>
      <c r="AL509" t="str">
        <f>IF($A509="","",IFERROR(INDEX(Company_List!$G$3:$G$207,MATCH($A509,Company_List!$A$3:$A$207,0)),"unassigned"))</f>
        <v/>
      </c>
      <c r="AP509" t="str">
        <f>IF($A509="","",IF(COUNTIFS(LLM_Data_Entry!$A$3:$A$548,$A509)&gt;0,"YES","NO"))</f>
        <v/>
      </c>
      <c r="AQ509" t="str">
        <f>IF($A509="","",IF(COUNTIFS($A$3:$A509,$A509,$C$3:$C509,$C509,$D$3:$D509,$D509)=1,"YES","NO"))</f>
        <v/>
      </c>
      <c r="AR509" t="str">
        <f>IF($A509="","",IF(AND($C509&amp;"-"&amp;$D509&gt;=Settings!$B$19,$C509&amp;"-"&amp;$D509&lt;=Settings!$B$20),"IN","OUT"))</f>
        <v/>
      </c>
      <c r="AS509" t="str">
        <f t="shared" si="78"/>
        <v/>
      </c>
      <c r="AT509" t="str">
        <f t="shared" si="79"/>
        <v/>
      </c>
      <c r="AU509" t="str">
        <f t="shared" si="80"/>
        <v/>
      </c>
      <c r="AV509" t="str">
        <f>IF(ISNUMBER($AT509),ABS(IF(ISNUMBER($I509),$I509,0)-Settings!$B$24),"")</f>
        <v/>
      </c>
      <c r="AW509" t="str">
        <f t="shared" si="81"/>
        <v/>
      </c>
      <c r="AX509" t="str">
        <f>IF(ISNUMBER($AU509),ABS(IF(ISNUMBER($I509),$I509,0)-Settings!$B$24),"")</f>
        <v/>
      </c>
      <c r="AY509" t="s">
        <v>549</v>
      </c>
      <c r="AZ509" t="str">
        <f>IF($A509="","",IFERROR(INDEX(Company_List!$H$3:$H$207,MATCH($A509,Company_List!$A$3:$A$207,0)),"unassigned"))</f>
        <v/>
      </c>
      <c r="BC509" t="str">
        <f>IF($A509="","",IF(COUNTIFS($A$3:$A509,$A509,$C$3:$C509,$C509,$D$3:$D509,$D509,$G$3:$G509,$G509)=1,1,0))</f>
        <v/>
      </c>
      <c r="BK509" t="str">
        <f t="shared" si="82"/>
        <v/>
      </c>
    </row>
    <row r="510" spans="2:63" x14ac:dyDescent="0.2">
      <c r="B510" s="142" t="str">
        <f>IF(A510="","",_xlfn.XLOOKUP(A510, Company_List!$A:$A, Company_List!$B:$B, ""))</f>
        <v/>
      </c>
      <c r="J510" s="145" t="str">
        <f>IF(OR(I510="",Settings!$B$6=""),"",IF(I510&gt;Settings!$B$6,"BUY",IF(I510&lt;-Settings!$B$6,"SELL","HOLD")))</f>
        <v/>
      </c>
      <c r="Q510" s="151" t="str">
        <f t="shared" si="73"/>
        <v/>
      </c>
      <c r="R510" s="118" t="str">
        <f>IF(OR(N510="",P510=""),"",IF(Q510&gt;Settings!$B$3/100,"UP",IF(Q510&lt;-Settings!$B$3/100,"DOWN","FLAT")))</f>
        <v/>
      </c>
      <c r="S510" s="118" t="str">
        <f t="shared" si="74"/>
        <v/>
      </c>
      <c r="T510" s="119" t="str">
        <f t="shared" si="75"/>
        <v/>
      </c>
      <c r="U510" s="150" t="str">
        <f>IFERROR(IF(OR(J510="",N510="",P510=""),"",IF(T510=0,0,T510*Q510-Settings!$B$4/10000-IF(T510&lt;0,Settings!$B$5/10000,0))),"")</f>
        <v/>
      </c>
      <c r="W510" s="21" t="str">
        <f t="shared" si="76"/>
        <v/>
      </c>
      <c r="X510" s="91" t="str">
        <f t="shared" si="77"/>
        <v/>
      </c>
      <c r="Y510" s="91" t="str">
        <f>IFERROR(IF($X510="","",INDEX(LLM_Data_Entry!$H$3:$H$548,MATCH($X510,INDEX(LLM_Data_Entry!$A$3:$A$548&amp;"|"&amp;LLM_Data_Entry!$C$3:$C$548&amp;"|"&amp;LLM_Data_Entry!$D$3:$D$548,0),0))),"")</f>
        <v/>
      </c>
      <c r="Z510" s="91" t="str">
        <f>IFERROR(IF($X510="","",INDEX(LLM_Data_Entry!$R$3:$R$548,MATCH($X510,INDEX(LLM_Data_Entry!$A$3:$A$548&amp;"|"&amp;LLM_Data_Entry!$C$3:$C$548&amp;"|"&amp;LLM_Data_Entry!$D$3:$D$548,0),0))),"")</f>
        <v/>
      </c>
      <c r="AL510" t="str">
        <f>IF($A510="","",IFERROR(INDEX(Company_List!$G$3:$G$207,MATCH($A510,Company_List!$A$3:$A$207,0)),"unassigned"))</f>
        <v/>
      </c>
      <c r="AP510" t="str">
        <f>IF($A510="","",IF(COUNTIFS(LLM_Data_Entry!$A$3:$A$548,$A510)&gt;0,"YES","NO"))</f>
        <v/>
      </c>
      <c r="AQ510" t="str">
        <f>IF($A510="","",IF(COUNTIFS($A$3:$A510,$A510,$C$3:$C510,$C510,$D$3:$D510,$D510)=1,"YES","NO"))</f>
        <v/>
      </c>
      <c r="AR510" t="str">
        <f>IF($A510="","",IF(AND($C510&amp;"-"&amp;$D510&gt;=Settings!$B$19,$C510&amp;"-"&amp;$D510&lt;=Settings!$B$20),"IN","OUT"))</f>
        <v/>
      </c>
      <c r="AS510" t="str">
        <f t="shared" si="78"/>
        <v/>
      </c>
      <c r="AT510" t="str">
        <f t="shared" si="79"/>
        <v/>
      </c>
      <c r="AU510" t="str">
        <f t="shared" si="80"/>
        <v/>
      </c>
      <c r="AV510" t="str">
        <f>IF(ISNUMBER($AT510),ABS(IF(ISNUMBER($I510),$I510,0)-Settings!$B$24),"")</f>
        <v/>
      </c>
      <c r="AW510" t="str">
        <f t="shared" si="81"/>
        <v/>
      </c>
      <c r="AX510" t="str">
        <f>IF(ISNUMBER($AU510),ABS(IF(ISNUMBER($I510),$I510,0)-Settings!$B$24),"")</f>
        <v/>
      </c>
      <c r="AY510" t="s">
        <v>549</v>
      </c>
      <c r="AZ510" t="str">
        <f>IF($A510="","",IFERROR(INDEX(Company_List!$H$3:$H$207,MATCH($A510,Company_List!$A$3:$A$207,0)),"unassigned"))</f>
        <v/>
      </c>
      <c r="BC510" t="str">
        <f>IF($A510="","",IF(COUNTIFS($A$3:$A510,$A510,$C$3:$C510,$C510,$D$3:$D510,$D510,$G$3:$G510,$G510)=1,1,0))</f>
        <v/>
      </c>
      <c r="BK510" t="str">
        <f t="shared" si="82"/>
        <v/>
      </c>
    </row>
    <row r="511" spans="2:63" x14ac:dyDescent="0.2">
      <c r="B511" s="142" t="str">
        <f>IF(A511="","",_xlfn.XLOOKUP(A511, Company_List!$A:$A, Company_List!$B:$B, ""))</f>
        <v/>
      </c>
      <c r="J511" s="145" t="str">
        <f>IF(OR(I511="",Settings!$B$6=""),"",IF(I511&gt;Settings!$B$6,"BUY",IF(I511&lt;-Settings!$B$6,"SELL","HOLD")))</f>
        <v/>
      </c>
      <c r="Q511" s="151" t="str">
        <f t="shared" si="73"/>
        <v/>
      </c>
      <c r="R511" s="118" t="str">
        <f>IF(OR(N511="",P511=""),"",IF(Q511&gt;Settings!$B$3/100,"UP",IF(Q511&lt;-Settings!$B$3/100,"DOWN","FLAT")))</f>
        <v/>
      </c>
      <c r="S511" s="118" t="str">
        <f t="shared" si="74"/>
        <v/>
      </c>
      <c r="T511" s="119" t="str">
        <f t="shared" si="75"/>
        <v/>
      </c>
      <c r="U511" s="150" t="str">
        <f>IFERROR(IF(OR(J511="",N511="",P511=""),"",IF(T511=0,0,T511*Q511-Settings!$B$4/10000-IF(T511&lt;0,Settings!$B$5/10000,0))),"")</f>
        <v/>
      </c>
      <c r="W511" s="21" t="str">
        <f t="shared" si="76"/>
        <v/>
      </c>
      <c r="X511" s="91" t="str">
        <f t="shared" si="77"/>
        <v/>
      </c>
      <c r="Y511" s="91" t="str">
        <f>IFERROR(IF($X511="","",INDEX(LLM_Data_Entry!$H$3:$H$548,MATCH($X511,INDEX(LLM_Data_Entry!$A$3:$A$548&amp;"|"&amp;LLM_Data_Entry!$C$3:$C$548&amp;"|"&amp;LLM_Data_Entry!$D$3:$D$548,0),0))),"")</f>
        <v/>
      </c>
      <c r="Z511" s="91" t="str">
        <f>IFERROR(IF($X511="","",INDEX(LLM_Data_Entry!$R$3:$R$548,MATCH($X511,INDEX(LLM_Data_Entry!$A$3:$A$548&amp;"|"&amp;LLM_Data_Entry!$C$3:$C$548&amp;"|"&amp;LLM_Data_Entry!$D$3:$D$548,0),0))),"")</f>
        <v/>
      </c>
      <c r="AL511" t="str">
        <f>IF($A511="","",IFERROR(INDEX(Company_List!$G$3:$G$207,MATCH($A511,Company_List!$A$3:$A$207,0)),"unassigned"))</f>
        <v/>
      </c>
      <c r="AP511" t="str">
        <f>IF($A511="","",IF(COUNTIFS(LLM_Data_Entry!$A$3:$A$548,$A511)&gt;0,"YES","NO"))</f>
        <v/>
      </c>
      <c r="AQ511" t="str">
        <f>IF($A511="","",IF(COUNTIFS($A$3:$A511,$A511,$C$3:$C511,$C511,$D$3:$D511,$D511)=1,"YES","NO"))</f>
        <v/>
      </c>
      <c r="AR511" t="str">
        <f>IF($A511="","",IF(AND($C511&amp;"-"&amp;$D511&gt;=Settings!$B$19,$C511&amp;"-"&amp;$D511&lt;=Settings!$B$20),"IN","OUT"))</f>
        <v/>
      </c>
      <c r="AS511" t="str">
        <f t="shared" si="78"/>
        <v/>
      </c>
      <c r="AT511" t="str">
        <f t="shared" si="79"/>
        <v/>
      </c>
      <c r="AU511" t="str">
        <f t="shared" si="80"/>
        <v/>
      </c>
      <c r="AV511" t="str">
        <f>IF(ISNUMBER($AT511),ABS(IF(ISNUMBER($I511),$I511,0)-Settings!$B$24),"")</f>
        <v/>
      </c>
      <c r="AW511" t="str">
        <f t="shared" si="81"/>
        <v/>
      </c>
      <c r="AX511" t="str">
        <f>IF(ISNUMBER($AU511),ABS(IF(ISNUMBER($I511),$I511,0)-Settings!$B$24),"")</f>
        <v/>
      </c>
      <c r="AY511" t="s">
        <v>549</v>
      </c>
      <c r="AZ511" t="str">
        <f>IF($A511="","",IFERROR(INDEX(Company_List!$H$3:$H$207,MATCH($A511,Company_List!$A$3:$A$207,0)),"unassigned"))</f>
        <v/>
      </c>
      <c r="BC511" t="str">
        <f>IF($A511="","",IF(COUNTIFS($A$3:$A511,$A511,$C$3:$C511,$C511,$D$3:$D511,$D511,$G$3:$G511,$G511)=1,1,0))</f>
        <v/>
      </c>
      <c r="BK511" t="str">
        <f t="shared" si="82"/>
        <v/>
      </c>
    </row>
    <row r="512" spans="2:63" x14ac:dyDescent="0.2">
      <c r="B512" s="142" t="str">
        <f>IF(A512="","",_xlfn.XLOOKUP(A512, Company_List!$A:$A, Company_List!$B:$B, ""))</f>
        <v/>
      </c>
      <c r="J512" s="145" t="str">
        <f>IF(OR(I512="",Settings!$B$6=""),"",IF(I512&gt;Settings!$B$6,"BUY",IF(I512&lt;-Settings!$B$6,"SELL","HOLD")))</f>
        <v/>
      </c>
      <c r="Q512" s="151" t="str">
        <f t="shared" si="73"/>
        <v/>
      </c>
      <c r="R512" s="118" t="str">
        <f>IF(OR(N512="",P512=""),"",IF(Q512&gt;Settings!$B$3/100,"UP",IF(Q512&lt;-Settings!$B$3/100,"DOWN","FLAT")))</f>
        <v/>
      </c>
      <c r="S512" s="118" t="str">
        <f t="shared" si="74"/>
        <v/>
      </c>
      <c r="T512" s="119" t="str">
        <f t="shared" si="75"/>
        <v/>
      </c>
      <c r="U512" s="150" t="str">
        <f>IFERROR(IF(OR(J512="",N512="",P512=""),"",IF(T512=0,0,T512*Q512-Settings!$B$4/10000-IF(T512&lt;0,Settings!$B$5/10000,0))),"")</f>
        <v/>
      </c>
      <c r="W512" s="21" t="str">
        <f t="shared" si="76"/>
        <v/>
      </c>
      <c r="X512" s="91" t="str">
        <f t="shared" si="77"/>
        <v/>
      </c>
      <c r="Y512" s="91" t="str">
        <f>IFERROR(IF($X512="","",INDEX(LLM_Data_Entry!$H$3:$H$548,MATCH($X512,INDEX(LLM_Data_Entry!$A$3:$A$548&amp;"|"&amp;LLM_Data_Entry!$C$3:$C$548&amp;"|"&amp;LLM_Data_Entry!$D$3:$D$548,0),0))),"")</f>
        <v/>
      </c>
      <c r="Z512" s="91" t="str">
        <f>IFERROR(IF($X512="","",INDEX(LLM_Data_Entry!$R$3:$R$548,MATCH($X512,INDEX(LLM_Data_Entry!$A$3:$A$548&amp;"|"&amp;LLM_Data_Entry!$C$3:$C$548&amp;"|"&amp;LLM_Data_Entry!$D$3:$D$548,0),0))),"")</f>
        <v/>
      </c>
      <c r="AL512" t="str">
        <f>IF($A512="","",IFERROR(INDEX(Company_List!$G$3:$G$207,MATCH($A512,Company_List!$A$3:$A$207,0)),"unassigned"))</f>
        <v/>
      </c>
      <c r="AP512" t="str">
        <f>IF($A512="","",IF(COUNTIFS(LLM_Data_Entry!$A$3:$A$548,$A512)&gt;0,"YES","NO"))</f>
        <v/>
      </c>
      <c r="AQ512" t="str">
        <f>IF($A512="","",IF(COUNTIFS($A$3:$A512,$A512,$C$3:$C512,$C512,$D$3:$D512,$D512)=1,"YES","NO"))</f>
        <v/>
      </c>
      <c r="AR512" t="str">
        <f>IF($A512="","",IF(AND($C512&amp;"-"&amp;$D512&gt;=Settings!$B$19,$C512&amp;"-"&amp;$D512&lt;=Settings!$B$20),"IN","OUT"))</f>
        <v/>
      </c>
      <c r="AS512" t="str">
        <f t="shared" si="78"/>
        <v/>
      </c>
      <c r="AT512" t="str">
        <f t="shared" si="79"/>
        <v/>
      </c>
      <c r="AU512" t="str">
        <f t="shared" si="80"/>
        <v/>
      </c>
      <c r="AV512" t="str">
        <f>IF(ISNUMBER($AT512),ABS(IF(ISNUMBER($I512),$I512,0)-Settings!$B$24),"")</f>
        <v/>
      </c>
      <c r="AW512" t="str">
        <f t="shared" si="81"/>
        <v/>
      </c>
      <c r="AX512" t="str">
        <f>IF(ISNUMBER($AU512),ABS(IF(ISNUMBER($I512),$I512,0)-Settings!$B$24),"")</f>
        <v/>
      </c>
      <c r="AY512" t="s">
        <v>549</v>
      </c>
      <c r="AZ512" t="str">
        <f>IF($A512="","",IFERROR(INDEX(Company_List!$H$3:$H$207,MATCH($A512,Company_List!$A$3:$A$207,0)),"unassigned"))</f>
        <v/>
      </c>
      <c r="BC512" t="str">
        <f>IF($A512="","",IF(COUNTIFS($A$3:$A512,$A512,$C$3:$C512,$C512,$D$3:$D512,$D512,$G$3:$G512,$G512)=1,1,0))</f>
        <v/>
      </c>
      <c r="BK512" t="str">
        <f t="shared" si="82"/>
        <v/>
      </c>
    </row>
    <row r="513" spans="2:63" x14ac:dyDescent="0.2">
      <c r="B513" s="142" t="str">
        <f>IF(A513="","",_xlfn.XLOOKUP(A513, Company_List!$A:$A, Company_List!$B:$B, ""))</f>
        <v/>
      </c>
      <c r="J513" s="145" t="str">
        <f>IF(OR(I513="",Settings!$B$6=""),"",IF(I513&gt;Settings!$B$6,"BUY",IF(I513&lt;-Settings!$B$6,"SELL","HOLD")))</f>
        <v/>
      </c>
      <c r="Q513" s="151" t="str">
        <f t="shared" si="73"/>
        <v/>
      </c>
      <c r="R513" s="118" t="str">
        <f>IF(OR(N513="",P513=""),"",IF(Q513&gt;Settings!$B$3/100,"UP",IF(Q513&lt;-Settings!$B$3/100,"DOWN","FLAT")))</f>
        <v/>
      </c>
      <c r="S513" s="118" t="str">
        <f t="shared" si="74"/>
        <v/>
      </c>
      <c r="T513" s="119" t="str">
        <f t="shared" si="75"/>
        <v/>
      </c>
      <c r="U513" s="150" t="str">
        <f>IFERROR(IF(OR(J513="",N513="",P513=""),"",IF(T513=0,0,T513*Q513-Settings!$B$4/10000-IF(T513&lt;0,Settings!$B$5/10000,0))),"")</f>
        <v/>
      </c>
      <c r="W513" s="21" t="str">
        <f t="shared" si="76"/>
        <v/>
      </c>
      <c r="X513" s="91" t="str">
        <f t="shared" si="77"/>
        <v/>
      </c>
      <c r="Y513" s="91" t="str">
        <f>IFERROR(IF($X513="","",INDEX(LLM_Data_Entry!$H$3:$H$548,MATCH($X513,INDEX(LLM_Data_Entry!$A$3:$A$548&amp;"|"&amp;LLM_Data_Entry!$C$3:$C$548&amp;"|"&amp;LLM_Data_Entry!$D$3:$D$548,0),0))),"")</f>
        <v/>
      </c>
      <c r="Z513" s="91" t="str">
        <f>IFERROR(IF($X513="","",INDEX(LLM_Data_Entry!$R$3:$R$548,MATCH($X513,INDEX(LLM_Data_Entry!$A$3:$A$548&amp;"|"&amp;LLM_Data_Entry!$C$3:$C$548&amp;"|"&amp;LLM_Data_Entry!$D$3:$D$548,0),0))),"")</f>
        <v/>
      </c>
      <c r="AL513" t="str">
        <f>IF($A513="","",IFERROR(INDEX(Company_List!$G$3:$G$207,MATCH($A513,Company_List!$A$3:$A$207,0)),"unassigned"))</f>
        <v/>
      </c>
      <c r="AP513" t="str">
        <f>IF($A513="","",IF(COUNTIFS(LLM_Data_Entry!$A$3:$A$548,$A513)&gt;0,"YES","NO"))</f>
        <v/>
      </c>
      <c r="AQ513" t="str">
        <f>IF($A513="","",IF(COUNTIFS($A$3:$A513,$A513,$C$3:$C513,$C513,$D$3:$D513,$D513)=1,"YES","NO"))</f>
        <v/>
      </c>
      <c r="AR513" t="str">
        <f>IF($A513="","",IF(AND($C513&amp;"-"&amp;$D513&gt;=Settings!$B$19,$C513&amp;"-"&amp;$D513&lt;=Settings!$B$20),"IN","OUT"))</f>
        <v/>
      </c>
      <c r="AS513" t="str">
        <f t="shared" si="78"/>
        <v/>
      </c>
      <c r="AT513" t="str">
        <f t="shared" si="79"/>
        <v/>
      </c>
      <c r="AU513" t="str">
        <f t="shared" si="80"/>
        <v/>
      </c>
      <c r="AV513" t="str">
        <f>IF(ISNUMBER($AT513),ABS(IF(ISNUMBER($I513),$I513,0)-Settings!$B$24),"")</f>
        <v/>
      </c>
      <c r="AW513" t="str">
        <f t="shared" si="81"/>
        <v/>
      </c>
      <c r="AX513" t="str">
        <f>IF(ISNUMBER($AU513),ABS(IF(ISNUMBER($I513),$I513,0)-Settings!$B$24),"")</f>
        <v/>
      </c>
      <c r="AY513" t="s">
        <v>549</v>
      </c>
      <c r="AZ513" t="str">
        <f>IF($A513="","",IFERROR(INDEX(Company_List!$H$3:$H$207,MATCH($A513,Company_List!$A$3:$A$207,0)),"unassigned"))</f>
        <v/>
      </c>
      <c r="BC513" t="str">
        <f>IF($A513="","",IF(COUNTIFS($A$3:$A513,$A513,$C$3:$C513,$C513,$D$3:$D513,$D513,$G$3:$G513,$G513)=1,1,0))</f>
        <v/>
      </c>
      <c r="BK513" t="str">
        <f t="shared" si="82"/>
        <v/>
      </c>
    </row>
    <row r="514" spans="2:63" x14ac:dyDescent="0.2">
      <c r="B514" s="142" t="str">
        <f>IF(A514="","",_xlfn.XLOOKUP(A514, Company_List!$A:$A, Company_List!$B:$B, ""))</f>
        <v/>
      </c>
      <c r="J514" s="145" t="str">
        <f>IF(OR(I514="",Settings!$B$6=""),"",IF(I514&gt;Settings!$B$6,"BUY",IF(I514&lt;-Settings!$B$6,"SELL","HOLD")))</f>
        <v/>
      </c>
      <c r="Q514" s="151" t="str">
        <f t="shared" ref="Q514:Q577" si="83">IF(OR(N514="",P514=""),"",ROUND((P514-N514)/N514,4))</f>
        <v/>
      </c>
      <c r="R514" s="118" t="str">
        <f>IF(OR(N514="",P514=""),"",IF(Q514&gt;Settings!$B$3/100,"UP",IF(Q514&lt;-Settings!$B$3/100,"DOWN","FLAT")))</f>
        <v/>
      </c>
      <c r="S514" s="118" t="str">
        <f t="shared" si="74"/>
        <v/>
      </c>
      <c r="T514" s="119" t="str">
        <f t="shared" si="75"/>
        <v/>
      </c>
      <c r="U514" s="150" t="str">
        <f>IFERROR(IF(OR(J514="",N514="",P514=""),"",IF(T514=0,0,T514*Q514-Settings!$B$4/10000-IF(T514&lt;0,Settings!$B$5/10000,0))),"")</f>
        <v/>
      </c>
      <c r="W514" s="21" t="str">
        <f t="shared" si="76"/>
        <v/>
      </c>
      <c r="X514" s="91" t="str">
        <f t="shared" si="77"/>
        <v/>
      </c>
      <c r="Y514" s="91" t="str">
        <f>IFERROR(IF($X514="","",INDEX(LLM_Data_Entry!$H$3:$H$548,MATCH($X514,INDEX(LLM_Data_Entry!$A$3:$A$548&amp;"|"&amp;LLM_Data_Entry!$C$3:$C$548&amp;"|"&amp;LLM_Data_Entry!$D$3:$D$548,0),0))),"")</f>
        <v/>
      </c>
      <c r="Z514" s="91" t="str">
        <f>IFERROR(IF($X514="","",INDEX(LLM_Data_Entry!$R$3:$R$548,MATCH($X514,INDEX(LLM_Data_Entry!$A$3:$A$548&amp;"|"&amp;LLM_Data_Entry!$C$3:$C$548&amp;"|"&amp;LLM_Data_Entry!$D$3:$D$548,0),0))),"")</f>
        <v/>
      </c>
      <c r="AL514" t="str">
        <f>IF($A514="","",IFERROR(INDEX(Company_List!$G$3:$G$207,MATCH($A514,Company_List!$A$3:$A$207,0)),"unassigned"))</f>
        <v/>
      </c>
      <c r="AP514" t="str">
        <f>IF($A514="","",IF(COUNTIFS(LLM_Data_Entry!$A$3:$A$548,$A514)&gt;0,"YES","NO"))</f>
        <v/>
      </c>
      <c r="AQ514" t="str">
        <f>IF($A514="","",IF(COUNTIFS($A$3:$A514,$A514,$C$3:$C514,$C514,$D$3:$D514,$D514)=1,"YES","NO"))</f>
        <v/>
      </c>
      <c r="AR514" t="str">
        <f>IF($A514="","",IF(AND($C514&amp;"-"&amp;$D514&gt;=Settings!$B$19,$C514&amp;"-"&amp;$D514&lt;=Settings!$B$20),"IN","OUT"))</f>
        <v/>
      </c>
      <c r="AS514" t="str">
        <f t="shared" si="78"/>
        <v/>
      </c>
      <c r="AT514" t="str">
        <f t="shared" si="79"/>
        <v/>
      </c>
      <c r="AU514" t="str">
        <f t="shared" si="80"/>
        <v/>
      </c>
      <c r="AV514" t="str">
        <f>IF(ISNUMBER($AT514),ABS(IF(ISNUMBER($I514),$I514,0)-Settings!$B$24),"")</f>
        <v/>
      </c>
      <c r="AW514" t="str">
        <f t="shared" si="81"/>
        <v/>
      </c>
      <c r="AX514" t="str">
        <f>IF(ISNUMBER($AU514),ABS(IF(ISNUMBER($I514),$I514,0)-Settings!$B$24),"")</f>
        <v/>
      </c>
      <c r="AY514" t="s">
        <v>549</v>
      </c>
      <c r="AZ514" t="str">
        <f>IF($A514="","",IFERROR(INDEX(Company_List!$H$3:$H$207,MATCH($A514,Company_List!$A$3:$A$207,0)),"unassigned"))</f>
        <v/>
      </c>
      <c r="BC514" t="str">
        <f>IF($A514="","",IF(COUNTIFS($A$3:$A514,$A514,$C$3:$C514,$C514,$D$3:$D514,$D514,$G$3:$G514,$G514)=1,1,0))</f>
        <v/>
      </c>
      <c r="BK514" t="str">
        <f t="shared" si="82"/>
        <v/>
      </c>
    </row>
    <row r="515" spans="2:63" x14ac:dyDescent="0.2">
      <c r="B515" s="142" t="str">
        <f>IF(A515="","",_xlfn.XLOOKUP(A515, Company_List!$A:$A, Company_List!$B:$B, ""))</f>
        <v/>
      </c>
      <c r="J515" s="145" t="str">
        <f>IF(OR(I515="",Settings!$B$6=""),"",IF(I515&gt;Settings!$B$6,"BUY",IF(I515&lt;-Settings!$B$6,"SELL","HOLD")))</f>
        <v/>
      </c>
      <c r="Q515" s="151" t="str">
        <f t="shared" si="83"/>
        <v/>
      </c>
      <c r="R515" s="118" t="str">
        <f>IF(OR(N515="",P515=""),"",IF(Q515&gt;Settings!$B$3/100,"UP",IF(Q515&lt;-Settings!$B$3/100,"DOWN","FLAT")))</f>
        <v/>
      </c>
      <c r="S515" s="118" t="str">
        <f t="shared" ref="S515:S578" si="84">IF(OR(N515="",P515="",J515=""),"",IF(OR(AND(J515="BUY",R515="UP"),AND(J515="SELL",R515="DOWN"),AND(J515="HOLD",R515="FLAT")),"YES","NO"))</f>
        <v/>
      </c>
      <c r="T515" s="119" t="str">
        <f t="shared" ref="T515:T524" si="85">IF(J515="","",IF(J515="BUY",1,IF(J515="SELL",-1,0)))</f>
        <v/>
      </c>
      <c r="U515" s="150" t="str">
        <f>IFERROR(IF(OR(J515="",N515="",P515=""),"",IF(T515=0,0,T515*Q515-Settings!$B$4/10000-IF(T515&lt;0,Settings!$B$5/10000,0))),"")</f>
        <v/>
      </c>
      <c r="W515" s="21" t="str">
        <f t="shared" ref="W515:W524" si="86">IF($K515="","",$K515*60)</f>
        <v/>
      </c>
      <c r="X515" s="91" t="str">
        <f t="shared" ref="X515:X524" si="87">IF($A515="","",$A515&amp;"|"&amp;$C515&amp;"|"&amp;$D515)</f>
        <v/>
      </c>
      <c r="Y515" s="91" t="str">
        <f>IFERROR(IF($X515="","",INDEX(LLM_Data_Entry!$H$3:$H$548,MATCH($X515,INDEX(LLM_Data_Entry!$A$3:$A$548&amp;"|"&amp;LLM_Data_Entry!$C$3:$C$548&amp;"|"&amp;LLM_Data_Entry!$D$3:$D$548,0),0))),"")</f>
        <v/>
      </c>
      <c r="Z515" s="91" t="str">
        <f>IFERROR(IF($X515="","",INDEX(LLM_Data_Entry!$R$3:$R$548,MATCH($X515,INDEX(LLM_Data_Entry!$A$3:$A$548&amp;"|"&amp;LLM_Data_Entry!$C$3:$C$548&amp;"|"&amp;LLM_Data_Entry!$D$3:$D$548,0),0))),"")</f>
        <v/>
      </c>
      <c r="AL515" t="str">
        <f>IF($A515="","",IFERROR(INDEX(Company_List!$G$3:$G$207,MATCH($A515,Company_List!$A$3:$A$207,0)),"unassigned"))</f>
        <v/>
      </c>
      <c r="AP515" t="str">
        <f>IF($A515="","",IF(COUNTIFS(LLM_Data_Entry!$A$3:$A$548,$A515)&gt;0,"YES","NO"))</f>
        <v/>
      </c>
      <c r="AQ515" t="str">
        <f>IF($A515="","",IF(COUNTIFS($A$3:$A515,$A515,$C$3:$C515,$C515,$D$3:$D515,$D515)=1,"YES","NO"))</f>
        <v/>
      </c>
      <c r="AR515" t="str">
        <f>IF($A515="","",IF(AND($C515&amp;"-"&amp;$D515&gt;=Settings!$B$19,$C515&amp;"-"&amp;$D515&lt;=Settings!$B$20),"IN","OUT"))</f>
        <v/>
      </c>
      <c r="AS515" t="str">
        <f t="shared" ref="AS515:AS524" si="88">IF($A515="","",IF($F515="Financial Results","financials",IF($F515="Outlook/Guidance","guidance",IF($F515="Transcript Q&amp;A","qanda",IF($F515="","unrecorded",IF($E515="All","full",IF($E515="","unrecorded",LOWER($E515)&amp;" only")))))))</f>
        <v/>
      </c>
      <c r="AT515" t="str">
        <f t="shared" ref="AT515:AT524" si="89">IF(AND(OR($J515="BUY",$J515="SELL"),ISNUMBER($U515)),$U515,"")</f>
        <v/>
      </c>
      <c r="AU515" t="str">
        <f t="shared" ref="AU515:AU524" si="90">IF(AND(OR($J515="BUY",$J515="SELL"),ISNUMBER($AK515)),$AK515,"")</f>
        <v/>
      </c>
      <c r="AV515" t="str">
        <f>IF(ISNUMBER($AT515),ABS(IF(ISNUMBER($I515),$I515,0)-Settings!$B$24),"")</f>
        <v/>
      </c>
      <c r="AW515" t="str">
        <f t="shared" ref="AW515:AW524" si="91">IF(ISNUMBER($AV515),$AV515*$AT515,"")</f>
        <v/>
      </c>
      <c r="AX515" t="str">
        <f>IF(ISNUMBER($AU515),ABS(IF(ISNUMBER($I515),$I515,0)-Settings!$B$24),"")</f>
        <v/>
      </c>
      <c r="AY515" t="s">
        <v>549</v>
      </c>
      <c r="AZ515" t="str">
        <f>IF($A515="","",IFERROR(INDEX(Company_List!$H$3:$H$207,MATCH($A515,Company_List!$A$3:$A$207,0)),"unassigned"))</f>
        <v/>
      </c>
      <c r="BC515" t="str">
        <f>IF($A515="","",IF(COUNTIFS($A$3:$A515,$A515,$C$3:$C515,$C515,$D$3:$D515,$D515,$G$3:$G515,$G515)=1,1,0))</f>
        <v/>
      </c>
      <c r="BK515" t="str">
        <f t="shared" ref="BK515:BK524" si="92">IF(OR($H515&lt;&gt;"Human",$S515="",$J515="",$Y515="",$Z515=""),"",IF(EXACT(UPPER($J515),UPPER($Y515)),1,0))</f>
        <v/>
      </c>
    </row>
    <row r="516" spans="2:63" x14ac:dyDescent="0.2">
      <c r="B516" s="142" t="str">
        <f>IF(A516="","",_xlfn.XLOOKUP(A516, Company_List!$A:$A, Company_List!$B:$B, ""))</f>
        <v/>
      </c>
      <c r="J516" s="145" t="str">
        <f>IF(OR(I516="",Settings!$B$6=""),"",IF(I516&gt;Settings!$B$6,"BUY",IF(I516&lt;-Settings!$B$6,"SELL","HOLD")))</f>
        <v/>
      </c>
      <c r="Q516" s="151" t="str">
        <f t="shared" si="83"/>
        <v/>
      </c>
      <c r="R516" s="118" t="str">
        <f>IF(OR(N516="",P516=""),"",IF(Q516&gt;Settings!$B$3/100,"UP",IF(Q516&lt;-Settings!$B$3/100,"DOWN","FLAT")))</f>
        <v/>
      </c>
      <c r="S516" s="118" t="str">
        <f t="shared" si="84"/>
        <v/>
      </c>
      <c r="T516" s="119" t="str">
        <f t="shared" si="85"/>
        <v/>
      </c>
      <c r="U516" s="150" t="str">
        <f>IFERROR(IF(OR(J516="",N516="",P516=""),"",IF(T516=0,0,T516*Q516-Settings!$B$4/10000-IF(T516&lt;0,Settings!$B$5/10000,0))),"")</f>
        <v/>
      </c>
      <c r="W516" s="21" t="str">
        <f t="shared" si="86"/>
        <v/>
      </c>
      <c r="X516" s="91" t="str">
        <f t="shared" si="87"/>
        <v/>
      </c>
      <c r="Y516" s="91" t="str">
        <f>IFERROR(IF($X516="","",INDEX(LLM_Data_Entry!$H$3:$H$548,MATCH($X516,INDEX(LLM_Data_Entry!$A$3:$A$548&amp;"|"&amp;LLM_Data_Entry!$C$3:$C$548&amp;"|"&amp;LLM_Data_Entry!$D$3:$D$548,0),0))),"")</f>
        <v/>
      </c>
      <c r="Z516" s="91" t="str">
        <f>IFERROR(IF($X516="","",INDEX(LLM_Data_Entry!$R$3:$R$548,MATCH($X516,INDEX(LLM_Data_Entry!$A$3:$A$548&amp;"|"&amp;LLM_Data_Entry!$C$3:$C$548&amp;"|"&amp;LLM_Data_Entry!$D$3:$D$548,0),0))),"")</f>
        <v/>
      </c>
      <c r="AL516" t="str">
        <f>IF($A516="","",IFERROR(INDEX(Company_List!$G$3:$G$207,MATCH($A516,Company_List!$A$3:$A$207,0)),"unassigned"))</f>
        <v/>
      </c>
      <c r="AP516" t="str">
        <f>IF($A516="","",IF(COUNTIFS(LLM_Data_Entry!$A$3:$A$548,$A516)&gt;0,"YES","NO"))</f>
        <v/>
      </c>
      <c r="AQ516" t="str">
        <f>IF($A516="","",IF(COUNTIFS($A$3:$A516,$A516,$C$3:$C516,$C516,$D$3:$D516,$D516)=1,"YES","NO"))</f>
        <v/>
      </c>
      <c r="AR516" t="str">
        <f>IF($A516="","",IF(AND($C516&amp;"-"&amp;$D516&gt;=Settings!$B$19,$C516&amp;"-"&amp;$D516&lt;=Settings!$B$20),"IN","OUT"))</f>
        <v/>
      </c>
      <c r="AS516" t="str">
        <f t="shared" si="88"/>
        <v/>
      </c>
      <c r="AT516" t="str">
        <f t="shared" si="89"/>
        <v/>
      </c>
      <c r="AU516" t="str">
        <f t="shared" si="90"/>
        <v/>
      </c>
      <c r="AV516" t="str">
        <f>IF(ISNUMBER($AT516),ABS(IF(ISNUMBER($I516),$I516,0)-Settings!$B$24),"")</f>
        <v/>
      </c>
      <c r="AW516" t="str">
        <f t="shared" si="91"/>
        <v/>
      </c>
      <c r="AX516" t="str">
        <f>IF(ISNUMBER($AU516),ABS(IF(ISNUMBER($I516),$I516,0)-Settings!$B$24),"")</f>
        <v/>
      </c>
      <c r="AY516" t="s">
        <v>549</v>
      </c>
      <c r="AZ516" t="str">
        <f>IF($A516="","",IFERROR(INDEX(Company_List!$H$3:$H$207,MATCH($A516,Company_List!$A$3:$A$207,0)),"unassigned"))</f>
        <v/>
      </c>
      <c r="BC516" t="str">
        <f>IF($A516="","",IF(COUNTIFS($A$3:$A516,$A516,$C$3:$C516,$C516,$D$3:$D516,$D516,$G$3:$G516,$G516)=1,1,0))</f>
        <v/>
      </c>
      <c r="BK516" t="str">
        <f t="shared" si="92"/>
        <v/>
      </c>
    </row>
    <row r="517" spans="2:63" x14ac:dyDescent="0.2">
      <c r="B517" s="142" t="str">
        <f>IF(A517="","",_xlfn.XLOOKUP(A517, Company_List!$A:$A, Company_List!$B:$B, ""))</f>
        <v/>
      </c>
      <c r="J517" s="145" t="str">
        <f>IF(OR(I517="",Settings!$B$6=""),"",IF(I517&gt;Settings!$B$6,"BUY",IF(I517&lt;-Settings!$B$6,"SELL","HOLD")))</f>
        <v/>
      </c>
      <c r="Q517" s="151" t="str">
        <f t="shared" si="83"/>
        <v/>
      </c>
      <c r="R517" s="118" t="str">
        <f>IF(OR(N517="",P517=""),"",IF(Q517&gt;Settings!$B$3/100,"UP",IF(Q517&lt;-Settings!$B$3/100,"DOWN","FLAT")))</f>
        <v/>
      </c>
      <c r="S517" s="118" t="str">
        <f t="shared" si="84"/>
        <v/>
      </c>
      <c r="T517" s="119" t="str">
        <f t="shared" si="85"/>
        <v/>
      </c>
      <c r="U517" s="150" t="str">
        <f>IFERROR(IF(OR(J517="",N517="",P517=""),"",IF(T517=0,0,T517*Q517-Settings!$B$4/10000-IF(T517&lt;0,Settings!$B$5/10000,0))),"")</f>
        <v/>
      </c>
      <c r="W517" s="21" t="str">
        <f t="shared" si="86"/>
        <v/>
      </c>
      <c r="X517" s="91" t="str">
        <f t="shared" si="87"/>
        <v/>
      </c>
      <c r="Y517" s="91" t="str">
        <f>IFERROR(IF($X517="","",INDEX(LLM_Data_Entry!$H$3:$H$548,MATCH($X517,INDEX(LLM_Data_Entry!$A$3:$A$548&amp;"|"&amp;LLM_Data_Entry!$C$3:$C$548&amp;"|"&amp;LLM_Data_Entry!$D$3:$D$548,0),0))),"")</f>
        <v/>
      </c>
      <c r="Z517" s="91" t="str">
        <f>IFERROR(IF($X517="","",INDEX(LLM_Data_Entry!$R$3:$R$548,MATCH($X517,INDEX(LLM_Data_Entry!$A$3:$A$548&amp;"|"&amp;LLM_Data_Entry!$C$3:$C$548&amp;"|"&amp;LLM_Data_Entry!$D$3:$D$548,0),0))),"")</f>
        <v/>
      </c>
      <c r="AL517" t="str">
        <f>IF($A517="","",IFERROR(INDEX(Company_List!$G$3:$G$207,MATCH($A517,Company_List!$A$3:$A$207,0)),"unassigned"))</f>
        <v/>
      </c>
      <c r="AP517" t="str">
        <f>IF($A517="","",IF(COUNTIFS(LLM_Data_Entry!$A$3:$A$548,$A517)&gt;0,"YES","NO"))</f>
        <v/>
      </c>
      <c r="AQ517" t="str">
        <f>IF($A517="","",IF(COUNTIFS($A$3:$A517,$A517,$C$3:$C517,$C517,$D$3:$D517,$D517)=1,"YES","NO"))</f>
        <v/>
      </c>
      <c r="AR517" t="str">
        <f>IF($A517="","",IF(AND($C517&amp;"-"&amp;$D517&gt;=Settings!$B$19,$C517&amp;"-"&amp;$D517&lt;=Settings!$B$20),"IN","OUT"))</f>
        <v/>
      </c>
      <c r="AS517" t="str">
        <f t="shared" si="88"/>
        <v/>
      </c>
      <c r="AT517" t="str">
        <f t="shared" si="89"/>
        <v/>
      </c>
      <c r="AU517" t="str">
        <f t="shared" si="90"/>
        <v/>
      </c>
      <c r="AV517" t="str">
        <f>IF(ISNUMBER($AT517),ABS(IF(ISNUMBER($I517),$I517,0)-Settings!$B$24),"")</f>
        <v/>
      </c>
      <c r="AW517" t="str">
        <f t="shared" si="91"/>
        <v/>
      </c>
      <c r="AX517" t="str">
        <f>IF(ISNUMBER($AU517),ABS(IF(ISNUMBER($I517),$I517,0)-Settings!$B$24),"")</f>
        <v/>
      </c>
      <c r="AY517" t="s">
        <v>549</v>
      </c>
      <c r="AZ517" t="str">
        <f>IF($A517="","",IFERROR(INDEX(Company_List!$H$3:$H$207,MATCH($A517,Company_List!$A$3:$A$207,0)),"unassigned"))</f>
        <v/>
      </c>
      <c r="BC517" t="str">
        <f>IF($A517="","",IF(COUNTIFS($A$3:$A517,$A517,$C$3:$C517,$C517,$D$3:$D517,$D517,$G$3:$G517,$G517)=1,1,0))</f>
        <v/>
      </c>
      <c r="BK517" t="str">
        <f t="shared" si="92"/>
        <v/>
      </c>
    </row>
    <row r="518" spans="2:63" x14ac:dyDescent="0.2">
      <c r="B518" s="142" t="str">
        <f>IF(A518="","",_xlfn.XLOOKUP(A518, Company_List!$A:$A, Company_List!$B:$B, ""))</f>
        <v/>
      </c>
      <c r="J518" s="145" t="str">
        <f>IF(OR(I518="",Settings!$B$6=""),"",IF(I518&gt;Settings!$B$6,"BUY",IF(I518&lt;-Settings!$B$6,"SELL","HOLD")))</f>
        <v/>
      </c>
      <c r="Q518" s="151" t="str">
        <f t="shared" si="83"/>
        <v/>
      </c>
      <c r="R518" s="118" t="str">
        <f>IF(OR(N518="",P518=""),"",IF(Q518&gt;Settings!$B$3/100,"UP",IF(Q518&lt;-Settings!$B$3/100,"DOWN","FLAT")))</f>
        <v/>
      </c>
      <c r="S518" s="118" t="str">
        <f t="shared" si="84"/>
        <v/>
      </c>
      <c r="T518" s="119" t="str">
        <f t="shared" si="85"/>
        <v/>
      </c>
      <c r="U518" s="150" t="str">
        <f>IFERROR(IF(OR(J518="",N518="",P518=""),"",IF(T518=0,0,T518*Q518-Settings!$B$4/10000-IF(T518&lt;0,Settings!$B$5/10000,0))),"")</f>
        <v/>
      </c>
      <c r="W518" s="21" t="str">
        <f t="shared" si="86"/>
        <v/>
      </c>
      <c r="X518" s="91" t="str">
        <f t="shared" si="87"/>
        <v/>
      </c>
      <c r="Y518" s="91" t="str">
        <f>IFERROR(IF($X518="","",INDEX(LLM_Data_Entry!$H$3:$H$548,MATCH($X518,INDEX(LLM_Data_Entry!$A$3:$A$548&amp;"|"&amp;LLM_Data_Entry!$C$3:$C$548&amp;"|"&amp;LLM_Data_Entry!$D$3:$D$548,0),0))),"")</f>
        <v/>
      </c>
      <c r="Z518" s="91" t="str">
        <f>IFERROR(IF($X518="","",INDEX(LLM_Data_Entry!$R$3:$R$548,MATCH($X518,INDEX(LLM_Data_Entry!$A$3:$A$548&amp;"|"&amp;LLM_Data_Entry!$C$3:$C$548&amp;"|"&amp;LLM_Data_Entry!$D$3:$D$548,0),0))),"")</f>
        <v/>
      </c>
      <c r="AL518" t="str">
        <f>IF($A518="","",IFERROR(INDEX(Company_List!$G$3:$G$207,MATCH($A518,Company_List!$A$3:$A$207,0)),"unassigned"))</f>
        <v/>
      </c>
      <c r="AP518" t="str">
        <f>IF($A518="","",IF(COUNTIFS(LLM_Data_Entry!$A$3:$A$548,$A518)&gt;0,"YES","NO"))</f>
        <v/>
      </c>
      <c r="AQ518" t="str">
        <f>IF($A518="","",IF(COUNTIFS($A$3:$A518,$A518,$C$3:$C518,$C518,$D$3:$D518,$D518)=1,"YES","NO"))</f>
        <v/>
      </c>
      <c r="AR518" t="str">
        <f>IF($A518="","",IF(AND($C518&amp;"-"&amp;$D518&gt;=Settings!$B$19,$C518&amp;"-"&amp;$D518&lt;=Settings!$B$20),"IN","OUT"))</f>
        <v/>
      </c>
      <c r="AS518" t="str">
        <f t="shared" si="88"/>
        <v/>
      </c>
      <c r="AT518" t="str">
        <f t="shared" si="89"/>
        <v/>
      </c>
      <c r="AU518" t="str">
        <f t="shared" si="90"/>
        <v/>
      </c>
      <c r="AV518" t="str">
        <f>IF(ISNUMBER($AT518),ABS(IF(ISNUMBER($I518),$I518,0)-Settings!$B$24),"")</f>
        <v/>
      </c>
      <c r="AW518" t="str">
        <f t="shared" si="91"/>
        <v/>
      </c>
      <c r="AX518" t="str">
        <f>IF(ISNUMBER($AU518),ABS(IF(ISNUMBER($I518),$I518,0)-Settings!$B$24),"")</f>
        <v/>
      </c>
      <c r="AY518" t="s">
        <v>549</v>
      </c>
      <c r="AZ518" t="str">
        <f>IF($A518="","",IFERROR(INDEX(Company_List!$H$3:$H$207,MATCH($A518,Company_List!$A$3:$A$207,0)),"unassigned"))</f>
        <v/>
      </c>
      <c r="BC518" t="str">
        <f>IF($A518="","",IF(COUNTIFS($A$3:$A518,$A518,$C$3:$C518,$C518,$D$3:$D518,$D518,$G$3:$G518,$G518)=1,1,0))</f>
        <v/>
      </c>
      <c r="BK518" t="str">
        <f t="shared" si="92"/>
        <v/>
      </c>
    </row>
    <row r="519" spans="2:63" x14ac:dyDescent="0.2">
      <c r="B519" s="142" t="str">
        <f>IF(A519="","",_xlfn.XLOOKUP(A519, Company_List!$A:$A, Company_List!$B:$B, ""))</f>
        <v/>
      </c>
      <c r="J519" s="145" t="str">
        <f>IF(OR(I519="",Settings!$B$6=""),"",IF(I519&gt;Settings!$B$6,"BUY",IF(I519&lt;-Settings!$B$6,"SELL","HOLD")))</f>
        <v/>
      </c>
      <c r="Q519" s="151" t="str">
        <f t="shared" si="83"/>
        <v/>
      </c>
      <c r="R519" s="118" t="str">
        <f>IF(OR(N519="",P519=""),"",IF(Q519&gt;Settings!$B$3/100,"UP",IF(Q519&lt;-Settings!$B$3/100,"DOWN","FLAT")))</f>
        <v/>
      </c>
      <c r="S519" s="118" t="str">
        <f t="shared" si="84"/>
        <v/>
      </c>
      <c r="T519" s="119" t="str">
        <f t="shared" si="85"/>
        <v/>
      </c>
      <c r="U519" s="150" t="str">
        <f>IFERROR(IF(OR(J519="",N519="",P519=""),"",IF(T519=0,0,T519*Q519-Settings!$B$4/10000-IF(T519&lt;0,Settings!$B$5/10000,0))),"")</f>
        <v/>
      </c>
      <c r="W519" s="21" t="str">
        <f t="shared" si="86"/>
        <v/>
      </c>
      <c r="X519" s="91" t="str">
        <f t="shared" si="87"/>
        <v/>
      </c>
      <c r="Y519" s="91" t="str">
        <f>IFERROR(IF($X519="","",INDEX(LLM_Data_Entry!$H$3:$H$548,MATCH($X519,INDEX(LLM_Data_Entry!$A$3:$A$548&amp;"|"&amp;LLM_Data_Entry!$C$3:$C$548&amp;"|"&amp;LLM_Data_Entry!$D$3:$D$548,0),0))),"")</f>
        <v/>
      </c>
      <c r="Z519" s="91" t="str">
        <f>IFERROR(IF($X519="","",INDEX(LLM_Data_Entry!$R$3:$R$548,MATCH($X519,INDEX(LLM_Data_Entry!$A$3:$A$548&amp;"|"&amp;LLM_Data_Entry!$C$3:$C$548&amp;"|"&amp;LLM_Data_Entry!$D$3:$D$548,0),0))),"")</f>
        <v/>
      </c>
      <c r="AL519" t="str">
        <f>IF($A519="","",IFERROR(INDEX(Company_List!$G$3:$G$207,MATCH($A519,Company_List!$A$3:$A$207,0)),"unassigned"))</f>
        <v/>
      </c>
      <c r="AP519" t="str">
        <f>IF($A519="","",IF(COUNTIFS(LLM_Data_Entry!$A$3:$A$548,$A519)&gt;0,"YES","NO"))</f>
        <v/>
      </c>
      <c r="AQ519" t="str">
        <f>IF($A519="","",IF(COUNTIFS($A$3:$A519,$A519,$C$3:$C519,$C519,$D$3:$D519,$D519)=1,"YES","NO"))</f>
        <v/>
      </c>
      <c r="AR519" t="str">
        <f>IF($A519="","",IF(AND($C519&amp;"-"&amp;$D519&gt;=Settings!$B$19,$C519&amp;"-"&amp;$D519&lt;=Settings!$B$20),"IN","OUT"))</f>
        <v/>
      </c>
      <c r="AS519" t="str">
        <f t="shared" si="88"/>
        <v/>
      </c>
      <c r="AT519" t="str">
        <f t="shared" si="89"/>
        <v/>
      </c>
      <c r="AU519" t="str">
        <f t="shared" si="90"/>
        <v/>
      </c>
      <c r="AV519" t="str">
        <f>IF(ISNUMBER($AT519),ABS(IF(ISNUMBER($I519),$I519,0)-Settings!$B$24),"")</f>
        <v/>
      </c>
      <c r="AW519" t="str">
        <f t="shared" si="91"/>
        <v/>
      </c>
      <c r="AX519" t="str">
        <f>IF(ISNUMBER($AU519),ABS(IF(ISNUMBER($I519),$I519,0)-Settings!$B$24),"")</f>
        <v/>
      </c>
      <c r="AY519" t="s">
        <v>549</v>
      </c>
      <c r="AZ519" t="str">
        <f>IF($A519="","",IFERROR(INDEX(Company_List!$H$3:$H$207,MATCH($A519,Company_List!$A$3:$A$207,0)),"unassigned"))</f>
        <v/>
      </c>
      <c r="BC519" t="str">
        <f>IF($A519="","",IF(COUNTIFS($A$3:$A519,$A519,$C$3:$C519,$C519,$D$3:$D519,$D519,$G$3:$G519,$G519)=1,1,0))</f>
        <v/>
      </c>
      <c r="BK519" t="str">
        <f t="shared" si="92"/>
        <v/>
      </c>
    </row>
    <row r="520" spans="2:63" x14ac:dyDescent="0.2">
      <c r="B520" s="142" t="str">
        <f>IF(A520="","",_xlfn.XLOOKUP(A520, Company_List!$A:$A, Company_List!$B:$B, ""))</f>
        <v/>
      </c>
      <c r="J520" s="145" t="str">
        <f>IF(OR(I520="",Settings!$B$6=""),"",IF(I520&gt;Settings!$B$6,"BUY",IF(I520&lt;-Settings!$B$6,"SELL","HOLD")))</f>
        <v/>
      </c>
      <c r="Q520" s="151" t="str">
        <f t="shared" si="83"/>
        <v/>
      </c>
      <c r="R520" s="118" t="str">
        <f>IF(OR(N520="",P520=""),"",IF(Q520&gt;Settings!$B$3/100,"UP",IF(Q520&lt;-Settings!$B$3/100,"DOWN","FLAT")))</f>
        <v/>
      </c>
      <c r="S520" s="118" t="str">
        <f t="shared" si="84"/>
        <v/>
      </c>
      <c r="T520" s="119" t="str">
        <f t="shared" si="85"/>
        <v/>
      </c>
      <c r="U520" s="150" t="str">
        <f>IFERROR(IF(OR(J520="",N520="",P520=""),"",IF(T520=0,0,T520*Q520-Settings!$B$4/10000-IF(T520&lt;0,Settings!$B$5/10000,0))),"")</f>
        <v/>
      </c>
      <c r="W520" s="21" t="str">
        <f t="shared" si="86"/>
        <v/>
      </c>
      <c r="X520" s="91" t="str">
        <f t="shared" si="87"/>
        <v/>
      </c>
      <c r="Y520" s="91" t="str">
        <f>IFERROR(IF($X520="","",INDEX(LLM_Data_Entry!$H$3:$H$548,MATCH($X520,INDEX(LLM_Data_Entry!$A$3:$A$548&amp;"|"&amp;LLM_Data_Entry!$C$3:$C$548&amp;"|"&amp;LLM_Data_Entry!$D$3:$D$548,0),0))),"")</f>
        <v/>
      </c>
      <c r="Z520" s="91" t="str">
        <f>IFERROR(IF($X520="","",INDEX(LLM_Data_Entry!$R$3:$R$548,MATCH($X520,INDEX(LLM_Data_Entry!$A$3:$A$548&amp;"|"&amp;LLM_Data_Entry!$C$3:$C$548&amp;"|"&amp;LLM_Data_Entry!$D$3:$D$548,0),0))),"")</f>
        <v/>
      </c>
      <c r="AL520" t="str">
        <f>IF($A520="","",IFERROR(INDEX(Company_List!$G$3:$G$207,MATCH($A520,Company_List!$A$3:$A$207,0)),"unassigned"))</f>
        <v/>
      </c>
      <c r="AP520" t="str">
        <f>IF($A520="","",IF(COUNTIFS(LLM_Data_Entry!$A$3:$A$548,$A520)&gt;0,"YES","NO"))</f>
        <v/>
      </c>
      <c r="AQ520" t="str">
        <f>IF($A520="","",IF(COUNTIFS($A$3:$A520,$A520,$C$3:$C520,$C520,$D$3:$D520,$D520)=1,"YES","NO"))</f>
        <v/>
      </c>
      <c r="AR520" t="str">
        <f>IF($A520="","",IF(AND($C520&amp;"-"&amp;$D520&gt;=Settings!$B$19,$C520&amp;"-"&amp;$D520&lt;=Settings!$B$20),"IN","OUT"))</f>
        <v/>
      </c>
      <c r="AS520" t="str">
        <f t="shared" si="88"/>
        <v/>
      </c>
      <c r="AT520" t="str">
        <f t="shared" si="89"/>
        <v/>
      </c>
      <c r="AU520" t="str">
        <f t="shared" si="90"/>
        <v/>
      </c>
      <c r="AV520" t="str">
        <f>IF(ISNUMBER($AT520),ABS(IF(ISNUMBER($I520),$I520,0)-Settings!$B$24),"")</f>
        <v/>
      </c>
      <c r="AW520" t="str">
        <f t="shared" si="91"/>
        <v/>
      </c>
      <c r="AX520" t="str">
        <f>IF(ISNUMBER($AU520),ABS(IF(ISNUMBER($I520),$I520,0)-Settings!$B$24),"")</f>
        <v/>
      </c>
      <c r="AY520" t="s">
        <v>549</v>
      </c>
      <c r="AZ520" t="str">
        <f>IF($A520="","",IFERROR(INDEX(Company_List!$H$3:$H$207,MATCH($A520,Company_List!$A$3:$A$207,0)),"unassigned"))</f>
        <v/>
      </c>
      <c r="BC520" t="str">
        <f>IF($A520="","",IF(COUNTIFS($A$3:$A520,$A520,$C$3:$C520,$C520,$D$3:$D520,$D520,$G$3:$G520,$G520)=1,1,0))</f>
        <v/>
      </c>
      <c r="BK520" t="str">
        <f t="shared" si="92"/>
        <v/>
      </c>
    </row>
    <row r="521" spans="2:63" x14ac:dyDescent="0.2">
      <c r="B521" s="142" t="str">
        <f>IF(A521="","",_xlfn.XLOOKUP(A521, Company_List!$A:$A, Company_List!$B:$B, ""))</f>
        <v/>
      </c>
      <c r="J521" s="145" t="str">
        <f>IF(OR(I521="",Settings!$B$6=""),"",IF(I521&gt;Settings!$B$6,"BUY",IF(I521&lt;-Settings!$B$6,"SELL","HOLD")))</f>
        <v/>
      </c>
      <c r="Q521" s="151" t="str">
        <f t="shared" si="83"/>
        <v/>
      </c>
      <c r="R521" s="118" t="str">
        <f>IF(OR(N521="",P521=""),"",IF(Q521&gt;Settings!$B$3/100,"UP",IF(Q521&lt;-Settings!$B$3/100,"DOWN","FLAT")))</f>
        <v/>
      </c>
      <c r="S521" s="118" t="str">
        <f t="shared" si="84"/>
        <v/>
      </c>
      <c r="T521" s="119" t="str">
        <f t="shared" si="85"/>
        <v/>
      </c>
      <c r="U521" s="150" t="str">
        <f>IFERROR(IF(OR(J521="",N521="",P521=""),"",IF(T521=0,0,T521*Q521-Settings!$B$4/10000-IF(T521&lt;0,Settings!$B$5/10000,0))),"")</f>
        <v/>
      </c>
      <c r="W521" s="21" t="str">
        <f t="shared" si="86"/>
        <v/>
      </c>
      <c r="X521" s="91" t="str">
        <f t="shared" si="87"/>
        <v/>
      </c>
      <c r="Y521" s="91" t="str">
        <f>IFERROR(IF($X521="","",INDEX(LLM_Data_Entry!$H$3:$H$548,MATCH($X521,INDEX(LLM_Data_Entry!$A$3:$A$548&amp;"|"&amp;LLM_Data_Entry!$C$3:$C$548&amp;"|"&amp;LLM_Data_Entry!$D$3:$D$548,0),0))),"")</f>
        <v/>
      </c>
      <c r="Z521" s="91" t="str">
        <f>IFERROR(IF($X521="","",INDEX(LLM_Data_Entry!$R$3:$R$548,MATCH($X521,INDEX(LLM_Data_Entry!$A$3:$A$548&amp;"|"&amp;LLM_Data_Entry!$C$3:$C$548&amp;"|"&amp;LLM_Data_Entry!$D$3:$D$548,0),0))),"")</f>
        <v/>
      </c>
      <c r="AL521" t="str">
        <f>IF($A521="","",IFERROR(INDEX(Company_List!$G$3:$G$207,MATCH($A521,Company_List!$A$3:$A$207,0)),"unassigned"))</f>
        <v/>
      </c>
      <c r="AP521" t="str">
        <f>IF($A521="","",IF(COUNTIFS(LLM_Data_Entry!$A$3:$A$548,$A521)&gt;0,"YES","NO"))</f>
        <v/>
      </c>
      <c r="AQ521" t="str">
        <f>IF($A521="","",IF(COUNTIFS($A$3:$A521,$A521,$C$3:$C521,$C521,$D$3:$D521,$D521)=1,"YES","NO"))</f>
        <v/>
      </c>
      <c r="AR521" t="str">
        <f>IF($A521="","",IF(AND($C521&amp;"-"&amp;$D521&gt;=Settings!$B$19,$C521&amp;"-"&amp;$D521&lt;=Settings!$B$20),"IN","OUT"))</f>
        <v/>
      </c>
      <c r="AS521" t="str">
        <f t="shared" si="88"/>
        <v/>
      </c>
      <c r="AT521" t="str">
        <f t="shared" si="89"/>
        <v/>
      </c>
      <c r="AU521" t="str">
        <f t="shared" si="90"/>
        <v/>
      </c>
      <c r="AV521" t="str">
        <f>IF(ISNUMBER($AT521),ABS(IF(ISNUMBER($I521),$I521,0)-Settings!$B$24),"")</f>
        <v/>
      </c>
      <c r="AW521" t="str">
        <f t="shared" si="91"/>
        <v/>
      </c>
      <c r="AX521" t="str">
        <f>IF(ISNUMBER($AU521),ABS(IF(ISNUMBER($I521),$I521,0)-Settings!$B$24),"")</f>
        <v/>
      </c>
      <c r="AY521" t="s">
        <v>549</v>
      </c>
      <c r="AZ521" t="str">
        <f>IF($A521="","",IFERROR(INDEX(Company_List!$H$3:$H$207,MATCH($A521,Company_List!$A$3:$A$207,0)),"unassigned"))</f>
        <v/>
      </c>
      <c r="BC521" t="str">
        <f>IF($A521="","",IF(COUNTIFS($A$3:$A521,$A521,$C$3:$C521,$C521,$D$3:$D521,$D521,$G$3:$G521,$G521)=1,1,0))</f>
        <v/>
      </c>
      <c r="BK521" t="str">
        <f t="shared" si="92"/>
        <v/>
      </c>
    </row>
    <row r="522" spans="2:63" x14ac:dyDescent="0.2">
      <c r="B522" s="142" t="str">
        <f>IF(A522="","",_xlfn.XLOOKUP(A522, Company_List!$A:$A, Company_List!$B:$B, ""))</f>
        <v/>
      </c>
      <c r="J522" s="145" t="str">
        <f>IF(OR(I522="",Settings!$B$6=""),"",IF(I522&gt;Settings!$B$6,"BUY",IF(I522&lt;-Settings!$B$6,"SELL","HOLD")))</f>
        <v/>
      </c>
      <c r="Q522" s="151" t="str">
        <f t="shared" si="83"/>
        <v/>
      </c>
      <c r="R522" s="118" t="str">
        <f>IF(OR(N522="",P522=""),"",IF(Q522&gt;Settings!$B$3/100,"UP",IF(Q522&lt;-Settings!$B$3/100,"DOWN","FLAT")))</f>
        <v/>
      </c>
      <c r="S522" s="118" t="str">
        <f t="shared" si="84"/>
        <v/>
      </c>
      <c r="T522" s="119" t="str">
        <f t="shared" si="85"/>
        <v/>
      </c>
      <c r="U522" s="150" t="str">
        <f>IFERROR(IF(OR(J522="",N522="",P522=""),"",IF(T522=0,0,T522*Q522-Settings!$B$4/10000-IF(T522&lt;0,Settings!$B$5/10000,0))),"")</f>
        <v/>
      </c>
      <c r="W522" s="21" t="str">
        <f t="shared" si="86"/>
        <v/>
      </c>
      <c r="X522" s="91" t="str">
        <f t="shared" si="87"/>
        <v/>
      </c>
      <c r="Y522" s="91" t="str">
        <f>IFERROR(IF($X522="","",INDEX(LLM_Data_Entry!$H$3:$H$548,MATCH($X522,INDEX(LLM_Data_Entry!$A$3:$A$548&amp;"|"&amp;LLM_Data_Entry!$C$3:$C$548&amp;"|"&amp;LLM_Data_Entry!$D$3:$D$548,0),0))),"")</f>
        <v/>
      </c>
      <c r="Z522" s="91" t="str">
        <f>IFERROR(IF($X522="","",INDEX(LLM_Data_Entry!$R$3:$R$548,MATCH($X522,INDEX(LLM_Data_Entry!$A$3:$A$548&amp;"|"&amp;LLM_Data_Entry!$C$3:$C$548&amp;"|"&amp;LLM_Data_Entry!$D$3:$D$548,0),0))),"")</f>
        <v/>
      </c>
      <c r="AL522" t="str">
        <f>IF($A522="","",IFERROR(INDEX(Company_List!$G$3:$G$207,MATCH($A522,Company_List!$A$3:$A$207,0)),"unassigned"))</f>
        <v/>
      </c>
      <c r="AP522" t="str">
        <f>IF($A522="","",IF(COUNTIFS(LLM_Data_Entry!$A$3:$A$548,$A522)&gt;0,"YES","NO"))</f>
        <v/>
      </c>
      <c r="AQ522" t="str">
        <f>IF($A522="","",IF(COUNTIFS($A$3:$A522,$A522,$C$3:$C522,$C522,$D$3:$D522,$D522)=1,"YES","NO"))</f>
        <v/>
      </c>
      <c r="AR522" t="str">
        <f>IF($A522="","",IF(AND($C522&amp;"-"&amp;$D522&gt;=Settings!$B$19,$C522&amp;"-"&amp;$D522&lt;=Settings!$B$20),"IN","OUT"))</f>
        <v/>
      </c>
      <c r="AS522" t="str">
        <f t="shared" si="88"/>
        <v/>
      </c>
      <c r="AT522" t="str">
        <f t="shared" si="89"/>
        <v/>
      </c>
      <c r="AU522" t="str">
        <f t="shared" si="90"/>
        <v/>
      </c>
      <c r="AV522" t="str">
        <f>IF(ISNUMBER($AT522),ABS(IF(ISNUMBER($I522),$I522,0)-Settings!$B$24),"")</f>
        <v/>
      </c>
      <c r="AW522" t="str">
        <f t="shared" si="91"/>
        <v/>
      </c>
      <c r="AX522" t="str">
        <f>IF(ISNUMBER($AU522),ABS(IF(ISNUMBER($I522),$I522,0)-Settings!$B$24),"")</f>
        <v/>
      </c>
      <c r="AY522" t="s">
        <v>549</v>
      </c>
      <c r="AZ522" t="str">
        <f>IF($A522="","",IFERROR(INDEX(Company_List!$H$3:$H$207,MATCH($A522,Company_List!$A$3:$A$207,0)),"unassigned"))</f>
        <v/>
      </c>
      <c r="BC522" t="str">
        <f>IF($A522="","",IF(COUNTIFS($A$3:$A522,$A522,$C$3:$C522,$C522,$D$3:$D522,$D522,$G$3:$G522,$G522)=1,1,0))</f>
        <v/>
      </c>
      <c r="BK522" t="str">
        <f t="shared" si="92"/>
        <v/>
      </c>
    </row>
    <row r="523" spans="2:63" x14ac:dyDescent="0.2">
      <c r="B523" s="142" t="str">
        <f>IF(A523="","",_xlfn.XLOOKUP(A523, Company_List!$A:$A, Company_List!$B:$B, ""))</f>
        <v/>
      </c>
      <c r="J523" s="145" t="str">
        <f>IF(OR(I523="",Settings!$B$6=""),"",IF(I523&gt;Settings!$B$6,"BUY",IF(I523&lt;-Settings!$B$6,"SELL","HOLD")))</f>
        <v/>
      </c>
      <c r="Q523" s="151" t="str">
        <f t="shared" si="83"/>
        <v/>
      </c>
      <c r="R523" s="118" t="str">
        <f>IF(OR(N523="",P523=""),"",IF(Q523&gt;Settings!$B$3/100,"UP",IF(Q523&lt;-Settings!$B$3/100,"DOWN","FLAT")))</f>
        <v/>
      </c>
      <c r="S523" s="118" t="str">
        <f t="shared" si="84"/>
        <v/>
      </c>
      <c r="T523" s="119" t="str">
        <f t="shared" si="85"/>
        <v/>
      </c>
      <c r="U523" s="150" t="str">
        <f>IFERROR(IF(OR(J523="",N523="",P523=""),"",IF(T523=0,0,T523*Q523-Settings!$B$4/10000-IF(T523&lt;0,Settings!$B$5/10000,0))),"")</f>
        <v/>
      </c>
      <c r="W523" s="21" t="str">
        <f t="shared" si="86"/>
        <v/>
      </c>
      <c r="X523" s="91" t="str">
        <f t="shared" si="87"/>
        <v/>
      </c>
      <c r="Y523" s="91" t="str">
        <f>IFERROR(IF($X523="","",INDEX(LLM_Data_Entry!$H$3:$H$548,MATCH($X523,INDEX(LLM_Data_Entry!$A$3:$A$548&amp;"|"&amp;LLM_Data_Entry!$C$3:$C$548&amp;"|"&amp;LLM_Data_Entry!$D$3:$D$548,0),0))),"")</f>
        <v/>
      </c>
      <c r="Z523" s="91" t="str">
        <f>IFERROR(IF($X523="","",INDEX(LLM_Data_Entry!$R$3:$R$548,MATCH($X523,INDEX(LLM_Data_Entry!$A$3:$A$548&amp;"|"&amp;LLM_Data_Entry!$C$3:$C$548&amp;"|"&amp;LLM_Data_Entry!$D$3:$D$548,0),0))),"")</f>
        <v/>
      </c>
      <c r="AL523" t="str">
        <f>IF($A523="","",IFERROR(INDEX(Company_List!$G$3:$G$207,MATCH($A523,Company_List!$A$3:$A$207,0)),"unassigned"))</f>
        <v/>
      </c>
      <c r="AP523" t="str">
        <f>IF($A523="","",IF(COUNTIFS(LLM_Data_Entry!$A$3:$A$548,$A523)&gt;0,"YES","NO"))</f>
        <v/>
      </c>
      <c r="AQ523" t="str">
        <f>IF($A523="","",IF(COUNTIFS($A$3:$A523,$A523,$C$3:$C523,$C523,$D$3:$D523,$D523)=1,"YES","NO"))</f>
        <v/>
      </c>
      <c r="AR523" t="str">
        <f>IF($A523="","",IF(AND($C523&amp;"-"&amp;$D523&gt;=Settings!$B$19,$C523&amp;"-"&amp;$D523&lt;=Settings!$B$20),"IN","OUT"))</f>
        <v/>
      </c>
      <c r="AS523" t="str">
        <f t="shared" si="88"/>
        <v/>
      </c>
      <c r="AT523" t="str">
        <f t="shared" si="89"/>
        <v/>
      </c>
      <c r="AU523" t="str">
        <f t="shared" si="90"/>
        <v/>
      </c>
      <c r="AV523" t="str">
        <f>IF(ISNUMBER($AT523),ABS(IF(ISNUMBER($I523),$I523,0)-Settings!$B$24),"")</f>
        <v/>
      </c>
      <c r="AW523" t="str">
        <f t="shared" si="91"/>
        <v/>
      </c>
      <c r="AX523" t="str">
        <f>IF(ISNUMBER($AU523),ABS(IF(ISNUMBER($I523),$I523,0)-Settings!$B$24),"")</f>
        <v/>
      </c>
      <c r="AY523" t="s">
        <v>549</v>
      </c>
      <c r="AZ523" t="str">
        <f>IF($A523="","",IFERROR(INDEX(Company_List!$H$3:$H$207,MATCH($A523,Company_List!$A$3:$A$207,0)),"unassigned"))</f>
        <v/>
      </c>
      <c r="BC523" t="str">
        <f>IF($A523="","",IF(COUNTIFS($A$3:$A523,$A523,$C$3:$C523,$C523,$D$3:$D523,$D523,$G$3:$G523,$G523)=1,1,0))</f>
        <v/>
      </c>
      <c r="BK523" t="str">
        <f t="shared" si="92"/>
        <v/>
      </c>
    </row>
    <row r="524" spans="2:63" x14ac:dyDescent="0.2">
      <c r="B524" s="142" t="str">
        <f>IF(A524="","",_xlfn.XLOOKUP(A524, Company_List!$A:$A, Company_List!$B:$B, ""))</f>
        <v/>
      </c>
      <c r="J524" s="145" t="str">
        <f>IF(OR(I524="",Settings!$B$6=""),"",IF(I524&gt;Settings!$B$6,"BUY",IF(I524&lt;-Settings!$B$6,"SELL","HOLD")))</f>
        <v/>
      </c>
      <c r="Q524" s="151" t="str">
        <f t="shared" si="83"/>
        <v/>
      </c>
      <c r="R524" s="118" t="str">
        <f>IF(OR(N524="",P524=""),"",IF(Q524&gt;Settings!$B$3/100,"UP",IF(Q524&lt;-Settings!$B$3/100,"DOWN","FLAT")))</f>
        <v/>
      </c>
      <c r="S524" s="118" t="str">
        <f t="shared" si="84"/>
        <v/>
      </c>
      <c r="T524" s="119" t="str">
        <f t="shared" si="85"/>
        <v/>
      </c>
      <c r="U524" s="150" t="str">
        <f>IFERROR(IF(OR(J524="",N524="",P524=""),"",IF(T524=0,0,T524*Q524-Settings!$B$4/10000-IF(T524&lt;0,Settings!$B$5/10000,0))),"")</f>
        <v/>
      </c>
      <c r="W524" s="21" t="str">
        <f t="shared" si="86"/>
        <v/>
      </c>
      <c r="X524" s="91" t="str">
        <f t="shared" si="87"/>
        <v/>
      </c>
      <c r="Y524" s="91" t="str">
        <f>IFERROR(IF($X524="","",INDEX(LLM_Data_Entry!$H$3:$H$548,MATCH($X524,INDEX(LLM_Data_Entry!$A$3:$A$548&amp;"|"&amp;LLM_Data_Entry!$C$3:$C$548&amp;"|"&amp;LLM_Data_Entry!$D$3:$D$548,0),0))),"")</f>
        <v/>
      </c>
      <c r="Z524" s="91" t="str">
        <f>IFERROR(IF($X524="","",INDEX(LLM_Data_Entry!$R$3:$R$548,MATCH($X524,INDEX(LLM_Data_Entry!$A$3:$A$548&amp;"|"&amp;LLM_Data_Entry!$C$3:$C$548&amp;"|"&amp;LLM_Data_Entry!$D$3:$D$548,0),0))),"")</f>
        <v/>
      </c>
      <c r="AL524" t="str">
        <f>IF($A524="","",IFERROR(INDEX(Company_List!$G$3:$G$207,MATCH($A524,Company_List!$A$3:$A$207,0)),"unassigned"))</f>
        <v/>
      </c>
      <c r="AP524" t="str">
        <f>IF($A524="","",IF(COUNTIFS(LLM_Data_Entry!$A$3:$A$548,$A524)&gt;0,"YES","NO"))</f>
        <v/>
      </c>
      <c r="AQ524" t="str">
        <f>IF($A524="","",IF(COUNTIFS($A$3:$A524,$A524,$C$3:$C524,$C524,$D$3:$D524,$D524)=1,"YES","NO"))</f>
        <v/>
      </c>
      <c r="AR524" t="str">
        <f>IF($A524="","",IF(AND($C524&amp;"-"&amp;$D524&gt;=Settings!$B$19,$C524&amp;"-"&amp;$D524&lt;=Settings!$B$20),"IN","OUT"))</f>
        <v/>
      </c>
      <c r="AS524" t="str">
        <f t="shared" si="88"/>
        <v/>
      </c>
      <c r="AT524" t="str">
        <f t="shared" si="89"/>
        <v/>
      </c>
      <c r="AU524" t="str">
        <f t="shared" si="90"/>
        <v/>
      </c>
      <c r="AV524" t="str">
        <f>IF(ISNUMBER($AT524),ABS(IF(ISNUMBER($I524),$I524,0)-Settings!$B$24),"")</f>
        <v/>
      </c>
      <c r="AW524" t="str">
        <f t="shared" si="91"/>
        <v/>
      </c>
      <c r="AX524" t="str">
        <f>IF(ISNUMBER($AU524),ABS(IF(ISNUMBER($I524),$I524,0)-Settings!$B$24),"")</f>
        <v/>
      </c>
      <c r="AY524" t="s">
        <v>549</v>
      </c>
      <c r="AZ524" t="str">
        <f>IF($A524="","",IFERROR(INDEX(Company_List!$H$3:$H$207,MATCH($A524,Company_List!$A$3:$A$207,0)),"unassigned"))</f>
        <v/>
      </c>
      <c r="BC524" t="str">
        <f>IF($A524="","",IF(COUNTIFS($A$3:$A524,$A524,$C$3:$C524,$C524,$D$3:$D524,$D524,$G$3:$G524,$G524)=1,1,0))</f>
        <v/>
      </c>
      <c r="BK524" t="str">
        <f t="shared" si="92"/>
        <v/>
      </c>
    </row>
  </sheetData>
  <mergeCells count="1">
    <mergeCell ref="X1:Z1"/>
  </mergeCells>
  <conditionalFormatting sqref="A3:BU422">
    <cfRule type="expression" dxfId="13" priority="9">
      <formula>$BS3="NO"</formula>
    </cfRule>
  </conditionalFormatting>
  <conditionalFormatting sqref="Q3:Q524 U3:U524 R295:S295 S296:S324">
    <cfRule type="cellIs" dxfId="12" priority="5" operator="greaterThan">
      <formula>0</formula>
    </cfRule>
    <cfRule type="cellIs" dxfId="11" priority="6" operator="lessThan">
      <formula>0</formula>
    </cfRule>
  </conditionalFormatting>
  <conditionalFormatting sqref="R3:R524">
    <cfRule type="cellIs" dxfId="10" priority="7" operator="equal">
      <formula>"UP"</formula>
    </cfRule>
    <cfRule type="cellIs" dxfId="9" priority="8" operator="equal">
      <formula>"DOWN"</formula>
    </cfRule>
  </conditionalFormatting>
  <conditionalFormatting sqref="S3:S524">
    <cfRule type="cellIs" dxfId="8" priority="1" operator="equal">
      <formula>"YES"</formula>
    </cfRule>
    <cfRule type="cellIs" dxfId="7" priority="2" operator="equal">
      <formula>"NO"</formula>
    </cfRule>
  </conditionalFormatting>
  <dataValidations count="8">
    <dataValidation type="list" allowBlank="1" showInputMessage="1" showErrorMessage="1" errorTitle="Not on the list" error="Use the dropdown. Free text here will break the Summary counts." promptTitle="Quarter" prompt="Pick Q1 to Q4." sqref="D3:D524" xr:uid="{00000000-0002-0000-0000-000000000000}">
      <formula1>QuarterList</formula1>
    </dataValidation>
    <dataValidation type="list" allowBlank="1" showInputMessage="1" showErrorMessage="1" errorTitle="Not on the list" error="Use the dropdown. Free text here will break the Summary counts." promptTitle="Decision" prompt="Pick BUY, HOLD or SELL." sqref="J3:J524 V242:V273" xr:uid="{00000000-0002-0000-0000-000001000000}">
      <formula1>DecisionList</formula1>
    </dataValidation>
    <dataValidation type="decimal" allowBlank="1" showErrorMessage="1" errorTitle="Out of range" error="Sentiment must be between -1.00 and +1.00." sqref="I3:I524" xr:uid="{00000000-0002-0000-0000-000002000000}">
      <formula1>-1</formula1>
      <formula2>1</formula2>
    </dataValidation>
    <dataValidation type="list" allowBlank="1" showInputMessage="1" showErrorMessage="1" errorTitle="Not on the list" error="Use the dropdown. Free text here will break the Summary counts." promptTitle="Rater" prompt="Pick a rater from Settings." sqref="G3:G524" xr:uid="{00000000-0002-0000-0000-000003000000}">
      <formula1>RaterList</formula1>
    </dataValidation>
    <dataValidation type="list" allowBlank="1" showInputMessage="1" showErrorMessage="1" errorTitle="Not on the list" error="Use the dropdown. Free text here will break the Summary counts." promptTitle="Year" prompt="Pick a year." sqref="C3:C524" xr:uid="{00000000-0002-0000-0000-000004000000}">
      <formula1>YearList</formula1>
    </dataValidation>
    <dataValidation type="list" allowBlank="1" showInputMessage="1" showErrorMessage="1" sqref="A3:A524" xr:uid="{00000000-0002-0000-0000-000005000000}">
      <formula1>CompanyList</formula1>
    </dataValidation>
    <dataValidation type="list" allowBlank="1" showInputMessage="1" showErrorMessage="1" sqref="E3:E44 E48:E105 E118:E524" xr:uid="{00000000-0002-0000-0000-000006000000}">
      <formula1>DocumentList</formula1>
    </dataValidation>
    <dataValidation type="list" allowBlank="1" showInputMessage="1" showErrorMessage="1" sqref="F3:F44 F48:F105 F118:F524" xr:uid="{00000000-0002-0000-0000-000007000000}">
      <formula1>SectionList</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430"/>
  <sheetViews>
    <sheetView showGridLines="0" zoomScale="86" zoomScaleNormal="100" workbookViewId="0">
      <pane xSplit="2" ySplit="2" topLeftCell="C3" activePane="bottomRight" state="frozen"/>
      <selection pane="topRight" activeCell="C1" sqref="C1"/>
      <selection pane="bottomLeft" activeCell="A4" sqref="A4"/>
      <selection pane="bottomRight" activeCell="AY20" sqref="AY20"/>
    </sheetView>
  </sheetViews>
  <sheetFormatPr baseColWidth="10" defaultColWidth="8.6640625" defaultRowHeight="15" x14ac:dyDescent="0.2"/>
  <cols>
    <col min="1" max="1" width="20" style="97" customWidth="1"/>
    <col min="2" max="2" width="9" style="94" customWidth="1"/>
    <col min="3" max="3" width="7" customWidth="1"/>
    <col min="4" max="4" width="8" customWidth="1"/>
    <col min="5" max="5" width="15" customWidth="1"/>
    <col min="6" max="7" width="10" customWidth="1"/>
    <col min="8" max="8" width="12" customWidth="1"/>
    <col min="9" max="9" width="9" style="16" customWidth="1"/>
    <col min="10" max="10" width="14" style="121" customWidth="1"/>
    <col min="11" max="11" width="12" style="121" customWidth="1"/>
    <col min="12" max="12" width="12" customWidth="1"/>
    <col min="13" max="13" width="12" style="121" customWidth="1"/>
    <col min="14" max="14" width="12" customWidth="1"/>
    <col min="15" max="15" width="13" customWidth="1"/>
    <col min="16" max="18" width="11" customWidth="1"/>
    <col min="19" max="19" width="9" customWidth="1"/>
    <col min="20" max="20" width="11" customWidth="1"/>
    <col min="21" max="21" width="179" style="7" bestFit="1" customWidth="1"/>
  </cols>
  <sheetData>
    <row r="1" spans="1:54" ht="22.25" customHeight="1" x14ac:dyDescent="0.2">
      <c r="A1" s="8" t="s">
        <v>1899</v>
      </c>
      <c r="W1" t="s">
        <v>462</v>
      </c>
      <c r="AG1" t="s">
        <v>1900</v>
      </c>
    </row>
    <row r="2" spans="1:54" ht="45" customHeight="1" x14ac:dyDescent="0.2">
      <c r="A2" s="17" t="s">
        <v>464</v>
      </c>
      <c r="B2" s="17" t="s">
        <v>465</v>
      </c>
      <c r="C2" s="17" t="s">
        <v>466</v>
      </c>
      <c r="D2" s="17" t="s">
        <v>467</v>
      </c>
      <c r="E2" s="17" t="s">
        <v>470</v>
      </c>
      <c r="F2" s="17" t="s">
        <v>471</v>
      </c>
      <c r="G2" s="17" t="s">
        <v>472</v>
      </c>
      <c r="H2" s="17" t="s">
        <v>473</v>
      </c>
      <c r="I2" s="25" t="s">
        <v>1901</v>
      </c>
      <c r="J2" s="122" t="s">
        <v>475</v>
      </c>
      <c r="K2" s="122" t="s">
        <v>1902</v>
      </c>
      <c r="L2" s="17" t="s">
        <v>477</v>
      </c>
      <c r="M2" s="122" t="s">
        <v>1903</v>
      </c>
      <c r="N2" s="17" t="s">
        <v>479</v>
      </c>
      <c r="O2" s="17" t="s">
        <v>1904</v>
      </c>
      <c r="P2" s="17" t="s">
        <v>480</v>
      </c>
      <c r="Q2" s="17" t="s">
        <v>481</v>
      </c>
      <c r="R2" s="17" t="s">
        <v>482</v>
      </c>
      <c r="S2" s="17" t="s">
        <v>483</v>
      </c>
      <c r="T2" s="17" t="s">
        <v>484</v>
      </c>
      <c r="U2" s="17" t="s">
        <v>485</v>
      </c>
      <c r="V2" t="s">
        <v>514</v>
      </c>
      <c r="W2" t="s">
        <v>491</v>
      </c>
      <c r="X2" t="s">
        <v>492</v>
      </c>
      <c r="Y2" t="s">
        <v>493</v>
      </c>
      <c r="Z2" t="s">
        <v>494</v>
      </c>
      <c r="AA2" t="s">
        <v>495</v>
      </c>
      <c r="AB2" t="s">
        <v>496</v>
      </c>
      <c r="AC2" t="s">
        <v>497</v>
      </c>
      <c r="AD2" t="s">
        <v>498</v>
      </c>
      <c r="AE2" t="s">
        <v>499</v>
      </c>
      <c r="AF2" t="s">
        <v>500</v>
      </c>
      <c r="AG2" t="s">
        <v>501</v>
      </c>
      <c r="AH2" t="s">
        <v>502</v>
      </c>
      <c r="AI2" t="s">
        <v>503</v>
      </c>
      <c r="AJ2" t="s">
        <v>504</v>
      </c>
      <c r="AK2" t="s">
        <v>1905</v>
      </c>
      <c r="AL2" t="s">
        <v>507</v>
      </c>
      <c r="AM2" t="s">
        <v>509</v>
      </c>
      <c r="AN2" t="s">
        <v>510</v>
      </c>
      <c r="AO2" t="s">
        <v>511</v>
      </c>
      <c r="AP2" t="s">
        <v>512</v>
      </c>
      <c r="AQ2" t="s">
        <v>513</v>
      </c>
      <c r="AR2" t="s">
        <v>1906</v>
      </c>
      <c r="AS2" t="s">
        <v>515</v>
      </c>
      <c r="AT2" t="s">
        <v>1907</v>
      </c>
      <c r="AU2" t="s">
        <v>1908</v>
      </c>
      <c r="AV2" t="s">
        <v>528</v>
      </c>
      <c r="AW2" t="s">
        <v>529</v>
      </c>
      <c r="AX2" t="s">
        <v>530</v>
      </c>
      <c r="AY2" t="s">
        <v>531</v>
      </c>
      <c r="AZ2" t="s">
        <v>532</v>
      </c>
      <c r="BA2" s="159" t="s">
        <v>1909</v>
      </c>
      <c r="BB2" s="159" t="s">
        <v>1910</v>
      </c>
    </row>
    <row r="3" spans="1:54" x14ac:dyDescent="0.2">
      <c r="A3" s="115" t="s">
        <v>740</v>
      </c>
      <c r="B3" s="117" t="s">
        <v>741</v>
      </c>
      <c r="C3" s="105">
        <v>2026</v>
      </c>
      <c r="D3" s="106" t="s">
        <v>537</v>
      </c>
      <c r="E3" s="109" t="s">
        <v>1911</v>
      </c>
      <c r="F3" s="106" t="s">
        <v>1912</v>
      </c>
      <c r="G3" s="128">
        <v>0.14000000000000001</v>
      </c>
      <c r="H3" s="106" t="s">
        <v>1913</v>
      </c>
      <c r="I3" s="128"/>
      <c r="J3" s="125">
        <v>46149</v>
      </c>
      <c r="K3" s="126">
        <v>46149</v>
      </c>
      <c r="L3" s="129">
        <v>140.46</v>
      </c>
      <c r="M3" s="126">
        <v>46150</v>
      </c>
      <c r="N3" s="129">
        <v>138.12</v>
      </c>
      <c r="O3" s="132">
        <v>7.8300000000000002E-3</v>
      </c>
      <c r="P3" s="107">
        <v>-1.6624E-2</v>
      </c>
      <c r="Q3" s="106" t="s">
        <v>579</v>
      </c>
      <c r="R3" s="106" t="s">
        <v>554</v>
      </c>
      <c r="S3" s="105">
        <v>0</v>
      </c>
      <c r="T3" s="107">
        <v>0</v>
      </c>
      <c r="U3" s="130" t="s">
        <v>1914</v>
      </c>
      <c r="V3" t="s">
        <v>549</v>
      </c>
      <c r="W3" t="s">
        <v>541</v>
      </c>
      <c r="X3" t="s">
        <v>741</v>
      </c>
      <c r="Y3" t="s">
        <v>681</v>
      </c>
      <c r="Z3">
        <v>140.46</v>
      </c>
      <c r="AA3" t="s">
        <v>830</v>
      </c>
      <c r="AB3">
        <v>138.125</v>
      </c>
      <c r="AC3">
        <v>-1.6623998886743541E-2</v>
      </c>
      <c r="AD3" t="s">
        <v>579</v>
      </c>
      <c r="AE3" t="s">
        <v>554</v>
      </c>
      <c r="AF3">
        <v>0</v>
      </c>
      <c r="AG3" t="str">
        <f>IF($A3="","",IFERROR(INDEX(Company_List!$G$3:$G$207,MATCH($A3,Company_List!$A$3:$A$207,0)),"unassigned"))</f>
        <v>P2</v>
      </c>
      <c r="AH3" t="s">
        <v>831</v>
      </c>
      <c r="AI3" t="s">
        <v>832</v>
      </c>
      <c r="AJ3" t="s">
        <v>560</v>
      </c>
      <c r="AK3" t="str">
        <f>IF($A3="","",IF(COUNTIFS(Human_Data_Entry!$A$3:$A$525,$A3)&gt;0,"YES","NO"))</f>
        <v>YES</v>
      </c>
      <c r="AL3" t="str">
        <f>IF($A3="","",IF(AND($C3&amp;"-"&amp;$D3&gt;=Settings!$B$19,$C3&amp;"-"&amp;$D3&lt;=Settings!$B$20),"IN","OUT"))</f>
        <v>IN</v>
      </c>
      <c r="AM3" t="str">
        <f t="shared" ref="AM3:AM66" si="0">IF(AND(OR($H3="BUY",$H3="SELL"),ISNUMBER($T3)),$T3,"")</f>
        <v/>
      </c>
      <c r="AN3" t="str">
        <f t="shared" ref="AN3:AN66" si="1">IF(AND(OR($H3="BUY",$H3="SELL"),ISNUMBER($AF3)),$AF3,"")</f>
        <v/>
      </c>
      <c r="AO3" t="str">
        <f>IF(ISNUMBER($AM3),ABS(IF(ISNUMBER($G3),$G3,0)-Settings!$B$25),"")</f>
        <v/>
      </c>
      <c r="AP3" t="str">
        <f t="shared" ref="AP3:AP66" si="2">IF(ISNUMBER($AO3),$AO3*$AM3,"")</f>
        <v/>
      </c>
      <c r="AQ3" t="str">
        <f>IF(ISNUMBER($AN3),ABS(IF(ISNUMBER($G3),$G3,0)-Settings!$B$25),"")</f>
        <v/>
      </c>
      <c r="AR3" t="str">
        <f t="shared" ref="AR3:AR66" si="3">IF(ISNUMBER($AQ3),$AQ3*$AN3,"")</f>
        <v/>
      </c>
      <c r="AS3" t="str">
        <f>IF($A3="","",IFERROR(INDEX(Company_List!$H$3:$H$207,MATCH($A3,Company_List!$A$3:$A$207,0)),"unassigned"))</f>
        <v>Consumer Discretionary</v>
      </c>
      <c r="AT3" t="s">
        <v>1915</v>
      </c>
      <c r="AU3" t="s">
        <v>1916</v>
      </c>
      <c r="AV3">
        <v>1</v>
      </c>
      <c r="AW3" t="s">
        <v>561</v>
      </c>
      <c r="AX3" t="s">
        <v>561</v>
      </c>
      <c r="AY3" t="s">
        <v>550</v>
      </c>
      <c r="AZ3" t="s">
        <v>562</v>
      </c>
      <c r="BA3" t="s">
        <v>554</v>
      </c>
    </row>
    <row r="4" spans="1:54" x14ac:dyDescent="0.2">
      <c r="A4" s="115" t="s">
        <v>740</v>
      </c>
      <c r="B4" s="117" t="s">
        <v>741</v>
      </c>
      <c r="C4" s="105">
        <v>2025</v>
      </c>
      <c r="D4" s="106" t="s">
        <v>555</v>
      </c>
      <c r="E4" s="109" t="s">
        <v>1911</v>
      </c>
      <c r="F4" s="106" t="s">
        <v>1912</v>
      </c>
      <c r="G4" s="128">
        <v>0.155</v>
      </c>
      <c r="H4" s="106" t="s">
        <v>1913</v>
      </c>
      <c r="I4" s="128"/>
      <c r="J4" s="125">
        <v>45875</v>
      </c>
      <c r="K4" s="126">
        <v>45875</v>
      </c>
      <c r="L4" s="129">
        <v>130.5</v>
      </c>
      <c r="M4" s="126">
        <v>45876</v>
      </c>
      <c r="N4" s="129">
        <v>120.38</v>
      </c>
      <c r="O4" s="132">
        <v>8.0820000000000006E-3</v>
      </c>
      <c r="P4" s="107">
        <v>-7.7548000000000006E-2</v>
      </c>
      <c r="Q4" s="106" t="s">
        <v>545</v>
      </c>
      <c r="R4" s="106" t="s">
        <v>546</v>
      </c>
      <c r="S4" s="105">
        <v>0</v>
      </c>
      <c r="T4" s="107">
        <v>0</v>
      </c>
      <c r="U4" s="130" t="s">
        <v>1914</v>
      </c>
      <c r="V4" t="s">
        <v>549</v>
      </c>
      <c r="W4" t="s">
        <v>541</v>
      </c>
      <c r="X4" t="s">
        <v>741</v>
      </c>
      <c r="Y4" t="s">
        <v>642</v>
      </c>
      <c r="Z4">
        <v>130.5</v>
      </c>
      <c r="AA4" t="s">
        <v>742</v>
      </c>
      <c r="AB4">
        <v>120.38</v>
      </c>
      <c r="AC4">
        <v>-7.754791570881224E-2</v>
      </c>
      <c r="AD4" t="s">
        <v>545</v>
      </c>
      <c r="AE4" t="s">
        <v>546</v>
      </c>
      <c r="AF4">
        <v>0</v>
      </c>
      <c r="AG4" t="str">
        <f>IF($A4="","",IFERROR(INDEX(Company_List!$G$3:$G$207,MATCH($A4,Company_List!$A$3:$A$207,0)),"unassigned"))</f>
        <v>P2</v>
      </c>
      <c r="AH4" t="s">
        <v>1917</v>
      </c>
      <c r="AI4" t="s">
        <v>1918</v>
      </c>
      <c r="AJ4" t="s">
        <v>560</v>
      </c>
      <c r="AK4" t="str">
        <f>IF($A4="","",IF(COUNTIFS(Human_Data_Entry!$A$3:$A$525,$A4)&gt;0,"YES","NO"))</f>
        <v>YES</v>
      </c>
      <c r="AL4" t="str">
        <f>IF($A4="","",IF(AND($C4&amp;"-"&amp;$D4&gt;=Settings!$B$19,$C4&amp;"-"&amp;$D4&lt;=Settings!$B$20),"IN","OUT"))</f>
        <v>IN</v>
      </c>
      <c r="AM4" t="str">
        <f t="shared" si="0"/>
        <v/>
      </c>
      <c r="AN4" t="str">
        <f t="shared" si="1"/>
        <v/>
      </c>
      <c r="AO4" t="str">
        <f>IF(ISNUMBER($AM4),ABS(IF(ISNUMBER($G4),$G4,0)-Settings!$B$25),"")</f>
        <v/>
      </c>
      <c r="AP4" t="str">
        <f t="shared" si="2"/>
        <v/>
      </c>
      <c r="AQ4" t="str">
        <f>IF(ISNUMBER($AN4),ABS(IF(ISNUMBER($G4),$G4,0)-Settings!$B$25),"")</f>
        <v/>
      </c>
      <c r="AR4" t="str">
        <f t="shared" si="3"/>
        <v/>
      </c>
      <c r="AS4" t="str">
        <f>IF($A4="","",IFERROR(INDEX(Company_List!$H$3:$H$207,MATCH($A4,Company_List!$A$3:$A$207,0)),"unassigned"))</f>
        <v>Consumer Discretionary</v>
      </c>
      <c r="AT4" t="s">
        <v>1915</v>
      </c>
      <c r="AU4" t="s">
        <v>1916</v>
      </c>
      <c r="AV4">
        <v>1</v>
      </c>
      <c r="AW4" t="s">
        <v>561</v>
      </c>
      <c r="AX4" t="s">
        <v>561</v>
      </c>
      <c r="AY4" t="s">
        <v>550</v>
      </c>
      <c r="AZ4" t="s">
        <v>562</v>
      </c>
      <c r="BA4" t="s">
        <v>554</v>
      </c>
    </row>
    <row r="5" spans="1:54" x14ac:dyDescent="0.2">
      <c r="A5" s="115" t="s">
        <v>740</v>
      </c>
      <c r="B5" s="117" t="s">
        <v>741</v>
      </c>
      <c r="C5" s="105">
        <v>2025</v>
      </c>
      <c r="D5" s="106" t="s">
        <v>563</v>
      </c>
      <c r="E5" s="109" t="s">
        <v>1911</v>
      </c>
      <c r="F5" s="106" t="s">
        <v>1912</v>
      </c>
      <c r="G5" s="128">
        <v>0.27250000000000002</v>
      </c>
      <c r="H5" s="106" t="s">
        <v>1919</v>
      </c>
      <c r="I5" s="128"/>
      <c r="J5" s="125">
        <v>45967</v>
      </c>
      <c r="K5" s="126">
        <v>45967</v>
      </c>
      <c r="L5" s="129">
        <v>120.53</v>
      </c>
      <c r="M5" s="126">
        <v>45968</v>
      </c>
      <c r="N5" s="129">
        <v>125.49</v>
      </c>
      <c r="O5" s="132">
        <v>7.7590000000000003E-3</v>
      </c>
      <c r="P5" s="107">
        <v>4.1193E-2</v>
      </c>
      <c r="Q5" s="106" t="s">
        <v>591</v>
      </c>
      <c r="R5" s="106" t="s">
        <v>554</v>
      </c>
      <c r="S5" s="105">
        <v>1</v>
      </c>
      <c r="T5" s="107">
        <v>4.0193E-2</v>
      </c>
      <c r="U5" s="130" t="s">
        <v>1914</v>
      </c>
      <c r="V5" t="s">
        <v>549</v>
      </c>
      <c r="W5" t="s">
        <v>541</v>
      </c>
      <c r="X5" t="s">
        <v>741</v>
      </c>
      <c r="Y5" t="s">
        <v>744</v>
      </c>
      <c r="Z5">
        <v>120.53</v>
      </c>
      <c r="AA5" t="s">
        <v>745</v>
      </c>
      <c r="AB5">
        <v>125.495</v>
      </c>
      <c r="AC5">
        <v>4.1193097496001738E-2</v>
      </c>
      <c r="AD5" t="s">
        <v>591</v>
      </c>
      <c r="AE5" t="s">
        <v>554</v>
      </c>
      <c r="AF5">
        <v>4.0193E-2</v>
      </c>
      <c r="AG5" t="str">
        <f>IF($A5="","",IFERROR(INDEX(Company_List!$G$3:$G$207,MATCH($A5,Company_List!$A$3:$A$207,0)),"unassigned"))</f>
        <v>P2</v>
      </c>
      <c r="AH5" t="s">
        <v>746</v>
      </c>
      <c r="AJ5" t="s">
        <v>548</v>
      </c>
      <c r="AK5" t="str">
        <f>IF($A5="","",IF(COUNTIFS(Human_Data_Entry!$A$3:$A$525,$A5)&gt;0,"YES","NO"))</f>
        <v>YES</v>
      </c>
      <c r="AL5" t="str">
        <f>IF($A5="","",IF(AND($C5&amp;"-"&amp;$D5&gt;=Settings!$B$19,$C5&amp;"-"&amp;$D5&lt;=Settings!$B$20),"IN","OUT"))</f>
        <v>IN</v>
      </c>
      <c r="AM5">
        <f t="shared" si="0"/>
        <v>4.0193E-2</v>
      </c>
      <c r="AN5">
        <f t="shared" si="1"/>
        <v>4.0193E-2</v>
      </c>
      <c r="AO5">
        <f>IF(ISNUMBER($AM5),ABS(IF(ISNUMBER($G5),$G5,0)-Settings!$B$25),"")</f>
        <v>0.27250000000000002</v>
      </c>
      <c r="AP5">
        <f t="shared" si="2"/>
        <v>1.09525925E-2</v>
      </c>
      <c r="AQ5">
        <f>IF(ISNUMBER($AN5),ABS(IF(ISNUMBER($G5),$G5,0)-Settings!$B$25),"")</f>
        <v>0.27250000000000002</v>
      </c>
      <c r="AR5">
        <f t="shared" si="3"/>
        <v>1.09525925E-2</v>
      </c>
      <c r="AS5" t="str">
        <f>IF($A5="","",IFERROR(INDEX(Company_List!$H$3:$H$207,MATCH($A5,Company_List!$A$3:$A$207,0)),"unassigned"))</f>
        <v>Consumer Discretionary</v>
      </c>
      <c r="AT5" t="s">
        <v>1915</v>
      </c>
      <c r="AU5" t="s">
        <v>1916</v>
      </c>
      <c r="AV5">
        <v>1</v>
      </c>
      <c r="AW5" t="s">
        <v>617</v>
      </c>
      <c r="AX5" t="s">
        <v>553</v>
      </c>
      <c r="AY5" t="s">
        <v>550</v>
      </c>
      <c r="AZ5" t="s">
        <v>550</v>
      </c>
      <c r="BA5" t="s">
        <v>554</v>
      </c>
    </row>
    <row r="6" spans="1:54" x14ac:dyDescent="0.2">
      <c r="A6" s="115" t="s">
        <v>740</v>
      </c>
      <c r="B6" s="117" t="s">
        <v>741</v>
      </c>
      <c r="C6" s="105">
        <v>2025</v>
      </c>
      <c r="D6" s="106" t="s">
        <v>569</v>
      </c>
      <c r="E6" s="109" t="s">
        <v>1911</v>
      </c>
      <c r="F6" s="106" t="s">
        <v>1912</v>
      </c>
      <c r="G6" s="128">
        <v>0.41499999999999998</v>
      </c>
      <c r="H6" s="106" t="s">
        <v>1919</v>
      </c>
      <c r="I6" s="128"/>
      <c r="J6" s="125">
        <v>46065</v>
      </c>
      <c r="K6" s="126">
        <v>46065</v>
      </c>
      <c r="L6" s="129">
        <v>115.96</v>
      </c>
      <c r="M6" s="126">
        <v>46066</v>
      </c>
      <c r="N6" s="129">
        <v>126.47</v>
      </c>
      <c r="O6" s="132">
        <v>7.3800000000000003E-3</v>
      </c>
      <c r="P6" s="107">
        <v>9.0592000000000006E-2</v>
      </c>
      <c r="Q6" s="106" t="s">
        <v>591</v>
      </c>
      <c r="R6" s="106" t="s">
        <v>554</v>
      </c>
      <c r="S6" s="105">
        <v>1</v>
      </c>
      <c r="T6" s="107">
        <v>8.9592000000000005E-2</v>
      </c>
      <c r="U6" s="130" t="s">
        <v>1914</v>
      </c>
      <c r="V6" t="s">
        <v>549</v>
      </c>
      <c r="W6" t="s">
        <v>541</v>
      </c>
      <c r="X6" t="s">
        <v>741</v>
      </c>
      <c r="Y6" t="s">
        <v>677</v>
      </c>
      <c r="Z6">
        <v>115.96</v>
      </c>
      <c r="AA6" t="s">
        <v>923</v>
      </c>
      <c r="AB6">
        <v>126.465</v>
      </c>
      <c r="AC6">
        <v>9.0591558214828921E-2</v>
      </c>
      <c r="AD6" t="s">
        <v>591</v>
      </c>
      <c r="AE6" t="s">
        <v>554</v>
      </c>
      <c r="AF6">
        <v>8.9592000000000005E-2</v>
      </c>
      <c r="AG6" t="str">
        <f>IF($A6="","",IFERROR(INDEX(Company_List!$G$3:$G$207,MATCH($A6,Company_List!$A$3:$A$207,0)),"unassigned"))</f>
        <v>P2</v>
      </c>
      <c r="AH6" t="s">
        <v>1920</v>
      </c>
      <c r="AI6" t="s">
        <v>1921</v>
      </c>
      <c r="AJ6" t="s">
        <v>560</v>
      </c>
      <c r="AK6" t="str">
        <f>IF($A6="","",IF(COUNTIFS(Human_Data_Entry!$A$3:$A$525,$A6)&gt;0,"YES","NO"))</f>
        <v>YES</v>
      </c>
      <c r="AL6" t="str">
        <f>IF($A6="","",IF(AND($C6&amp;"-"&amp;$D6&gt;=Settings!$B$19,$C6&amp;"-"&amp;$D6&lt;=Settings!$B$20),"IN","OUT"))</f>
        <v>IN</v>
      </c>
      <c r="AM6">
        <f t="shared" si="0"/>
        <v>8.9592000000000005E-2</v>
      </c>
      <c r="AN6">
        <f t="shared" si="1"/>
        <v>8.9592000000000005E-2</v>
      </c>
      <c r="AO6">
        <f>IF(ISNUMBER($AM6),ABS(IF(ISNUMBER($G6),$G6,0)-Settings!$B$25),"")</f>
        <v>0.41499999999999998</v>
      </c>
      <c r="AP6">
        <f t="shared" si="2"/>
        <v>3.7180680000000001E-2</v>
      </c>
      <c r="AQ6">
        <f>IF(ISNUMBER($AN6),ABS(IF(ISNUMBER($G6),$G6,0)-Settings!$B$25),"")</f>
        <v>0.41499999999999998</v>
      </c>
      <c r="AR6">
        <f t="shared" si="3"/>
        <v>3.7180680000000001E-2</v>
      </c>
      <c r="AS6" t="str">
        <f>IF($A6="","",IFERROR(INDEX(Company_List!$H$3:$H$207,MATCH($A6,Company_List!$A$3:$A$207,0)),"unassigned"))</f>
        <v>Consumer Discretionary</v>
      </c>
      <c r="AT6" t="s">
        <v>1915</v>
      </c>
      <c r="AU6" t="s">
        <v>1916</v>
      </c>
      <c r="AV6">
        <v>1</v>
      </c>
      <c r="AW6" t="s">
        <v>561</v>
      </c>
      <c r="AX6" t="s">
        <v>561</v>
      </c>
      <c r="AY6" t="s">
        <v>550</v>
      </c>
      <c r="AZ6" t="s">
        <v>562</v>
      </c>
      <c r="BA6" t="s">
        <v>554</v>
      </c>
    </row>
    <row r="7" spans="1:54" x14ac:dyDescent="0.2">
      <c r="A7" s="115" t="s">
        <v>654</v>
      </c>
      <c r="B7" s="117" t="s">
        <v>655</v>
      </c>
      <c r="C7" s="105">
        <v>2026</v>
      </c>
      <c r="D7" s="106" t="s">
        <v>537</v>
      </c>
      <c r="E7" s="109" t="s">
        <v>1911</v>
      </c>
      <c r="F7" s="106" t="s">
        <v>1912</v>
      </c>
      <c r="G7" s="128">
        <v>0.30499999999999999</v>
      </c>
      <c r="H7" s="106" t="s">
        <v>1919</v>
      </c>
      <c r="I7" s="128"/>
      <c r="J7" s="125">
        <v>46141</v>
      </c>
      <c r="K7" s="126">
        <v>46141</v>
      </c>
      <c r="L7" s="129">
        <v>263.04000000000002</v>
      </c>
      <c r="M7" s="126">
        <v>46142</v>
      </c>
      <c r="N7" s="129">
        <v>273.17</v>
      </c>
      <c r="O7" s="132">
        <v>5.9509999999999997E-3</v>
      </c>
      <c r="P7" s="107">
        <v>3.8510999999999997E-2</v>
      </c>
      <c r="Q7" s="106" t="s">
        <v>591</v>
      </c>
      <c r="R7" s="106" t="s">
        <v>554</v>
      </c>
      <c r="S7" s="105">
        <v>1</v>
      </c>
      <c r="T7" s="107">
        <v>3.7511000000000003E-2</v>
      </c>
      <c r="U7" s="130" t="s">
        <v>1914</v>
      </c>
      <c r="V7" t="s">
        <v>549</v>
      </c>
      <c r="W7" t="s">
        <v>564</v>
      </c>
      <c r="X7" t="s">
        <v>655</v>
      </c>
      <c r="Y7" t="s">
        <v>656</v>
      </c>
      <c r="Z7">
        <v>263.04000000000002</v>
      </c>
      <c r="AA7" t="s">
        <v>657</v>
      </c>
      <c r="AB7">
        <v>273.17</v>
      </c>
      <c r="AC7">
        <v>3.8511266930499478E-2</v>
      </c>
      <c r="AD7" t="s">
        <v>591</v>
      </c>
      <c r="AE7" t="s">
        <v>554</v>
      </c>
      <c r="AF7">
        <v>3.7511000000000003E-2</v>
      </c>
      <c r="AG7" t="str">
        <f>IF($A7="","",IFERROR(INDEX(Company_List!$G$3:$G$207,MATCH($A7,Company_List!$A$3:$A$207,0)),"unassigned"))</f>
        <v>P2</v>
      </c>
      <c r="AH7" t="s">
        <v>658</v>
      </c>
      <c r="AI7" t="s">
        <v>659</v>
      </c>
      <c r="AJ7" t="s">
        <v>560</v>
      </c>
      <c r="AK7" t="str">
        <f>IF($A7="","",IF(COUNTIFS(Human_Data_Entry!$A$3:$A$525,$A7)&gt;0,"YES","NO"))</f>
        <v>YES</v>
      </c>
      <c r="AL7" t="str">
        <f>IF($A7="","",IF(AND($C7&amp;"-"&amp;$D7&gt;=Settings!$B$19,$C7&amp;"-"&amp;$D7&lt;=Settings!$B$20),"IN","OUT"))</f>
        <v>IN</v>
      </c>
      <c r="AM7">
        <f t="shared" si="0"/>
        <v>3.7511000000000003E-2</v>
      </c>
      <c r="AN7">
        <f t="shared" si="1"/>
        <v>3.7511000000000003E-2</v>
      </c>
      <c r="AO7">
        <f>IF(ISNUMBER($AM7),ABS(IF(ISNUMBER($G7),$G7,0)-Settings!$B$25),"")</f>
        <v>0.30499999999999999</v>
      </c>
      <c r="AP7">
        <f t="shared" si="2"/>
        <v>1.1440855E-2</v>
      </c>
      <c r="AQ7">
        <f>IF(ISNUMBER($AN7),ABS(IF(ISNUMBER($G7),$G7,0)-Settings!$B$25),"")</f>
        <v>0.30499999999999999</v>
      </c>
      <c r="AR7">
        <f t="shared" si="3"/>
        <v>1.1440855E-2</v>
      </c>
      <c r="AS7" t="str">
        <f>IF($A7="","",IFERROR(INDEX(Company_List!$H$3:$H$207,MATCH($A7,Company_List!$A$3:$A$207,0)),"unassigned"))</f>
        <v>Consumer Discretionary</v>
      </c>
      <c r="AT7" t="s">
        <v>1915</v>
      </c>
      <c r="AU7" t="s">
        <v>1916</v>
      </c>
      <c r="AV7">
        <v>1</v>
      </c>
      <c r="AW7" t="s">
        <v>561</v>
      </c>
      <c r="AX7" t="s">
        <v>561</v>
      </c>
      <c r="AY7" t="s">
        <v>550</v>
      </c>
      <c r="AZ7" t="s">
        <v>562</v>
      </c>
      <c r="BA7" s="160" t="s">
        <v>546</v>
      </c>
      <c r="BB7" s="160" t="s">
        <v>1922</v>
      </c>
    </row>
    <row r="8" spans="1:54" x14ac:dyDescent="0.2">
      <c r="A8" s="115" t="s">
        <v>654</v>
      </c>
      <c r="B8" s="117" t="s">
        <v>655</v>
      </c>
      <c r="C8" s="105">
        <v>2025</v>
      </c>
      <c r="D8" s="106" t="s">
        <v>563</v>
      </c>
      <c r="E8" s="109" t="s">
        <v>1911</v>
      </c>
      <c r="F8" s="106" t="s">
        <v>1912</v>
      </c>
      <c r="G8" s="128">
        <v>-0.16750000000000001</v>
      </c>
      <c r="H8" s="106" t="s">
        <v>1923</v>
      </c>
      <c r="I8" s="128"/>
      <c r="J8" s="125">
        <v>45960</v>
      </c>
      <c r="K8" s="126">
        <v>45960</v>
      </c>
      <c r="L8" s="129">
        <v>222.86</v>
      </c>
      <c r="M8" s="126">
        <v>45961</v>
      </c>
      <c r="N8" s="129">
        <v>250.1</v>
      </c>
      <c r="O8" s="132">
        <v>6.5209999999999999E-3</v>
      </c>
      <c r="P8" s="107">
        <v>0.122229</v>
      </c>
      <c r="Q8" s="106" t="s">
        <v>591</v>
      </c>
      <c r="R8" s="106" t="s">
        <v>546</v>
      </c>
      <c r="S8" s="105">
        <v>-1</v>
      </c>
      <c r="T8" s="107">
        <v>-0.12322900000000001</v>
      </c>
      <c r="U8" s="130" t="s">
        <v>1914</v>
      </c>
      <c r="V8" t="s">
        <v>549</v>
      </c>
      <c r="W8" t="s">
        <v>564</v>
      </c>
      <c r="X8" t="s">
        <v>655</v>
      </c>
      <c r="Y8" t="s">
        <v>660</v>
      </c>
      <c r="Z8">
        <v>222.86</v>
      </c>
      <c r="AA8" t="s">
        <v>661</v>
      </c>
      <c r="AB8">
        <v>250.1</v>
      </c>
      <c r="AC8">
        <v>0.1222292240768679</v>
      </c>
      <c r="AD8" t="s">
        <v>591</v>
      </c>
      <c r="AE8" t="s">
        <v>546</v>
      </c>
      <c r="AF8">
        <v>-0.12322900000000001</v>
      </c>
      <c r="AG8" t="str">
        <f>IF($A8="","",IFERROR(INDEX(Company_List!$G$3:$G$207,MATCH($A8,Company_List!$A$3:$A$207,0)),"unassigned"))</f>
        <v>P2</v>
      </c>
      <c r="AH8" t="s">
        <v>662</v>
      </c>
      <c r="AI8" t="s">
        <v>663</v>
      </c>
      <c r="AJ8" t="s">
        <v>560</v>
      </c>
      <c r="AK8" t="str">
        <f>IF($A8="","",IF(COUNTIFS(Human_Data_Entry!$A$3:$A$525,$A8)&gt;0,"YES","NO"))</f>
        <v>YES</v>
      </c>
      <c r="AL8" t="str">
        <f>IF($A8="","",IF(AND($C8&amp;"-"&amp;$D8&gt;=Settings!$B$19,$C8&amp;"-"&amp;$D8&lt;=Settings!$B$20),"IN","OUT"))</f>
        <v>IN</v>
      </c>
      <c r="AM8">
        <f t="shared" si="0"/>
        <v>-0.12322900000000001</v>
      </c>
      <c r="AN8">
        <f t="shared" si="1"/>
        <v>-0.12322900000000001</v>
      </c>
      <c r="AO8">
        <f>IF(ISNUMBER($AM8),ABS(IF(ISNUMBER($G8),$G8,0)-Settings!$B$25),"")</f>
        <v>0.16750000000000001</v>
      </c>
      <c r="AP8">
        <f t="shared" si="2"/>
        <v>-2.0640857500000002E-2</v>
      </c>
      <c r="AQ8">
        <f>IF(ISNUMBER($AN8),ABS(IF(ISNUMBER($G8),$G8,0)-Settings!$B$25),"")</f>
        <v>0.16750000000000001</v>
      </c>
      <c r="AR8">
        <f t="shared" si="3"/>
        <v>-2.0640857500000002E-2</v>
      </c>
      <c r="AS8" t="str">
        <f>IF($A8="","",IFERROR(INDEX(Company_List!$H$3:$H$207,MATCH($A8,Company_List!$A$3:$A$207,0)),"unassigned"))</f>
        <v>Consumer Discretionary</v>
      </c>
      <c r="AT8" t="s">
        <v>1915</v>
      </c>
      <c r="AU8" t="s">
        <v>1916</v>
      </c>
      <c r="AV8">
        <v>1</v>
      </c>
      <c r="AW8" t="s">
        <v>561</v>
      </c>
      <c r="AX8" t="s">
        <v>561</v>
      </c>
      <c r="AY8" t="s">
        <v>550</v>
      </c>
      <c r="AZ8" t="s">
        <v>562</v>
      </c>
      <c r="BA8" s="160" t="s">
        <v>546</v>
      </c>
      <c r="BB8" s="160" t="s">
        <v>1922</v>
      </c>
    </row>
    <row r="9" spans="1:54" x14ac:dyDescent="0.2">
      <c r="A9" s="115" t="s">
        <v>654</v>
      </c>
      <c r="B9" s="117" t="s">
        <v>655</v>
      </c>
      <c r="C9" s="105">
        <v>2025</v>
      </c>
      <c r="D9" s="106" t="s">
        <v>569</v>
      </c>
      <c r="E9" s="109" t="s">
        <v>1911</v>
      </c>
      <c r="F9" s="106" t="s">
        <v>1912</v>
      </c>
      <c r="G9" s="128">
        <v>-5.2499999999999998E-2</v>
      </c>
      <c r="H9" s="106" t="s">
        <v>1923</v>
      </c>
      <c r="I9" s="128"/>
      <c r="J9" s="125">
        <v>46058</v>
      </c>
      <c r="K9" s="126">
        <v>46058</v>
      </c>
      <c r="L9" s="129">
        <v>222.69</v>
      </c>
      <c r="M9" s="126">
        <v>46059</v>
      </c>
      <c r="N9" s="129">
        <v>202.7</v>
      </c>
      <c r="O9" s="132">
        <v>6.8989999999999998E-3</v>
      </c>
      <c r="P9" s="107">
        <v>-8.9765999999999999E-2</v>
      </c>
      <c r="Q9" s="106" t="s">
        <v>545</v>
      </c>
      <c r="R9" s="106" t="s">
        <v>554</v>
      </c>
      <c r="S9" s="105">
        <v>-1</v>
      </c>
      <c r="T9" s="107">
        <v>8.8765999999999998E-2</v>
      </c>
      <c r="U9" s="130" t="s">
        <v>1914</v>
      </c>
      <c r="V9" t="s">
        <v>549</v>
      </c>
      <c r="W9" t="s">
        <v>630</v>
      </c>
      <c r="X9" t="s">
        <v>655</v>
      </c>
      <c r="Y9" t="s">
        <v>664</v>
      </c>
      <c r="Z9">
        <v>222.69</v>
      </c>
      <c r="AA9" t="s">
        <v>665</v>
      </c>
      <c r="AB9">
        <v>202.7</v>
      </c>
      <c r="AC9">
        <v>-8.9766064127117823E-2</v>
      </c>
      <c r="AD9" t="s">
        <v>545</v>
      </c>
      <c r="AE9" t="s">
        <v>554</v>
      </c>
      <c r="AF9">
        <v>8.8765999999999998E-2</v>
      </c>
      <c r="AG9" t="str">
        <f>IF($A9="","",IFERROR(INDEX(Company_List!$G$3:$G$207,MATCH($A9,Company_List!$A$3:$A$207,0)),"unassigned"))</f>
        <v>P2</v>
      </c>
      <c r="AH9" t="s">
        <v>666</v>
      </c>
      <c r="AI9" t="s">
        <v>667</v>
      </c>
      <c r="AJ9" t="s">
        <v>560</v>
      </c>
      <c r="AK9" t="str">
        <f>IF($A9="","",IF(COUNTIFS(Human_Data_Entry!$A$3:$A$525,$A9)&gt;0,"YES","NO"))</f>
        <v>YES</v>
      </c>
      <c r="AL9" t="str">
        <f>IF($A9="","",IF(AND($C9&amp;"-"&amp;$D9&gt;=Settings!$B$19,$C9&amp;"-"&amp;$D9&lt;=Settings!$B$20),"IN","OUT"))</f>
        <v>IN</v>
      </c>
      <c r="AM9">
        <f t="shared" si="0"/>
        <v>8.8765999999999998E-2</v>
      </c>
      <c r="AN9">
        <f t="shared" si="1"/>
        <v>8.8765999999999998E-2</v>
      </c>
      <c r="AO9">
        <f>IF(ISNUMBER($AM9),ABS(IF(ISNUMBER($G9),$G9,0)-Settings!$B$25),"")</f>
        <v>5.2499999999999998E-2</v>
      </c>
      <c r="AP9">
        <f t="shared" si="2"/>
        <v>4.6602149999999997E-3</v>
      </c>
      <c r="AQ9">
        <f>IF(ISNUMBER($AN9),ABS(IF(ISNUMBER($G9),$G9,0)-Settings!$B$25),"")</f>
        <v>5.2499999999999998E-2</v>
      </c>
      <c r="AR9">
        <f t="shared" si="3"/>
        <v>4.6602149999999997E-3</v>
      </c>
      <c r="AS9" t="str">
        <f>IF($A9="","",IFERROR(INDEX(Company_List!$H$3:$H$207,MATCH($A9,Company_List!$A$3:$A$207,0)),"unassigned"))</f>
        <v>Consumer Discretionary</v>
      </c>
      <c r="AT9" t="s">
        <v>1915</v>
      </c>
      <c r="AU9" t="s">
        <v>1916</v>
      </c>
      <c r="AV9">
        <v>1</v>
      </c>
      <c r="AW9" t="s">
        <v>561</v>
      </c>
      <c r="AX9" t="s">
        <v>561</v>
      </c>
      <c r="AY9" t="s">
        <v>550</v>
      </c>
      <c r="AZ9" t="s">
        <v>562</v>
      </c>
      <c r="BA9" s="160" t="s">
        <v>546</v>
      </c>
      <c r="BB9" s="160" t="s">
        <v>1922</v>
      </c>
    </row>
    <row r="10" spans="1:54" x14ac:dyDescent="0.2">
      <c r="A10" s="115" t="s">
        <v>730</v>
      </c>
      <c r="B10" s="117" t="s">
        <v>730</v>
      </c>
      <c r="C10" s="105">
        <v>2026</v>
      </c>
      <c r="D10" s="106" t="s">
        <v>537</v>
      </c>
      <c r="E10" s="109" t="s">
        <v>1911</v>
      </c>
      <c r="F10" s="106" t="s">
        <v>1912</v>
      </c>
      <c r="G10" s="128">
        <v>0.30499999999999999</v>
      </c>
      <c r="H10" s="106" t="s">
        <v>1919</v>
      </c>
      <c r="I10" s="128"/>
      <c r="J10" s="125">
        <v>46147</v>
      </c>
      <c r="K10" s="126">
        <v>46147</v>
      </c>
      <c r="L10" s="129">
        <v>355.26</v>
      </c>
      <c r="M10" s="126">
        <v>46148</v>
      </c>
      <c r="N10" s="129">
        <v>409.49</v>
      </c>
      <c r="O10" s="132">
        <v>6.5120000000000004E-3</v>
      </c>
      <c r="P10" s="107">
        <v>0.15264900000000001</v>
      </c>
      <c r="Q10" s="106" t="s">
        <v>591</v>
      </c>
      <c r="R10" s="106" t="s">
        <v>554</v>
      </c>
      <c r="S10" s="105">
        <v>1</v>
      </c>
      <c r="T10" s="107">
        <v>0.15164900000000001</v>
      </c>
      <c r="U10" s="130" t="s">
        <v>1914</v>
      </c>
      <c r="V10" t="s">
        <v>549</v>
      </c>
      <c r="W10" t="s">
        <v>564</v>
      </c>
      <c r="X10" t="s">
        <v>730</v>
      </c>
      <c r="Y10" t="s">
        <v>731</v>
      </c>
      <c r="Z10">
        <v>355.26</v>
      </c>
      <c r="AA10" t="s">
        <v>680</v>
      </c>
      <c r="AB10">
        <v>409.49</v>
      </c>
      <c r="AC10">
        <v>0.15264870369169889</v>
      </c>
      <c r="AD10" t="s">
        <v>591</v>
      </c>
      <c r="AE10" t="s">
        <v>554</v>
      </c>
      <c r="AF10">
        <v>0.15164900000000001</v>
      </c>
      <c r="AG10" t="str">
        <f>IF($A10="","",IFERROR(INDEX(Company_List!$G$3:$G$207,MATCH($A10,Company_List!$A$3:$A$207,0)),"unassigned"))</f>
        <v>P2</v>
      </c>
      <c r="AH10" t="s">
        <v>732</v>
      </c>
      <c r="AI10" t="s">
        <v>733</v>
      </c>
      <c r="AJ10" t="s">
        <v>560</v>
      </c>
      <c r="AK10" t="str">
        <f>IF($A10="","",IF(COUNTIFS(Human_Data_Entry!$A$3:$A$525,$A10)&gt;0,"YES","NO"))</f>
        <v>YES</v>
      </c>
      <c r="AL10" t="str">
        <f>IF($A10="","",IF(AND($C10&amp;"-"&amp;$D10&gt;=Settings!$B$19,$C10&amp;"-"&amp;$D10&lt;=Settings!$B$20),"IN","OUT"))</f>
        <v>IN</v>
      </c>
      <c r="AM10">
        <f t="shared" si="0"/>
        <v>0.15164900000000001</v>
      </c>
      <c r="AN10">
        <f t="shared" si="1"/>
        <v>0.15164900000000001</v>
      </c>
      <c r="AO10">
        <f>IF(ISNUMBER($AM10),ABS(IF(ISNUMBER($G10),$G10,0)-Settings!$B$25),"")</f>
        <v>0.30499999999999999</v>
      </c>
      <c r="AP10">
        <f t="shared" si="2"/>
        <v>4.6252945000000004E-2</v>
      </c>
      <c r="AQ10">
        <f>IF(ISNUMBER($AN10),ABS(IF(ISNUMBER($G10),$G10,0)-Settings!$B$25),"")</f>
        <v>0.30499999999999999</v>
      </c>
      <c r="AR10">
        <f t="shared" si="3"/>
        <v>4.6252945000000004E-2</v>
      </c>
      <c r="AS10" t="str">
        <f>IF($A10="","",IFERROR(INDEX(Company_List!$H$3:$H$207,MATCH($A10,Company_List!$A$3:$A$207,0)),"unassigned"))</f>
        <v>Information Technology</v>
      </c>
      <c r="AT10" t="s">
        <v>1915</v>
      </c>
      <c r="AU10" t="s">
        <v>1916</v>
      </c>
      <c r="AV10">
        <v>1</v>
      </c>
      <c r="AW10" t="s">
        <v>561</v>
      </c>
      <c r="AX10" t="s">
        <v>561</v>
      </c>
      <c r="AY10" t="s">
        <v>550</v>
      </c>
      <c r="AZ10" t="s">
        <v>562</v>
      </c>
      <c r="BA10" s="160" t="s">
        <v>546</v>
      </c>
      <c r="BB10" s="160" t="s">
        <v>1922</v>
      </c>
    </row>
    <row r="11" spans="1:54" x14ac:dyDescent="0.2">
      <c r="A11" s="115" t="s">
        <v>730</v>
      </c>
      <c r="B11" s="117" t="s">
        <v>730</v>
      </c>
      <c r="C11" s="105">
        <v>2025</v>
      </c>
      <c r="D11" s="106" t="s">
        <v>555</v>
      </c>
      <c r="E11" s="109" t="s">
        <v>1911</v>
      </c>
      <c r="F11" s="106" t="s">
        <v>1912</v>
      </c>
      <c r="G11" s="128">
        <v>0.21</v>
      </c>
      <c r="H11" s="106" t="s">
        <v>1913</v>
      </c>
      <c r="I11" s="128"/>
      <c r="J11" s="125">
        <v>45874</v>
      </c>
      <c r="K11" s="126">
        <v>45874</v>
      </c>
      <c r="L11" s="129">
        <v>174.31</v>
      </c>
      <c r="M11" s="126">
        <v>45875</v>
      </c>
      <c r="N11" s="129">
        <v>165.05</v>
      </c>
      <c r="O11" s="132">
        <v>6.3200000000000001E-3</v>
      </c>
      <c r="P11" s="107">
        <v>-5.3123999999999998E-2</v>
      </c>
      <c r="Q11" s="106" t="s">
        <v>545</v>
      </c>
      <c r="R11" s="106" t="s">
        <v>546</v>
      </c>
      <c r="S11" s="105">
        <v>0</v>
      </c>
      <c r="T11" s="107">
        <v>0</v>
      </c>
      <c r="U11" s="130" t="s">
        <v>1914</v>
      </c>
      <c r="V11" t="s">
        <v>549</v>
      </c>
      <c r="W11" t="s">
        <v>564</v>
      </c>
      <c r="X11" t="s">
        <v>730</v>
      </c>
      <c r="Y11" t="s">
        <v>641</v>
      </c>
      <c r="Z11">
        <v>174.31</v>
      </c>
      <c r="AA11" t="s">
        <v>642</v>
      </c>
      <c r="AB11">
        <v>165.05</v>
      </c>
      <c r="AC11">
        <v>-5.312371697692294E-2</v>
      </c>
      <c r="AD11" t="s">
        <v>545</v>
      </c>
      <c r="AE11" t="s">
        <v>546</v>
      </c>
      <c r="AF11">
        <v>0</v>
      </c>
      <c r="AG11" t="str">
        <f>IF($A11="","",IFERROR(INDEX(Company_List!$G$3:$G$207,MATCH($A11,Company_List!$A$3:$A$207,0)),"unassigned"))</f>
        <v>P2</v>
      </c>
      <c r="AH11" t="s">
        <v>734</v>
      </c>
      <c r="AI11" t="s">
        <v>735</v>
      </c>
      <c r="AJ11" t="s">
        <v>560</v>
      </c>
      <c r="AK11" t="str">
        <f>IF($A11="","",IF(COUNTIFS(Human_Data_Entry!$A$3:$A$525,$A11)&gt;0,"YES","NO"))</f>
        <v>YES</v>
      </c>
      <c r="AL11" t="str">
        <f>IF($A11="","",IF(AND($C11&amp;"-"&amp;$D11&gt;=Settings!$B$19,$C11&amp;"-"&amp;$D11&lt;=Settings!$B$20),"IN","OUT"))</f>
        <v>IN</v>
      </c>
      <c r="AM11" t="str">
        <f t="shared" si="0"/>
        <v/>
      </c>
      <c r="AN11" t="str">
        <f t="shared" si="1"/>
        <v/>
      </c>
      <c r="AO11" t="str">
        <f>IF(ISNUMBER($AM11),ABS(IF(ISNUMBER($G11),$G11,0)-Settings!$B$25),"")</f>
        <v/>
      </c>
      <c r="AP11" t="str">
        <f t="shared" si="2"/>
        <v/>
      </c>
      <c r="AQ11" t="str">
        <f>IF(ISNUMBER($AN11),ABS(IF(ISNUMBER($G11),$G11,0)-Settings!$B$25),"")</f>
        <v/>
      </c>
      <c r="AR11" t="str">
        <f t="shared" si="3"/>
        <v/>
      </c>
      <c r="AS11" t="str">
        <f>IF($A11="","",IFERROR(INDEX(Company_List!$H$3:$H$207,MATCH($A11,Company_List!$A$3:$A$207,0)),"unassigned"))</f>
        <v>Information Technology</v>
      </c>
      <c r="AT11" t="s">
        <v>1915</v>
      </c>
      <c r="AU11" t="s">
        <v>1916</v>
      </c>
      <c r="AV11">
        <v>1</v>
      </c>
      <c r="AW11" t="s">
        <v>561</v>
      </c>
      <c r="AX11" t="s">
        <v>561</v>
      </c>
      <c r="AY11" t="s">
        <v>550</v>
      </c>
      <c r="AZ11" t="s">
        <v>562</v>
      </c>
      <c r="BA11" s="160" t="s">
        <v>546</v>
      </c>
      <c r="BB11" s="160" t="s">
        <v>1922</v>
      </c>
    </row>
    <row r="12" spans="1:54" x14ac:dyDescent="0.2">
      <c r="A12" s="115" t="s">
        <v>730</v>
      </c>
      <c r="B12" s="117" t="s">
        <v>730</v>
      </c>
      <c r="C12" s="105">
        <v>2025</v>
      </c>
      <c r="D12" s="106" t="s">
        <v>569</v>
      </c>
      <c r="E12" s="109" t="s">
        <v>1911</v>
      </c>
      <c r="F12" s="106" t="s">
        <v>1912</v>
      </c>
      <c r="G12" s="128">
        <v>0.52500000000000002</v>
      </c>
      <c r="H12" s="106" t="s">
        <v>1919</v>
      </c>
      <c r="I12" s="128"/>
      <c r="J12" s="125">
        <v>46056</v>
      </c>
      <c r="K12" s="126">
        <v>46056</v>
      </c>
      <c r="L12" s="129">
        <v>242.11</v>
      </c>
      <c r="M12" s="126">
        <v>46057</v>
      </c>
      <c r="N12" s="129">
        <v>215</v>
      </c>
      <c r="O12" s="132">
        <v>6.3569999999999998E-3</v>
      </c>
      <c r="P12" s="107">
        <v>-0.111974</v>
      </c>
      <c r="Q12" s="106" t="s">
        <v>545</v>
      </c>
      <c r="R12" s="106" t="s">
        <v>546</v>
      </c>
      <c r="S12" s="105">
        <v>1</v>
      </c>
      <c r="T12" s="107">
        <v>-0.112974</v>
      </c>
      <c r="U12" s="130" t="s">
        <v>1914</v>
      </c>
      <c r="V12" t="s">
        <v>549</v>
      </c>
      <c r="W12" t="s">
        <v>564</v>
      </c>
      <c r="X12" t="s">
        <v>730</v>
      </c>
      <c r="Y12" t="s">
        <v>736</v>
      </c>
      <c r="Z12">
        <v>242.11</v>
      </c>
      <c r="AA12" t="s">
        <v>737</v>
      </c>
      <c r="AB12">
        <v>215</v>
      </c>
      <c r="AC12">
        <v>-0.11197389983076329</v>
      </c>
      <c r="AD12" t="s">
        <v>545</v>
      </c>
      <c r="AE12" t="s">
        <v>546</v>
      </c>
      <c r="AF12">
        <v>-0.112974</v>
      </c>
      <c r="AG12" t="str">
        <f>IF($A12="","",IFERROR(INDEX(Company_List!$G$3:$G$207,MATCH($A12,Company_List!$A$3:$A$207,0)),"unassigned"))</f>
        <v>P2</v>
      </c>
      <c r="AH12" t="s">
        <v>738</v>
      </c>
      <c r="AI12" t="s">
        <v>739</v>
      </c>
      <c r="AJ12" t="s">
        <v>560</v>
      </c>
      <c r="AK12" t="str">
        <f>IF($A12="","",IF(COUNTIFS(Human_Data_Entry!$A$3:$A$525,$A12)&gt;0,"YES","NO"))</f>
        <v>YES</v>
      </c>
      <c r="AL12" t="str">
        <f>IF($A12="","",IF(AND($C12&amp;"-"&amp;$D12&gt;=Settings!$B$19,$C12&amp;"-"&amp;$D12&lt;=Settings!$B$20),"IN","OUT"))</f>
        <v>IN</v>
      </c>
      <c r="AM12">
        <f t="shared" si="0"/>
        <v>-0.112974</v>
      </c>
      <c r="AN12">
        <f t="shared" si="1"/>
        <v>-0.112974</v>
      </c>
      <c r="AO12">
        <f>IF(ISNUMBER($AM12),ABS(IF(ISNUMBER($G12),$G12,0)-Settings!$B$25),"")</f>
        <v>0.52500000000000002</v>
      </c>
      <c r="AP12">
        <f t="shared" si="2"/>
        <v>-5.9311350000000006E-2</v>
      </c>
      <c r="AQ12">
        <f>IF(ISNUMBER($AN12),ABS(IF(ISNUMBER($G12),$G12,0)-Settings!$B$25),"")</f>
        <v>0.52500000000000002</v>
      </c>
      <c r="AR12">
        <f t="shared" si="3"/>
        <v>-5.9311350000000006E-2</v>
      </c>
      <c r="AS12" t="str">
        <f>IF($A12="","",IFERROR(INDEX(Company_List!$H$3:$H$207,MATCH($A12,Company_List!$A$3:$A$207,0)),"unassigned"))</f>
        <v>Information Technology</v>
      </c>
      <c r="AT12" t="s">
        <v>1915</v>
      </c>
      <c r="AU12" t="s">
        <v>1916</v>
      </c>
      <c r="AV12">
        <v>1</v>
      </c>
      <c r="AW12" t="s">
        <v>561</v>
      </c>
      <c r="AX12" t="s">
        <v>561</v>
      </c>
      <c r="AY12" t="s">
        <v>550</v>
      </c>
      <c r="AZ12" t="s">
        <v>562</v>
      </c>
      <c r="BA12" s="160" t="s">
        <v>546</v>
      </c>
      <c r="BB12" s="160" t="s">
        <v>1922</v>
      </c>
    </row>
    <row r="13" spans="1:54" x14ac:dyDescent="0.2">
      <c r="A13" s="115" t="s">
        <v>683</v>
      </c>
      <c r="B13" s="117" t="s">
        <v>686</v>
      </c>
      <c r="C13" s="105">
        <v>2026</v>
      </c>
      <c r="D13" s="106" t="s">
        <v>537</v>
      </c>
      <c r="E13" s="109" t="s">
        <v>1911</v>
      </c>
      <c r="F13" s="106" t="s">
        <v>1912</v>
      </c>
      <c r="G13" s="128">
        <v>0.27750000000000002</v>
      </c>
      <c r="H13" s="106" t="s">
        <v>1919</v>
      </c>
      <c r="I13" s="128"/>
      <c r="J13" s="125">
        <v>46051</v>
      </c>
      <c r="K13" s="126">
        <v>46051</v>
      </c>
      <c r="L13" s="129">
        <v>258.27999999999997</v>
      </c>
      <c r="M13" s="126">
        <v>46052</v>
      </c>
      <c r="N13" s="129">
        <v>255.17</v>
      </c>
      <c r="O13" s="132">
        <v>7.1469999999999997E-3</v>
      </c>
      <c r="P13" s="107">
        <v>-1.2041E-2</v>
      </c>
      <c r="Q13" s="106" t="s">
        <v>579</v>
      </c>
      <c r="R13" s="106" t="s">
        <v>546</v>
      </c>
      <c r="S13" s="105">
        <v>1</v>
      </c>
      <c r="T13" s="107">
        <v>-1.3041000000000001E-2</v>
      </c>
      <c r="U13" s="130" t="s">
        <v>1914</v>
      </c>
      <c r="V13" t="s">
        <v>549</v>
      </c>
      <c r="W13" t="s">
        <v>541</v>
      </c>
      <c r="X13" t="s">
        <v>686</v>
      </c>
      <c r="Y13" t="s">
        <v>694</v>
      </c>
      <c r="Z13">
        <v>257.80099999999999</v>
      </c>
      <c r="AA13" t="s">
        <v>695</v>
      </c>
      <c r="AB13">
        <v>254.6968</v>
      </c>
      <c r="AC13">
        <v>-1.204109121342554E-2</v>
      </c>
      <c r="AD13" t="s">
        <v>579</v>
      </c>
      <c r="AE13" t="s">
        <v>546</v>
      </c>
      <c r="AF13">
        <v>-1.3041000000000001E-2</v>
      </c>
      <c r="AG13" t="str">
        <f>IF($A13="","",IFERROR(INDEX(Company_List!$G$3:$G$207,MATCH($A13,Company_List!$A$3:$A$207,0)),"unassigned"))</f>
        <v>P2</v>
      </c>
      <c r="AH13" t="s">
        <v>696</v>
      </c>
      <c r="AJ13" t="s">
        <v>593</v>
      </c>
      <c r="AK13" t="str">
        <f>IF($A13="","",IF(COUNTIFS(Human_Data_Entry!$A$3:$A$525,$A13)&gt;0,"YES","NO"))</f>
        <v>YES</v>
      </c>
      <c r="AL13" t="str">
        <f>IF($A13="","",IF(AND($C13&amp;"-"&amp;$D13&gt;=Settings!$B$19,$C13&amp;"-"&amp;$D13&lt;=Settings!$B$20),"IN","OUT"))</f>
        <v>IN</v>
      </c>
      <c r="AM13">
        <f t="shared" si="0"/>
        <v>-1.3041000000000001E-2</v>
      </c>
      <c r="AN13">
        <f t="shared" si="1"/>
        <v>-1.3041000000000001E-2</v>
      </c>
      <c r="AO13">
        <f>IF(ISNUMBER($AM13),ABS(IF(ISNUMBER($G13),$G13,0)-Settings!$B$25),"")</f>
        <v>0.27750000000000002</v>
      </c>
      <c r="AP13">
        <f t="shared" si="2"/>
        <v>-3.6188775000000005E-3</v>
      </c>
      <c r="AQ13">
        <f>IF(ISNUMBER($AN13),ABS(IF(ISNUMBER($G13),$G13,0)-Settings!$B$25),"")</f>
        <v>0.27750000000000002</v>
      </c>
      <c r="AR13">
        <f t="shared" si="3"/>
        <v>-3.6188775000000005E-3</v>
      </c>
      <c r="AS13" t="str">
        <f>IF($A13="","",IFERROR(INDEX(Company_List!$H$3:$H$207,MATCH($A13,Company_List!$A$3:$A$207,0)),"unassigned"))</f>
        <v>Information Technology</v>
      </c>
      <c r="AT13" t="s">
        <v>1915</v>
      </c>
      <c r="AU13" t="s">
        <v>1916</v>
      </c>
      <c r="AV13">
        <v>2</v>
      </c>
      <c r="AW13" t="s">
        <v>595</v>
      </c>
      <c r="AX13" t="s">
        <v>596</v>
      </c>
      <c r="AY13" t="s">
        <v>550</v>
      </c>
      <c r="AZ13" t="s">
        <v>550</v>
      </c>
      <c r="BA13" t="s">
        <v>554</v>
      </c>
    </row>
    <row r="14" spans="1:54" x14ac:dyDescent="0.2">
      <c r="A14" s="115" t="s">
        <v>683</v>
      </c>
      <c r="B14" s="117" t="s">
        <v>686</v>
      </c>
      <c r="C14" s="105">
        <v>2025</v>
      </c>
      <c r="D14" s="106" t="s">
        <v>563</v>
      </c>
      <c r="E14" s="109" t="s">
        <v>1911</v>
      </c>
      <c r="F14" s="106" t="s">
        <v>1912</v>
      </c>
      <c r="G14" s="128">
        <v>0.1275</v>
      </c>
      <c r="H14" s="106" t="s">
        <v>1913</v>
      </c>
      <c r="I14" s="128"/>
      <c r="J14" s="125">
        <v>45869</v>
      </c>
      <c r="K14" s="126">
        <v>45869</v>
      </c>
      <c r="L14" s="129">
        <v>207.57</v>
      </c>
      <c r="M14" s="126">
        <v>45870</v>
      </c>
      <c r="N14" s="129">
        <v>210.87</v>
      </c>
      <c r="O14" s="132">
        <v>7.0109999999999999E-3</v>
      </c>
      <c r="P14" s="107">
        <v>1.5897999999999999E-2</v>
      </c>
      <c r="Q14" s="106" t="s">
        <v>579</v>
      </c>
      <c r="R14" s="106" t="s">
        <v>554</v>
      </c>
      <c r="S14" s="105">
        <v>0</v>
      </c>
      <c r="T14" s="107">
        <v>0</v>
      </c>
      <c r="U14" s="130" t="s">
        <v>1914</v>
      </c>
      <c r="V14" t="s">
        <v>549</v>
      </c>
      <c r="W14" t="s">
        <v>685</v>
      </c>
      <c r="X14" t="s">
        <v>686</v>
      </c>
      <c r="Y14" t="s">
        <v>687</v>
      </c>
      <c r="Z14">
        <v>206.74979999999999</v>
      </c>
      <c r="AA14" t="s">
        <v>688</v>
      </c>
      <c r="AB14">
        <v>210.0367</v>
      </c>
      <c r="AC14">
        <v>1.5898265940454879E-2</v>
      </c>
      <c r="AD14" t="s">
        <v>579</v>
      </c>
      <c r="AE14" t="s">
        <v>554</v>
      </c>
      <c r="AF14">
        <v>0</v>
      </c>
      <c r="AG14" t="str">
        <f>IF($A14="","",IFERROR(INDEX(Company_List!$G$3:$G$207,MATCH($A14,Company_List!$A$3:$A$207,0)),"unassigned"))</f>
        <v>P2</v>
      </c>
      <c r="AH14" t="s">
        <v>689</v>
      </c>
      <c r="AJ14" t="s">
        <v>593</v>
      </c>
      <c r="AK14" t="str">
        <f>IF($A14="","",IF(COUNTIFS(Human_Data_Entry!$A$3:$A$525,$A14)&gt;0,"YES","NO"))</f>
        <v>YES</v>
      </c>
      <c r="AL14" t="str">
        <f>IF($A14="","",IF(AND($C14&amp;"-"&amp;$D14&gt;=Settings!$B$19,$C14&amp;"-"&amp;$D14&lt;=Settings!$B$20),"IN","OUT"))</f>
        <v>IN</v>
      </c>
      <c r="AM14" t="str">
        <f t="shared" si="0"/>
        <v/>
      </c>
      <c r="AN14" t="str">
        <f t="shared" si="1"/>
        <v/>
      </c>
      <c r="AO14" t="str">
        <f>IF(ISNUMBER($AM14),ABS(IF(ISNUMBER($G14),$G14,0)-Settings!$B$25),"")</f>
        <v/>
      </c>
      <c r="AP14" t="str">
        <f t="shared" si="2"/>
        <v/>
      </c>
      <c r="AQ14" t="str">
        <f>IF(ISNUMBER($AN14),ABS(IF(ISNUMBER($G14),$G14,0)-Settings!$B$25),"")</f>
        <v/>
      </c>
      <c r="AR14" t="str">
        <f t="shared" si="3"/>
        <v/>
      </c>
      <c r="AS14" t="str">
        <f>IF($A14="","",IFERROR(INDEX(Company_List!$H$3:$H$207,MATCH($A14,Company_List!$A$3:$A$207,0)),"unassigned"))</f>
        <v>Information Technology</v>
      </c>
      <c r="AT14" t="s">
        <v>1915</v>
      </c>
      <c r="AU14" t="s">
        <v>1916</v>
      </c>
      <c r="AV14">
        <v>2</v>
      </c>
      <c r="AW14" t="s">
        <v>595</v>
      </c>
      <c r="AX14" t="s">
        <v>596</v>
      </c>
      <c r="AY14" t="s">
        <v>550</v>
      </c>
      <c r="AZ14" t="s">
        <v>550</v>
      </c>
      <c r="BA14" t="s">
        <v>554</v>
      </c>
    </row>
    <row r="15" spans="1:54" x14ac:dyDescent="0.2">
      <c r="A15" s="115" t="s">
        <v>683</v>
      </c>
      <c r="B15" s="117" t="s">
        <v>686</v>
      </c>
      <c r="C15" s="105">
        <v>2025</v>
      </c>
      <c r="D15" s="106" t="s">
        <v>569</v>
      </c>
      <c r="E15" s="109" t="s">
        <v>1911</v>
      </c>
      <c r="F15" s="106" t="s">
        <v>1912</v>
      </c>
      <c r="G15" s="128">
        <v>0.3</v>
      </c>
      <c r="H15" s="106" t="s">
        <v>1919</v>
      </c>
      <c r="I15" s="128"/>
      <c r="J15" s="125">
        <v>45960</v>
      </c>
      <c r="K15" s="126">
        <v>45960</v>
      </c>
      <c r="L15" s="129">
        <v>271.39999999999998</v>
      </c>
      <c r="M15" s="126">
        <v>45961</v>
      </c>
      <c r="N15" s="129">
        <v>276.99</v>
      </c>
      <c r="O15" s="132">
        <v>6.6829999999999997E-3</v>
      </c>
      <c r="P15" s="107">
        <v>2.0597000000000001E-2</v>
      </c>
      <c r="Q15" s="106" t="s">
        <v>591</v>
      </c>
      <c r="R15" s="106" t="s">
        <v>554</v>
      </c>
      <c r="S15" s="105">
        <v>1</v>
      </c>
      <c r="T15" s="107">
        <v>1.9597E-2</v>
      </c>
      <c r="U15" s="130" t="s">
        <v>1914</v>
      </c>
      <c r="V15" t="s">
        <v>549</v>
      </c>
      <c r="W15" t="s">
        <v>691</v>
      </c>
      <c r="X15" t="s">
        <v>686</v>
      </c>
      <c r="Y15" t="s">
        <v>660</v>
      </c>
      <c r="Z15">
        <v>270.6343</v>
      </c>
      <c r="AA15" t="s">
        <v>661</v>
      </c>
      <c r="AB15">
        <v>276.20859999999999</v>
      </c>
      <c r="AC15">
        <v>2.0596868826602058E-2</v>
      </c>
      <c r="AD15" t="s">
        <v>591</v>
      </c>
      <c r="AE15" t="s">
        <v>554</v>
      </c>
      <c r="AF15">
        <v>1.9597E-2</v>
      </c>
      <c r="AG15" t="str">
        <f>IF($A15="","",IFERROR(INDEX(Company_List!$G$3:$G$207,MATCH($A15,Company_List!$A$3:$A$207,0)),"unassigned"))</f>
        <v>P2</v>
      </c>
      <c r="AH15" t="s">
        <v>692</v>
      </c>
      <c r="AJ15" t="s">
        <v>593</v>
      </c>
      <c r="AK15" t="str">
        <f>IF($A15="","",IF(COUNTIFS(Human_Data_Entry!$A$3:$A$525,$A15)&gt;0,"YES","NO"))</f>
        <v>YES</v>
      </c>
      <c r="AL15" t="str">
        <f>IF($A15="","",IF(AND($C15&amp;"-"&amp;$D15&gt;=Settings!$B$19,$C15&amp;"-"&amp;$D15&lt;=Settings!$B$20),"IN","OUT"))</f>
        <v>IN</v>
      </c>
      <c r="AM15">
        <f t="shared" si="0"/>
        <v>1.9597E-2</v>
      </c>
      <c r="AN15">
        <f t="shared" si="1"/>
        <v>1.9597E-2</v>
      </c>
      <c r="AO15">
        <f>IF(ISNUMBER($AM15),ABS(IF(ISNUMBER($G15),$G15,0)-Settings!$B$25),"")</f>
        <v>0.3</v>
      </c>
      <c r="AP15">
        <f t="shared" si="2"/>
        <v>5.8791E-3</v>
      </c>
      <c r="AQ15">
        <f>IF(ISNUMBER($AN15),ABS(IF(ISNUMBER($G15),$G15,0)-Settings!$B$25),"")</f>
        <v>0.3</v>
      </c>
      <c r="AR15">
        <f t="shared" si="3"/>
        <v>5.8791E-3</v>
      </c>
      <c r="AS15" t="str">
        <f>IF($A15="","",IFERROR(INDEX(Company_List!$H$3:$H$207,MATCH($A15,Company_List!$A$3:$A$207,0)),"unassigned"))</f>
        <v>Information Technology</v>
      </c>
      <c r="AT15" t="s">
        <v>1915</v>
      </c>
      <c r="AU15" t="s">
        <v>1916</v>
      </c>
      <c r="AV15">
        <v>2</v>
      </c>
      <c r="AW15" t="s">
        <v>595</v>
      </c>
      <c r="AX15" t="s">
        <v>596</v>
      </c>
      <c r="AY15" t="s">
        <v>550</v>
      </c>
      <c r="AZ15" t="s">
        <v>550</v>
      </c>
      <c r="BA15" t="s">
        <v>554</v>
      </c>
    </row>
    <row r="16" spans="1:54" x14ac:dyDescent="0.2">
      <c r="A16" s="115" t="s">
        <v>932</v>
      </c>
      <c r="B16" s="117" t="s">
        <v>933</v>
      </c>
      <c r="C16" s="105">
        <v>2026</v>
      </c>
      <c r="D16" s="106" t="s">
        <v>537</v>
      </c>
      <c r="E16" s="109" t="s">
        <v>1911</v>
      </c>
      <c r="F16" s="106" t="s">
        <v>1912</v>
      </c>
      <c r="G16" s="128">
        <v>0.14000000000000001</v>
      </c>
      <c r="H16" s="106" t="s">
        <v>1913</v>
      </c>
      <c r="I16" s="128"/>
      <c r="J16" s="125">
        <v>46148</v>
      </c>
      <c r="K16" s="126">
        <v>46147</v>
      </c>
      <c r="L16" s="129">
        <v>80.69</v>
      </c>
      <c r="M16" s="126">
        <v>46148</v>
      </c>
      <c r="N16" s="129">
        <v>85.51</v>
      </c>
      <c r="O16" s="132">
        <v>7.9660000000000009E-3</v>
      </c>
      <c r="P16" s="107">
        <v>5.9735000000000003E-2</v>
      </c>
      <c r="Q16" s="106" t="s">
        <v>591</v>
      </c>
      <c r="R16" s="106" t="s">
        <v>546</v>
      </c>
      <c r="S16" s="105">
        <v>0</v>
      </c>
      <c r="T16" s="107">
        <v>0</v>
      </c>
      <c r="U16" s="130" t="s">
        <v>1914</v>
      </c>
      <c r="V16" t="s">
        <v>549</v>
      </c>
      <c r="W16" t="s">
        <v>630</v>
      </c>
      <c r="X16" t="s">
        <v>933</v>
      </c>
      <c r="Y16" t="s">
        <v>731</v>
      </c>
      <c r="Z16">
        <v>80.1935</v>
      </c>
      <c r="AA16" t="s">
        <v>680</v>
      </c>
      <c r="AB16">
        <v>84.983900000000006</v>
      </c>
      <c r="AC16">
        <v>5.9734776091273312E-2</v>
      </c>
      <c r="AD16" t="s">
        <v>591</v>
      </c>
      <c r="AE16" t="s">
        <v>546</v>
      </c>
      <c r="AF16">
        <v>0</v>
      </c>
      <c r="AG16" t="str">
        <f>IF($A16="","",IFERROR(INDEX(Company_List!$G$3:$G$207,MATCH($A16,Company_List!$A$3:$A$207,0)),"unassigned"))</f>
        <v>P2</v>
      </c>
      <c r="AH16" t="s">
        <v>934</v>
      </c>
      <c r="AJ16" t="s">
        <v>548</v>
      </c>
      <c r="AK16" t="str">
        <f>IF($A16="","",IF(COUNTIFS(Human_Data_Entry!$A$3:$A$525,$A16)&gt;0,"YES","NO"))</f>
        <v>YES</v>
      </c>
      <c r="AL16" t="str">
        <f>IF($A16="","",IF(AND($C16&amp;"-"&amp;$D16&gt;=Settings!$B$19,$C16&amp;"-"&amp;$D16&lt;=Settings!$B$20),"IN","OUT"))</f>
        <v>IN</v>
      </c>
      <c r="AM16" t="str">
        <f t="shared" si="0"/>
        <v/>
      </c>
      <c r="AN16" t="str">
        <f t="shared" si="1"/>
        <v/>
      </c>
      <c r="AO16" t="str">
        <f>IF(ISNUMBER($AM16),ABS(IF(ISNUMBER($G16),$G16,0)-Settings!$B$25),"")</f>
        <v/>
      </c>
      <c r="AP16" t="str">
        <f t="shared" si="2"/>
        <v/>
      </c>
      <c r="AQ16" t="str">
        <f>IF(ISNUMBER($AN16),ABS(IF(ISNUMBER($G16),$G16,0)-Settings!$B$25),"")</f>
        <v/>
      </c>
      <c r="AR16" t="str">
        <f t="shared" si="3"/>
        <v/>
      </c>
      <c r="AS16" t="str">
        <f>IF($A16="","",IFERROR(INDEX(Company_List!$H$3:$H$207,MATCH($A16,Company_List!$A$3:$A$207,0)),"unassigned"))</f>
        <v>Health Care</v>
      </c>
      <c r="AT16" t="s">
        <v>1915</v>
      </c>
      <c r="AU16" t="s">
        <v>1916</v>
      </c>
      <c r="AV16">
        <v>1</v>
      </c>
      <c r="AW16" t="s">
        <v>617</v>
      </c>
      <c r="AX16" t="s">
        <v>553</v>
      </c>
      <c r="AY16" t="s">
        <v>550</v>
      </c>
      <c r="AZ16" t="s">
        <v>550</v>
      </c>
      <c r="BA16" t="s">
        <v>554</v>
      </c>
    </row>
    <row r="17" spans="1:54" x14ac:dyDescent="0.2">
      <c r="A17" s="115" t="s">
        <v>932</v>
      </c>
      <c r="B17" s="117" t="s">
        <v>933</v>
      </c>
      <c r="C17" s="105">
        <v>2025</v>
      </c>
      <c r="D17" s="106" t="s">
        <v>555</v>
      </c>
      <c r="E17" s="109" t="s">
        <v>1911</v>
      </c>
      <c r="F17" s="106" t="s">
        <v>1912</v>
      </c>
      <c r="G17" s="128">
        <v>0.21</v>
      </c>
      <c r="H17" s="106" t="s">
        <v>1913</v>
      </c>
      <c r="I17" s="128"/>
      <c r="J17" s="125">
        <v>45869</v>
      </c>
      <c r="K17" s="126">
        <v>45868</v>
      </c>
      <c r="L17" s="129">
        <v>62.3</v>
      </c>
      <c r="M17" s="126">
        <v>45869</v>
      </c>
      <c r="N17" s="129">
        <v>65.510000000000005</v>
      </c>
      <c r="O17" s="132">
        <v>7.2789999999999999E-3</v>
      </c>
      <c r="P17" s="107">
        <v>5.1525000000000001E-2</v>
      </c>
      <c r="Q17" s="106" t="s">
        <v>591</v>
      </c>
      <c r="R17" s="106" t="s">
        <v>546</v>
      </c>
      <c r="S17" s="105">
        <v>0</v>
      </c>
      <c r="T17" s="107">
        <v>0</v>
      </c>
      <c r="U17" s="130" t="s">
        <v>1914</v>
      </c>
      <c r="V17" t="s">
        <v>549</v>
      </c>
      <c r="W17" t="s">
        <v>612</v>
      </c>
      <c r="X17" t="s">
        <v>933</v>
      </c>
      <c r="Y17" t="s">
        <v>1001</v>
      </c>
      <c r="Z17">
        <v>60.383400000000002</v>
      </c>
      <c r="AA17" t="s">
        <v>687</v>
      </c>
      <c r="AB17">
        <v>63.494700000000002</v>
      </c>
      <c r="AC17">
        <v>5.1525003237543388E-2</v>
      </c>
      <c r="AD17" t="s">
        <v>591</v>
      </c>
      <c r="AE17" t="s">
        <v>546</v>
      </c>
      <c r="AF17">
        <v>0</v>
      </c>
      <c r="AG17" t="str">
        <f>IF($A17="","",IFERROR(INDEX(Company_List!$G$3:$G$207,MATCH($A17,Company_List!$A$3:$A$207,0)),"unassigned"))</f>
        <v>P2</v>
      </c>
      <c r="AH17" t="s">
        <v>1053</v>
      </c>
      <c r="AJ17" t="s">
        <v>548</v>
      </c>
      <c r="AK17" t="str">
        <f>IF($A17="","",IF(COUNTIFS(Human_Data_Entry!$A$3:$A$525,$A17)&gt;0,"YES","NO"))</f>
        <v>YES</v>
      </c>
      <c r="AL17" t="str">
        <f>IF($A17="","",IF(AND($C17&amp;"-"&amp;$D17&gt;=Settings!$B$19,$C17&amp;"-"&amp;$D17&lt;=Settings!$B$20),"IN","OUT"))</f>
        <v>IN</v>
      </c>
      <c r="AM17" t="str">
        <f t="shared" si="0"/>
        <v/>
      </c>
      <c r="AN17" t="str">
        <f t="shared" si="1"/>
        <v/>
      </c>
      <c r="AO17" t="str">
        <f>IF(ISNUMBER($AM17),ABS(IF(ISNUMBER($G17),$G17,0)-Settings!$B$25),"")</f>
        <v/>
      </c>
      <c r="AP17" t="str">
        <f t="shared" si="2"/>
        <v/>
      </c>
      <c r="AQ17" t="str">
        <f>IF(ISNUMBER($AN17),ABS(IF(ISNUMBER($G17),$G17,0)-Settings!$B$25),"")</f>
        <v/>
      </c>
      <c r="AR17" t="str">
        <f t="shared" si="3"/>
        <v/>
      </c>
      <c r="AS17" t="str">
        <f>IF($A17="","",IFERROR(INDEX(Company_List!$H$3:$H$207,MATCH($A17,Company_List!$A$3:$A$207,0)),"unassigned"))</f>
        <v>Health Care</v>
      </c>
      <c r="AT17" t="s">
        <v>1924</v>
      </c>
      <c r="AU17" t="s">
        <v>1925</v>
      </c>
      <c r="AV17">
        <v>1</v>
      </c>
      <c r="AW17" t="s">
        <v>617</v>
      </c>
      <c r="AX17" t="s">
        <v>553</v>
      </c>
      <c r="AY17" t="s">
        <v>550</v>
      </c>
      <c r="AZ17" t="s">
        <v>550</v>
      </c>
      <c r="BA17" t="s">
        <v>554</v>
      </c>
    </row>
    <row r="18" spans="1:54" x14ac:dyDescent="0.2">
      <c r="A18" s="115" t="s">
        <v>932</v>
      </c>
      <c r="B18" s="117" t="s">
        <v>933</v>
      </c>
      <c r="C18" s="105">
        <v>2025</v>
      </c>
      <c r="D18" s="106" t="s">
        <v>563</v>
      </c>
      <c r="E18" s="109" t="s">
        <v>1911</v>
      </c>
      <c r="F18" s="106" t="s">
        <v>1912</v>
      </c>
      <c r="G18" s="128">
        <v>0.3</v>
      </c>
      <c r="H18" s="106" t="s">
        <v>1919</v>
      </c>
      <c r="I18" s="128"/>
      <c r="J18" s="125">
        <v>45959</v>
      </c>
      <c r="K18" s="126">
        <v>45958</v>
      </c>
      <c r="L18" s="129">
        <v>82.2</v>
      </c>
      <c r="M18" s="126">
        <v>45959</v>
      </c>
      <c r="N18" s="129">
        <v>82.5</v>
      </c>
      <c r="O18" s="132">
        <v>8.5889999999999994E-3</v>
      </c>
      <c r="P18" s="107">
        <v>3.65E-3</v>
      </c>
      <c r="Q18" s="106" t="s">
        <v>579</v>
      </c>
      <c r="R18" s="106" t="s">
        <v>546</v>
      </c>
      <c r="S18" s="105">
        <v>1</v>
      </c>
      <c r="T18" s="107">
        <v>2.65E-3</v>
      </c>
      <c r="U18" s="130" t="s">
        <v>1914</v>
      </c>
      <c r="V18" t="s">
        <v>549</v>
      </c>
      <c r="W18" t="s">
        <v>541</v>
      </c>
      <c r="X18" t="s">
        <v>933</v>
      </c>
      <c r="Y18" t="s">
        <v>626</v>
      </c>
      <c r="Z18">
        <v>78.759100000000004</v>
      </c>
      <c r="AA18" t="s">
        <v>660</v>
      </c>
      <c r="AB18">
        <v>74.342299999999994</v>
      </c>
      <c r="AC18">
        <v>-5.6079380449339432E-2</v>
      </c>
      <c r="AD18" t="s">
        <v>545</v>
      </c>
      <c r="AE18" t="s">
        <v>546</v>
      </c>
      <c r="AF18">
        <v>-5.7078999999999998E-2</v>
      </c>
      <c r="AG18" t="str">
        <f>IF($A18="","",IFERROR(INDEX(Company_List!$G$3:$G$207,MATCH($A18,Company_List!$A$3:$A$207,0)),"unassigned"))</f>
        <v>P2</v>
      </c>
      <c r="AH18" t="s">
        <v>1055</v>
      </c>
      <c r="AJ18" t="s">
        <v>548</v>
      </c>
      <c r="AK18" t="str">
        <f>IF($A18="","",IF(COUNTIFS(Human_Data_Entry!$A$3:$A$525,$A18)&gt;0,"YES","NO"))</f>
        <v>YES</v>
      </c>
      <c r="AL18" t="str">
        <f>IF($A18="","",IF(AND($C18&amp;"-"&amp;$D18&gt;=Settings!$B$19,$C18&amp;"-"&amp;$D18&lt;=Settings!$B$20),"IN","OUT"))</f>
        <v>IN</v>
      </c>
      <c r="AM18">
        <f t="shared" si="0"/>
        <v>2.65E-3</v>
      </c>
      <c r="AN18">
        <f t="shared" si="1"/>
        <v>-5.7078999999999998E-2</v>
      </c>
      <c r="AO18">
        <f>IF(ISNUMBER($AM18),ABS(IF(ISNUMBER($G18),$G18,0)-Settings!$B$25),"")</f>
        <v>0.3</v>
      </c>
      <c r="AP18">
        <f t="shared" si="2"/>
        <v>7.9500000000000003E-4</v>
      </c>
      <c r="AQ18">
        <f>IF(ISNUMBER($AN18),ABS(IF(ISNUMBER($G18),$G18,0)-Settings!$B$25),"")</f>
        <v>0.3</v>
      </c>
      <c r="AR18">
        <f t="shared" si="3"/>
        <v>-1.7123699999999999E-2</v>
      </c>
      <c r="AS18" t="str">
        <f>IF($A18="","",IFERROR(INDEX(Company_List!$H$3:$H$207,MATCH($A18,Company_List!$A$3:$A$207,0)),"unassigned"))</f>
        <v>Health Care</v>
      </c>
      <c r="AT18" t="s">
        <v>1924</v>
      </c>
      <c r="AU18" t="s">
        <v>1925</v>
      </c>
      <c r="AV18">
        <v>1</v>
      </c>
      <c r="AW18" t="s">
        <v>617</v>
      </c>
      <c r="AX18" t="s">
        <v>553</v>
      </c>
      <c r="AY18" t="s">
        <v>550</v>
      </c>
      <c r="AZ18" t="s">
        <v>550</v>
      </c>
      <c r="BA18" t="s">
        <v>554</v>
      </c>
    </row>
    <row r="19" spans="1:54" x14ac:dyDescent="0.2">
      <c r="A19" s="115" t="s">
        <v>932</v>
      </c>
      <c r="B19" s="117" t="s">
        <v>933</v>
      </c>
      <c r="C19" s="105">
        <v>2025</v>
      </c>
      <c r="D19" s="106" t="s">
        <v>569</v>
      </c>
      <c r="E19" s="109" t="s">
        <v>1911</v>
      </c>
      <c r="F19" s="106" t="s">
        <v>1912</v>
      </c>
      <c r="G19" s="128">
        <v>0.19500000000000001</v>
      </c>
      <c r="H19" s="106" t="s">
        <v>1913</v>
      </c>
      <c r="I19" s="128"/>
      <c r="J19" s="125">
        <v>46063</v>
      </c>
      <c r="K19" s="126">
        <v>46062</v>
      </c>
      <c r="L19" s="129">
        <v>75.77</v>
      </c>
      <c r="M19" s="126">
        <v>46063</v>
      </c>
      <c r="N19" s="129">
        <v>73.77</v>
      </c>
      <c r="O19" s="132">
        <v>7.6730000000000001E-3</v>
      </c>
      <c r="P19" s="107">
        <v>-2.6395999999999999E-2</v>
      </c>
      <c r="Q19" s="106" t="s">
        <v>545</v>
      </c>
      <c r="R19" s="106" t="s">
        <v>546</v>
      </c>
      <c r="S19" s="105">
        <v>0</v>
      </c>
      <c r="T19" s="107">
        <v>0</v>
      </c>
      <c r="U19" s="130" t="s">
        <v>1914</v>
      </c>
      <c r="V19" t="s">
        <v>549</v>
      </c>
      <c r="W19" t="s">
        <v>612</v>
      </c>
      <c r="X19" t="s">
        <v>933</v>
      </c>
      <c r="Y19" t="s">
        <v>704</v>
      </c>
      <c r="Z19">
        <v>74.648600000000002</v>
      </c>
      <c r="AA19" t="s">
        <v>705</v>
      </c>
      <c r="AB19">
        <v>72.678200000000004</v>
      </c>
      <c r="AC19">
        <v>-2.6395750519113689E-2</v>
      </c>
      <c r="AD19" t="s">
        <v>545</v>
      </c>
      <c r="AE19" t="s">
        <v>546</v>
      </c>
      <c r="AF19">
        <v>0</v>
      </c>
      <c r="AG19" t="str">
        <f>IF($A19="","",IFERROR(INDEX(Company_List!$G$3:$G$207,MATCH($A19,Company_List!$A$3:$A$207,0)),"unassigned"))</f>
        <v>P2</v>
      </c>
      <c r="AH19" t="s">
        <v>1054</v>
      </c>
      <c r="AJ19" t="s">
        <v>548</v>
      </c>
      <c r="AK19" t="str">
        <f>IF($A19="","",IF(COUNTIFS(Human_Data_Entry!$A$3:$A$525,$A19)&gt;0,"YES","NO"))</f>
        <v>YES</v>
      </c>
      <c r="AL19" t="str">
        <f>IF($A19="","",IF(AND($C19&amp;"-"&amp;$D19&gt;=Settings!$B$19,$C19&amp;"-"&amp;$D19&lt;=Settings!$B$20),"IN","OUT"))</f>
        <v>IN</v>
      </c>
      <c r="AM19" t="str">
        <f t="shared" si="0"/>
        <v/>
      </c>
      <c r="AN19" t="str">
        <f t="shared" si="1"/>
        <v/>
      </c>
      <c r="AO19" t="str">
        <f>IF(ISNUMBER($AM19),ABS(IF(ISNUMBER($G19),$G19,0)-Settings!$B$25),"")</f>
        <v/>
      </c>
      <c r="AP19" t="str">
        <f t="shared" si="2"/>
        <v/>
      </c>
      <c r="AQ19" t="str">
        <f>IF(ISNUMBER($AN19),ABS(IF(ISNUMBER($G19),$G19,0)-Settings!$B$25),"")</f>
        <v/>
      </c>
      <c r="AR19" t="str">
        <f t="shared" si="3"/>
        <v/>
      </c>
      <c r="AS19" t="str">
        <f>IF($A19="","",IFERROR(INDEX(Company_List!$H$3:$H$207,MATCH($A19,Company_List!$A$3:$A$207,0)),"unassigned"))</f>
        <v>Health Care</v>
      </c>
      <c r="AT19" t="s">
        <v>1924</v>
      </c>
      <c r="AU19" t="s">
        <v>1925</v>
      </c>
      <c r="AV19">
        <v>1</v>
      </c>
      <c r="AW19" t="s">
        <v>617</v>
      </c>
      <c r="AX19" t="s">
        <v>553</v>
      </c>
      <c r="AY19" t="s">
        <v>550</v>
      </c>
      <c r="AZ19" t="s">
        <v>550</v>
      </c>
      <c r="BA19" t="s">
        <v>554</v>
      </c>
    </row>
    <row r="20" spans="1:54" x14ac:dyDescent="0.2">
      <c r="A20" s="115" t="s">
        <v>903</v>
      </c>
      <c r="B20" s="117" t="s">
        <v>905</v>
      </c>
      <c r="C20" s="105">
        <v>2025</v>
      </c>
      <c r="D20" s="106" t="s">
        <v>537</v>
      </c>
      <c r="E20" s="109" t="s">
        <v>1911</v>
      </c>
      <c r="F20" s="106" t="s">
        <v>1912</v>
      </c>
      <c r="G20" s="128">
        <v>0.03</v>
      </c>
      <c r="H20" s="106" t="s">
        <v>1913</v>
      </c>
      <c r="I20" s="128"/>
      <c r="J20" s="125">
        <v>45764</v>
      </c>
      <c r="K20" s="126">
        <v>45764</v>
      </c>
      <c r="L20" s="129">
        <v>76.150000000000006</v>
      </c>
      <c r="M20" s="126">
        <v>45765</v>
      </c>
      <c r="N20" s="129">
        <v>75.64</v>
      </c>
      <c r="O20" s="132">
        <v>9.6760000000000006E-3</v>
      </c>
      <c r="P20" s="107">
        <v>-6.6969999999999998E-3</v>
      </c>
      <c r="Q20" s="106" t="s">
        <v>579</v>
      </c>
      <c r="R20" s="106" t="s">
        <v>554</v>
      </c>
      <c r="S20" s="105">
        <v>0</v>
      </c>
      <c r="T20" s="107">
        <v>0</v>
      </c>
      <c r="U20" s="130" t="s">
        <v>1914</v>
      </c>
      <c r="V20" t="s">
        <v>549</v>
      </c>
      <c r="W20" t="s">
        <v>541</v>
      </c>
      <c r="X20" t="s">
        <v>905</v>
      </c>
      <c r="Y20" t="s">
        <v>906</v>
      </c>
      <c r="Z20">
        <v>74.512500000000003</v>
      </c>
      <c r="AA20" t="s">
        <v>577</v>
      </c>
      <c r="AB20">
        <v>76.451700000000002</v>
      </c>
      <c r="AC20">
        <v>2.6023914416206339E-2</v>
      </c>
      <c r="AD20" t="s">
        <v>591</v>
      </c>
      <c r="AE20" t="s">
        <v>546</v>
      </c>
      <c r="AF20">
        <v>0</v>
      </c>
      <c r="AG20" t="str">
        <f>IF($A20="","",IFERROR(INDEX(Company_List!$G$3:$G$207,MATCH($A20,Company_List!$A$3:$A$207,0)),"unassigned"))</f>
        <v>P2</v>
      </c>
      <c r="AH20" t="s">
        <v>907</v>
      </c>
      <c r="AI20" t="s">
        <v>908</v>
      </c>
      <c r="AJ20" t="s">
        <v>754</v>
      </c>
      <c r="AK20" t="str">
        <f>IF($A20="","",IF(COUNTIFS(Human_Data_Entry!$A$3:$A$525,$A20)&gt;0,"YES","NO"))</f>
        <v>YES</v>
      </c>
      <c r="AL20" t="str">
        <f>IF($A20="","",IF(AND($C20&amp;"-"&amp;$D20&gt;=Settings!$B$19,$C20&amp;"-"&amp;$D20&lt;=Settings!$B$20),"IN","OUT"))</f>
        <v>IN</v>
      </c>
      <c r="AM20" t="str">
        <f t="shared" si="0"/>
        <v/>
      </c>
      <c r="AN20" t="str">
        <f t="shared" si="1"/>
        <v/>
      </c>
      <c r="AO20" t="str">
        <f>IF(ISNUMBER($AM20),ABS(IF(ISNUMBER($G20),$G20,0)-Settings!$B$25),"")</f>
        <v/>
      </c>
      <c r="AP20" t="str">
        <f t="shared" si="2"/>
        <v/>
      </c>
      <c r="AQ20" t="str">
        <f>IF(ISNUMBER($AN20),ABS(IF(ISNUMBER($G20),$G20,0)-Settings!$B$25),"")</f>
        <v/>
      </c>
      <c r="AR20" t="str">
        <f t="shared" si="3"/>
        <v/>
      </c>
      <c r="AS20" t="str">
        <f>IF($A20="","",IFERROR(INDEX(Company_List!$H$3:$H$207,MATCH($A20,Company_List!$A$3:$A$207,0)),"unassigned"))</f>
        <v>Financials</v>
      </c>
      <c r="AT20" t="s">
        <v>1915</v>
      </c>
      <c r="AU20" t="s">
        <v>1916</v>
      </c>
      <c r="AV20">
        <v>2</v>
      </c>
      <c r="AW20" t="s">
        <v>882</v>
      </c>
      <c r="AX20" t="s">
        <v>596</v>
      </c>
      <c r="AY20" t="s">
        <v>550</v>
      </c>
      <c r="AZ20" t="s">
        <v>562</v>
      </c>
      <c r="BA20" t="s">
        <v>554</v>
      </c>
    </row>
    <row r="21" spans="1:54" x14ac:dyDescent="0.2">
      <c r="A21" s="115" t="s">
        <v>903</v>
      </c>
      <c r="B21" s="117" t="s">
        <v>905</v>
      </c>
      <c r="C21" s="105">
        <v>2026</v>
      </c>
      <c r="D21" s="106" t="s">
        <v>537</v>
      </c>
      <c r="E21" s="109" t="s">
        <v>1911</v>
      </c>
      <c r="F21" s="106" t="s">
        <v>1912</v>
      </c>
      <c r="G21" s="128">
        <v>0.03</v>
      </c>
      <c r="H21" s="106" t="s">
        <v>1913</v>
      </c>
      <c r="I21" s="128"/>
      <c r="J21" s="125">
        <v>46128</v>
      </c>
      <c r="K21" s="126">
        <v>46128</v>
      </c>
      <c r="L21" s="129">
        <v>92.62</v>
      </c>
      <c r="M21" s="126">
        <v>46129</v>
      </c>
      <c r="N21" s="129">
        <v>93.35</v>
      </c>
      <c r="O21" s="132">
        <v>9.2919999999999999E-3</v>
      </c>
      <c r="P21" s="107">
        <v>7.8820000000000001E-3</v>
      </c>
      <c r="Q21" s="106" t="s">
        <v>579</v>
      </c>
      <c r="R21" s="106" t="s">
        <v>554</v>
      </c>
      <c r="S21" s="105">
        <v>0</v>
      </c>
      <c r="T21" s="107">
        <v>0</v>
      </c>
      <c r="U21" s="130" t="s">
        <v>1914</v>
      </c>
      <c r="V21" t="s">
        <v>549</v>
      </c>
      <c r="W21" t="s">
        <v>685</v>
      </c>
      <c r="X21" t="s">
        <v>905</v>
      </c>
      <c r="Y21" t="s">
        <v>920</v>
      </c>
      <c r="Z21">
        <v>99.911500000000004</v>
      </c>
      <c r="AA21" t="s">
        <v>543</v>
      </c>
      <c r="AB21">
        <v>95.417599999999993</v>
      </c>
      <c r="AC21">
        <v>-4.497844079049667E-2</v>
      </c>
      <c r="AD21" t="s">
        <v>545</v>
      </c>
      <c r="AE21" t="s">
        <v>546</v>
      </c>
      <c r="AF21">
        <v>0</v>
      </c>
      <c r="AG21" t="str">
        <f>IF($A21="","",IFERROR(INDEX(Company_List!$G$3:$G$207,MATCH($A21,Company_List!$A$3:$A$207,0)),"unassigned"))</f>
        <v>P2</v>
      </c>
      <c r="AH21" t="s">
        <v>921</v>
      </c>
      <c r="AI21" t="s">
        <v>922</v>
      </c>
      <c r="AJ21" t="s">
        <v>754</v>
      </c>
      <c r="AK21" t="str">
        <f>IF($A21="","",IF(COUNTIFS(Human_Data_Entry!$A$3:$A$525,$A21)&gt;0,"YES","NO"))</f>
        <v>YES</v>
      </c>
      <c r="AL21" t="str">
        <f>IF($A21="","",IF(AND($C21&amp;"-"&amp;$D21&gt;=Settings!$B$19,$C21&amp;"-"&amp;$D21&lt;=Settings!$B$20),"IN","OUT"))</f>
        <v>IN</v>
      </c>
      <c r="AM21" t="str">
        <f t="shared" si="0"/>
        <v/>
      </c>
      <c r="AN21" t="str">
        <f t="shared" si="1"/>
        <v/>
      </c>
      <c r="AO21" t="str">
        <f>IF(ISNUMBER($AM21),ABS(IF(ISNUMBER($G21),$G21,0)-Settings!$B$25),"")</f>
        <v/>
      </c>
      <c r="AP21" t="str">
        <f t="shared" si="2"/>
        <v/>
      </c>
      <c r="AQ21" t="str">
        <f>IF(ISNUMBER($AN21),ABS(IF(ISNUMBER($G21),$G21,0)-Settings!$B$25),"")</f>
        <v/>
      </c>
      <c r="AR21" t="str">
        <f t="shared" si="3"/>
        <v/>
      </c>
      <c r="AS21" t="str">
        <f>IF($A21="","",IFERROR(INDEX(Company_List!$H$3:$H$207,MATCH($A21,Company_List!$A$3:$A$207,0)),"unassigned"))</f>
        <v>Financials</v>
      </c>
      <c r="AT21" t="s">
        <v>1915</v>
      </c>
      <c r="AU21" t="s">
        <v>1916</v>
      </c>
      <c r="AV21">
        <v>2</v>
      </c>
      <c r="AW21" t="s">
        <v>882</v>
      </c>
      <c r="AX21" t="s">
        <v>596</v>
      </c>
      <c r="AY21" t="s">
        <v>550</v>
      </c>
      <c r="AZ21" t="s">
        <v>562</v>
      </c>
      <c r="BA21" t="s">
        <v>554</v>
      </c>
    </row>
    <row r="22" spans="1:54" x14ac:dyDescent="0.2">
      <c r="A22" s="115" t="s">
        <v>903</v>
      </c>
      <c r="B22" s="117" t="s">
        <v>905</v>
      </c>
      <c r="C22" s="105">
        <v>2025</v>
      </c>
      <c r="D22" s="106" t="s">
        <v>555</v>
      </c>
      <c r="E22" s="109" t="s">
        <v>1911</v>
      </c>
      <c r="F22" s="106" t="s">
        <v>1912</v>
      </c>
      <c r="G22" s="128">
        <v>0.21</v>
      </c>
      <c r="H22" s="106" t="s">
        <v>1913</v>
      </c>
      <c r="I22" s="128"/>
      <c r="J22" s="125">
        <v>45856</v>
      </c>
      <c r="K22" s="126">
        <v>45856</v>
      </c>
      <c r="L22" s="129">
        <v>95.8</v>
      </c>
      <c r="M22" s="126">
        <v>45859</v>
      </c>
      <c r="N22" s="129">
        <v>96.02</v>
      </c>
      <c r="O22" s="132">
        <v>9.6530000000000001E-3</v>
      </c>
      <c r="P22" s="107">
        <v>2.2959999999999999E-3</v>
      </c>
      <c r="Q22" s="106" t="s">
        <v>579</v>
      </c>
      <c r="R22" s="106" t="s">
        <v>554</v>
      </c>
      <c r="S22" s="105">
        <v>0</v>
      </c>
      <c r="T22" s="107">
        <v>0</v>
      </c>
      <c r="U22" s="130" t="s">
        <v>1914</v>
      </c>
      <c r="V22" t="s">
        <v>549</v>
      </c>
      <c r="W22" t="s">
        <v>541</v>
      </c>
      <c r="X22" t="s">
        <v>905</v>
      </c>
      <c r="Y22" t="s">
        <v>556</v>
      </c>
      <c r="Z22">
        <v>91.933800000000005</v>
      </c>
      <c r="AA22" t="s">
        <v>557</v>
      </c>
      <c r="AB22">
        <v>94.501199999999997</v>
      </c>
      <c r="AC22">
        <v>2.792702460304082E-2</v>
      </c>
      <c r="AD22" t="s">
        <v>591</v>
      </c>
      <c r="AE22" t="s">
        <v>546</v>
      </c>
      <c r="AF22">
        <v>0</v>
      </c>
      <c r="AG22" t="str">
        <f>IF($A22="","",IFERROR(INDEX(Company_List!$G$3:$G$207,MATCH($A22,Company_List!$A$3:$A$207,0)),"unassigned"))</f>
        <v>P2</v>
      </c>
      <c r="AH22" t="s">
        <v>910</v>
      </c>
      <c r="AI22" t="s">
        <v>911</v>
      </c>
      <c r="AJ22" t="s">
        <v>754</v>
      </c>
      <c r="AK22" t="str">
        <f>IF($A22="","",IF(COUNTIFS(Human_Data_Entry!$A$3:$A$525,$A22)&gt;0,"YES","NO"))</f>
        <v>YES</v>
      </c>
      <c r="AL22" t="str">
        <f>IF($A22="","",IF(AND($C22&amp;"-"&amp;$D22&gt;=Settings!$B$19,$C22&amp;"-"&amp;$D22&lt;=Settings!$B$20),"IN","OUT"))</f>
        <v>IN</v>
      </c>
      <c r="AM22" t="str">
        <f t="shared" si="0"/>
        <v/>
      </c>
      <c r="AN22" t="str">
        <f t="shared" si="1"/>
        <v/>
      </c>
      <c r="AO22" t="str">
        <f>IF(ISNUMBER($AM22),ABS(IF(ISNUMBER($G22),$G22,0)-Settings!$B$25),"")</f>
        <v/>
      </c>
      <c r="AP22" t="str">
        <f t="shared" si="2"/>
        <v/>
      </c>
      <c r="AQ22" t="str">
        <f>IF(ISNUMBER($AN22),ABS(IF(ISNUMBER($G22),$G22,0)-Settings!$B$25),"")</f>
        <v/>
      </c>
      <c r="AR22" t="str">
        <f t="shared" si="3"/>
        <v/>
      </c>
      <c r="AS22" t="str">
        <f>IF($A22="","",IFERROR(INDEX(Company_List!$H$3:$H$207,MATCH($A22,Company_List!$A$3:$A$207,0)),"unassigned"))</f>
        <v>Financials</v>
      </c>
      <c r="AT22" t="s">
        <v>1915</v>
      </c>
      <c r="AU22" t="s">
        <v>1916</v>
      </c>
      <c r="AV22">
        <v>2</v>
      </c>
      <c r="AW22" t="s">
        <v>882</v>
      </c>
      <c r="AX22" t="s">
        <v>596</v>
      </c>
      <c r="AY22" t="s">
        <v>550</v>
      </c>
      <c r="AZ22" t="s">
        <v>562</v>
      </c>
      <c r="BA22" t="s">
        <v>554</v>
      </c>
    </row>
    <row r="23" spans="1:54" x14ac:dyDescent="0.2">
      <c r="A23" s="115" t="s">
        <v>903</v>
      </c>
      <c r="B23" s="117" t="s">
        <v>905</v>
      </c>
      <c r="C23" s="105">
        <v>2025</v>
      </c>
      <c r="D23" s="106" t="s">
        <v>563</v>
      </c>
      <c r="E23" s="109" t="s">
        <v>1911</v>
      </c>
      <c r="F23" s="106" t="s">
        <v>1912</v>
      </c>
      <c r="G23" s="128">
        <v>0.3</v>
      </c>
      <c r="H23" s="106" t="s">
        <v>1919</v>
      </c>
      <c r="I23" s="128"/>
      <c r="J23" s="125">
        <v>45946</v>
      </c>
      <c r="K23" s="126">
        <v>45946</v>
      </c>
      <c r="L23" s="129">
        <v>93.41</v>
      </c>
      <c r="M23" s="126">
        <v>45947</v>
      </c>
      <c r="N23" s="129">
        <v>94.72</v>
      </c>
      <c r="O23" s="132">
        <v>9.3399999999999993E-3</v>
      </c>
      <c r="P23" s="107">
        <v>1.4024E-2</v>
      </c>
      <c r="Q23" s="106" t="s">
        <v>579</v>
      </c>
      <c r="R23" s="106" t="s">
        <v>546</v>
      </c>
      <c r="S23" s="105">
        <v>1</v>
      </c>
      <c r="T23" s="107">
        <v>1.3024000000000001E-2</v>
      </c>
      <c r="U23" s="130" t="s">
        <v>1914</v>
      </c>
      <c r="V23" t="s">
        <v>549</v>
      </c>
      <c r="W23" t="s">
        <v>807</v>
      </c>
      <c r="X23" t="s">
        <v>905</v>
      </c>
      <c r="Y23" t="s">
        <v>723</v>
      </c>
      <c r="Z23">
        <v>93.411199999999994</v>
      </c>
      <c r="AA23" t="s">
        <v>913</v>
      </c>
      <c r="AB23">
        <v>93.846900000000005</v>
      </c>
      <c r="AC23">
        <v>4.6642878592325441E-3</v>
      </c>
      <c r="AD23" t="s">
        <v>579</v>
      </c>
      <c r="AE23" t="s">
        <v>546</v>
      </c>
      <c r="AF23">
        <v>3.6640000000000002E-3</v>
      </c>
      <c r="AG23" t="str">
        <f>IF($A23="","",IFERROR(INDEX(Company_List!$G$3:$G$207,MATCH($A23,Company_List!$A$3:$A$207,0)),"unassigned"))</f>
        <v>P2</v>
      </c>
      <c r="AH23" t="s">
        <v>914</v>
      </c>
      <c r="AI23" t="s">
        <v>915</v>
      </c>
      <c r="AJ23" t="s">
        <v>754</v>
      </c>
      <c r="AK23" t="str">
        <f>IF($A23="","",IF(COUNTIFS(Human_Data_Entry!$A$3:$A$525,$A23)&gt;0,"YES","NO"))</f>
        <v>YES</v>
      </c>
      <c r="AL23" t="str">
        <f>IF($A23="","",IF(AND($C23&amp;"-"&amp;$D23&gt;=Settings!$B$19,$C23&amp;"-"&amp;$D23&lt;=Settings!$B$20),"IN","OUT"))</f>
        <v>IN</v>
      </c>
      <c r="AM23">
        <f t="shared" si="0"/>
        <v>1.3024000000000001E-2</v>
      </c>
      <c r="AN23">
        <f t="shared" si="1"/>
        <v>3.6640000000000002E-3</v>
      </c>
      <c r="AO23">
        <f>IF(ISNUMBER($AM23),ABS(IF(ISNUMBER($G23),$G23,0)-Settings!$B$25),"")</f>
        <v>0.3</v>
      </c>
      <c r="AP23">
        <f t="shared" si="2"/>
        <v>3.9072000000000004E-3</v>
      </c>
      <c r="AQ23">
        <f>IF(ISNUMBER($AN23),ABS(IF(ISNUMBER($G23),$G23,0)-Settings!$B$25),"")</f>
        <v>0.3</v>
      </c>
      <c r="AR23">
        <f t="shared" si="3"/>
        <v>1.0992E-3</v>
      </c>
      <c r="AS23" t="str">
        <f>IF($A23="","",IFERROR(INDEX(Company_List!$H$3:$H$207,MATCH($A23,Company_List!$A$3:$A$207,0)),"unassigned"))</f>
        <v>Financials</v>
      </c>
      <c r="AT23" t="s">
        <v>1915</v>
      </c>
      <c r="AU23" t="s">
        <v>1916</v>
      </c>
      <c r="AV23">
        <v>2</v>
      </c>
      <c r="AW23" t="s">
        <v>882</v>
      </c>
      <c r="AX23" t="s">
        <v>596</v>
      </c>
      <c r="AY23" t="s">
        <v>550</v>
      </c>
      <c r="AZ23" t="s">
        <v>562</v>
      </c>
      <c r="BA23" t="s">
        <v>554</v>
      </c>
    </row>
    <row r="24" spans="1:54" x14ac:dyDescent="0.2">
      <c r="A24" s="115" t="s">
        <v>903</v>
      </c>
      <c r="B24" s="117" t="s">
        <v>905</v>
      </c>
      <c r="C24" s="105">
        <v>2025</v>
      </c>
      <c r="D24" s="106" t="s">
        <v>569</v>
      </c>
      <c r="E24" s="109" t="s">
        <v>1911</v>
      </c>
      <c r="F24" s="106" t="s">
        <v>1912</v>
      </c>
      <c r="G24" s="128">
        <v>0.38750000000000001</v>
      </c>
      <c r="H24" s="106" t="s">
        <v>1919</v>
      </c>
      <c r="I24" s="128"/>
      <c r="J24" s="125">
        <v>46043</v>
      </c>
      <c r="K24" s="126">
        <v>46043</v>
      </c>
      <c r="L24" s="129">
        <v>101.79</v>
      </c>
      <c r="M24" s="126">
        <v>46044</v>
      </c>
      <c r="N24" s="129">
        <v>103.07</v>
      </c>
      <c r="O24" s="132">
        <v>9.8490000000000001E-3</v>
      </c>
      <c r="P24" s="107">
        <v>1.2574999999999999E-2</v>
      </c>
      <c r="Q24" s="106" t="s">
        <v>579</v>
      </c>
      <c r="R24" s="106" t="s">
        <v>546</v>
      </c>
      <c r="S24" s="105">
        <v>1</v>
      </c>
      <c r="T24" s="107">
        <v>1.1575E-2</v>
      </c>
      <c r="U24" s="130" t="s">
        <v>1914</v>
      </c>
      <c r="V24" t="s">
        <v>549</v>
      </c>
      <c r="W24" t="s">
        <v>807</v>
      </c>
      <c r="X24" t="s">
        <v>905</v>
      </c>
      <c r="Y24" t="s">
        <v>570</v>
      </c>
      <c r="Z24">
        <v>100.2902</v>
      </c>
      <c r="AA24" t="s">
        <v>571</v>
      </c>
      <c r="AB24">
        <v>100.6279</v>
      </c>
      <c r="AC24">
        <v>3.3667615659337909E-3</v>
      </c>
      <c r="AD24" t="s">
        <v>579</v>
      </c>
      <c r="AE24" t="s">
        <v>546</v>
      </c>
      <c r="AF24">
        <v>2.3670000000000002E-3</v>
      </c>
      <c r="AG24" t="str">
        <f>IF($A24="","",IFERROR(INDEX(Company_List!$G$3:$G$207,MATCH($A24,Company_List!$A$3:$A$207,0)),"unassigned"))</f>
        <v>P2</v>
      </c>
      <c r="AH24" t="s">
        <v>917</v>
      </c>
      <c r="AI24" t="s">
        <v>918</v>
      </c>
      <c r="AJ24" t="s">
        <v>754</v>
      </c>
      <c r="AK24" t="str">
        <f>IF($A24="","",IF(COUNTIFS(Human_Data_Entry!$A$3:$A$525,$A24)&gt;0,"YES","NO"))</f>
        <v>YES</v>
      </c>
      <c r="AL24" t="str">
        <f>IF($A24="","",IF(AND($C24&amp;"-"&amp;$D24&gt;=Settings!$B$19,$C24&amp;"-"&amp;$D24&lt;=Settings!$B$20),"IN","OUT"))</f>
        <v>IN</v>
      </c>
      <c r="AM24">
        <f t="shared" si="0"/>
        <v>1.1575E-2</v>
      </c>
      <c r="AN24">
        <f t="shared" si="1"/>
        <v>2.3670000000000002E-3</v>
      </c>
      <c r="AO24">
        <f>IF(ISNUMBER($AM24),ABS(IF(ISNUMBER($G24),$G24,0)-Settings!$B$25),"")</f>
        <v>0.38750000000000001</v>
      </c>
      <c r="AP24">
        <f t="shared" si="2"/>
        <v>4.4853125000000006E-3</v>
      </c>
      <c r="AQ24">
        <f>IF(ISNUMBER($AN24),ABS(IF(ISNUMBER($G24),$G24,0)-Settings!$B$25),"")</f>
        <v>0.38750000000000001</v>
      </c>
      <c r="AR24">
        <f t="shared" si="3"/>
        <v>9.172125000000001E-4</v>
      </c>
      <c r="AS24" t="str">
        <f>IF($A24="","",IFERROR(INDEX(Company_List!$H$3:$H$207,MATCH($A24,Company_List!$A$3:$A$207,0)),"unassigned"))</f>
        <v>Financials</v>
      </c>
      <c r="AT24" t="s">
        <v>1915</v>
      </c>
      <c r="AU24" t="s">
        <v>1916</v>
      </c>
      <c r="AV24">
        <v>2</v>
      </c>
      <c r="AW24" t="s">
        <v>595</v>
      </c>
      <c r="AX24" t="s">
        <v>596</v>
      </c>
      <c r="AY24" t="s">
        <v>550</v>
      </c>
      <c r="AZ24" t="s">
        <v>562</v>
      </c>
      <c r="BA24" t="s">
        <v>554</v>
      </c>
    </row>
    <row r="25" spans="1:54" x14ac:dyDescent="0.2">
      <c r="A25" s="115" t="s">
        <v>851</v>
      </c>
      <c r="B25" s="117" t="s">
        <v>854</v>
      </c>
      <c r="C25" s="105">
        <v>2025</v>
      </c>
      <c r="D25" s="106" t="s">
        <v>537</v>
      </c>
      <c r="E25" s="109" t="s">
        <v>1911</v>
      </c>
      <c r="F25" s="106" t="s">
        <v>1912</v>
      </c>
      <c r="G25" s="128">
        <v>-5.2499999999999998E-2</v>
      </c>
      <c r="H25" s="106" t="s">
        <v>1923</v>
      </c>
      <c r="I25" s="128"/>
      <c r="J25" s="125">
        <v>45762</v>
      </c>
      <c r="K25" s="126">
        <v>45761</v>
      </c>
      <c r="L25" s="129">
        <v>63.22</v>
      </c>
      <c r="M25" s="126">
        <v>45762</v>
      </c>
      <c r="N25" s="129">
        <v>64.19</v>
      </c>
      <c r="O25" s="132">
        <v>6.5370000000000003E-3</v>
      </c>
      <c r="P25" s="107">
        <v>1.5343000000000001E-2</v>
      </c>
      <c r="Q25" s="106" t="s">
        <v>579</v>
      </c>
      <c r="R25" s="106" t="s">
        <v>546</v>
      </c>
      <c r="S25" s="105">
        <v>-1</v>
      </c>
      <c r="T25" s="107">
        <v>-1.6343E-2</v>
      </c>
      <c r="U25" s="130" t="s">
        <v>1914</v>
      </c>
      <c r="V25" t="s">
        <v>549</v>
      </c>
      <c r="W25" t="s">
        <v>853</v>
      </c>
      <c r="X25" t="s">
        <v>854</v>
      </c>
      <c r="Y25" t="s">
        <v>714</v>
      </c>
      <c r="Z25">
        <v>61.017899999999997</v>
      </c>
      <c r="AA25" t="s">
        <v>715</v>
      </c>
      <c r="AB25">
        <v>61.954099999999997</v>
      </c>
      <c r="AC25">
        <v>1.534335565834782E-2</v>
      </c>
      <c r="AD25" t="s">
        <v>579</v>
      </c>
      <c r="AE25" t="s">
        <v>546</v>
      </c>
      <c r="AF25">
        <v>-1.6343E-2</v>
      </c>
      <c r="AG25" t="str">
        <f>IF($A25="","",IFERROR(INDEX(Company_List!$G$3:$G$207,MATCH($A25,Company_List!$A$3:$A$207,0)),"unassigned"))</f>
        <v>P2</v>
      </c>
      <c r="AH25" t="s">
        <v>855</v>
      </c>
      <c r="AJ25" t="s">
        <v>593</v>
      </c>
      <c r="AK25" t="str">
        <f>IF($A25="","",IF(COUNTIFS(Human_Data_Entry!$A$3:$A$525,$A25)&gt;0,"YES","NO"))</f>
        <v>YES</v>
      </c>
      <c r="AL25" t="str">
        <f>IF($A25="","",IF(AND($C25&amp;"-"&amp;$D25&gt;=Settings!$B$19,$C25&amp;"-"&amp;$D25&lt;=Settings!$B$20),"IN","OUT"))</f>
        <v>IN</v>
      </c>
      <c r="AM25">
        <f t="shared" si="0"/>
        <v>-1.6343E-2</v>
      </c>
      <c r="AN25">
        <f t="shared" si="1"/>
        <v>-1.6343E-2</v>
      </c>
      <c r="AO25">
        <f>IF(ISNUMBER($AM25),ABS(IF(ISNUMBER($G25),$G25,0)-Settings!$B$25),"")</f>
        <v>5.2499999999999998E-2</v>
      </c>
      <c r="AP25">
        <f t="shared" si="2"/>
        <v>-8.5800749999999999E-4</v>
      </c>
      <c r="AQ25">
        <f>IF(ISNUMBER($AN25),ABS(IF(ISNUMBER($G25),$G25,0)-Settings!$B$25),"")</f>
        <v>5.2499999999999998E-2</v>
      </c>
      <c r="AR25">
        <f t="shared" si="3"/>
        <v>-8.5800749999999999E-4</v>
      </c>
      <c r="AS25" t="str">
        <f>IF($A25="","",IFERROR(INDEX(Company_List!$H$3:$H$207,MATCH($A25,Company_List!$A$3:$A$207,0)),"unassigned"))</f>
        <v>Financials</v>
      </c>
      <c r="AT25" t="s">
        <v>1915</v>
      </c>
      <c r="AU25" t="s">
        <v>1916</v>
      </c>
      <c r="AV25">
        <v>3</v>
      </c>
      <c r="AW25" t="s">
        <v>561</v>
      </c>
      <c r="AX25" t="s">
        <v>561</v>
      </c>
      <c r="AY25" t="s">
        <v>550</v>
      </c>
      <c r="AZ25" t="s">
        <v>550</v>
      </c>
      <c r="BA25" t="s">
        <v>554</v>
      </c>
    </row>
    <row r="26" spans="1:54" x14ac:dyDescent="0.2">
      <c r="A26" s="115" t="s">
        <v>851</v>
      </c>
      <c r="B26" s="117" t="s">
        <v>854</v>
      </c>
      <c r="C26" s="105">
        <v>2025</v>
      </c>
      <c r="D26" s="106" t="s">
        <v>555</v>
      </c>
      <c r="E26" s="109" t="s">
        <v>1911</v>
      </c>
      <c r="F26" s="106" t="s">
        <v>1912</v>
      </c>
      <c r="G26" s="128">
        <v>0.1275</v>
      </c>
      <c r="H26" s="106" t="s">
        <v>1913</v>
      </c>
      <c r="I26" s="128"/>
      <c r="J26" s="125">
        <v>45853</v>
      </c>
      <c r="K26" s="126">
        <v>45852</v>
      </c>
      <c r="L26" s="129">
        <v>87.5</v>
      </c>
      <c r="M26" s="126">
        <v>45853</v>
      </c>
      <c r="N26" s="129">
        <v>88.65</v>
      </c>
      <c r="O26" s="132">
        <v>7.6759999999999997E-3</v>
      </c>
      <c r="P26" s="107">
        <v>1.3143E-2</v>
      </c>
      <c r="Q26" s="106" t="s">
        <v>579</v>
      </c>
      <c r="R26" s="106" t="s">
        <v>554</v>
      </c>
      <c r="S26" s="105">
        <v>0</v>
      </c>
      <c r="T26" s="107">
        <v>0</v>
      </c>
      <c r="U26" s="130" t="s">
        <v>1914</v>
      </c>
      <c r="V26" t="s">
        <v>549</v>
      </c>
      <c r="W26" t="s">
        <v>748</v>
      </c>
      <c r="X26" t="s">
        <v>854</v>
      </c>
      <c r="Y26" t="s">
        <v>718</v>
      </c>
      <c r="Z26">
        <v>85.127399999999994</v>
      </c>
      <c r="AA26" t="s">
        <v>719</v>
      </c>
      <c r="AB26">
        <v>86.246300000000005</v>
      </c>
      <c r="AC26">
        <v>1.314288227646826E-2</v>
      </c>
      <c r="AD26" t="s">
        <v>579</v>
      </c>
      <c r="AE26" t="s">
        <v>554</v>
      </c>
      <c r="AF26">
        <v>0</v>
      </c>
      <c r="AG26" t="str">
        <f>IF($A26="","",IFERROR(INDEX(Company_List!$G$3:$G$207,MATCH($A26,Company_List!$A$3:$A$207,0)),"unassigned"))</f>
        <v>P2</v>
      </c>
      <c r="AH26" t="s">
        <v>857</v>
      </c>
      <c r="AJ26" t="s">
        <v>593</v>
      </c>
      <c r="AK26" t="str">
        <f>IF($A26="","",IF(COUNTIFS(Human_Data_Entry!$A$3:$A$525,$A26)&gt;0,"YES","NO"))</f>
        <v>YES</v>
      </c>
      <c r="AL26" t="str">
        <f>IF($A26="","",IF(AND($C26&amp;"-"&amp;$D26&gt;=Settings!$B$19,$C26&amp;"-"&amp;$D26&lt;=Settings!$B$20),"IN","OUT"))</f>
        <v>IN</v>
      </c>
      <c r="AM26" t="str">
        <f t="shared" si="0"/>
        <v/>
      </c>
      <c r="AN26" t="str">
        <f t="shared" si="1"/>
        <v/>
      </c>
      <c r="AO26" t="str">
        <f>IF(ISNUMBER($AM26),ABS(IF(ISNUMBER($G26),$G26,0)-Settings!$B$25),"")</f>
        <v/>
      </c>
      <c r="AP26" t="str">
        <f t="shared" si="2"/>
        <v/>
      </c>
      <c r="AQ26" t="str">
        <f>IF(ISNUMBER($AN26),ABS(IF(ISNUMBER($G26),$G26,0)-Settings!$B$25),"")</f>
        <v/>
      </c>
      <c r="AR26" t="str">
        <f t="shared" si="3"/>
        <v/>
      </c>
      <c r="AS26" t="str">
        <f>IF($A26="","",IFERROR(INDEX(Company_List!$H$3:$H$207,MATCH($A26,Company_List!$A$3:$A$207,0)),"unassigned"))</f>
        <v>Financials</v>
      </c>
      <c r="AT26" t="s">
        <v>1915</v>
      </c>
      <c r="AU26" t="s">
        <v>1916</v>
      </c>
      <c r="AV26">
        <v>3</v>
      </c>
      <c r="AW26" t="s">
        <v>561</v>
      </c>
      <c r="AX26" t="s">
        <v>561</v>
      </c>
      <c r="AY26" t="s">
        <v>550</v>
      </c>
      <c r="AZ26" t="s">
        <v>550</v>
      </c>
      <c r="BA26" t="s">
        <v>554</v>
      </c>
    </row>
    <row r="27" spans="1:54" x14ac:dyDescent="0.2">
      <c r="A27" s="115" t="s">
        <v>851</v>
      </c>
      <c r="B27" s="117" t="s">
        <v>854</v>
      </c>
      <c r="C27" s="105">
        <v>2025</v>
      </c>
      <c r="D27" s="106" t="s">
        <v>563</v>
      </c>
      <c r="E27" s="109" t="s">
        <v>1911</v>
      </c>
      <c r="F27" s="106" t="s">
        <v>1912</v>
      </c>
      <c r="G27" s="128">
        <v>0.3</v>
      </c>
      <c r="H27" s="106" t="s">
        <v>1919</v>
      </c>
      <c r="I27" s="128"/>
      <c r="J27" s="125">
        <v>45944</v>
      </c>
      <c r="K27" s="126">
        <v>45943</v>
      </c>
      <c r="L27" s="129">
        <v>96.1</v>
      </c>
      <c r="M27" s="126">
        <v>45944</v>
      </c>
      <c r="N27" s="129">
        <v>95.37</v>
      </c>
      <c r="O27" s="132">
        <v>9.9179999999999997E-3</v>
      </c>
      <c r="P27" s="107">
        <v>-7.5960000000000003E-3</v>
      </c>
      <c r="Q27" s="106" t="s">
        <v>579</v>
      </c>
      <c r="R27" s="106" t="s">
        <v>546</v>
      </c>
      <c r="S27" s="105">
        <v>1</v>
      </c>
      <c r="T27" s="107">
        <v>-8.5959999999999995E-3</v>
      </c>
      <c r="U27" s="130" t="s">
        <v>1914</v>
      </c>
      <c r="V27" t="s">
        <v>549</v>
      </c>
      <c r="W27" t="s">
        <v>853</v>
      </c>
      <c r="X27" t="s">
        <v>854</v>
      </c>
      <c r="Y27" t="s">
        <v>757</v>
      </c>
      <c r="Z27">
        <v>94.109099999999998</v>
      </c>
      <c r="AA27" t="s">
        <v>722</v>
      </c>
      <c r="AB27">
        <v>93.394300000000001</v>
      </c>
      <c r="AC27">
        <v>-7.5961704447055469E-3</v>
      </c>
      <c r="AD27" t="s">
        <v>579</v>
      </c>
      <c r="AE27" t="s">
        <v>546</v>
      </c>
      <c r="AF27">
        <v>-8.5959999999999995E-3</v>
      </c>
      <c r="AG27" t="str">
        <f>IF($A27="","",IFERROR(INDEX(Company_List!$G$3:$G$207,MATCH($A27,Company_List!$A$3:$A$207,0)),"unassigned"))</f>
        <v>P2</v>
      </c>
      <c r="AH27" t="s">
        <v>859</v>
      </c>
      <c r="AJ27" t="s">
        <v>593</v>
      </c>
      <c r="AK27" t="str">
        <f>IF($A27="","",IF(COUNTIFS(Human_Data_Entry!$A$3:$A$525,$A27)&gt;0,"YES","NO"))</f>
        <v>YES</v>
      </c>
      <c r="AL27" t="str">
        <f>IF($A27="","",IF(AND($C27&amp;"-"&amp;$D27&gt;=Settings!$B$19,$C27&amp;"-"&amp;$D27&lt;=Settings!$B$20),"IN","OUT"))</f>
        <v>IN</v>
      </c>
      <c r="AM27">
        <f t="shared" si="0"/>
        <v>-8.5959999999999995E-3</v>
      </c>
      <c r="AN27">
        <f t="shared" si="1"/>
        <v>-8.5959999999999995E-3</v>
      </c>
      <c r="AO27">
        <f>IF(ISNUMBER($AM27),ABS(IF(ISNUMBER($G27),$G27,0)-Settings!$B$25),"")</f>
        <v>0.3</v>
      </c>
      <c r="AP27">
        <f t="shared" si="2"/>
        <v>-2.5787999999999996E-3</v>
      </c>
      <c r="AQ27">
        <f>IF(ISNUMBER($AN27),ABS(IF(ISNUMBER($G27),$G27,0)-Settings!$B$25),"")</f>
        <v>0.3</v>
      </c>
      <c r="AR27">
        <f t="shared" si="3"/>
        <v>-2.5787999999999996E-3</v>
      </c>
      <c r="AS27" t="str">
        <f>IF($A27="","",IFERROR(INDEX(Company_List!$H$3:$H$207,MATCH($A27,Company_List!$A$3:$A$207,0)),"unassigned"))</f>
        <v>Financials</v>
      </c>
      <c r="AT27" t="s">
        <v>1915</v>
      </c>
      <c r="AU27" t="s">
        <v>1916</v>
      </c>
      <c r="AV27">
        <v>4</v>
      </c>
      <c r="AW27" t="s">
        <v>561</v>
      </c>
      <c r="AX27" t="s">
        <v>561</v>
      </c>
      <c r="AY27" t="s">
        <v>550</v>
      </c>
      <c r="AZ27" t="s">
        <v>550</v>
      </c>
      <c r="BA27" t="s">
        <v>554</v>
      </c>
    </row>
    <row r="28" spans="1:54" x14ac:dyDescent="0.2">
      <c r="A28" s="115" t="s">
        <v>851</v>
      </c>
      <c r="B28" s="117" t="s">
        <v>854</v>
      </c>
      <c r="C28" s="105">
        <v>2025</v>
      </c>
      <c r="D28" s="106" t="s">
        <v>569</v>
      </c>
      <c r="E28" s="109" t="s">
        <v>1911</v>
      </c>
      <c r="F28" s="106" t="s">
        <v>1912</v>
      </c>
      <c r="G28" s="128">
        <v>0.27750000000000002</v>
      </c>
      <c r="H28" s="106" t="s">
        <v>1919</v>
      </c>
      <c r="I28" s="128"/>
      <c r="J28" s="125">
        <v>46036</v>
      </c>
      <c r="K28" s="126">
        <v>46035</v>
      </c>
      <c r="L28" s="129">
        <v>116.3</v>
      </c>
      <c r="M28" s="126">
        <v>46036</v>
      </c>
      <c r="N28" s="129">
        <v>117.91</v>
      </c>
      <c r="O28" s="132">
        <v>1.7344999999999999E-2</v>
      </c>
      <c r="P28" s="107">
        <v>1.3844E-2</v>
      </c>
      <c r="Q28" s="106" t="s">
        <v>579</v>
      </c>
      <c r="R28" s="106" t="s">
        <v>546</v>
      </c>
      <c r="S28" s="105">
        <v>1</v>
      </c>
      <c r="T28" s="107">
        <v>1.2844E-2</v>
      </c>
      <c r="U28" s="130" t="s">
        <v>1914</v>
      </c>
      <c r="V28" t="s">
        <v>549</v>
      </c>
      <c r="W28" t="s">
        <v>612</v>
      </c>
      <c r="X28" t="s">
        <v>854</v>
      </c>
      <c r="Y28" t="s">
        <v>726</v>
      </c>
      <c r="Z28">
        <v>114.5697</v>
      </c>
      <c r="AA28" t="s">
        <v>727</v>
      </c>
      <c r="AB28">
        <v>116.1558</v>
      </c>
      <c r="AC28">
        <v>1.3843532097910191E-2</v>
      </c>
      <c r="AD28" t="s">
        <v>579</v>
      </c>
      <c r="AE28" t="s">
        <v>546</v>
      </c>
      <c r="AF28">
        <v>1.2844E-2</v>
      </c>
      <c r="AG28" t="str">
        <f>IF($A28="","",IFERROR(INDEX(Company_List!$G$3:$G$207,MATCH($A28,Company_List!$A$3:$A$207,0)),"unassigned"))</f>
        <v>P2</v>
      </c>
      <c r="AH28" t="s">
        <v>861</v>
      </c>
      <c r="AJ28" t="s">
        <v>593</v>
      </c>
      <c r="AK28" t="str">
        <f>IF($A28="","",IF(COUNTIFS(Human_Data_Entry!$A$3:$A$525,$A28)&gt;0,"YES","NO"))</f>
        <v>YES</v>
      </c>
      <c r="AL28" t="str">
        <f>IF($A28="","",IF(AND($C28&amp;"-"&amp;$D28&gt;=Settings!$B$19,$C28&amp;"-"&amp;$D28&lt;=Settings!$B$20),"IN","OUT"))</f>
        <v>IN</v>
      </c>
      <c r="AM28">
        <f t="shared" si="0"/>
        <v>1.2844E-2</v>
      </c>
      <c r="AN28">
        <f t="shared" si="1"/>
        <v>1.2844E-2</v>
      </c>
      <c r="AO28">
        <f>IF(ISNUMBER($AM28),ABS(IF(ISNUMBER($G28),$G28,0)-Settings!$B$25),"")</f>
        <v>0.27750000000000002</v>
      </c>
      <c r="AP28">
        <f t="shared" si="2"/>
        <v>3.5642100000000004E-3</v>
      </c>
      <c r="AQ28">
        <f>IF(ISNUMBER($AN28),ABS(IF(ISNUMBER($G28),$G28,0)-Settings!$B$25),"")</f>
        <v>0.27750000000000002</v>
      </c>
      <c r="AR28">
        <f t="shared" si="3"/>
        <v>3.5642100000000004E-3</v>
      </c>
      <c r="AS28" t="str">
        <f>IF($A28="","",IFERROR(INDEX(Company_List!$H$3:$H$207,MATCH($A28,Company_List!$A$3:$A$207,0)),"unassigned"))</f>
        <v>Financials</v>
      </c>
      <c r="AT28" t="s">
        <v>1915</v>
      </c>
      <c r="AU28" t="s">
        <v>1916</v>
      </c>
      <c r="AV28">
        <v>4</v>
      </c>
      <c r="AW28" t="s">
        <v>561</v>
      </c>
      <c r="AX28" t="s">
        <v>561</v>
      </c>
      <c r="AY28" t="s">
        <v>550</v>
      </c>
      <c r="AZ28" t="s">
        <v>550</v>
      </c>
      <c r="BA28" t="s">
        <v>554</v>
      </c>
    </row>
    <row r="29" spans="1:54" x14ac:dyDescent="0.2">
      <c r="A29" s="115" t="s">
        <v>697</v>
      </c>
      <c r="B29" s="117" t="s">
        <v>699</v>
      </c>
      <c r="C29" s="105">
        <v>2026</v>
      </c>
      <c r="D29" s="106" t="s">
        <v>537</v>
      </c>
      <c r="E29" s="109" t="s">
        <v>1911</v>
      </c>
      <c r="F29" s="106" t="s">
        <v>1912</v>
      </c>
      <c r="G29" s="128">
        <v>0.03</v>
      </c>
      <c r="H29" s="106" t="s">
        <v>1913</v>
      </c>
      <c r="I29" s="128"/>
      <c r="J29" s="125">
        <v>46140</v>
      </c>
      <c r="K29" s="126">
        <v>46139</v>
      </c>
      <c r="L29" s="129">
        <v>75.44</v>
      </c>
      <c r="M29" s="126">
        <v>46140</v>
      </c>
      <c r="N29" s="129">
        <v>79.52</v>
      </c>
      <c r="O29" s="132">
        <v>6.6759999999999996E-3</v>
      </c>
      <c r="P29" s="107">
        <v>5.4082999999999999E-2</v>
      </c>
      <c r="Q29" s="106" t="s">
        <v>591</v>
      </c>
      <c r="R29" s="106" t="s">
        <v>546</v>
      </c>
      <c r="S29" s="105">
        <v>0</v>
      </c>
      <c r="T29" s="107">
        <v>0</v>
      </c>
      <c r="U29" s="130" t="s">
        <v>1914</v>
      </c>
      <c r="V29" t="s">
        <v>549</v>
      </c>
      <c r="W29" t="s">
        <v>636</v>
      </c>
      <c r="X29" t="s">
        <v>699</v>
      </c>
      <c r="Y29" t="s">
        <v>708</v>
      </c>
      <c r="Z29">
        <v>74.956100000000006</v>
      </c>
      <c r="AA29" t="s">
        <v>709</v>
      </c>
      <c r="AB29">
        <v>79.009900000000002</v>
      </c>
      <c r="AC29">
        <v>5.4082624425420639E-2</v>
      </c>
      <c r="AD29" t="s">
        <v>591</v>
      </c>
      <c r="AE29" t="s">
        <v>546</v>
      </c>
      <c r="AF29">
        <v>0</v>
      </c>
      <c r="AG29" t="str">
        <f>IF($A29="","",IFERROR(INDEX(Company_List!$G$3:$G$207,MATCH($A29,Company_List!$A$3:$A$207,0)),"unassigned"))</f>
        <v>P2</v>
      </c>
      <c r="AH29" t="s">
        <v>710</v>
      </c>
      <c r="AJ29" t="s">
        <v>548</v>
      </c>
      <c r="AK29" t="str">
        <f>IF($A29="","",IF(COUNTIFS(Human_Data_Entry!$A$3:$A$525,$A29)&gt;0,"YES","NO"))</f>
        <v>YES</v>
      </c>
      <c r="AL29" t="str">
        <f>IF($A29="","",IF(AND($C29&amp;"-"&amp;$D29&gt;=Settings!$B$19,$C29&amp;"-"&amp;$D29&lt;=Settings!$B$20),"IN","OUT"))</f>
        <v>IN</v>
      </c>
      <c r="AM29" t="str">
        <f t="shared" si="0"/>
        <v/>
      </c>
      <c r="AN29" t="str">
        <f t="shared" si="1"/>
        <v/>
      </c>
      <c r="AO29" t="str">
        <f>IF(ISNUMBER($AM29),ABS(IF(ISNUMBER($G29),$G29,0)-Settings!$B$25),"")</f>
        <v/>
      </c>
      <c r="AP29" t="str">
        <f t="shared" si="2"/>
        <v/>
      </c>
      <c r="AQ29" t="str">
        <f>IF(ISNUMBER($AN29),ABS(IF(ISNUMBER($G29),$G29,0)-Settings!$B$25),"")</f>
        <v/>
      </c>
      <c r="AR29" t="str">
        <f t="shared" si="3"/>
        <v/>
      </c>
      <c r="AS29" t="str">
        <f>IF($A29="","",IFERROR(INDEX(Company_List!$H$3:$H$207,MATCH($A29,Company_List!$A$3:$A$207,0)),"unassigned"))</f>
        <v>Consumer Staples</v>
      </c>
      <c r="AT29" t="s">
        <v>1915</v>
      </c>
      <c r="AU29" t="s">
        <v>1916</v>
      </c>
      <c r="AV29">
        <v>1</v>
      </c>
      <c r="AW29" t="s">
        <v>595</v>
      </c>
      <c r="AX29" t="s">
        <v>596</v>
      </c>
      <c r="AY29" t="s">
        <v>550</v>
      </c>
      <c r="AZ29" t="s">
        <v>550</v>
      </c>
      <c r="BA29" t="s">
        <v>554</v>
      </c>
    </row>
    <row r="30" spans="1:54" x14ac:dyDescent="0.2">
      <c r="A30" s="115" t="s">
        <v>697</v>
      </c>
      <c r="B30" s="117" t="s">
        <v>699</v>
      </c>
      <c r="C30" s="105">
        <v>2025</v>
      </c>
      <c r="D30" s="106" t="s">
        <v>555</v>
      </c>
      <c r="E30" s="109" t="s">
        <v>1911</v>
      </c>
      <c r="F30" s="106" t="s">
        <v>1912</v>
      </c>
      <c r="G30" s="128">
        <v>0.155</v>
      </c>
      <c r="H30" s="106" t="s">
        <v>1913</v>
      </c>
      <c r="I30" s="128"/>
      <c r="J30" s="125">
        <v>45860</v>
      </c>
      <c r="K30" s="126">
        <v>45859</v>
      </c>
      <c r="L30" s="129">
        <v>70.069999999999993</v>
      </c>
      <c r="M30" s="126">
        <v>45860</v>
      </c>
      <c r="N30" s="129">
        <v>69.45</v>
      </c>
      <c r="O30" s="132">
        <v>6.6230000000000004E-3</v>
      </c>
      <c r="P30" s="107">
        <v>-8.848E-3</v>
      </c>
      <c r="Q30" s="106" t="s">
        <v>579</v>
      </c>
      <c r="R30" s="106" t="s">
        <v>554</v>
      </c>
      <c r="S30" s="105">
        <v>0</v>
      </c>
      <c r="T30" s="107">
        <v>0</v>
      </c>
      <c r="U30" s="130" t="s">
        <v>1914</v>
      </c>
      <c r="V30" t="s">
        <v>549</v>
      </c>
      <c r="W30" t="s">
        <v>636</v>
      </c>
      <c r="X30" t="s">
        <v>699</v>
      </c>
      <c r="Y30" t="s">
        <v>700</v>
      </c>
      <c r="Z30">
        <v>68.140199999999993</v>
      </c>
      <c r="AA30" t="s">
        <v>701</v>
      </c>
      <c r="AB30">
        <v>67.537300000000002</v>
      </c>
      <c r="AC30">
        <v>-8.8483466858759931E-3</v>
      </c>
      <c r="AD30" t="s">
        <v>579</v>
      </c>
      <c r="AE30" t="s">
        <v>554</v>
      </c>
      <c r="AF30">
        <v>0</v>
      </c>
      <c r="AG30" t="str">
        <f>IF($A30="","",IFERROR(INDEX(Company_List!$G$3:$G$207,MATCH($A30,Company_List!$A$3:$A$207,0)),"unassigned"))</f>
        <v>P2</v>
      </c>
      <c r="AH30" t="s">
        <v>702</v>
      </c>
      <c r="AJ30" t="s">
        <v>548</v>
      </c>
      <c r="AK30" t="str">
        <f>IF($A30="","",IF(COUNTIFS(Human_Data_Entry!$A$3:$A$525,$A30)&gt;0,"YES","NO"))</f>
        <v>YES</v>
      </c>
      <c r="AL30" t="str">
        <f>IF($A30="","",IF(AND($C30&amp;"-"&amp;$D30&gt;=Settings!$B$19,$C30&amp;"-"&amp;$D30&lt;=Settings!$B$20),"IN","OUT"))</f>
        <v>IN</v>
      </c>
      <c r="AM30" t="str">
        <f t="shared" si="0"/>
        <v/>
      </c>
      <c r="AN30" t="str">
        <f t="shared" si="1"/>
        <v/>
      </c>
      <c r="AO30" t="str">
        <f>IF(ISNUMBER($AM30),ABS(IF(ISNUMBER($G30),$G30,0)-Settings!$B$25),"")</f>
        <v/>
      </c>
      <c r="AP30" t="str">
        <f t="shared" si="2"/>
        <v/>
      </c>
      <c r="AQ30" t="str">
        <f>IF(ISNUMBER($AN30),ABS(IF(ISNUMBER($G30),$G30,0)-Settings!$B$25),"")</f>
        <v/>
      </c>
      <c r="AR30" t="str">
        <f t="shared" si="3"/>
        <v/>
      </c>
      <c r="AS30" t="str">
        <f>IF($A30="","",IFERROR(INDEX(Company_List!$H$3:$H$207,MATCH($A30,Company_List!$A$3:$A$207,0)),"unassigned"))</f>
        <v>Consumer Staples</v>
      </c>
      <c r="AT30" t="s">
        <v>1915</v>
      </c>
      <c r="AU30" t="s">
        <v>1916</v>
      </c>
      <c r="AV30">
        <v>1</v>
      </c>
      <c r="AW30" t="s">
        <v>595</v>
      </c>
      <c r="AX30" t="s">
        <v>596</v>
      </c>
      <c r="AY30" t="s">
        <v>550</v>
      </c>
      <c r="AZ30" t="s">
        <v>550</v>
      </c>
      <c r="BA30" t="s">
        <v>554</v>
      </c>
    </row>
    <row r="31" spans="1:54" x14ac:dyDescent="0.2">
      <c r="A31" s="115" t="s">
        <v>697</v>
      </c>
      <c r="B31" s="117" t="s">
        <v>699</v>
      </c>
      <c r="C31" s="105">
        <v>2025</v>
      </c>
      <c r="D31" s="106" t="s">
        <v>569</v>
      </c>
      <c r="E31" s="109" t="s">
        <v>1911</v>
      </c>
      <c r="F31" s="106" t="s">
        <v>1912</v>
      </c>
      <c r="G31" s="128">
        <v>0.19500000000000001</v>
      </c>
      <c r="H31" s="106" t="s">
        <v>1913</v>
      </c>
      <c r="I31" s="128"/>
      <c r="J31" s="125">
        <v>46063</v>
      </c>
      <c r="K31" s="126">
        <v>46062</v>
      </c>
      <c r="L31" s="129">
        <v>77.97</v>
      </c>
      <c r="M31" s="126">
        <v>46063</v>
      </c>
      <c r="N31" s="129">
        <v>76.63</v>
      </c>
      <c r="O31" s="132">
        <v>7.0410000000000004E-3</v>
      </c>
      <c r="P31" s="107">
        <v>-1.7186E-2</v>
      </c>
      <c r="Q31" s="106" t="s">
        <v>579</v>
      </c>
      <c r="R31" s="106" t="s">
        <v>554</v>
      </c>
      <c r="S31" s="105">
        <v>0</v>
      </c>
      <c r="T31" s="107">
        <v>0</v>
      </c>
      <c r="U31" s="130" t="s">
        <v>1914</v>
      </c>
      <c r="V31" t="s">
        <v>549</v>
      </c>
      <c r="W31" t="s">
        <v>636</v>
      </c>
      <c r="X31" t="s">
        <v>699</v>
      </c>
      <c r="Y31" t="s">
        <v>704</v>
      </c>
      <c r="Z31">
        <v>76.940799999999996</v>
      </c>
      <c r="AA31" t="s">
        <v>705</v>
      </c>
      <c r="AB31">
        <v>75.618499999999997</v>
      </c>
      <c r="AC31">
        <v>-1.718625273446614E-2</v>
      </c>
      <c r="AD31" t="s">
        <v>579</v>
      </c>
      <c r="AE31" t="s">
        <v>554</v>
      </c>
      <c r="AF31">
        <v>0</v>
      </c>
      <c r="AG31" t="str">
        <f>IF($A31="","",IFERROR(INDEX(Company_List!$G$3:$G$207,MATCH($A31,Company_List!$A$3:$A$207,0)),"unassigned"))</f>
        <v>P2</v>
      </c>
      <c r="AH31" t="s">
        <v>706</v>
      </c>
      <c r="AJ31" t="s">
        <v>548</v>
      </c>
      <c r="AK31" t="str">
        <f>IF($A31="","",IF(COUNTIFS(Human_Data_Entry!$A$3:$A$525,$A31)&gt;0,"YES","NO"))</f>
        <v>YES</v>
      </c>
      <c r="AL31" t="str">
        <f>IF($A31="","",IF(AND($C31&amp;"-"&amp;$D31&gt;=Settings!$B$19,$C31&amp;"-"&amp;$D31&lt;=Settings!$B$20),"IN","OUT"))</f>
        <v>IN</v>
      </c>
      <c r="AM31" t="str">
        <f t="shared" si="0"/>
        <v/>
      </c>
      <c r="AN31" t="str">
        <f t="shared" si="1"/>
        <v/>
      </c>
      <c r="AO31" t="str">
        <f>IF(ISNUMBER($AM31),ABS(IF(ISNUMBER($G31),$G31,0)-Settings!$B$25),"")</f>
        <v/>
      </c>
      <c r="AP31" t="str">
        <f t="shared" si="2"/>
        <v/>
      </c>
      <c r="AQ31" t="str">
        <f>IF(ISNUMBER($AN31),ABS(IF(ISNUMBER($G31),$G31,0)-Settings!$B$25),"")</f>
        <v/>
      </c>
      <c r="AR31" t="str">
        <f t="shared" si="3"/>
        <v/>
      </c>
      <c r="AS31" t="str">
        <f>IF($A31="","",IFERROR(INDEX(Company_List!$H$3:$H$207,MATCH($A31,Company_List!$A$3:$A$207,0)),"unassigned"))</f>
        <v>Consumer Staples</v>
      </c>
      <c r="AT31" t="s">
        <v>1915</v>
      </c>
      <c r="AU31" t="s">
        <v>1916</v>
      </c>
      <c r="AV31">
        <v>1</v>
      </c>
      <c r="AW31" t="s">
        <v>595</v>
      </c>
      <c r="AX31" t="s">
        <v>596</v>
      </c>
      <c r="AY31" t="s">
        <v>550</v>
      </c>
      <c r="AZ31" t="s">
        <v>550</v>
      </c>
      <c r="BA31" t="s">
        <v>554</v>
      </c>
    </row>
    <row r="32" spans="1:54" x14ac:dyDescent="0.2">
      <c r="A32" s="115" t="s">
        <v>943</v>
      </c>
      <c r="B32" s="117" t="s">
        <v>944</v>
      </c>
      <c r="C32" s="105">
        <v>2026</v>
      </c>
      <c r="D32" s="106" t="s">
        <v>537</v>
      </c>
      <c r="E32" s="109" t="s">
        <v>1911</v>
      </c>
      <c r="F32" s="106" t="s">
        <v>1912</v>
      </c>
      <c r="G32" s="128">
        <v>-0.32750000000000001</v>
      </c>
      <c r="H32" s="106" t="s">
        <v>1923</v>
      </c>
      <c r="I32" s="128"/>
      <c r="J32" s="125">
        <v>46149</v>
      </c>
      <c r="K32" s="126">
        <v>46149</v>
      </c>
      <c r="L32" s="129">
        <v>192.96</v>
      </c>
      <c r="M32" s="126">
        <v>46150</v>
      </c>
      <c r="N32" s="129">
        <v>186.05</v>
      </c>
      <c r="O32" s="132">
        <v>7.1809999999999999E-3</v>
      </c>
      <c r="P32" s="107">
        <v>-3.5811000000000003E-2</v>
      </c>
      <c r="Q32" s="106" t="s">
        <v>545</v>
      </c>
      <c r="R32" s="106" t="s">
        <v>554</v>
      </c>
      <c r="S32" s="105">
        <v>-1</v>
      </c>
      <c r="T32" s="107">
        <v>3.4811000000000002E-2</v>
      </c>
      <c r="U32" s="130" t="s">
        <v>1914</v>
      </c>
      <c r="V32" t="s">
        <v>549</v>
      </c>
      <c r="W32" t="s">
        <v>564</v>
      </c>
      <c r="X32" t="s">
        <v>944</v>
      </c>
      <c r="Y32" t="s">
        <v>681</v>
      </c>
      <c r="Z32">
        <v>192.96</v>
      </c>
      <c r="AA32" t="s">
        <v>830</v>
      </c>
      <c r="AB32">
        <v>186.05</v>
      </c>
      <c r="AC32">
        <v>-3.5810550110521019E-2</v>
      </c>
      <c r="AD32" t="s">
        <v>545</v>
      </c>
      <c r="AE32" t="s">
        <v>554</v>
      </c>
      <c r="AF32">
        <v>3.4811000000000002E-2</v>
      </c>
      <c r="AG32" t="str">
        <f>IF($A32="","",IFERROR(INDEX(Company_List!$G$3:$G$207,MATCH($A32,Company_List!$A$3:$A$207,0)),"unassigned"))</f>
        <v>P2</v>
      </c>
      <c r="AH32" t="s">
        <v>945</v>
      </c>
      <c r="AI32" t="s">
        <v>946</v>
      </c>
      <c r="AJ32" t="s">
        <v>560</v>
      </c>
      <c r="AK32" t="str">
        <f>IF($A32="","",IF(COUNTIFS(Human_Data_Entry!$A$3:$A$525,$A32)&gt;0,"YES","NO"))</f>
        <v>YES</v>
      </c>
      <c r="AL32" t="str">
        <f>IF($A32="","",IF(AND($C32&amp;"-"&amp;$D32&gt;=Settings!$B$19,$C32&amp;"-"&amp;$D32&lt;=Settings!$B$20),"IN","OUT"))</f>
        <v>IN</v>
      </c>
      <c r="AM32">
        <f t="shared" si="0"/>
        <v>3.4811000000000002E-2</v>
      </c>
      <c r="AN32">
        <f t="shared" si="1"/>
        <v>3.4811000000000002E-2</v>
      </c>
      <c r="AO32">
        <f>IF(ISNUMBER($AM32),ABS(IF(ISNUMBER($G32),$G32,0)-Settings!$B$25),"")</f>
        <v>0.32750000000000001</v>
      </c>
      <c r="AP32">
        <f t="shared" si="2"/>
        <v>1.1400602500000001E-2</v>
      </c>
      <c r="AQ32">
        <f>IF(ISNUMBER($AN32),ABS(IF(ISNUMBER($G32),$G32,0)-Settings!$B$25),"")</f>
        <v>0.32750000000000001</v>
      </c>
      <c r="AR32">
        <f t="shared" si="3"/>
        <v>1.1400602500000001E-2</v>
      </c>
      <c r="AS32" t="str">
        <f>IF($A32="","",IFERROR(INDEX(Company_List!$H$3:$H$207,MATCH($A32,Company_List!$A$3:$A$207,0)),"unassigned"))</f>
        <v>Financials</v>
      </c>
      <c r="AT32" t="s">
        <v>1915</v>
      </c>
      <c r="AU32" t="s">
        <v>1916</v>
      </c>
      <c r="AV32">
        <v>1</v>
      </c>
      <c r="AW32" t="s">
        <v>561</v>
      </c>
      <c r="AX32" t="s">
        <v>561</v>
      </c>
      <c r="AY32" t="s">
        <v>550</v>
      </c>
      <c r="AZ32" t="s">
        <v>562</v>
      </c>
      <c r="BA32" s="160" t="s">
        <v>546</v>
      </c>
      <c r="BB32" s="160" t="s">
        <v>1922</v>
      </c>
    </row>
    <row r="33" spans="1:54" x14ac:dyDescent="0.2">
      <c r="A33" s="115" t="s">
        <v>943</v>
      </c>
      <c r="B33" s="117" t="s">
        <v>944</v>
      </c>
      <c r="C33" s="105">
        <v>2025</v>
      </c>
      <c r="D33" s="106" t="s">
        <v>563</v>
      </c>
      <c r="E33" s="109" t="s">
        <v>1911</v>
      </c>
      <c r="F33" s="106" t="s">
        <v>1912</v>
      </c>
      <c r="G33" s="128">
        <v>0.3</v>
      </c>
      <c r="H33" s="106" t="s">
        <v>1919</v>
      </c>
      <c r="I33" s="128"/>
      <c r="J33" s="125">
        <v>45960</v>
      </c>
      <c r="K33" s="126">
        <v>45960</v>
      </c>
      <c r="L33" s="129">
        <v>328.51</v>
      </c>
      <c r="M33" s="126">
        <v>45961</v>
      </c>
      <c r="N33" s="129">
        <v>336</v>
      </c>
      <c r="O33" s="132">
        <v>7.3140000000000002E-3</v>
      </c>
      <c r="P33" s="107">
        <v>2.2800000000000001E-2</v>
      </c>
      <c r="Q33" s="106" t="s">
        <v>591</v>
      </c>
      <c r="R33" s="106" t="s">
        <v>554</v>
      </c>
      <c r="S33" s="105">
        <v>1</v>
      </c>
      <c r="T33" s="107">
        <v>2.18E-2</v>
      </c>
      <c r="U33" s="130" t="s">
        <v>1914</v>
      </c>
      <c r="V33" t="s">
        <v>549</v>
      </c>
      <c r="W33" t="s">
        <v>564</v>
      </c>
      <c r="X33" t="s">
        <v>944</v>
      </c>
      <c r="Y33" t="s">
        <v>660</v>
      </c>
      <c r="Z33">
        <v>328.51</v>
      </c>
      <c r="AA33" t="s">
        <v>661</v>
      </c>
      <c r="AB33">
        <v>336</v>
      </c>
      <c r="AC33">
        <v>2.2799883632160789E-2</v>
      </c>
      <c r="AD33" t="s">
        <v>591</v>
      </c>
      <c r="AE33" t="s">
        <v>554</v>
      </c>
      <c r="AF33">
        <v>2.18E-2</v>
      </c>
      <c r="AG33" t="str">
        <f>IF($A33="","",IFERROR(INDEX(Company_List!$G$3:$G$207,MATCH($A33,Company_List!$A$3:$A$207,0)),"unassigned"))</f>
        <v>P2</v>
      </c>
      <c r="AH33" t="s">
        <v>947</v>
      </c>
      <c r="AI33" t="s">
        <v>948</v>
      </c>
      <c r="AJ33" t="s">
        <v>560</v>
      </c>
      <c r="AK33" t="str">
        <f>IF($A33="","",IF(COUNTIFS(Human_Data_Entry!$A$3:$A$525,$A33)&gt;0,"YES","NO"))</f>
        <v>YES</v>
      </c>
      <c r="AL33" t="str">
        <f>IF($A33="","",IF(AND($C33&amp;"-"&amp;$D33&gt;=Settings!$B$19,$C33&amp;"-"&amp;$D33&lt;=Settings!$B$20),"IN","OUT"))</f>
        <v>IN</v>
      </c>
      <c r="AM33">
        <f t="shared" si="0"/>
        <v>2.18E-2</v>
      </c>
      <c r="AN33">
        <f t="shared" si="1"/>
        <v>2.18E-2</v>
      </c>
      <c r="AO33">
        <f>IF(ISNUMBER($AM33),ABS(IF(ISNUMBER($G33),$G33,0)-Settings!$B$25),"")</f>
        <v>0.3</v>
      </c>
      <c r="AP33">
        <f t="shared" si="2"/>
        <v>6.5399999999999998E-3</v>
      </c>
      <c r="AQ33">
        <f>IF(ISNUMBER($AN33),ABS(IF(ISNUMBER($G33),$G33,0)-Settings!$B$25),"")</f>
        <v>0.3</v>
      </c>
      <c r="AR33">
        <f t="shared" si="3"/>
        <v>6.5399999999999998E-3</v>
      </c>
      <c r="AS33" t="str">
        <f>IF($A33="","",IFERROR(INDEX(Company_List!$H$3:$H$207,MATCH($A33,Company_List!$A$3:$A$207,0)),"unassigned"))</f>
        <v>Financials</v>
      </c>
      <c r="AT33" t="s">
        <v>1915</v>
      </c>
      <c r="AU33" t="s">
        <v>1916</v>
      </c>
      <c r="AV33">
        <v>1</v>
      </c>
      <c r="AW33" t="s">
        <v>561</v>
      </c>
      <c r="AX33" t="s">
        <v>561</v>
      </c>
      <c r="AY33" t="s">
        <v>550</v>
      </c>
      <c r="AZ33" t="s">
        <v>562</v>
      </c>
      <c r="BA33" s="160" t="s">
        <v>546</v>
      </c>
      <c r="BB33" s="160" t="s">
        <v>1922</v>
      </c>
    </row>
    <row r="34" spans="1:54" x14ac:dyDescent="0.2">
      <c r="A34" s="115" t="s">
        <v>943</v>
      </c>
      <c r="B34" s="117" t="s">
        <v>944</v>
      </c>
      <c r="C34" s="105">
        <v>2025</v>
      </c>
      <c r="D34" s="106" t="s">
        <v>569</v>
      </c>
      <c r="E34" s="109" t="s">
        <v>1911</v>
      </c>
      <c r="F34" s="106" t="s">
        <v>1912</v>
      </c>
      <c r="G34" s="128">
        <v>5.7500000000000002E-2</v>
      </c>
      <c r="H34" s="106" t="s">
        <v>1913</v>
      </c>
      <c r="I34" s="128"/>
      <c r="J34" s="125">
        <v>46065</v>
      </c>
      <c r="K34" s="126">
        <v>46065</v>
      </c>
      <c r="L34" s="129">
        <v>141.09</v>
      </c>
      <c r="M34" s="126">
        <v>46066</v>
      </c>
      <c r="N34" s="129">
        <v>153.69999999999999</v>
      </c>
      <c r="O34" s="132">
        <v>7.5310000000000004E-3</v>
      </c>
      <c r="P34" s="107">
        <v>8.9375999999999997E-2</v>
      </c>
      <c r="Q34" s="106" t="s">
        <v>591</v>
      </c>
      <c r="R34" s="106" t="s">
        <v>546</v>
      </c>
      <c r="S34" s="105">
        <v>0</v>
      </c>
      <c r="T34" s="107">
        <v>0</v>
      </c>
      <c r="U34" s="130" t="s">
        <v>1914</v>
      </c>
      <c r="V34" t="s">
        <v>549</v>
      </c>
      <c r="W34" t="s">
        <v>564</v>
      </c>
      <c r="X34" t="s">
        <v>944</v>
      </c>
      <c r="Y34" t="s">
        <v>677</v>
      </c>
      <c r="Z34">
        <v>141.09</v>
      </c>
      <c r="AA34" t="s">
        <v>923</v>
      </c>
      <c r="AB34">
        <v>153.69999999999999</v>
      </c>
      <c r="AC34">
        <v>8.9375585495090532E-2</v>
      </c>
      <c r="AD34" t="s">
        <v>591</v>
      </c>
      <c r="AE34" t="s">
        <v>546</v>
      </c>
      <c r="AF34">
        <v>0</v>
      </c>
      <c r="AG34" t="str">
        <f>IF($A34="","",IFERROR(INDEX(Company_List!$G$3:$G$207,MATCH($A34,Company_List!$A$3:$A$207,0)),"unassigned"))</f>
        <v>P2</v>
      </c>
      <c r="AH34" t="s">
        <v>949</v>
      </c>
      <c r="AI34" t="s">
        <v>950</v>
      </c>
      <c r="AJ34" t="s">
        <v>560</v>
      </c>
      <c r="AK34" t="str">
        <f>IF($A34="","",IF(COUNTIFS(Human_Data_Entry!$A$3:$A$525,$A34)&gt;0,"YES","NO"))</f>
        <v>YES</v>
      </c>
      <c r="AL34" t="str">
        <f>IF($A34="","",IF(AND($C34&amp;"-"&amp;$D34&gt;=Settings!$B$19,$C34&amp;"-"&amp;$D34&lt;=Settings!$B$20),"IN","OUT"))</f>
        <v>IN</v>
      </c>
      <c r="AM34" t="str">
        <f t="shared" si="0"/>
        <v/>
      </c>
      <c r="AN34" t="str">
        <f t="shared" si="1"/>
        <v/>
      </c>
      <c r="AO34" t="str">
        <f>IF(ISNUMBER($AM34),ABS(IF(ISNUMBER($G34),$G34,0)-Settings!$B$25),"")</f>
        <v/>
      </c>
      <c r="AP34" t="str">
        <f t="shared" si="2"/>
        <v/>
      </c>
      <c r="AQ34" t="str">
        <f>IF(ISNUMBER($AN34),ABS(IF(ISNUMBER($G34),$G34,0)-Settings!$B$25),"")</f>
        <v/>
      </c>
      <c r="AR34" t="str">
        <f t="shared" si="3"/>
        <v/>
      </c>
      <c r="AS34" t="str">
        <f>IF($A34="","",IFERROR(INDEX(Company_List!$H$3:$H$207,MATCH($A34,Company_List!$A$3:$A$207,0)),"unassigned"))</f>
        <v>Financials</v>
      </c>
      <c r="AT34" t="s">
        <v>1915</v>
      </c>
      <c r="AU34" t="s">
        <v>1916</v>
      </c>
      <c r="AV34">
        <v>1</v>
      </c>
      <c r="AW34" t="s">
        <v>561</v>
      </c>
      <c r="AX34" t="s">
        <v>561</v>
      </c>
      <c r="AY34" t="s">
        <v>550</v>
      </c>
      <c r="AZ34" t="s">
        <v>562</v>
      </c>
      <c r="BA34" s="160" t="s">
        <v>546</v>
      </c>
      <c r="BB34" s="160" t="s">
        <v>1922</v>
      </c>
    </row>
    <row r="35" spans="1:54" x14ac:dyDescent="0.2">
      <c r="A35" s="115" t="s">
        <v>951</v>
      </c>
      <c r="B35" s="117" t="s">
        <v>952</v>
      </c>
      <c r="C35" s="105">
        <v>2026</v>
      </c>
      <c r="D35" s="106" t="s">
        <v>537</v>
      </c>
      <c r="E35" s="109" t="s">
        <v>1911</v>
      </c>
      <c r="F35" s="106" t="s">
        <v>1912</v>
      </c>
      <c r="G35" s="128">
        <v>0.33250000000000002</v>
      </c>
      <c r="H35" s="106" t="s">
        <v>1919</v>
      </c>
      <c r="I35" s="128"/>
      <c r="J35" s="125">
        <v>46142</v>
      </c>
      <c r="K35" s="126">
        <v>46141</v>
      </c>
      <c r="L35" s="129">
        <v>851.21</v>
      </c>
      <c r="M35" s="126">
        <v>46142</v>
      </c>
      <c r="N35" s="129">
        <v>898.78</v>
      </c>
      <c r="O35" s="132">
        <v>3.4559999999999999E-3</v>
      </c>
      <c r="P35" s="107">
        <v>5.5884999999999997E-2</v>
      </c>
      <c r="Q35" s="106" t="s">
        <v>591</v>
      </c>
      <c r="R35" s="106" t="s">
        <v>554</v>
      </c>
      <c r="S35" s="105">
        <v>1</v>
      </c>
      <c r="T35" s="107">
        <v>5.4885000000000003E-2</v>
      </c>
      <c r="U35" s="130" t="s">
        <v>1914</v>
      </c>
      <c r="V35" t="s">
        <v>549</v>
      </c>
      <c r="W35" t="s">
        <v>564</v>
      </c>
      <c r="X35" t="s">
        <v>952</v>
      </c>
      <c r="Y35" t="s">
        <v>656</v>
      </c>
      <c r="Z35">
        <v>849.7473</v>
      </c>
      <c r="AA35" t="s">
        <v>657</v>
      </c>
      <c r="AB35">
        <v>897.2355</v>
      </c>
      <c r="AC35">
        <v>5.5885148506473109E-2</v>
      </c>
      <c r="AD35" t="s">
        <v>591</v>
      </c>
      <c r="AE35" t="s">
        <v>554</v>
      </c>
      <c r="AF35">
        <v>5.4885000000000003E-2</v>
      </c>
      <c r="AG35" t="str">
        <f>IF($A35="","",IFERROR(INDEX(Company_List!$G$3:$G$207,MATCH($A35,Company_List!$A$3:$A$207,0)),"unassigned"))</f>
        <v>P2</v>
      </c>
      <c r="AH35" t="s">
        <v>953</v>
      </c>
      <c r="AI35" t="s">
        <v>954</v>
      </c>
      <c r="AJ35" t="s">
        <v>560</v>
      </c>
      <c r="AK35" t="str">
        <f>IF($A35="","",IF(COUNTIFS(Human_Data_Entry!$A$3:$A$525,$A35)&gt;0,"YES","NO"))</f>
        <v>YES</v>
      </c>
      <c r="AL35" t="str">
        <f>IF($A35="","",IF(AND($C35&amp;"-"&amp;$D35&gt;=Settings!$B$19,$C35&amp;"-"&amp;$D35&lt;=Settings!$B$20),"IN","OUT"))</f>
        <v>IN</v>
      </c>
      <c r="AM35">
        <f t="shared" si="0"/>
        <v>5.4885000000000003E-2</v>
      </c>
      <c r="AN35">
        <f t="shared" si="1"/>
        <v>5.4885000000000003E-2</v>
      </c>
      <c r="AO35">
        <f>IF(ISNUMBER($AM35),ABS(IF(ISNUMBER($G35),$G35,0)-Settings!$B$25),"")</f>
        <v>0.33250000000000002</v>
      </c>
      <c r="AP35">
        <f t="shared" si="2"/>
        <v>1.8249262500000002E-2</v>
      </c>
      <c r="AQ35">
        <f>IF(ISNUMBER($AN35),ABS(IF(ISNUMBER($G35),$G35,0)-Settings!$B$25),"")</f>
        <v>0.33250000000000002</v>
      </c>
      <c r="AR35">
        <f t="shared" si="3"/>
        <v>1.8249262500000002E-2</v>
      </c>
      <c r="AS35" t="str">
        <f>IF($A35="","",IFERROR(INDEX(Company_List!$H$3:$H$207,MATCH($A35,Company_List!$A$3:$A$207,0)),"unassigned"))</f>
        <v>Health Care</v>
      </c>
      <c r="AT35" t="s">
        <v>1915</v>
      </c>
      <c r="AU35" t="s">
        <v>1916</v>
      </c>
      <c r="AV35">
        <v>1</v>
      </c>
      <c r="AW35" t="s">
        <v>561</v>
      </c>
      <c r="AX35" t="s">
        <v>561</v>
      </c>
      <c r="AY35" t="s">
        <v>550</v>
      </c>
      <c r="AZ35" t="s">
        <v>562</v>
      </c>
      <c r="BA35" s="160" t="s">
        <v>546</v>
      </c>
      <c r="BB35" s="160" t="s">
        <v>1922</v>
      </c>
    </row>
    <row r="36" spans="1:54" x14ac:dyDescent="0.2">
      <c r="A36" s="115" t="s">
        <v>951</v>
      </c>
      <c r="B36" s="117" t="s">
        <v>952</v>
      </c>
      <c r="C36" s="105">
        <v>2025</v>
      </c>
      <c r="D36" s="106" t="s">
        <v>563</v>
      </c>
      <c r="E36" s="109" t="s">
        <v>1911</v>
      </c>
      <c r="F36" s="106" t="s">
        <v>1912</v>
      </c>
      <c r="G36" s="128">
        <v>0.41</v>
      </c>
      <c r="H36" s="106" t="s">
        <v>1919</v>
      </c>
      <c r="I36" s="128"/>
      <c r="J36" s="125">
        <v>45960</v>
      </c>
      <c r="K36" s="126">
        <v>45959</v>
      </c>
      <c r="L36" s="129">
        <v>813.53</v>
      </c>
      <c r="M36" s="126">
        <v>45960</v>
      </c>
      <c r="N36" s="129">
        <v>837.5</v>
      </c>
      <c r="O36" s="132">
        <v>3.4299999999999999E-3</v>
      </c>
      <c r="P36" s="107">
        <v>2.9464000000000001E-2</v>
      </c>
      <c r="Q36" s="106" t="s">
        <v>591</v>
      </c>
      <c r="R36" s="106" t="s">
        <v>554</v>
      </c>
      <c r="S36" s="105">
        <v>1</v>
      </c>
      <c r="T36" s="107">
        <v>2.8464E-2</v>
      </c>
      <c r="U36" s="130" t="s">
        <v>1914</v>
      </c>
      <c r="V36" t="s">
        <v>549</v>
      </c>
      <c r="W36" t="s">
        <v>564</v>
      </c>
      <c r="X36" t="s">
        <v>952</v>
      </c>
      <c r="Y36" t="s">
        <v>626</v>
      </c>
      <c r="Z36">
        <v>809.58979999999997</v>
      </c>
      <c r="AA36" t="s">
        <v>660</v>
      </c>
      <c r="AB36">
        <v>833.44370000000004</v>
      </c>
      <c r="AC36">
        <v>2.9464116471386179E-2</v>
      </c>
      <c r="AD36" t="s">
        <v>591</v>
      </c>
      <c r="AE36" t="s">
        <v>554</v>
      </c>
      <c r="AF36">
        <v>2.8464E-2</v>
      </c>
      <c r="AG36" t="str">
        <f>IF($A36="","",IFERROR(INDEX(Company_List!$G$3:$G$207,MATCH($A36,Company_List!$A$3:$A$207,0)),"unassigned"))</f>
        <v>P2</v>
      </c>
      <c r="AH36" t="s">
        <v>955</v>
      </c>
      <c r="AI36" t="s">
        <v>956</v>
      </c>
      <c r="AJ36" t="s">
        <v>560</v>
      </c>
      <c r="AK36" t="str">
        <f>IF($A36="","",IF(COUNTIFS(Human_Data_Entry!$A$3:$A$525,$A36)&gt;0,"YES","NO"))</f>
        <v>YES</v>
      </c>
      <c r="AL36" t="str">
        <f>IF($A36="","",IF(AND($C36&amp;"-"&amp;$D36&gt;=Settings!$B$19,$C36&amp;"-"&amp;$D36&lt;=Settings!$B$20),"IN","OUT"))</f>
        <v>IN</v>
      </c>
      <c r="AM36">
        <f t="shared" si="0"/>
        <v>2.8464E-2</v>
      </c>
      <c r="AN36">
        <f t="shared" si="1"/>
        <v>2.8464E-2</v>
      </c>
      <c r="AO36">
        <f>IF(ISNUMBER($AM36),ABS(IF(ISNUMBER($G36),$G36,0)-Settings!$B$25),"")</f>
        <v>0.41</v>
      </c>
      <c r="AP36">
        <f t="shared" si="2"/>
        <v>1.1670239999999998E-2</v>
      </c>
      <c r="AQ36">
        <f>IF(ISNUMBER($AN36),ABS(IF(ISNUMBER($G36),$G36,0)-Settings!$B$25),"")</f>
        <v>0.41</v>
      </c>
      <c r="AR36">
        <f t="shared" si="3"/>
        <v>1.1670239999999998E-2</v>
      </c>
      <c r="AS36" t="str">
        <f>IF($A36="","",IFERROR(INDEX(Company_List!$H$3:$H$207,MATCH($A36,Company_List!$A$3:$A$207,0)),"unassigned"))</f>
        <v>Health Care</v>
      </c>
      <c r="AT36" t="s">
        <v>1915</v>
      </c>
      <c r="AU36" t="s">
        <v>1916</v>
      </c>
      <c r="AV36">
        <v>1</v>
      </c>
      <c r="AW36" t="s">
        <v>561</v>
      </c>
      <c r="AX36" t="s">
        <v>561</v>
      </c>
      <c r="AY36" t="s">
        <v>550</v>
      </c>
      <c r="AZ36" t="s">
        <v>562</v>
      </c>
      <c r="BA36" s="160" t="s">
        <v>546</v>
      </c>
      <c r="BB36" s="160" t="s">
        <v>1922</v>
      </c>
    </row>
    <row r="37" spans="1:54" x14ac:dyDescent="0.2">
      <c r="A37" s="115" t="s">
        <v>951</v>
      </c>
      <c r="B37" s="117" t="s">
        <v>952</v>
      </c>
      <c r="C37" s="105">
        <v>2025</v>
      </c>
      <c r="D37" s="106" t="s">
        <v>569</v>
      </c>
      <c r="E37" s="109" t="s">
        <v>1911</v>
      </c>
      <c r="F37" s="106" t="s">
        <v>1912</v>
      </c>
      <c r="G37" s="128">
        <v>0.38750000000000001</v>
      </c>
      <c r="H37" s="106" t="s">
        <v>1919</v>
      </c>
      <c r="I37" s="128"/>
      <c r="J37" s="125">
        <v>46057</v>
      </c>
      <c r="K37" s="126">
        <v>46056</v>
      </c>
      <c r="L37" s="129">
        <v>1003.46</v>
      </c>
      <c r="M37" s="126">
        <v>46057</v>
      </c>
      <c r="N37" s="129">
        <v>1075.1199999999999</v>
      </c>
      <c r="O37" s="132">
        <v>3.5430000000000001E-3</v>
      </c>
      <c r="P37" s="107">
        <v>7.1413000000000004E-2</v>
      </c>
      <c r="Q37" s="106" t="s">
        <v>591</v>
      </c>
      <c r="R37" s="106" t="s">
        <v>554</v>
      </c>
      <c r="S37" s="105">
        <v>1</v>
      </c>
      <c r="T37" s="107">
        <v>7.0413000000000003E-2</v>
      </c>
      <c r="U37" s="130" t="s">
        <v>1914</v>
      </c>
      <c r="V37" t="s">
        <v>549</v>
      </c>
      <c r="W37" t="s">
        <v>564</v>
      </c>
      <c r="X37" t="s">
        <v>952</v>
      </c>
      <c r="Y37" t="s">
        <v>736</v>
      </c>
      <c r="Z37">
        <v>1000.0665</v>
      </c>
      <c r="AA37" t="s">
        <v>737</v>
      </c>
      <c r="AB37">
        <v>1071.4840999999999</v>
      </c>
      <c r="AC37">
        <v>7.1412860388890456E-2</v>
      </c>
      <c r="AD37" t="s">
        <v>591</v>
      </c>
      <c r="AE37" t="s">
        <v>554</v>
      </c>
      <c r="AF37">
        <v>7.0413000000000003E-2</v>
      </c>
      <c r="AG37" t="str">
        <f>IF($A37="","",IFERROR(INDEX(Company_List!$G$3:$G$207,MATCH($A37,Company_List!$A$3:$A$207,0)),"unassigned"))</f>
        <v>P2</v>
      </c>
      <c r="AH37" t="s">
        <v>957</v>
      </c>
      <c r="AI37" t="s">
        <v>958</v>
      </c>
      <c r="AJ37" t="s">
        <v>560</v>
      </c>
      <c r="AK37" t="str">
        <f>IF($A37="","",IF(COUNTIFS(Human_Data_Entry!$A$3:$A$525,$A37)&gt;0,"YES","NO"))</f>
        <v>YES</v>
      </c>
      <c r="AL37" t="str">
        <f>IF($A37="","",IF(AND($C37&amp;"-"&amp;$D37&gt;=Settings!$B$19,$C37&amp;"-"&amp;$D37&lt;=Settings!$B$20),"IN","OUT"))</f>
        <v>IN</v>
      </c>
      <c r="AM37">
        <f t="shared" si="0"/>
        <v>7.0413000000000003E-2</v>
      </c>
      <c r="AN37">
        <f t="shared" si="1"/>
        <v>7.0413000000000003E-2</v>
      </c>
      <c r="AO37">
        <f>IF(ISNUMBER($AM37),ABS(IF(ISNUMBER($G37),$G37,0)-Settings!$B$25),"")</f>
        <v>0.38750000000000001</v>
      </c>
      <c r="AP37">
        <f t="shared" si="2"/>
        <v>2.7285037500000001E-2</v>
      </c>
      <c r="AQ37">
        <f>IF(ISNUMBER($AN37),ABS(IF(ISNUMBER($G37),$G37,0)-Settings!$B$25),"")</f>
        <v>0.38750000000000001</v>
      </c>
      <c r="AR37">
        <f t="shared" si="3"/>
        <v>2.7285037500000001E-2</v>
      </c>
      <c r="AS37" t="str">
        <f>IF($A37="","",IFERROR(INDEX(Company_List!$H$3:$H$207,MATCH($A37,Company_List!$A$3:$A$207,0)),"unassigned"))</f>
        <v>Health Care</v>
      </c>
      <c r="AT37" t="s">
        <v>1915</v>
      </c>
      <c r="AU37" t="s">
        <v>1916</v>
      </c>
      <c r="AV37">
        <v>1</v>
      </c>
      <c r="AW37" t="s">
        <v>561</v>
      </c>
      <c r="AX37" t="s">
        <v>561</v>
      </c>
      <c r="AY37" t="s">
        <v>550</v>
      </c>
      <c r="AZ37" t="s">
        <v>562</v>
      </c>
      <c r="BA37" s="160" t="s">
        <v>546</v>
      </c>
      <c r="BB37" s="160" t="s">
        <v>1922</v>
      </c>
    </row>
    <row r="38" spans="1:54" x14ac:dyDescent="0.2">
      <c r="A38" s="115" t="s">
        <v>876</v>
      </c>
      <c r="B38" s="117" t="s">
        <v>878</v>
      </c>
      <c r="C38" s="105">
        <v>2025</v>
      </c>
      <c r="D38" s="106" t="s">
        <v>537</v>
      </c>
      <c r="E38" s="109" t="s">
        <v>1911</v>
      </c>
      <c r="F38" s="106" t="s">
        <v>1912</v>
      </c>
      <c r="G38" s="128">
        <v>-0.13500000000000001</v>
      </c>
      <c r="H38" s="106" t="s">
        <v>1923</v>
      </c>
      <c r="I38" s="128"/>
      <c r="J38" s="125">
        <v>45761</v>
      </c>
      <c r="K38" s="126">
        <v>45758</v>
      </c>
      <c r="L38" s="129">
        <v>494.44</v>
      </c>
      <c r="M38" s="126">
        <v>45761</v>
      </c>
      <c r="N38" s="129">
        <v>510</v>
      </c>
      <c r="O38" s="132">
        <v>8.1510000000000003E-3</v>
      </c>
      <c r="P38" s="107">
        <v>3.1469999999999998E-2</v>
      </c>
      <c r="Q38" s="106" t="s">
        <v>591</v>
      </c>
      <c r="R38" s="106" t="s">
        <v>546</v>
      </c>
      <c r="S38" s="105">
        <v>-1</v>
      </c>
      <c r="T38" s="107">
        <v>-3.2469999999999999E-2</v>
      </c>
      <c r="U38" s="130" t="s">
        <v>1914</v>
      </c>
      <c r="V38" t="s">
        <v>549</v>
      </c>
      <c r="W38" t="s">
        <v>541</v>
      </c>
      <c r="X38" t="s">
        <v>878</v>
      </c>
      <c r="Y38" t="s">
        <v>879</v>
      </c>
      <c r="Z38">
        <v>482.27910000000003</v>
      </c>
      <c r="AA38" t="s">
        <v>714</v>
      </c>
      <c r="AB38">
        <v>497.45639999999997</v>
      </c>
      <c r="AC38">
        <v>3.1469854693191412E-2</v>
      </c>
      <c r="AD38" t="s">
        <v>591</v>
      </c>
      <c r="AE38" t="s">
        <v>546</v>
      </c>
      <c r="AF38">
        <v>-3.2469999999999999E-2</v>
      </c>
      <c r="AG38" t="str">
        <f>IF($A38="","",IFERROR(INDEX(Company_List!$G$3:$G$207,MATCH($A38,Company_List!$A$3:$A$207,0)),"unassigned"))</f>
        <v>P2</v>
      </c>
      <c r="AH38" t="s">
        <v>880</v>
      </c>
      <c r="AI38" t="s">
        <v>881</v>
      </c>
      <c r="AJ38" t="s">
        <v>754</v>
      </c>
      <c r="AK38" t="str">
        <f>IF($A38="","",IF(COUNTIFS(Human_Data_Entry!$A$3:$A$525,$A38)&gt;0,"YES","NO"))</f>
        <v>YES</v>
      </c>
      <c r="AL38" t="str">
        <f>IF($A38="","",IF(AND($C38&amp;"-"&amp;$D38&gt;=Settings!$B$19,$C38&amp;"-"&amp;$D38&lt;=Settings!$B$20),"IN","OUT"))</f>
        <v>IN</v>
      </c>
      <c r="AM38">
        <f t="shared" si="0"/>
        <v>-3.2469999999999999E-2</v>
      </c>
      <c r="AN38">
        <f t="shared" si="1"/>
        <v>-3.2469999999999999E-2</v>
      </c>
      <c r="AO38">
        <f>IF(ISNUMBER($AM38),ABS(IF(ISNUMBER($G38),$G38,0)-Settings!$B$25),"")</f>
        <v>0.13500000000000001</v>
      </c>
      <c r="AP38">
        <f t="shared" si="2"/>
        <v>-4.3834500000000005E-3</v>
      </c>
      <c r="AQ38">
        <f>IF(ISNUMBER($AN38),ABS(IF(ISNUMBER($G38),$G38,0)-Settings!$B$25),"")</f>
        <v>0.13500000000000001</v>
      </c>
      <c r="AR38">
        <f t="shared" si="3"/>
        <v>-4.3834500000000005E-3</v>
      </c>
      <c r="AS38" t="str">
        <f>IF($A38="","",IFERROR(INDEX(Company_List!$H$3:$H$207,MATCH($A38,Company_List!$A$3:$A$207,0)),"unassigned"))</f>
        <v>Financials</v>
      </c>
      <c r="AT38" t="s">
        <v>1915</v>
      </c>
      <c r="AU38" t="s">
        <v>1916</v>
      </c>
      <c r="AV38">
        <v>3</v>
      </c>
      <c r="AW38" t="s">
        <v>882</v>
      </c>
      <c r="AX38" t="s">
        <v>596</v>
      </c>
      <c r="AY38" t="s">
        <v>550</v>
      </c>
      <c r="AZ38" t="s">
        <v>562</v>
      </c>
      <c r="BA38" t="s">
        <v>554</v>
      </c>
    </row>
    <row r="39" spans="1:54" x14ac:dyDescent="0.2">
      <c r="A39" s="115" t="s">
        <v>876</v>
      </c>
      <c r="B39" s="117" t="s">
        <v>878</v>
      </c>
      <c r="C39" s="105">
        <v>2026</v>
      </c>
      <c r="D39" s="106" t="s">
        <v>537</v>
      </c>
      <c r="E39" s="109" t="s">
        <v>1911</v>
      </c>
      <c r="F39" s="106" t="s">
        <v>1912</v>
      </c>
      <c r="G39" s="128">
        <v>-5.2499999999999998E-2</v>
      </c>
      <c r="H39" s="106" t="s">
        <v>1923</v>
      </c>
      <c r="I39" s="128"/>
      <c r="J39" s="125">
        <v>46125</v>
      </c>
      <c r="K39" s="126">
        <v>46122</v>
      </c>
      <c r="L39" s="129">
        <v>907.8</v>
      </c>
      <c r="M39" s="126">
        <v>46125</v>
      </c>
      <c r="N39" s="129">
        <v>875.55</v>
      </c>
      <c r="O39" s="132">
        <v>8.6189999999999999E-3</v>
      </c>
      <c r="P39" s="107">
        <v>-3.5525000000000001E-2</v>
      </c>
      <c r="Q39" s="106" t="s">
        <v>545</v>
      </c>
      <c r="R39" s="106" t="s">
        <v>554</v>
      </c>
      <c r="S39" s="105">
        <v>-1</v>
      </c>
      <c r="T39" s="107">
        <v>3.4525E-2</v>
      </c>
      <c r="U39" s="130" t="s">
        <v>1914</v>
      </c>
      <c r="V39" t="s">
        <v>549</v>
      </c>
      <c r="W39" t="s">
        <v>541</v>
      </c>
      <c r="X39" t="s">
        <v>878</v>
      </c>
      <c r="Y39" t="s">
        <v>895</v>
      </c>
      <c r="Z39">
        <v>903.81669999999997</v>
      </c>
      <c r="AA39" t="s">
        <v>766</v>
      </c>
      <c r="AB39">
        <v>871.70820000000003</v>
      </c>
      <c r="AC39">
        <v>-3.5525435864656209E-2</v>
      </c>
      <c r="AD39" t="s">
        <v>545</v>
      </c>
      <c r="AE39" t="s">
        <v>554</v>
      </c>
      <c r="AF39">
        <v>3.4525E-2</v>
      </c>
      <c r="AG39" t="str">
        <f>IF($A39="","",IFERROR(INDEX(Company_List!$G$3:$G$207,MATCH($A39,Company_List!$A$3:$A$207,0)),"unassigned"))</f>
        <v>P2</v>
      </c>
      <c r="AH39" t="s">
        <v>896</v>
      </c>
      <c r="AI39" t="s">
        <v>897</v>
      </c>
      <c r="AJ39" t="s">
        <v>754</v>
      </c>
      <c r="AK39" t="str">
        <f>IF($A39="","",IF(COUNTIFS(Human_Data_Entry!$A$3:$A$525,$A39)&gt;0,"YES","NO"))</f>
        <v>YES</v>
      </c>
      <c r="AL39" t="str">
        <f>IF($A39="","",IF(AND($C39&amp;"-"&amp;$D39&gt;=Settings!$B$19,$C39&amp;"-"&amp;$D39&lt;=Settings!$B$20),"IN","OUT"))</f>
        <v>IN</v>
      </c>
      <c r="AM39">
        <f t="shared" si="0"/>
        <v>3.4525E-2</v>
      </c>
      <c r="AN39">
        <f t="shared" si="1"/>
        <v>3.4525E-2</v>
      </c>
      <c r="AO39">
        <f>IF(ISNUMBER($AM39),ABS(IF(ISNUMBER($G39),$G39,0)-Settings!$B$25),"")</f>
        <v>5.2499999999999998E-2</v>
      </c>
      <c r="AP39">
        <f t="shared" si="2"/>
        <v>1.8125624999999999E-3</v>
      </c>
      <c r="AQ39">
        <f>IF(ISNUMBER($AN39),ABS(IF(ISNUMBER($G39),$G39,0)-Settings!$B$25),"")</f>
        <v>5.2499999999999998E-2</v>
      </c>
      <c r="AR39">
        <f t="shared" si="3"/>
        <v>1.8125624999999999E-3</v>
      </c>
      <c r="AS39" t="str">
        <f>IF($A39="","",IFERROR(INDEX(Company_List!$H$3:$H$207,MATCH($A39,Company_List!$A$3:$A$207,0)),"unassigned"))</f>
        <v>Financials</v>
      </c>
      <c r="AT39" t="s">
        <v>1915</v>
      </c>
      <c r="AU39" t="s">
        <v>1916</v>
      </c>
      <c r="AV39">
        <v>3</v>
      </c>
      <c r="AW39" t="s">
        <v>595</v>
      </c>
      <c r="AX39" t="s">
        <v>596</v>
      </c>
      <c r="AY39" t="s">
        <v>550</v>
      </c>
      <c r="AZ39" t="s">
        <v>562</v>
      </c>
      <c r="BA39" t="s">
        <v>554</v>
      </c>
    </row>
    <row r="40" spans="1:54" x14ac:dyDescent="0.2">
      <c r="A40" s="115" t="s">
        <v>876</v>
      </c>
      <c r="B40" s="117" t="s">
        <v>878</v>
      </c>
      <c r="C40" s="105">
        <v>2025</v>
      </c>
      <c r="D40" s="106" t="s">
        <v>555</v>
      </c>
      <c r="E40" s="109" t="s">
        <v>1911</v>
      </c>
      <c r="F40" s="106" t="s">
        <v>1912</v>
      </c>
      <c r="G40" s="128">
        <v>0.21</v>
      </c>
      <c r="H40" s="106" t="s">
        <v>1913</v>
      </c>
      <c r="I40" s="128"/>
      <c r="J40" s="125">
        <v>45854</v>
      </c>
      <c r="K40" s="126">
        <v>45853</v>
      </c>
      <c r="L40" s="129">
        <v>702.51</v>
      </c>
      <c r="M40" s="126">
        <v>45854</v>
      </c>
      <c r="N40" s="129">
        <v>708.5</v>
      </c>
      <c r="O40" s="132">
        <v>7.9939999999999994E-3</v>
      </c>
      <c r="P40" s="107">
        <v>8.5269999999999999E-3</v>
      </c>
      <c r="Q40" s="106" t="s">
        <v>579</v>
      </c>
      <c r="R40" s="106" t="s">
        <v>554</v>
      </c>
      <c r="S40" s="105">
        <v>0</v>
      </c>
      <c r="T40" s="107">
        <v>0</v>
      </c>
      <c r="U40" s="130" t="s">
        <v>1914</v>
      </c>
      <c r="V40" t="s">
        <v>549</v>
      </c>
      <c r="W40" t="s">
        <v>807</v>
      </c>
      <c r="X40" t="s">
        <v>878</v>
      </c>
      <c r="Y40" t="s">
        <v>719</v>
      </c>
      <c r="Z40">
        <v>688.6472</v>
      </c>
      <c r="AA40" t="s">
        <v>884</v>
      </c>
      <c r="AB40">
        <v>694.51890000000003</v>
      </c>
      <c r="AC40">
        <v>8.5265636345177812E-3</v>
      </c>
      <c r="AD40" t="s">
        <v>579</v>
      </c>
      <c r="AE40" t="s">
        <v>554</v>
      </c>
      <c r="AF40">
        <v>0</v>
      </c>
      <c r="AG40" t="str">
        <f>IF($A40="","",IFERROR(INDEX(Company_List!$G$3:$G$207,MATCH($A40,Company_List!$A$3:$A$207,0)),"unassigned"))</f>
        <v>P2</v>
      </c>
      <c r="AH40" t="s">
        <v>885</v>
      </c>
      <c r="AI40" t="s">
        <v>886</v>
      </c>
      <c r="AJ40" t="s">
        <v>754</v>
      </c>
      <c r="AK40" t="str">
        <f>IF($A40="","",IF(COUNTIFS(Human_Data_Entry!$A$3:$A$525,$A40)&gt;0,"YES","NO"))</f>
        <v>YES</v>
      </c>
      <c r="AL40" t="str">
        <f>IF($A40="","",IF(AND($C40&amp;"-"&amp;$D40&gt;=Settings!$B$19,$C40&amp;"-"&amp;$D40&lt;=Settings!$B$20),"IN","OUT"))</f>
        <v>IN</v>
      </c>
      <c r="AM40" t="str">
        <f t="shared" si="0"/>
        <v/>
      </c>
      <c r="AN40" t="str">
        <f t="shared" si="1"/>
        <v/>
      </c>
      <c r="AO40" t="str">
        <f>IF(ISNUMBER($AM40),ABS(IF(ISNUMBER($G40),$G40,0)-Settings!$B$25),"")</f>
        <v/>
      </c>
      <c r="AP40" t="str">
        <f t="shared" si="2"/>
        <v/>
      </c>
      <c r="AQ40" t="str">
        <f>IF(ISNUMBER($AN40),ABS(IF(ISNUMBER($G40),$G40,0)-Settings!$B$25),"")</f>
        <v/>
      </c>
      <c r="AR40" t="str">
        <f t="shared" si="3"/>
        <v/>
      </c>
      <c r="AS40" t="str">
        <f>IF($A40="","",IFERROR(INDEX(Company_List!$H$3:$H$207,MATCH($A40,Company_List!$A$3:$A$207,0)),"unassigned"))</f>
        <v>Financials</v>
      </c>
      <c r="AT40" t="s">
        <v>1915</v>
      </c>
      <c r="AU40" t="s">
        <v>1916</v>
      </c>
      <c r="AV40">
        <v>3</v>
      </c>
      <c r="AW40" t="s">
        <v>595</v>
      </c>
      <c r="AX40" t="s">
        <v>596</v>
      </c>
      <c r="AY40" t="s">
        <v>550</v>
      </c>
      <c r="AZ40" t="s">
        <v>562</v>
      </c>
      <c r="BA40" t="s">
        <v>554</v>
      </c>
    </row>
    <row r="41" spans="1:54" x14ac:dyDescent="0.2">
      <c r="A41" s="115" t="s">
        <v>876</v>
      </c>
      <c r="B41" s="117" t="s">
        <v>878</v>
      </c>
      <c r="C41" s="105">
        <v>2026</v>
      </c>
      <c r="D41" s="106" t="s">
        <v>555</v>
      </c>
      <c r="E41" s="109" t="s">
        <v>1911</v>
      </c>
      <c r="F41" s="106" t="s">
        <v>1912</v>
      </c>
      <c r="G41" s="128">
        <v>0.03</v>
      </c>
      <c r="H41" s="106" t="s">
        <v>1913</v>
      </c>
      <c r="I41" s="128"/>
      <c r="J41" s="125">
        <v>46217</v>
      </c>
      <c r="K41" s="126">
        <v>46216</v>
      </c>
      <c r="L41" s="129">
        <v>1045.9100000000001</v>
      </c>
      <c r="M41" s="126">
        <v>46217</v>
      </c>
      <c r="N41" s="129">
        <v>1085</v>
      </c>
      <c r="O41" s="132">
        <v>7.5189999999999996E-3</v>
      </c>
      <c r="P41" s="107">
        <v>3.7373999999999998E-2</v>
      </c>
      <c r="Q41" s="106" t="s">
        <v>591</v>
      </c>
      <c r="R41" s="106" t="s">
        <v>546</v>
      </c>
      <c r="S41" s="105">
        <v>0</v>
      </c>
      <c r="T41" s="107">
        <v>0</v>
      </c>
      <c r="U41" s="130" t="s">
        <v>1914</v>
      </c>
      <c r="V41" t="s">
        <v>549</v>
      </c>
      <c r="W41" t="s">
        <v>541</v>
      </c>
      <c r="X41" t="s">
        <v>878</v>
      </c>
      <c r="Y41" t="s">
        <v>899</v>
      </c>
      <c r="Z41">
        <v>1045.9100000000001</v>
      </c>
      <c r="AA41" t="s">
        <v>900</v>
      </c>
      <c r="AB41">
        <v>1085</v>
      </c>
      <c r="AC41">
        <v>3.7374118929238608E-2</v>
      </c>
      <c r="AD41" t="s">
        <v>591</v>
      </c>
      <c r="AE41" t="s">
        <v>546</v>
      </c>
      <c r="AF41">
        <v>0</v>
      </c>
      <c r="AG41" t="str">
        <f>IF($A41="","",IFERROR(INDEX(Company_List!$G$3:$G$207,MATCH($A41,Company_List!$A$3:$A$207,0)),"unassigned"))</f>
        <v>P2</v>
      </c>
      <c r="AH41" t="s">
        <v>901</v>
      </c>
      <c r="AI41" t="s">
        <v>902</v>
      </c>
      <c r="AJ41" t="s">
        <v>754</v>
      </c>
      <c r="AK41" t="str">
        <f>IF($A41="","",IF(COUNTIFS(Human_Data_Entry!$A$3:$A$525,$A41)&gt;0,"YES","NO"))</f>
        <v>YES</v>
      </c>
      <c r="AL41" t="str">
        <f>IF($A41="","",IF(AND($C41&amp;"-"&amp;$D41&gt;=Settings!$B$19,$C41&amp;"-"&amp;$D41&lt;=Settings!$B$20),"IN","OUT"))</f>
        <v>IN</v>
      </c>
      <c r="AM41" t="str">
        <f t="shared" si="0"/>
        <v/>
      </c>
      <c r="AN41" t="str">
        <f t="shared" si="1"/>
        <v/>
      </c>
      <c r="AO41" t="str">
        <f>IF(ISNUMBER($AM41),ABS(IF(ISNUMBER($G41),$G41,0)-Settings!$B$25),"")</f>
        <v/>
      </c>
      <c r="AP41" t="str">
        <f t="shared" si="2"/>
        <v/>
      </c>
      <c r="AQ41" t="str">
        <f>IF(ISNUMBER($AN41),ABS(IF(ISNUMBER($G41),$G41,0)-Settings!$B$25),"")</f>
        <v/>
      </c>
      <c r="AR41" t="str">
        <f t="shared" si="3"/>
        <v/>
      </c>
      <c r="AS41" t="str">
        <f>IF($A41="","",IFERROR(INDEX(Company_List!$H$3:$H$207,MATCH($A41,Company_List!$A$3:$A$207,0)),"unassigned"))</f>
        <v>Financials</v>
      </c>
      <c r="AT41" t="s">
        <v>1915</v>
      </c>
      <c r="AU41" t="s">
        <v>1916</v>
      </c>
      <c r="AV41">
        <v>3</v>
      </c>
      <c r="AW41" t="s">
        <v>561</v>
      </c>
      <c r="AX41" t="s">
        <v>561</v>
      </c>
      <c r="AY41" t="s">
        <v>550</v>
      </c>
      <c r="AZ41" t="s">
        <v>562</v>
      </c>
      <c r="BA41" t="s">
        <v>554</v>
      </c>
    </row>
    <row r="42" spans="1:54" x14ac:dyDescent="0.2">
      <c r="A42" s="115" t="s">
        <v>876</v>
      </c>
      <c r="B42" s="117" t="s">
        <v>878</v>
      </c>
      <c r="C42" s="105">
        <v>2025</v>
      </c>
      <c r="D42" s="106" t="s">
        <v>563</v>
      </c>
      <c r="E42" s="109" t="s">
        <v>1911</v>
      </c>
      <c r="F42" s="106" t="s">
        <v>1912</v>
      </c>
      <c r="G42" s="128">
        <v>0.32750000000000001</v>
      </c>
      <c r="H42" s="106" t="s">
        <v>1919</v>
      </c>
      <c r="I42" s="128"/>
      <c r="J42" s="125">
        <v>45944</v>
      </c>
      <c r="K42" s="126">
        <v>45943</v>
      </c>
      <c r="L42" s="129">
        <v>786.78</v>
      </c>
      <c r="M42" s="126">
        <v>45944</v>
      </c>
      <c r="N42" s="129">
        <v>764.45</v>
      </c>
      <c r="O42" s="132">
        <v>7.1710000000000003E-3</v>
      </c>
      <c r="P42" s="107">
        <v>-2.8382000000000001E-2</v>
      </c>
      <c r="Q42" s="106" t="s">
        <v>545</v>
      </c>
      <c r="R42" s="106" t="s">
        <v>546</v>
      </c>
      <c r="S42" s="105">
        <v>1</v>
      </c>
      <c r="T42" s="107">
        <v>-2.9381999999999998E-2</v>
      </c>
      <c r="U42" s="130" t="s">
        <v>1914</v>
      </c>
      <c r="V42" t="s">
        <v>549</v>
      </c>
      <c r="W42" t="s">
        <v>541</v>
      </c>
      <c r="X42" t="s">
        <v>878</v>
      </c>
      <c r="Y42" t="s">
        <v>757</v>
      </c>
      <c r="Z42">
        <v>775.38289999999995</v>
      </c>
      <c r="AA42" t="s">
        <v>722</v>
      </c>
      <c r="AB42">
        <v>753.37639999999999</v>
      </c>
      <c r="AC42">
        <v>-2.8381457298710409E-2</v>
      </c>
      <c r="AD42" t="s">
        <v>545</v>
      </c>
      <c r="AE42" t="s">
        <v>546</v>
      </c>
      <c r="AF42">
        <v>-2.9381000000000001E-2</v>
      </c>
      <c r="AG42" t="str">
        <f>IF($A42="","",IFERROR(INDEX(Company_List!$G$3:$G$207,MATCH($A42,Company_List!$A$3:$A$207,0)),"unassigned"))</f>
        <v>P2</v>
      </c>
      <c r="AH42" t="s">
        <v>888</v>
      </c>
      <c r="AI42" t="s">
        <v>889</v>
      </c>
      <c r="AJ42" t="s">
        <v>754</v>
      </c>
      <c r="AK42" t="str">
        <f>IF($A42="","",IF(COUNTIFS(Human_Data_Entry!$A$3:$A$525,$A42)&gt;0,"YES","NO"))</f>
        <v>YES</v>
      </c>
      <c r="AL42" t="str">
        <f>IF($A42="","",IF(AND($C42&amp;"-"&amp;$D42&gt;=Settings!$B$19,$C42&amp;"-"&amp;$D42&lt;=Settings!$B$20),"IN","OUT"))</f>
        <v>IN</v>
      </c>
      <c r="AM42">
        <f t="shared" si="0"/>
        <v>-2.9381999999999998E-2</v>
      </c>
      <c r="AN42">
        <f t="shared" si="1"/>
        <v>-2.9381000000000001E-2</v>
      </c>
      <c r="AO42">
        <f>IF(ISNUMBER($AM42),ABS(IF(ISNUMBER($G42),$G42,0)-Settings!$B$25),"")</f>
        <v>0.32750000000000001</v>
      </c>
      <c r="AP42">
        <f t="shared" si="2"/>
        <v>-9.6226049999999994E-3</v>
      </c>
      <c r="AQ42">
        <f>IF(ISNUMBER($AN42),ABS(IF(ISNUMBER($G42),$G42,0)-Settings!$B$25),"")</f>
        <v>0.32750000000000001</v>
      </c>
      <c r="AR42">
        <f t="shared" si="3"/>
        <v>-9.6222775E-3</v>
      </c>
      <c r="AS42" t="str">
        <f>IF($A42="","",IFERROR(INDEX(Company_List!$H$3:$H$207,MATCH($A42,Company_List!$A$3:$A$207,0)),"unassigned"))</f>
        <v>Financials</v>
      </c>
      <c r="AT42" t="s">
        <v>1915</v>
      </c>
      <c r="AU42" t="s">
        <v>1916</v>
      </c>
      <c r="AV42">
        <v>3</v>
      </c>
      <c r="AW42" t="s">
        <v>882</v>
      </c>
      <c r="AX42" t="s">
        <v>596</v>
      </c>
      <c r="AY42" t="s">
        <v>550</v>
      </c>
      <c r="AZ42" t="s">
        <v>562</v>
      </c>
      <c r="BA42" t="s">
        <v>554</v>
      </c>
    </row>
    <row r="43" spans="1:54" x14ac:dyDescent="0.2">
      <c r="A43" s="115" t="s">
        <v>876</v>
      </c>
      <c r="B43" s="117" t="s">
        <v>878</v>
      </c>
      <c r="C43" s="105">
        <v>2025</v>
      </c>
      <c r="D43" s="106" t="s">
        <v>569</v>
      </c>
      <c r="E43" s="109" t="s">
        <v>1911</v>
      </c>
      <c r="F43" s="106" t="s">
        <v>1912</v>
      </c>
      <c r="G43" s="128">
        <v>0.27750000000000002</v>
      </c>
      <c r="H43" s="106" t="s">
        <v>1919</v>
      </c>
      <c r="I43" s="128"/>
      <c r="J43" s="125">
        <v>46037</v>
      </c>
      <c r="K43" s="126">
        <v>46036</v>
      </c>
      <c r="L43" s="129">
        <v>932.67</v>
      </c>
      <c r="M43" s="126">
        <v>46037</v>
      </c>
      <c r="N43" s="129">
        <v>924.9</v>
      </c>
      <c r="O43" s="132">
        <v>8.2290000000000002E-3</v>
      </c>
      <c r="P43" s="107">
        <v>-8.3309999999999999E-3</v>
      </c>
      <c r="Q43" s="106" t="s">
        <v>579</v>
      </c>
      <c r="R43" s="106" t="s">
        <v>546</v>
      </c>
      <c r="S43" s="105">
        <v>1</v>
      </c>
      <c r="T43" s="107">
        <v>-9.3310000000000008E-3</v>
      </c>
      <c r="U43" s="130" t="s">
        <v>1914</v>
      </c>
      <c r="V43" t="s">
        <v>549</v>
      </c>
      <c r="W43" t="s">
        <v>541</v>
      </c>
      <c r="X43" t="s">
        <v>878</v>
      </c>
      <c r="Y43" t="s">
        <v>727</v>
      </c>
      <c r="Z43">
        <v>923.71630000000005</v>
      </c>
      <c r="AA43" t="s">
        <v>891</v>
      </c>
      <c r="AB43">
        <v>916.02089999999998</v>
      </c>
      <c r="AC43">
        <v>-8.3309253499483146E-3</v>
      </c>
      <c r="AD43" t="s">
        <v>579</v>
      </c>
      <c r="AE43" t="s">
        <v>546</v>
      </c>
      <c r="AF43">
        <v>-9.3310000000000008E-3</v>
      </c>
      <c r="AG43" t="str">
        <f>IF($A43="","",IFERROR(INDEX(Company_List!$G$3:$G$207,MATCH($A43,Company_List!$A$3:$A$207,0)),"unassigned"))</f>
        <v>P2</v>
      </c>
      <c r="AH43" t="s">
        <v>892</v>
      </c>
      <c r="AI43" t="s">
        <v>893</v>
      </c>
      <c r="AJ43" t="s">
        <v>754</v>
      </c>
      <c r="AK43" t="str">
        <f>IF($A43="","",IF(COUNTIFS(Human_Data_Entry!$A$3:$A$525,$A43)&gt;0,"YES","NO"))</f>
        <v>YES</v>
      </c>
      <c r="AL43" t="str">
        <f>IF($A43="","",IF(AND($C43&amp;"-"&amp;$D43&gt;=Settings!$B$19,$C43&amp;"-"&amp;$D43&lt;=Settings!$B$20),"IN","OUT"))</f>
        <v>IN</v>
      </c>
      <c r="AM43">
        <f t="shared" si="0"/>
        <v>-9.3310000000000008E-3</v>
      </c>
      <c r="AN43">
        <f t="shared" si="1"/>
        <v>-9.3310000000000008E-3</v>
      </c>
      <c r="AO43">
        <f>IF(ISNUMBER($AM43),ABS(IF(ISNUMBER($G43),$G43,0)-Settings!$B$25),"")</f>
        <v>0.27750000000000002</v>
      </c>
      <c r="AP43">
        <f t="shared" si="2"/>
        <v>-2.5893525000000002E-3</v>
      </c>
      <c r="AQ43">
        <f>IF(ISNUMBER($AN43),ABS(IF(ISNUMBER($G43),$G43,0)-Settings!$B$25),"")</f>
        <v>0.27750000000000002</v>
      </c>
      <c r="AR43">
        <f t="shared" si="3"/>
        <v>-2.5893525000000002E-3</v>
      </c>
      <c r="AS43" t="str">
        <f>IF($A43="","",IFERROR(INDEX(Company_List!$H$3:$H$207,MATCH($A43,Company_List!$A$3:$A$207,0)),"unassigned"))</f>
        <v>Financials</v>
      </c>
      <c r="AT43" t="s">
        <v>1915</v>
      </c>
      <c r="AU43" t="s">
        <v>1916</v>
      </c>
      <c r="AV43">
        <v>3</v>
      </c>
      <c r="AW43" t="s">
        <v>595</v>
      </c>
      <c r="AX43" t="s">
        <v>596</v>
      </c>
      <c r="AY43" t="s">
        <v>550</v>
      </c>
      <c r="AZ43" t="s">
        <v>562</v>
      </c>
      <c r="BA43" t="s">
        <v>554</v>
      </c>
    </row>
    <row r="44" spans="1:54" x14ac:dyDescent="0.2">
      <c r="A44" s="115" t="s">
        <v>770</v>
      </c>
      <c r="B44" s="117" t="s">
        <v>770</v>
      </c>
      <c r="C44" s="105">
        <v>2026</v>
      </c>
      <c r="D44" s="106" t="s">
        <v>537</v>
      </c>
      <c r="E44" s="109" t="s">
        <v>1911</v>
      </c>
      <c r="F44" s="106" t="s">
        <v>1912</v>
      </c>
      <c r="G44" s="128">
        <v>0.03</v>
      </c>
      <c r="H44" s="106" t="s">
        <v>1913</v>
      </c>
      <c r="I44" s="128"/>
      <c r="J44" s="125">
        <v>46134</v>
      </c>
      <c r="K44" s="126">
        <v>46134</v>
      </c>
      <c r="L44" s="129">
        <v>251.86</v>
      </c>
      <c r="M44" s="126">
        <v>46135</v>
      </c>
      <c r="N44" s="129">
        <v>232.27</v>
      </c>
      <c r="O44" s="132">
        <v>4.5329999999999997E-3</v>
      </c>
      <c r="P44" s="107">
        <v>-7.7781000000000003E-2</v>
      </c>
      <c r="Q44" s="106" t="s">
        <v>545</v>
      </c>
      <c r="R44" s="106" t="s">
        <v>546</v>
      </c>
      <c r="S44" s="105">
        <v>0</v>
      </c>
      <c r="T44" s="107">
        <v>0</v>
      </c>
      <c r="U44" s="130" t="s">
        <v>1914</v>
      </c>
      <c r="V44" t="s">
        <v>549</v>
      </c>
      <c r="W44" t="s">
        <v>685</v>
      </c>
      <c r="X44" t="s">
        <v>770</v>
      </c>
      <c r="Y44" t="s">
        <v>779</v>
      </c>
      <c r="Z44">
        <v>250.01990000000001</v>
      </c>
      <c r="AA44" t="s">
        <v>780</v>
      </c>
      <c r="AB44">
        <v>230.57300000000001</v>
      </c>
      <c r="AC44">
        <v>-7.7781289263985462E-2</v>
      </c>
      <c r="AD44" t="s">
        <v>545</v>
      </c>
      <c r="AE44" t="s">
        <v>546</v>
      </c>
      <c r="AF44">
        <v>0</v>
      </c>
      <c r="AG44" t="str">
        <f>IF($A44="","",IFERROR(INDEX(Company_List!$G$3:$G$207,MATCH($A44,Company_List!$A$3:$A$207,0)),"unassigned"))</f>
        <v>P2</v>
      </c>
      <c r="AH44" t="s">
        <v>781</v>
      </c>
      <c r="AJ44" t="s">
        <v>593</v>
      </c>
      <c r="AK44" t="str">
        <f>IF($A44="","",IF(COUNTIFS(Human_Data_Entry!$A$3:$A$525,$A44)&gt;0,"YES","NO"))</f>
        <v>YES</v>
      </c>
      <c r="AL44" t="str">
        <f>IF($A44="","",IF(AND($C44&amp;"-"&amp;$D44&gt;=Settings!$B$19,$C44&amp;"-"&amp;$D44&lt;=Settings!$B$20),"IN","OUT"))</f>
        <v>IN</v>
      </c>
      <c r="AM44" t="str">
        <f t="shared" si="0"/>
        <v/>
      </c>
      <c r="AN44" t="str">
        <f t="shared" si="1"/>
        <v/>
      </c>
      <c r="AO44" t="str">
        <f>IF(ISNUMBER($AM44),ABS(IF(ISNUMBER($G44),$G44,0)-Settings!$B$25),"")</f>
        <v/>
      </c>
      <c r="AP44" t="str">
        <f t="shared" si="2"/>
        <v/>
      </c>
      <c r="AQ44" t="str">
        <f>IF(ISNUMBER($AN44),ABS(IF(ISNUMBER($G44),$G44,0)-Settings!$B$25),"")</f>
        <v/>
      </c>
      <c r="AR44" t="str">
        <f t="shared" si="3"/>
        <v/>
      </c>
      <c r="AS44" t="str">
        <f>IF($A44="","",IFERROR(INDEX(Company_List!$H$3:$H$207,MATCH($A44,Company_List!$A$3:$A$207,0)),"unassigned"))</f>
        <v>Information Technology</v>
      </c>
      <c r="AT44" t="s">
        <v>1915</v>
      </c>
      <c r="AU44" t="s">
        <v>1916</v>
      </c>
      <c r="AV44">
        <v>2</v>
      </c>
      <c r="AW44" t="s">
        <v>595</v>
      </c>
      <c r="AX44" t="s">
        <v>596</v>
      </c>
      <c r="AY44" t="s">
        <v>550</v>
      </c>
      <c r="AZ44" t="s">
        <v>550</v>
      </c>
      <c r="BA44" t="s">
        <v>554</v>
      </c>
    </row>
    <row r="45" spans="1:54" x14ac:dyDescent="0.2">
      <c r="A45" s="115" t="s">
        <v>770</v>
      </c>
      <c r="B45" s="117" t="s">
        <v>770</v>
      </c>
      <c r="C45" s="105">
        <v>2025</v>
      </c>
      <c r="D45" s="106" t="s">
        <v>555</v>
      </c>
      <c r="E45" s="109" t="s">
        <v>1911</v>
      </c>
      <c r="F45" s="106" t="s">
        <v>1912</v>
      </c>
      <c r="G45" s="128">
        <v>0.32</v>
      </c>
      <c r="H45" s="106" t="s">
        <v>1919</v>
      </c>
      <c r="I45" s="128"/>
      <c r="J45" s="125">
        <v>45861</v>
      </c>
      <c r="K45" s="126">
        <v>45861</v>
      </c>
      <c r="L45" s="129">
        <v>282.01</v>
      </c>
      <c r="M45" s="126">
        <v>45862</v>
      </c>
      <c r="N45" s="129">
        <v>261.25</v>
      </c>
      <c r="O45" s="132">
        <v>5.1019999999999998E-3</v>
      </c>
      <c r="P45" s="107">
        <v>-7.3613999999999999E-2</v>
      </c>
      <c r="Q45" s="106" t="s">
        <v>545</v>
      </c>
      <c r="R45" s="106" t="s">
        <v>546</v>
      </c>
      <c r="S45" s="105">
        <v>1</v>
      </c>
      <c r="T45" s="107">
        <v>-7.4614E-2</v>
      </c>
      <c r="U45" s="130" t="s">
        <v>1914</v>
      </c>
      <c r="V45" t="s">
        <v>549</v>
      </c>
      <c r="W45" t="s">
        <v>541</v>
      </c>
      <c r="X45" t="s">
        <v>770</v>
      </c>
      <c r="Y45" t="s">
        <v>772</v>
      </c>
      <c r="Z45">
        <v>274.97699999999998</v>
      </c>
      <c r="AA45" t="s">
        <v>773</v>
      </c>
      <c r="AB45">
        <v>254.7347</v>
      </c>
      <c r="AC45">
        <v>-7.36144742944667E-2</v>
      </c>
      <c r="AD45" t="s">
        <v>545</v>
      </c>
      <c r="AE45" t="s">
        <v>546</v>
      </c>
      <c r="AF45">
        <v>-7.4614E-2</v>
      </c>
      <c r="AG45" t="str">
        <f>IF($A45="","",IFERROR(INDEX(Company_List!$G$3:$G$207,MATCH($A45,Company_List!$A$3:$A$207,0)),"unassigned"))</f>
        <v>P2</v>
      </c>
      <c r="AH45" t="s">
        <v>774</v>
      </c>
      <c r="AJ45" t="s">
        <v>593</v>
      </c>
      <c r="AK45" t="str">
        <f>IF($A45="","",IF(COUNTIFS(Human_Data_Entry!$A$3:$A$525,$A45)&gt;0,"YES","NO"))</f>
        <v>YES</v>
      </c>
      <c r="AL45" t="str">
        <f>IF($A45="","",IF(AND($C45&amp;"-"&amp;$D45&gt;=Settings!$B$19,$C45&amp;"-"&amp;$D45&lt;=Settings!$B$20),"IN","OUT"))</f>
        <v>IN</v>
      </c>
      <c r="AM45">
        <f t="shared" si="0"/>
        <v>-7.4614E-2</v>
      </c>
      <c r="AN45">
        <f t="shared" si="1"/>
        <v>-7.4614E-2</v>
      </c>
      <c r="AO45">
        <f>IF(ISNUMBER($AM45),ABS(IF(ISNUMBER($G45),$G45,0)-Settings!$B$25),"")</f>
        <v>0.32</v>
      </c>
      <c r="AP45">
        <f t="shared" si="2"/>
        <v>-2.3876480000000002E-2</v>
      </c>
      <c r="AQ45">
        <f>IF(ISNUMBER($AN45),ABS(IF(ISNUMBER($G45),$G45,0)-Settings!$B$25),"")</f>
        <v>0.32</v>
      </c>
      <c r="AR45">
        <f t="shared" si="3"/>
        <v>-2.3876480000000002E-2</v>
      </c>
      <c r="AS45" t="str">
        <f>IF($A45="","",IFERROR(INDEX(Company_List!$H$3:$H$207,MATCH($A45,Company_List!$A$3:$A$207,0)),"unassigned"))</f>
        <v>Information Technology</v>
      </c>
      <c r="AT45" t="s">
        <v>1915</v>
      </c>
      <c r="AU45" t="s">
        <v>1916</v>
      </c>
      <c r="AV45">
        <v>2</v>
      </c>
      <c r="AW45" t="s">
        <v>595</v>
      </c>
      <c r="AX45" t="s">
        <v>596</v>
      </c>
      <c r="AY45" t="s">
        <v>550</v>
      </c>
      <c r="AZ45" t="s">
        <v>550</v>
      </c>
      <c r="BA45" t="s">
        <v>554</v>
      </c>
    </row>
    <row r="46" spans="1:54" x14ac:dyDescent="0.2">
      <c r="A46" s="115" t="s">
        <v>770</v>
      </c>
      <c r="B46" s="117" t="s">
        <v>770</v>
      </c>
      <c r="C46" s="105">
        <v>2025</v>
      </c>
      <c r="D46" s="106" t="s">
        <v>569</v>
      </c>
      <c r="E46" s="109" t="s">
        <v>1911</v>
      </c>
      <c r="F46" s="106" t="s">
        <v>1912</v>
      </c>
      <c r="G46" s="128">
        <v>0.30499999999999999</v>
      </c>
      <c r="H46" s="106" t="s">
        <v>1919</v>
      </c>
      <c r="I46" s="128"/>
      <c r="J46" s="125">
        <v>46050</v>
      </c>
      <c r="K46" s="126">
        <v>46050</v>
      </c>
      <c r="L46" s="129">
        <v>294.16000000000003</v>
      </c>
      <c r="M46" s="126">
        <v>46051</v>
      </c>
      <c r="N46" s="129">
        <v>317.86</v>
      </c>
      <c r="O46" s="132">
        <v>4.9899999999999996E-3</v>
      </c>
      <c r="P46" s="107">
        <v>8.0568000000000015E-2</v>
      </c>
      <c r="Q46" s="106" t="s">
        <v>591</v>
      </c>
      <c r="R46" s="106" t="s">
        <v>554</v>
      </c>
      <c r="S46" s="105">
        <v>1</v>
      </c>
      <c r="T46" s="107">
        <v>7.9568E-2</v>
      </c>
      <c r="U46" s="130" t="s">
        <v>1914</v>
      </c>
      <c r="V46" t="s">
        <v>549</v>
      </c>
      <c r="W46" t="s">
        <v>541</v>
      </c>
      <c r="X46" t="s">
        <v>770</v>
      </c>
      <c r="Y46" t="s">
        <v>776</v>
      </c>
      <c r="Z46">
        <v>290.3553</v>
      </c>
      <c r="AA46" t="s">
        <v>694</v>
      </c>
      <c r="AB46">
        <v>313.74880000000002</v>
      </c>
      <c r="AC46">
        <v>8.0568354071489781E-2</v>
      </c>
      <c r="AD46" t="s">
        <v>591</v>
      </c>
      <c r="AE46" t="s">
        <v>554</v>
      </c>
      <c r="AF46">
        <v>7.9568E-2</v>
      </c>
      <c r="AG46" t="str">
        <f>IF($A46="","",IFERROR(INDEX(Company_List!$G$3:$G$207,MATCH($A46,Company_List!$A$3:$A$207,0)),"unassigned"))</f>
        <v>P2</v>
      </c>
      <c r="AH46" t="s">
        <v>777</v>
      </c>
      <c r="AJ46" t="s">
        <v>593</v>
      </c>
      <c r="AK46" t="str">
        <f>IF($A46="","",IF(COUNTIFS(Human_Data_Entry!$A$3:$A$525,$A46)&gt;0,"YES","NO"))</f>
        <v>YES</v>
      </c>
      <c r="AL46" t="str">
        <f>IF($A46="","",IF(AND($C46&amp;"-"&amp;$D46&gt;=Settings!$B$19,$C46&amp;"-"&amp;$D46&lt;=Settings!$B$20),"IN","OUT"))</f>
        <v>IN</v>
      </c>
      <c r="AM46">
        <f t="shared" si="0"/>
        <v>7.9568E-2</v>
      </c>
      <c r="AN46">
        <f t="shared" si="1"/>
        <v>7.9568E-2</v>
      </c>
      <c r="AO46">
        <f>IF(ISNUMBER($AM46),ABS(IF(ISNUMBER($G46),$G46,0)-Settings!$B$25),"")</f>
        <v>0.30499999999999999</v>
      </c>
      <c r="AP46">
        <f t="shared" si="2"/>
        <v>2.426824E-2</v>
      </c>
      <c r="AQ46">
        <f>IF(ISNUMBER($AN46),ABS(IF(ISNUMBER($G46),$G46,0)-Settings!$B$25),"")</f>
        <v>0.30499999999999999</v>
      </c>
      <c r="AR46">
        <f t="shared" si="3"/>
        <v>2.426824E-2</v>
      </c>
      <c r="AS46" t="str">
        <f>IF($A46="","",IFERROR(INDEX(Company_List!$H$3:$H$207,MATCH($A46,Company_List!$A$3:$A$207,0)),"unassigned"))</f>
        <v>Information Technology</v>
      </c>
      <c r="AT46" t="s">
        <v>1915</v>
      </c>
      <c r="AU46" t="s">
        <v>1916</v>
      </c>
      <c r="AV46">
        <v>2</v>
      </c>
      <c r="AW46" t="s">
        <v>595</v>
      </c>
      <c r="AX46" t="s">
        <v>596</v>
      </c>
      <c r="AY46" t="s">
        <v>550</v>
      </c>
      <c r="AZ46" t="s">
        <v>550</v>
      </c>
      <c r="BA46" t="s">
        <v>554</v>
      </c>
    </row>
    <row r="47" spans="1:54" x14ac:dyDescent="0.2">
      <c r="A47" s="115" t="s">
        <v>833</v>
      </c>
      <c r="B47" s="117" t="s">
        <v>836</v>
      </c>
      <c r="C47" s="105">
        <v>2025</v>
      </c>
      <c r="D47" s="106" t="s">
        <v>537</v>
      </c>
      <c r="E47" s="109" t="s">
        <v>1911</v>
      </c>
      <c r="F47" s="106" t="s">
        <v>1912</v>
      </c>
      <c r="G47" s="128">
        <v>-0.13500000000000001</v>
      </c>
      <c r="H47" s="106" t="s">
        <v>1923</v>
      </c>
      <c r="I47" s="128"/>
      <c r="J47" s="125">
        <v>46162</v>
      </c>
      <c r="K47" s="126">
        <v>46161</v>
      </c>
      <c r="L47" s="129">
        <v>218.37</v>
      </c>
      <c r="M47" s="126">
        <v>46162</v>
      </c>
      <c r="N47" s="129">
        <v>213.98</v>
      </c>
      <c r="O47" s="132">
        <v>6.953E-3</v>
      </c>
      <c r="P47" s="107">
        <v>-2.0102999999999999E-2</v>
      </c>
      <c r="Q47" s="106" t="s">
        <v>545</v>
      </c>
      <c r="R47" s="106" t="s">
        <v>554</v>
      </c>
      <c r="S47" s="105">
        <v>-1</v>
      </c>
      <c r="T47" s="107">
        <v>1.9102999999999998E-2</v>
      </c>
      <c r="U47" s="130" t="s">
        <v>1914</v>
      </c>
      <c r="V47" t="s">
        <v>549</v>
      </c>
      <c r="W47" t="s">
        <v>835</v>
      </c>
      <c r="X47" t="s">
        <v>836</v>
      </c>
      <c r="Y47" t="s">
        <v>796</v>
      </c>
      <c r="Z47">
        <v>217.02869999999999</v>
      </c>
      <c r="AA47" t="s">
        <v>797</v>
      </c>
      <c r="AB47">
        <v>212.66569999999999</v>
      </c>
      <c r="AC47">
        <v>-2.0103435461084122E-2</v>
      </c>
      <c r="AD47" t="s">
        <v>545</v>
      </c>
      <c r="AE47" t="s">
        <v>554</v>
      </c>
      <c r="AF47">
        <v>1.9102999999999998E-2</v>
      </c>
      <c r="AG47" t="str">
        <f>IF($A47="","",IFERROR(INDEX(Company_List!$G$3:$G$207,MATCH($A47,Company_List!$A$3:$A$207,0)),"unassigned"))</f>
        <v>P2</v>
      </c>
      <c r="AH47" t="s">
        <v>837</v>
      </c>
      <c r="AJ47" t="s">
        <v>548</v>
      </c>
      <c r="AK47" t="str">
        <f>IF($A47="","",IF(COUNTIFS(Human_Data_Entry!$A$3:$A$525,$A47)&gt;0,"YES","NO"))</f>
        <v>YES</v>
      </c>
      <c r="AL47" t="str">
        <f>IF($A47="","",IF(AND($C47&amp;"-"&amp;$D47&gt;=Settings!$B$19,$C47&amp;"-"&amp;$D47&lt;=Settings!$B$20),"IN","OUT"))</f>
        <v>IN</v>
      </c>
      <c r="AM47">
        <f t="shared" si="0"/>
        <v>1.9102999999999998E-2</v>
      </c>
      <c r="AN47">
        <f t="shared" si="1"/>
        <v>1.9102999999999998E-2</v>
      </c>
      <c r="AO47">
        <f>IF(ISNUMBER($AM47),ABS(IF(ISNUMBER($G47),$G47,0)-Settings!$B$25),"")</f>
        <v>0.13500000000000001</v>
      </c>
      <c r="AP47">
        <f t="shared" si="2"/>
        <v>2.5789049999999998E-3</v>
      </c>
      <c r="AQ47">
        <f>IF(ISNUMBER($AN47),ABS(IF(ISNUMBER($G47),$G47,0)-Settings!$B$25),"")</f>
        <v>0.13500000000000001</v>
      </c>
      <c r="AR47">
        <f t="shared" si="3"/>
        <v>2.5789049999999998E-3</v>
      </c>
      <c r="AS47" t="str">
        <f>IF($A47="","",IFERROR(INDEX(Company_List!$H$3:$H$207,MATCH($A47,Company_List!$A$3:$A$207,0)),"unassigned"))</f>
        <v>Consumer Discretionary</v>
      </c>
      <c r="AT47" t="s">
        <v>1915</v>
      </c>
      <c r="AU47" t="s">
        <v>1916</v>
      </c>
      <c r="AV47">
        <v>1</v>
      </c>
      <c r="AW47" t="s">
        <v>788</v>
      </c>
      <c r="AX47" t="s">
        <v>553</v>
      </c>
      <c r="AY47" t="s">
        <v>550</v>
      </c>
      <c r="AZ47" t="s">
        <v>550</v>
      </c>
      <c r="BA47" t="s">
        <v>554</v>
      </c>
    </row>
    <row r="48" spans="1:54" x14ac:dyDescent="0.2">
      <c r="A48" s="115" t="s">
        <v>833</v>
      </c>
      <c r="B48" s="117" t="s">
        <v>836</v>
      </c>
      <c r="C48" s="105">
        <v>2026</v>
      </c>
      <c r="D48" s="106" t="s">
        <v>537</v>
      </c>
      <c r="E48" s="109" t="s">
        <v>1911</v>
      </c>
      <c r="F48" s="106" t="s">
        <v>1912</v>
      </c>
      <c r="G48" s="128">
        <v>-0.13500000000000001</v>
      </c>
      <c r="H48" s="106" t="s">
        <v>1923</v>
      </c>
      <c r="I48" s="128"/>
      <c r="J48" s="125">
        <v>46162</v>
      </c>
      <c r="K48" s="126">
        <v>46161</v>
      </c>
      <c r="L48" s="129">
        <v>218.37</v>
      </c>
      <c r="M48" s="126">
        <v>46162</v>
      </c>
      <c r="N48" s="129">
        <v>213.98</v>
      </c>
      <c r="O48" s="132">
        <v>7.2820000000000003E-3</v>
      </c>
      <c r="P48" s="107">
        <v>-2.0102999999999999E-2</v>
      </c>
      <c r="Q48" s="106" t="s">
        <v>545</v>
      </c>
      <c r="R48" s="106" t="s">
        <v>554</v>
      </c>
      <c r="S48" s="105">
        <v>-1</v>
      </c>
      <c r="T48" s="107">
        <v>1.9102999999999998E-2</v>
      </c>
      <c r="U48" s="130" t="s">
        <v>1914</v>
      </c>
      <c r="V48" t="s">
        <v>549</v>
      </c>
      <c r="W48" t="s">
        <v>612</v>
      </c>
      <c r="X48" t="s">
        <v>836</v>
      </c>
      <c r="Y48" t="s">
        <v>789</v>
      </c>
      <c r="Z48">
        <v>225.39619999999999</v>
      </c>
      <c r="AA48" t="s">
        <v>790</v>
      </c>
      <c r="AB48">
        <v>226.80950000000001</v>
      </c>
      <c r="AC48">
        <v>6.2702709103862869E-3</v>
      </c>
      <c r="AD48" t="s">
        <v>579</v>
      </c>
      <c r="AE48" t="s">
        <v>546</v>
      </c>
      <c r="AF48">
        <v>-7.2700000000000004E-3</v>
      </c>
      <c r="AG48" t="str">
        <f>IF($A48="","",IFERROR(INDEX(Company_List!$G$3:$G$207,MATCH($A48,Company_List!$A$3:$A$207,0)),"unassigned"))</f>
        <v>P2</v>
      </c>
      <c r="AH48" t="s">
        <v>1926</v>
      </c>
      <c r="AI48" t="s">
        <v>1927</v>
      </c>
      <c r="AJ48" t="s">
        <v>754</v>
      </c>
      <c r="AK48" t="str">
        <f>IF($A48="","",IF(COUNTIFS(Human_Data_Entry!$A$3:$A$525,$A48)&gt;0,"YES","NO"))</f>
        <v>YES</v>
      </c>
      <c r="AL48" t="str">
        <f>IF($A48="","",IF(AND($C48&amp;"-"&amp;$D48&gt;=Settings!$B$19,$C48&amp;"-"&amp;$D48&lt;=Settings!$B$20),"IN","OUT"))</f>
        <v>IN</v>
      </c>
      <c r="AM48">
        <f t="shared" si="0"/>
        <v>1.9102999999999998E-2</v>
      </c>
      <c r="AN48">
        <f t="shared" si="1"/>
        <v>-7.2700000000000004E-3</v>
      </c>
      <c r="AO48">
        <f>IF(ISNUMBER($AM48),ABS(IF(ISNUMBER($G48),$G48,0)-Settings!$B$25),"")</f>
        <v>0.13500000000000001</v>
      </c>
      <c r="AP48">
        <f t="shared" si="2"/>
        <v>2.5789049999999998E-3</v>
      </c>
      <c r="AQ48">
        <f>IF(ISNUMBER($AN48),ABS(IF(ISNUMBER($G48),$G48,0)-Settings!$B$25),"")</f>
        <v>0.13500000000000001</v>
      </c>
      <c r="AR48">
        <f t="shared" si="3"/>
        <v>-9.8145000000000003E-4</v>
      </c>
      <c r="AS48" t="str">
        <f>IF($A48="","",IFERROR(INDEX(Company_List!$H$3:$H$207,MATCH($A48,Company_List!$A$3:$A$207,0)),"unassigned"))</f>
        <v>Consumer Discretionary</v>
      </c>
      <c r="AT48" t="s">
        <v>1915</v>
      </c>
      <c r="AU48" t="s">
        <v>1916</v>
      </c>
      <c r="AV48">
        <v>2</v>
      </c>
      <c r="AW48" t="s">
        <v>788</v>
      </c>
      <c r="AX48" t="s">
        <v>553</v>
      </c>
      <c r="AY48" t="s">
        <v>550</v>
      </c>
      <c r="AZ48" t="s">
        <v>562</v>
      </c>
      <c r="BA48" t="s">
        <v>554</v>
      </c>
    </row>
    <row r="49" spans="1:54" x14ac:dyDescent="0.2">
      <c r="A49" s="115" t="s">
        <v>833</v>
      </c>
      <c r="B49" s="117" t="s">
        <v>836</v>
      </c>
      <c r="C49" s="105">
        <v>2025</v>
      </c>
      <c r="D49" s="106" t="s">
        <v>555</v>
      </c>
      <c r="E49" s="109" t="s">
        <v>1911</v>
      </c>
      <c r="F49" s="106" t="s">
        <v>1912</v>
      </c>
      <c r="G49" s="128">
        <v>8.2500000000000004E-2</v>
      </c>
      <c r="H49" s="106" t="s">
        <v>1913</v>
      </c>
      <c r="I49" s="128"/>
      <c r="J49" s="125">
        <v>45889</v>
      </c>
      <c r="K49" s="126">
        <v>45888</v>
      </c>
      <c r="L49" s="129">
        <v>256.36</v>
      </c>
      <c r="M49" s="126">
        <v>45889</v>
      </c>
      <c r="N49" s="129">
        <v>265.39999999999998</v>
      </c>
      <c r="O49" s="132">
        <v>6.7409999999999996E-3</v>
      </c>
      <c r="P49" s="107">
        <v>3.5263000000000003E-2</v>
      </c>
      <c r="Q49" s="106" t="s">
        <v>591</v>
      </c>
      <c r="R49" s="106" t="s">
        <v>546</v>
      </c>
      <c r="S49" s="105">
        <v>0</v>
      </c>
      <c r="T49" s="107">
        <v>0</v>
      </c>
      <c r="U49" s="130" t="s">
        <v>1914</v>
      </c>
      <c r="V49" t="s">
        <v>549</v>
      </c>
      <c r="W49" t="s">
        <v>636</v>
      </c>
      <c r="X49" t="s">
        <v>836</v>
      </c>
      <c r="Y49" t="s">
        <v>784</v>
      </c>
      <c r="Z49">
        <v>251.1994</v>
      </c>
      <c r="AA49" t="s">
        <v>785</v>
      </c>
      <c r="AB49">
        <v>260.0575</v>
      </c>
      <c r="AC49">
        <v>3.5263014788609923E-2</v>
      </c>
      <c r="AD49" t="s">
        <v>591</v>
      </c>
      <c r="AE49" t="s">
        <v>546</v>
      </c>
      <c r="AF49">
        <v>0</v>
      </c>
      <c r="AG49" t="str">
        <f>IF($A49="","",IFERROR(INDEX(Company_List!$G$3:$G$207,MATCH($A49,Company_List!$A$3:$A$207,0)),"unassigned"))</f>
        <v>P2</v>
      </c>
      <c r="AH49" t="s">
        <v>928</v>
      </c>
      <c r="AJ49" t="s">
        <v>548</v>
      </c>
      <c r="AK49" t="str">
        <f>IF($A49="","",IF(COUNTIFS(Human_Data_Entry!$A$3:$A$525,$A49)&gt;0,"YES","NO"))</f>
        <v>YES</v>
      </c>
      <c r="AL49" t="str">
        <f>IF($A49="","",IF(AND($C49&amp;"-"&amp;$D49&gt;=Settings!$B$19,$C49&amp;"-"&amp;$D49&lt;=Settings!$B$20),"IN","OUT"))</f>
        <v>IN</v>
      </c>
      <c r="AM49" t="str">
        <f t="shared" si="0"/>
        <v/>
      </c>
      <c r="AN49" t="str">
        <f t="shared" si="1"/>
        <v/>
      </c>
      <c r="AO49" t="str">
        <f>IF(ISNUMBER($AM49),ABS(IF(ISNUMBER($G49),$G49,0)-Settings!$B$25),"")</f>
        <v/>
      </c>
      <c r="AP49" t="str">
        <f t="shared" si="2"/>
        <v/>
      </c>
      <c r="AQ49" t="str">
        <f>IF(ISNUMBER($AN49),ABS(IF(ISNUMBER($G49),$G49,0)-Settings!$B$25),"")</f>
        <v/>
      </c>
      <c r="AR49" t="str">
        <f t="shared" si="3"/>
        <v/>
      </c>
      <c r="AS49" t="str">
        <f>IF($A49="","",IFERROR(INDEX(Company_List!$H$3:$H$207,MATCH($A49,Company_List!$A$3:$A$207,0)),"unassigned"))</f>
        <v>Consumer Discretionary</v>
      </c>
      <c r="AT49" t="s">
        <v>1915</v>
      </c>
      <c r="AU49" t="s">
        <v>1916</v>
      </c>
      <c r="AV49">
        <v>1</v>
      </c>
      <c r="AW49" t="s">
        <v>788</v>
      </c>
      <c r="AX49" t="s">
        <v>553</v>
      </c>
      <c r="AY49" t="s">
        <v>550</v>
      </c>
      <c r="AZ49" t="s">
        <v>550</v>
      </c>
      <c r="BA49" t="s">
        <v>554</v>
      </c>
    </row>
    <row r="50" spans="1:54" x14ac:dyDescent="0.2">
      <c r="A50" s="115" t="s">
        <v>833</v>
      </c>
      <c r="B50" s="117" t="s">
        <v>836</v>
      </c>
      <c r="C50" s="105">
        <v>2025</v>
      </c>
      <c r="D50" s="106" t="s">
        <v>563</v>
      </c>
      <c r="E50" s="109" t="s">
        <v>1911</v>
      </c>
      <c r="F50" s="106" t="s">
        <v>1912</v>
      </c>
      <c r="G50" s="128">
        <v>-0.23</v>
      </c>
      <c r="H50" s="106" t="s">
        <v>1923</v>
      </c>
      <c r="I50" s="128"/>
      <c r="J50" s="125">
        <v>45980</v>
      </c>
      <c r="K50" s="126">
        <v>45979</v>
      </c>
      <c r="L50" s="129">
        <v>219.57</v>
      </c>
      <c r="M50" s="126">
        <v>45980</v>
      </c>
      <c r="N50" s="129">
        <v>230.01</v>
      </c>
      <c r="O50" s="132">
        <v>6.4489999999999999E-3</v>
      </c>
      <c r="P50" s="107">
        <v>4.7546999999999999E-2</v>
      </c>
      <c r="Q50" s="106" t="s">
        <v>591</v>
      </c>
      <c r="R50" s="106" t="s">
        <v>546</v>
      </c>
      <c r="S50" s="105">
        <v>-1</v>
      </c>
      <c r="T50" s="107">
        <v>-4.8547E-2</v>
      </c>
      <c r="U50" s="130" t="s">
        <v>1914</v>
      </c>
      <c r="V50" t="s">
        <v>549</v>
      </c>
      <c r="W50" t="s">
        <v>748</v>
      </c>
      <c r="X50" t="s">
        <v>836</v>
      </c>
      <c r="Y50" t="s">
        <v>793</v>
      </c>
      <c r="Z50">
        <v>216.2079</v>
      </c>
      <c r="AA50" t="s">
        <v>606</v>
      </c>
      <c r="AB50">
        <v>226.488</v>
      </c>
      <c r="AC50">
        <v>4.7547497056776328E-2</v>
      </c>
      <c r="AD50" t="s">
        <v>591</v>
      </c>
      <c r="AE50" t="s">
        <v>546</v>
      </c>
      <c r="AF50">
        <v>-4.8547E-2</v>
      </c>
      <c r="AG50" t="str">
        <f>IF($A50="","",IFERROR(INDEX(Company_List!$G$3:$G$207,MATCH($A50,Company_List!$A$3:$A$207,0)),"unassigned"))</f>
        <v>P2</v>
      </c>
      <c r="AH50" t="s">
        <v>929</v>
      </c>
      <c r="AJ50" t="s">
        <v>548</v>
      </c>
      <c r="AK50" t="str">
        <f>IF($A50="","",IF(COUNTIFS(Human_Data_Entry!$A$3:$A$525,$A50)&gt;0,"YES","NO"))</f>
        <v>YES</v>
      </c>
      <c r="AL50" t="str">
        <f>IF($A50="","",IF(AND($C50&amp;"-"&amp;$D50&gt;=Settings!$B$19,$C50&amp;"-"&amp;$D50&lt;=Settings!$B$20),"IN","OUT"))</f>
        <v>IN</v>
      </c>
      <c r="AM50">
        <f t="shared" si="0"/>
        <v>-4.8547E-2</v>
      </c>
      <c r="AN50">
        <f t="shared" si="1"/>
        <v>-4.8547E-2</v>
      </c>
      <c r="AO50">
        <f>IF(ISNUMBER($AM50),ABS(IF(ISNUMBER($G50),$G50,0)-Settings!$B$25),"")</f>
        <v>0.23</v>
      </c>
      <c r="AP50">
        <f t="shared" si="2"/>
        <v>-1.116581E-2</v>
      </c>
      <c r="AQ50">
        <f>IF(ISNUMBER($AN50),ABS(IF(ISNUMBER($G50),$G50,0)-Settings!$B$25),"")</f>
        <v>0.23</v>
      </c>
      <c r="AR50">
        <f t="shared" si="3"/>
        <v>-1.116581E-2</v>
      </c>
      <c r="AS50" t="str">
        <f>IF($A50="","",IFERROR(INDEX(Company_List!$H$3:$H$207,MATCH($A50,Company_List!$A$3:$A$207,0)),"unassigned"))</f>
        <v>Consumer Discretionary</v>
      </c>
      <c r="AT50" t="s">
        <v>1915</v>
      </c>
      <c r="AU50" t="s">
        <v>1916</v>
      </c>
      <c r="AV50">
        <v>1</v>
      </c>
      <c r="AW50" t="s">
        <v>788</v>
      </c>
      <c r="AX50" t="s">
        <v>553</v>
      </c>
      <c r="AY50" t="s">
        <v>550</v>
      </c>
      <c r="AZ50" t="s">
        <v>550</v>
      </c>
      <c r="BA50" t="s">
        <v>554</v>
      </c>
    </row>
    <row r="51" spans="1:54" x14ac:dyDescent="0.2">
      <c r="A51" s="115" t="s">
        <v>833</v>
      </c>
      <c r="B51" s="117" t="s">
        <v>836</v>
      </c>
      <c r="C51" s="105">
        <v>2025</v>
      </c>
      <c r="D51" s="106" t="s">
        <v>569</v>
      </c>
      <c r="E51" s="109" t="s">
        <v>1911</v>
      </c>
      <c r="F51" s="106" t="s">
        <v>1912</v>
      </c>
      <c r="G51" s="128">
        <v>-0.1275</v>
      </c>
      <c r="H51" s="106" t="s">
        <v>1923</v>
      </c>
      <c r="I51" s="128"/>
      <c r="J51" s="125">
        <v>46078</v>
      </c>
      <c r="K51" s="126">
        <v>46077</v>
      </c>
      <c r="L51" s="129">
        <v>278.58999999999997</v>
      </c>
      <c r="M51" s="126">
        <v>46078</v>
      </c>
      <c r="N51" s="129">
        <v>266.25</v>
      </c>
      <c r="O51" s="132">
        <v>7.5620000000000001E-3</v>
      </c>
      <c r="P51" s="107">
        <v>-4.4294E-2</v>
      </c>
      <c r="Q51" s="106" t="s">
        <v>545</v>
      </c>
      <c r="R51" s="106" t="s">
        <v>554</v>
      </c>
      <c r="S51" s="105">
        <v>-1</v>
      </c>
      <c r="T51" s="107">
        <v>4.3293999999999999E-2</v>
      </c>
      <c r="U51" s="130" t="s">
        <v>1914</v>
      </c>
      <c r="V51" t="s">
        <v>549</v>
      </c>
      <c r="W51" t="s">
        <v>630</v>
      </c>
      <c r="X51" t="s">
        <v>836</v>
      </c>
      <c r="Y51" t="s">
        <v>925</v>
      </c>
      <c r="Z51">
        <v>275.55610000000001</v>
      </c>
      <c r="AA51" t="s">
        <v>926</v>
      </c>
      <c r="AB51">
        <v>263.35050000000001</v>
      </c>
      <c r="AC51">
        <v>-4.4294483881624748E-2</v>
      </c>
      <c r="AD51" t="s">
        <v>545</v>
      </c>
      <c r="AE51" t="s">
        <v>554</v>
      </c>
      <c r="AF51">
        <v>4.3293999999999999E-2</v>
      </c>
      <c r="AG51" t="str">
        <f>IF($A51="","",IFERROR(INDEX(Company_List!$G$3:$G$207,MATCH($A51,Company_List!$A$3:$A$207,0)),"unassigned"))</f>
        <v>P2</v>
      </c>
      <c r="AH51" t="s">
        <v>927</v>
      </c>
      <c r="AJ51" t="s">
        <v>548</v>
      </c>
      <c r="AK51" t="str">
        <f>IF($A51="","",IF(COUNTIFS(Human_Data_Entry!$A$3:$A$525,$A51)&gt;0,"YES","NO"))</f>
        <v>YES</v>
      </c>
      <c r="AL51" t="str">
        <f>IF($A51="","",IF(AND($C51&amp;"-"&amp;$D51&gt;=Settings!$B$19,$C51&amp;"-"&amp;$D51&lt;=Settings!$B$20),"IN","OUT"))</f>
        <v>IN</v>
      </c>
      <c r="AM51">
        <f t="shared" si="0"/>
        <v>4.3293999999999999E-2</v>
      </c>
      <c r="AN51">
        <f t="shared" si="1"/>
        <v>4.3293999999999999E-2</v>
      </c>
      <c r="AO51">
        <f>IF(ISNUMBER($AM51),ABS(IF(ISNUMBER($G51),$G51,0)-Settings!$B$25),"")</f>
        <v>0.1275</v>
      </c>
      <c r="AP51">
        <f t="shared" si="2"/>
        <v>5.5199849999999998E-3</v>
      </c>
      <c r="AQ51">
        <f>IF(ISNUMBER($AN51),ABS(IF(ISNUMBER($G51),$G51,0)-Settings!$B$25),"")</f>
        <v>0.1275</v>
      </c>
      <c r="AR51">
        <f t="shared" si="3"/>
        <v>5.5199849999999998E-3</v>
      </c>
      <c r="AS51" t="str">
        <f>IF($A51="","",IFERROR(INDEX(Company_List!$H$3:$H$207,MATCH($A51,Company_List!$A$3:$A$207,0)),"unassigned"))</f>
        <v>Consumer Discretionary</v>
      </c>
      <c r="AT51" t="s">
        <v>1915</v>
      </c>
      <c r="AU51" t="s">
        <v>1916</v>
      </c>
      <c r="AV51">
        <v>1</v>
      </c>
      <c r="AW51" t="s">
        <v>788</v>
      </c>
      <c r="AX51" t="s">
        <v>553</v>
      </c>
      <c r="AY51" t="s">
        <v>550</v>
      </c>
      <c r="AZ51" t="s">
        <v>550</v>
      </c>
      <c r="BA51" t="s">
        <v>554</v>
      </c>
    </row>
    <row r="52" spans="1:54" x14ac:dyDescent="0.2">
      <c r="A52" s="115" t="s">
        <v>815</v>
      </c>
      <c r="B52" s="117" t="s">
        <v>817</v>
      </c>
      <c r="C52" s="105">
        <v>2026</v>
      </c>
      <c r="D52" s="106" t="s">
        <v>537</v>
      </c>
      <c r="E52" s="109" t="s">
        <v>1911</v>
      </c>
      <c r="F52" s="106" t="s">
        <v>1912</v>
      </c>
      <c r="G52" s="128">
        <v>-0.41</v>
      </c>
      <c r="H52" s="106" t="s">
        <v>1923</v>
      </c>
      <c r="I52" s="128"/>
      <c r="J52" s="125">
        <v>46177</v>
      </c>
      <c r="K52" s="126">
        <v>46177</v>
      </c>
      <c r="L52" s="129">
        <v>124.92</v>
      </c>
      <c r="M52" s="126">
        <v>46178</v>
      </c>
      <c r="N52" s="129">
        <v>110.43</v>
      </c>
      <c r="O52" s="132">
        <v>6.9160000000000003E-3</v>
      </c>
      <c r="P52" s="107">
        <v>-0.115994</v>
      </c>
      <c r="Q52" s="106" t="s">
        <v>545</v>
      </c>
      <c r="R52" s="106" t="s">
        <v>554</v>
      </c>
      <c r="S52" s="105">
        <v>-1</v>
      </c>
      <c r="T52" s="107">
        <v>0.114994</v>
      </c>
      <c r="U52" s="130" t="s">
        <v>1914</v>
      </c>
      <c r="V52" t="s">
        <v>549</v>
      </c>
      <c r="W52" t="s">
        <v>685</v>
      </c>
      <c r="X52" t="s">
        <v>817</v>
      </c>
      <c r="Y52" t="s">
        <v>826</v>
      </c>
      <c r="Z52">
        <v>124.92</v>
      </c>
      <c r="AA52" t="s">
        <v>827</v>
      </c>
      <c r="AB52">
        <v>110.43</v>
      </c>
      <c r="AC52">
        <v>-0.1159942221580888</v>
      </c>
      <c r="AD52" t="s">
        <v>545</v>
      </c>
      <c r="AE52" t="s">
        <v>554</v>
      </c>
      <c r="AF52">
        <v>0.114994</v>
      </c>
      <c r="AG52" t="str">
        <f>IF($A52="","",IFERROR(INDEX(Company_List!$G$3:$G$207,MATCH($A52,Company_List!$A$3:$A$207,0)),"unassigned"))</f>
        <v>P2</v>
      </c>
      <c r="AH52" t="s">
        <v>828</v>
      </c>
      <c r="AJ52" t="s">
        <v>548</v>
      </c>
      <c r="AK52" t="str">
        <f>IF($A52="","",IF(COUNTIFS(Human_Data_Entry!$A$3:$A$525,$A52)&gt;0,"YES","NO"))</f>
        <v>YES</v>
      </c>
      <c r="AL52" t="str">
        <f>IF($A52="","",IF(AND($C52&amp;"-"&amp;$D52&gt;=Settings!$B$19,$C52&amp;"-"&amp;$D52&lt;=Settings!$B$20),"IN","OUT"))</f>
        <v>IN</v>
      </c>
      <c r="AM52">
        <f t="shared" si="0"/>
        <v>0.114994</v>
      </c>
      <c r="AN52">
        <f t="shared" si="1"/>
        <v>0.114994</v>
      </c>
      <c r="AO52">
        <f>IF(ISNUMBER($AM52),ABS(IF(ISNUMBER($G52),$G52,0)-Settings!$B$25),"")</f>
        <v>0.41</v>
      </c>
      <c r="AP52">
        <f t="shared" si="2"/>
        <v>4.7147539999999995E-2</v>
      </c>
      <c r="AQ52">
        <f>IF(ISNUMBER($AN52),ABS(IF(ISNUMBER($G52),$G52,0)-Settings!$B$25),"")</f>
        <v>0.41</v>
      </c>
      <c r="AR52">
        <f t="shared" si="3"/>
        <v>4.7147539999999995E-2</v>
      </c>
      <c r="AS52" t="str">
        <f>IF($A52="","",IFERROR(INDEX(Company_List!$H$3:$H$207,MATCH($A52,Company_List!$A$3:$A$207,0)),"unassigned"))</f>
        <v>Consumer Discretionary</v>
      </c>
      <c r="AT52" t="s">
        <v>1915</v>
      </c>
      <c r="AU52" t="s">
        <v>1916</v>
      </c>
      <c r="AV52">
        <v>1</v>
      </c>
      <c r="AW52" t="s">
        <v>595</v>
      </c>
      <c r="AX52" t="s">
        <v>596</v>
      </c>
      <c r="AY52" t="s">
        <v>550</v>
      </c>
      <c r="AZ52" t="s">
        <v>550</v>
      </c>
      <c r="BA52" t="s">
        <v>554</v>
      </c>
    </row>
    <row r="53" spans="1:54" x14ac:dyDescent="0.2">
      <c r="A53" s="115" t="s">
        <v>815</v>
      </c>
      <c r="B53" s="117" t="s">
        <v>817</v>
      </c>
      <c r="C53" s="105">
        <v>2025</v>
      </c>
      <c r="D53" s="106" t="s">
        <v>563</v>
      </c>
      <c r="E53" s="109" t="s">
        <v>1911</v>
      </c>
      <c r="F53" s="106" t="s">
        <v>1912</v>
      </c>
      <c r="G53" s="128">
        <v>-0.23</v>
      </c>
      <c r="H53" s="106" t="s">
        <v>1923</v>
      </c>
      <c r="I53" s="128"/>
      <c r="J53" s="125">
        <v>46002</v>
      </c>
      <c r="K53" s="126">
        <v>46002</v>
      </c>
      <c r="L53" s="129">
        <v>187.01</v>
      </c>
      <c r="M53" s="126">
        <v>46003</v>
      </c>
      <c r="N53" s="129">
        <v>204.58</v>
      </c>
      <c r="O53" s="132">
        <v>8.574E-3</v>
      </c>
      <c r="P53" s="107">
        <v>9.3952000000000008E-2</v>
      </c>
      <c r="Q53" s="106" t="s">
        <v>591</v>
      </c>
      <c r="R53" s="106" t="s">
        <v>546</v>
      </c>
      <c r="S53" s="105">
        <v>-1</v>
      </c>
      <c r="T53" s="107">
        <v>-9.4951999999999995E-2</v>
      </c>
      <c r="U53" s="130" t="s">
        <v>1914</v>
      </c>
      <c r="V53" t="s">
        <v>549</v>
      </c>
      <c r="W53" t="s">
        <v>685</v>
      </c>
      <c r="X53" t="s">
        <v>817</v>
      </c>
      <c r="Y53" t="s">
        <v>818</v>
      </c>
      <c r="Z53">
        <v>187.01</v>
      </c>
      <c r="AA53" t="s">
        <v>819</v>
      </c>
      <c r="AB53">
        <v>204.58</v>
      </c>
      <c r="AC53">
        <v>9.395223501289332E-2</v>
      </c>
      <c r="AD53" t="s">
        <v>591</v>
      </c>
      <c r="AE53" t="s">
        <v>546</v>
      </c>
      <c r="AF53">
        <v>-9.4951999999999995E-2</v>
      </c>
      <c r="AG53" t="str">
        <f>IF($A53="","",IFERROR(INDEX(Company_List!$G$3:$G$207,MATCH($A53,Company_List!$A$3:$A$207,0)),"unassigned"))</f>
        <v>P2</v>
      </c>
      <c r="AH53" t="s">
        <v>820</v>
      </c>
      <c r="AJ53" t="s">
        <v>548</v>
      </c>
      <c r="AK53" t="str">
        <f>IF($A53="","",IF(COUNTIFS(Human_Data_Entry!$A$3:$A$525,$A53)&gt;0,"YES","NO"))</f>
        <v>YES</v>
      </c>
      <c r="AL53" t="str">
        <f>IF($A53="","",IF(AND($C53&amp;"-"&amp;$D53&gt;=Settings!$B$19,$C53&amp;"-"&amp;$D53&lt;=Settings!$B$20),"IN","OUT"))</f>
        <v>IN</v>
      </c>
      <c r="AM53">
        <f t="shared" si="0"/>
        <v>-9.4951999999999995E-2</v>
      </c>
      <c r="AN53">
        <f t="shared" si="1"/>
        <v>-9.4951999999999995E-2</v>
      </c>
      <c r="AO53">
        <f>IF(ISNUMBER($AM53),ABS(IF(ISNUMBER($G53),$G53,0)-Settings!$B$25),"")</f>
        <v>0.23</v>
      </c>
      <c r="AP53">
        <f t="shared" si="2"/>
        <v>-2.1838960000000001E-2</v>
      </c>
      <c r="AQ53">
        <f>IF(ISNUMBER($AN53),ABS(IF(ISNUMBER($G53),$G53,0)-Settings!$B$25),"")</f>
        <v>0.23</v>
      </c>
      <c r="AR53">
        <f t="shared" si="3"/>
        <v>-2.1838960000000001E-2</v>
      </c>
      <c r="AS53" t="str">
        <f>IF($A53="","",IFERROR(INDEX(Company_List!$H$3:$H$207,MATCH($A53,Company_List!$A$3:$A$207,0)),"unassigned"))</f>
        <v>Consumer Discretionary</v>
      </c>
      <c r="AT53" t="s">
        <v>1915</v>
      </c>
      <c r="AU53" t="s">
        <v>1916</v>
      </c>
      <c r="AV53">
        <v>1</v>
      </c>
      <c r="AW53" t="s">
        <v>595</v>
      </c>
      <c r="AX53" t="s">
        <v>596</v>
      </c>
      <c r="AY53" t="s">
        <v>550</v>
      </c>
      <c r="AZ53" t="s">
        <v>550</v>
      </c>
      <c r="BA53" t="s">
        <v>554</v>
      </c>
    </row>
    <row r="54" spans="1:54" x14ac:dyDescent="0.2">
      <c r="A54" s="115" t="s">
        <v>815</v>
      </c>
      <c r="B54" s="117" t="s">
        <v>817</v>
      </c>
      <c r="C54" s="105">
        <v>2025</v>
      </c>
      <c r="D54" s="106" t="s">
        <v>569</v>
      </c>
      <c r="E54" s="109" t="s">
        <v>1911</v>
      </c>
      <c r="F54" s="106" t="s">
        <v>1912</v>
      </c>
      <c r="G54" s="128">
        <v>-0.32</v>
      </c>
      <c r="H54" s="106" t="s">
        <v>1923</v>
      </c>
      <c r="I54" s="128"/>
      <c r="J54" s="125">
        <v>46098</v>
      </c>
      <c r="K54" s="126">
        <v>46098</v>
      </c>
      <c r="L54" s="129">
        <v>159.27000000000001</v>
      </c>
      <c r="M54" s="126">
        <v>46099</v>
      </c>
      <c r="N54" s="129">
        <v>158.04</v>
      </c>
      <c r="O54" s="132">
        <v>8.5509999999999996E-3</v>
      </c>
      <c r="P54" s="107">
        <v>-7.7229999999999998E-3</v>
      </c>
      <c r="Q54" s="106" t="s">
        <v>579</v>
      </c>
      <c r="R54" s="106" t="s">
        <v>546</v>
      </c>
      <c r="S54" s="105">
        <v>-1</v>
      </c>
      <c r="T54" s="107">
        <v>6.7229999999999998E-3</v>
      </c>
      <c r="U54" s="130" t="s">
        <v>1914</v>
      </c>
      <c r="V54" t="s">
        <v>549</v>
      </c>
      <c r="W54" t="s">
        <v>691</v>
      </c>
      <c r="X54" t="s">
        <v>817</v>
      </c>
      <c r="Y54" t="s">
        <v>822</v>
      </c>
      <c r="Z54">
        <v>159.27000000000001</v>
      </c>
      <c r="AA54" t="s">
        <v>823</v>
      </c>
      <c r="AB54">
        <v>158.04</v>
      </c>
      <c r="AC54">
        <v>-7.7228038494931567E-3</v>
      </c>
      <c r="AD54" t="s">
        <v>579</v>
      </c>
      <c r="AE54" t="s">
        <v>546</v>
      </c>
      <c r="AF54">
        <v>6.7229999999999998E-3</v>
      </c>
      <c r="AG54" t="str">
        <f>IF($A54="","",IFERROR(INDEX(Company_List!$G$3:$G$207,MATCH($A54,Company_List!$A$3:$A$207,0)),"unassigned"))</f>
        <v>P2</v>
      </c>
      <c r="AH54" t="s">
        <v>824</v>
      </c>
      <c r="AJ54" t="s">
        <v>548</v>
      </c>
      <c r="AK54" t="str">
        <f>IF($A54="","",IF(COUNTIFS(Human_Data_Entry!$A$3:$A$525,$A54)&gt;0,"YES","NO"))</f>
        <v>YES</v>
      </c>
      <c r="AL54" t="str">
        <f>IF($A54="","",IF(AND($C54&amp;"-"&amp;$D54&gt;=Settings!$B$19,$C54&amp;"-"&amp;$D54&lt;=Settings!$B$20),"IN","OUT"))</f>
        <v>IN</v>
      </c>
      <c r="AM54">
        <f t="shared" si="0"/>
        <v>6.7229999999999998E-3</v>
      </c>
      <c r="AN54">
        <f t="shared" si="1"/>
        <v>6.7229999999999998E-3</v>
      </c>
      <c r="AO54">
        <f>IF(ISNUMBER($AM54),ABS(IF(ISNUMBER($G54),$G54,0)-Settings!$B$25),"")</f>
        <v>0.32</v>
      </c>
      <c r="AP54">
        <f t="shared" si="2"/>
        <v>2.1513600000000002E-3</v>
      </c>
      <c r="AQ54">
        <f>IF(ISNUMBER($AN54),ABS(IF(ISNUMBER($G54),$G54,0)-Settings!$B$25),"")</f>
        <v>0.32</v>
      </c>
      <c r="AR54">
        <f t="shared" si="3"/>
        <v>2.1513600000000002E-3</v>
      </c>
      <c r="AS54" t="str">
        <f>IF($A54="","",IFERROR(INDEX(Company_List!$H$3:$H$207,MATCH($A54,Company_List!$A$3:$A$207,0)),"unassigned"))</f>
        <v>Consumer Discretionary</v>
      </c>
      <c r="AT54" t="s">
        <v>1915</v>
      </c>
      <c r="AU54" t="s">
        <v>1916</v>
      </c>
      <c r="AV54">
        <v>1</v>
      </c>
      <c r="AW54" t="s">
        <v>595</v>
      </c>
      <c r="AX54" t="s">
        <v>596</v>
      </c>
      <c r="AY54" t="s">
        <v>550</v>
      </c>
      <c r="AZ54" t="s">
        <v>550</v>
      </c>
      <c r="BA54" t="s">
        <v>554</v>
      </c>
    </row>
    <row r="55" spans="1:54" x14ac:dyDescent="0.2">
      <c r="A55" s="115" t="s">
        <v>862</v>
      </c>
      <c r="B55" s="117" t="s">
        <v>865</v>
      </c>
      <c r="C55" s="105">
        <v>2025</v>
      </c>
      <c r="D55" s="106" t="s">
        <v>537</v>
      </c>
      <c r="E55" s="109" t="s">
        <v>1911</v>
      </c>
      <c r="F55" s="106" t="s">
        <v>1912</v>
      </c>
      <c r="G55" s="128">
        <v>-0.13500000000000001</v>
      </c>
      <c r="H55" s="106" t="s">
        <v>1923</v>
      </c>
      <c r="I55" s="128"/>
      <c r="J55" s="125">
        <v>45784</v>
      </c>
      <c r="K55" s="126">
        <v>45784</v>
      </c>
      <c r="L55" s="129">
        <v>8.58</v>
      </c>
      <c r="M55" s="126">
        <v>45785</v>
      </c>
      <c r="N55" s="129">
        <v>8.7200000000000006</v>
      </c>
      <c r="O55" s="132">
        <v>5.1960000000000001E-3</v>
      </c>
      <c r="P55" s="107">
        <v>1.6317000000000002E-2</v>
      </c>
      <c r="Q55" s="106" t="s">
        <v>579</v>
      </c>
      <c r="R55" s="106" t="s">
        <v>546</v>
      </c>
      <c r="S55" s="105">
        <v>-1</v>
      </c>
      <c r="T55" s="107">
        <v>-1.7316999999999999E-2</v>
      </c>
      <c r="U55" s="130" t="s">
        <v>1914</v>
      </c>
      <c r="V55" t="s">
        <v>549</v>
      </c>
      <c r="W55" t="s">
        <v>864</v>
      </c>
      <c r="X55" t="s">
        <v>865</v>
      </c>
      <c r="Y55" t="s">
        <v>866</v>
      </c>
      <c r="Z55">
        <v>7.0572999999999997</v>
      </c>
      <c r="AA55" t="s">
        <v>671</v>
      </c>
      <c r="AB55">
        <v>6.9504999999999999</v>
      </c>
      <c r="AC55">
        <v>-1.5132502809346859E-2</v>
      </c>
      <c r="AD55" t="s">
        <v>579</v>
      </c>
      <c r="AE55" t="s">
        <v>546</v>
      </c>
      <c r="AF55">
        <v>1.4133E-2</v>
      </c>
      <c r="AG55" t="str">
        <f>IF($A55="","",IFERROR(INDEX(Company_List!$G$3:$G$207,MATCH($A55,Company_List!$A$3:$A$207,0)),"unassigned"))</f>
        <v>P2</v>
      </c>
      <c r="AH55" t="s">
        <v>867</v>
      </c>
      <c r="AJ55" t="s">
        <v>593</v>
      </c>
      <c r="AK55" t="str">
        <f>IF($A55="","",IF(COUNTIFS(Human_Data_Entry!$A$3:$A$525,$A55)&gt;0,"YES","NO"))</f>
        <v>YES</v>
      </c>
      <c r="AL55" t="str">
        <f>IF($A55="","",IF(AND($C55&amp;"-"&amp;$D55&gt;=Settings!$B$19,$C55&amp;"-"&amp;$D55&lt;=Settings!$B$20),"IN","OUT"))</f>
        <v>IN</v>
      </c>
      <c r="AM55">
        <f t="shared" si="0"/>
        <v>-1.7316999999999999E-2</v>
      </c>
      <c r="AN55">
        <f t="shared" si="1"/>
        <v>1.4133E-2</v>
      </c>
      <c r="AO55">
        <f>IF(ISNUMBER($AM55),ABS(IF(ISNUMBER($G55),$G55,0)-Settings!$B$25),"")</f>
        <v>0.13500000000000001</v>
      </c>
      <c r="AP55">
        <f t="shared" si="2"/>
        <v>-2.3377950000000002E-3</v>
      </c>
      <c r="AQ55">
        <f>IF(ISNUMBER($AN55),ABS(IF(ISNUMBER($G55),$G55,0)-Settings!$B$25),"")</f>
        <v>0.13500000000000001</v>
      </c>
      <c r="AR55">
        <f t="shared" si="3"/>
        <v>1.907955E-3</v>
      </c>
      <c r="AS55" t="str">
        <f>IF($A55="","",IFERROR(INDEX(Company_List!$H$3:$H$207,MATCH($A55,Company_List!$A$3:$A$207,0)),"unassigned"))</f>
        <v>Industrials</v>
      </c>
      <c r="AT55" t="s">
        <v>1915</v>
      </c>
      <c r="AU55" t="s">
        <v>1916</v>
      </c>
      <c r="AV55">
        <v>3</v>
      </c>
      <c r="AW55" t="s">
        <v>561</v>
      </c>
      <c r="AX55" t="s">
        <v>561</v>
      </c>
      <c r="AY55" t="s">
        <v>550</v>
      </c>
      <c r="AZ55" t="s">
        <v>550</v>
      </c>
      <c r="BA55" s="160" t="s">
        <v>546</v>
      </c>
      <c r="BB55" s="160" t="s">
        <v>1928</v>
      </c>
    </row>
    <row r="56" spans="1:54" x14ac:dyDescent="0.2">
      <c r="A56" s="115" t="s">
        <v>862</v>
      </c>
      <c r="B56" s="117" t="s">
        <v>865</v>
      </c>
      <c r="C56" s="105">
        <v>2025</v>
      </c>
      <c r="D56" s="106" t="s">
        <v>555</v>
      </c>
      <c r="E56" s="109" t="s">
        <v>1911</v>
      </c>
      <c r="F56" s="106" t="s">
        <v>1912</v>
      </c>
      <c r="G56" s="128">
        <v>0.32</v>
      </c>
      <c r="H56" s="106" t="s">
        <v>1919</v>
      </c>
      <c r="I56" s="128"/>
      <c r="J56" s="125">
        <v>45876</v>
      </c>
      <c r="K56" s="126">
        <v>45876</v>
      </c>
      <c r="L56" s="129">
        <v>10.71</v>
      </c>
      <c r="M56" s="126">
        <v>45877</v>
      </c>
      <c r="N56" s="129">
        <v>10.8</v>
      </c>
      <c r="O56" s="132">
        <v>5.2729999999999999E-3</v>
      </c>
      <c r="P56" s="107">
        <v>8.4030000000000007E-3</v>
      </c>
      <c r="Q56" s="106" t="s">
        <v>579</v>
      </c>
      <c r="R56" s="106" t="s">
        <v>546</v>
      </c>
      <c r="S56" s="105">
        <v>1</v>
      </c>
      <c r="T56" s="107">
        <v>7.4029999999999999E-3</v>
      </c>
      <c r="U56" s="130" t="s">
        <v>1914</v>
      </c>
      <c r="V56" t="s">
        <v>549</v>
      </c>
      <c r="W56" t="s">
        <v>864</v>
      </c>
      <c r="X56" t="s">
        <v>869</v>
      </c>
      <c r="Y56" t="s">
        <v>642</v>
      </c>
      <c r="Z56">
        <v>12753.9619</v>
      </c>
      <c r="AA56" t="s">
        <v>742</v>
      </c>
      <c r="AB56">
        <v>13453.3411</v>
      </c>
      <c r="AC56">
        <v>5.4836229736681973E-2</v>
      </c>
      <c r="AD56" t="s">
        <v>591</v>
      </c>
      <c r="AE56" t="s">
        <v>554</v>
      </c>
      <c r="AF56">
        <v>5.3836000000000002E-2</v>
      </c>
      <c r="AG56" t="str">
        <f>IF($A56="","",IFERROR(INDEX(Company_List!$G$3:$G$207,MATCH($A56,Company_List!$A$3:$A$207,0)),"unassigned"))</f>
        <v>P2</v>
      </c>
      <c r="AH56" t="s">
        <v>870</v>
      </c>
      <c r="AJ56" t="s">
        <v>593</v>
      </c>
      <c r="AK56" t="str">
        <f>IF($A56="","",IF(COUNTIFS(Human_Data_Entry!$A$3:$A$525,$A56)&gt;0,"YES","NO"))</f>
        <v>YES</v>
      </c>
      <c r="AL56" t="str">
        <f>IF($A56="","",IF(AND($C56&amp;"-"&amp;$D56&gt;=Settings!$B$19,$C56&amp;"-"&amp;$D56&lt;=Settings!$B$20),"IN","OUT"))</f>
        <v>IN</v>
      </c>
      <c r="AM56">
        <f t="shared" si="0"/>
        <v>7.4029999999999999E-3</v>
      </c>
      <c r="AN56">
        <f t="shared" si="1"/>
        <v>5.3836000000000002E-2</v>
      </c>
      <c r="AO56">
        <f>IF(ISNUMBER($AM56),ABS(IF(ISNUMBER($G56),$G56,0)-Settings!$B$25),"")</f>
        <v>0.32</v>
      </c>
      <c r="AP56">
        <f t="shared" si="2"/>
        <v>2.3689599999999998E-3</v>
      </c>
      <c r="AQ56">
        <f>IF(ISNUMBER($AN56),ABS(IF(ISNUMBER($G56),$G56,0)-Settings!$B$25),"")</f>
        <v>0.32</v>
      </c>
      <c r="AR56">
        <f t="shared" si="3"/>
        <v>1.722752E-2</v>
      </c>
      <c r="AS56" t="str">
        <f>IF($A56="","",IFERROR(INDEX(Company_List!$H$3:$H$207,MATCH($A56,Company_List!$A$3:$A$207,0)),"unassigned"))</f>
        <v>Industrials</v>
      </c>
      <c r="AT56" t="s">
        <v>1915</v>
      </c>
      <c r="AU56" t="s">
        <v>1916</v>
      </c>
      <c r="AV56">
        <v>3</v>
      </c>
      <c r="AW56" t="s">
        <v>561</v>
      </c>
      <c r="AX56" t="s">
        <v>561</v>
      </c>
      <c r="AY56" t="s">
        <v>550</v>
      </c>
      <c r="AZ56" t="s">
        <v>550</v>
      </c>
      <c r="BA56" s="160" t="s">
        <v>546</v>
      </c>
      <c r="BB56" s="160" t="s">
        <v>1928</v>
      </c>
    </row>
    <row r="57" spans="1:54" x14ac:dyDescent="0.2">
      <c r="A57" s="115" t="s">
        <v>862</v>
      </c>
      <c r="B57" s="117" t="s">
        <v>865</v>
      </c>
      <c r="C57" s="105">
        <v>2025</v>
      </c>
      <c r="D57" s="106" t="s">
        <v>563</v>
      </c>
      <c r="E57" s="109" t="s">
        <v>1911</v>
      </c>
      <c r="F57" s="106" t="s">
        <v>1912</v>
      </c>
      <c r="G57" s="128">
        <v>0.32750000000000001</v>
      </c>
      <c r="H57" s="106" t="s">
        <v>1919</v>
      </c>
      <c r="I57" s="128"/>
      <c r="J57" s="125">
        <v>45966</v>
      </c>
      <c r="K57" s="126">
        <v>45966</v>
      </c>
      <c r="L57" s="129">
        <v>10.38</v>
      </c>
      <c r="M57" s="126">
        <v>45967</v>
      </c>
      <c r="N57" s="129">
        <v>9.8000000000000007</v>
      </c>
      <c r="O57" s="132">
        <v>5.012E-3</v>
      </c>
      <c r="P57" s="107">
        <v>-5.5877000000000003E-2</v>
      </c>
      <c r="Q57" s="106" t="s">
        <v>545</v>
      </c>
      <c r="R57" s="106" t="s">
        <v>546</v>
      </c>
      <c r="S57" s="105">
        <v>1</v>
      </c>
      <c r="T57" s="107">
        <v>-5.6876999999999997E-2</v>
      </c>
      <c r="U57" s="130" t="s">
        <v>1914</v>
      </c>
      <c r="V57" t="s">
        <v>549</v>
      </c>
      <c r="W57" t="s">
        <v>864</v>
      </c>
      <c r="X57" t="s">
        <v>869</v>
      </c>
      <c r="Y57" t="s">
        <v>872</v>
      </c>
      <c r="Z57">
        <v>13181.3604</v>
      </c>
      <c r="AA57" t="s">
        <v>744</v>
      </c>
      <c r="AB57">
        <v>12627.6849</v>
      </c>
      <c r="AC57">
        <v>-4.2004425644662807E-2</v>
      </c>
      <c r="AD57" t="s">
        <v>545</v>
      </c>
      <c r="AE57" t="s">
        <v>546</v>
      </c>
      <c r="AF57">
        <v>-4.3004000000000001E-2</v>
      </c>
      <c r="AG57" t="str">
        <f>IF($A57="","",IFERROR(INDEX(Company_List!$G$3:$G$207,MATCH($A57,Company_List!$A$3:$A$207,0)),"unassigned"))</f>
        <v>P2</v>
      </c>
      <c r="AH57" t="s">
        <v>873</v>
      </c>
      <c r="AJ57" t="s">
        <v>593</v>
      </c>
      <c r="AK57" t="str">
        <f>IF($A57="","",IF(COUNTIFS(Human_Data_Entry!$A$3:$A$525,$A57)&gt;0,"YES","NO"))</f>
        <v>YES</v>
      </c>
      <c r="AL57" t="str">
        <f>IF($A57="","",IF(AND($C57&amp;"-"&amp;$D57&gt;=Settings!$B$19,$C57&amp;"-"&amp;$D57&lt;=Settings!$B$20),"IN","OUT"))</f>
        <v>IN</v>
      </c>
      <c r="AM57">
        <f t="shared" si="0"/>
        <v>-5.6876999999999997E-2</v>
      </c>
      <c r="AN57">
        <f t="shared" si="1"/>
        <v>-4.3004000000000001E-2</v>
      </c>
      <c r="AO57">
        <f>IF(ISNUMBER($AM57),ABS(IF(ISNUMBER($G57),$G57,0)-Settings!$B$25),"")</f>
        <v>0.32750000000000001</v>
      </c>
      <c r="AP57">
        <f t="shared" si="2"/>
        <v>-1.8627217500000001E-2</v>
      </c>
      <c r="AQ57">
        <f>IF(ISNUMBER($AN57),ABS(IF(ISNUMBER($G57),$G57,0)-Settings!$B$25),"")</f>
        <v>0.32750000000000001</v>
      </c>
      <c r="AR57">
        <f t="shared" si="3"/>
        <v>-1.408381E-2</v>
      </c>
      <c r="AS57" t="str">
        <f>IF($A57="","",IFERROR(INDEX(Company_List!$H$3:$H$207,MATCH($A57,Company_List!$A$3:$A$207,0)),"unassigned"))</f>
        <v>Industrials</v>
      </c>
      <c r="AT57" t="s">
        <v>1915</v>
      </c>
      <c r="AU57" t="s">
        <v>1916</v>
      </c>
      <c r="AV57">
        <v>3</v>
      </c>
      <c r="AW57" t="s">
        <v>561</v>
      </c>
      <c r="AX57" t="s">
        <v>561</v>
      </c>
      <c r="AY57" t="s">
        <v>550</v>
      </c>
      <c r="AZ57" t="s">
        <v>550</v>
      </c>
      <c r="BA57" s="160" t="s">
        <v>546</v>
      </c>
      <c r="BB57" s="160" t="s">
        <v>1928</v>
      </c>
    </row>
    <row r="58" spans="1:54" x14ac:dyDescent="0.2">
      <c r="A58" s="115" t="s">
        <v>862</v>
      </c>
      <c r="B58" s="117" t="s">
        <v>865</v>
      </c>
      <c r="C58" s="105">
        <v>2025</v>
      </c>
      <c r="D58" s="106" t="s">
        <v>569</v>
      </c>
      <c r="E58" s="109" t="s">
        <v>1911</v>
      </c>
      <c r="F58" s="106" t="s">
        <v>1912</v>
      </c>
      <c r="G58" s="128">
        <v>-0.5</v>
      </c>
      <c r="H58" s="106" t="s">
        <v>1923</v>
      </c>
      <c r="I58" s="128"/>
      <c r="J58" s="125">
        <v>46058</v>
      </c>
      <c r="K58" s="126">
        <v>46058</v>
      </c>
      <c r="L58" s="129">
        <v>12.09</v>
      </c>
      <c r="M58" s="126">
        <v>46059</v>
      </c>
      <c r="N58" s="129">
        <v>11.93</v>
      </c>
      <c r="O58" s="132">
        <v>4.0870000000000004E-3</v>
      </c>
      <c r="P58" s="107">
        <v>-1.3233999999999999E-2</v>
      </c>
      <c r="Q58" s="106" t="s">
        <v>579</v>
      </c>
      <c r="R58" s="106" t="s">
        <v>546</v>
      </c>
      <c r="S58" s="105">
        <v>-1</v>
      </c>
      <c r="T58" s="107">
        <v>1.2234E-2</v>
      </c>
      <c r="U58" s="130" t="s">
        <v>1914</v>
      </c>
      <c r="V58" t="s">
        <v>549</v>
      </c>
      <c r="W58" t="s">
        <v>864</v>
      </c>
      <c r="X58" t="s">
        <v>869</v>
      </c>
      <c r="Y58" t="s">
        <v>737</v>
      </c>
      <c r="Z58">
        <v>15522.338900000001</v>
      </c>
      <c r="AA58" t="s">
        <v>664</v>
      </c>
      <c r="AB58">
        <v>14570.4061</v>
      </c>
      <c r="AC58">
        <v>-6.1326630566732598E-2</v>
      </c>
      <c r="AD58" t="s">
        <v>545</v>
      </c>
      <c r="AE58" t="s">
        <v>554</v>
      </c>
      <c r="AF58">
        <v>6.0326999999999999E-2</v>
      </c>
      <c r="AG58" t="str">
        <f>IF($A58="","",IFERROR(INDEX(Company_List!$G$3:$G$207,MATCH($A58,Company_List!$A$3:$A$207,0)),"unassigned"))</f>
        <v>P2</v>
      </c>
      <c r="AH58" t="s">
        <v>875</v>
      </c>
      <c r="AJ58" t="s">
        <v>593</v>
      </c>
      <c r="AK58" t="str">
        <f>IF($A58="","",IF(COUNTIFS(Human_Data_Entry!$A$3:$A$525,$A58)&gt;0,"YES","NO"))</f>
        <v>YES</v>
      </c>
      <c r="AL58" t="str">
        <f>IF($A58="","",IF(AND($C58&amp;"-"&amp;$D58&gt;=Settings!$B$19,$C58&amp;"-"&amp;$D58&lt;=Settings!$B$20),"IN","OUT"))</f>
        <v>IN</v>
      </c>
      <c r="AM58">
        <f t="shared" si="0"/>
        <v>1.2234E-2</v>
      </c>
      <c r="AN58">
        <f t="shared" si="1"/>
        <v>6.0326999999999999E-2</v>
      </c>
      <c r="AO58">
        <f>IF(ISNUMBER($AM58),ABS(IF(ISNUMBER($G58),$G58,0)-Settings!$B$25),"")</f>
        <v>0.5</v>
      </c>
      <c r="AP58">
        <f t="shared" si="2"/>
        <v>6.117E-3</v>
      </c>
      <c r="AQ58">
        <f>IF(ISNUMBER($AN58),ABS(IF(ISNUMBER($G58),$G58,0)-Settings!$B$25),"")</f>
        <v>0.5</v>
      </c>
      <c r="AR58">
        <f t="shared" si="3"/>
        <v>3.0163499999999999E-2</v>
      </c>
      <c r="AS58" t="str">
        <f>IF($A58="","",IFERROR(INDEX(Company_List!$H$3:$H$207,MATCH($A58,Company_List!$A$3:$A$207,0)),"unassigned"))</f>
        <v>Industrials</v>
      </c>
      <c r="AT58" t="s">
        <v>1915</v>
      </c>
      <c r="AU58" t="s">
        <v>1916</v>
      </c>
      <c r="AV58">
        <v>3</v>
      </c>
      <c r="AW58" t="s">
        <v>561</v>
      </c>
      <c r="AX58" t="s">
        <v>561</v>
      </c>
      <c r="AY58" t="s">
        <v>550</v>
      </c>
      <c r="AZ58" t="s">
        <v>550</v>
      </c>
      <c r="BA58" s="160" t="s">
        <v>546</v>
      </c>
      <c r="BB58" s="160" t="s">
        <v>1928</v>
      </c>
    </row>
    <row r="59" spans="1:54" x14ac:dyDescent="0.2">
      <c r="A59" s="115" t="s">
        <v>668</v>
      </c>
      <c r="B59" s="117" t="s">
        <v>670</v>
      </c>
      <c r="C59" s="105">
        <v>2026</v>
      </c>
      <c r="D59" s="106" t="s">
        <v>537</v>
      </c>
      <c r="E59" s="109" t="s">
        <v>1911</v>
      </c>
      <c r="F59" s="106" t="s">
        <v>1912</v>
      </c>
      <c r="G59" s="128">
        <v>-0.19</v>
      </c>
      <c r="H59" s="106" t="s">
        <v>1923</v>
      </c>
      <c r="I59" s="128"/>
      <c r="J59" s="125">
        <v>46149</v>
      </c>
      <c r="K59" s="126">
        <v>46148</v>
      </c>
      <c r="L59" s="129">
        <v>284.10000000000002</v>
      </c>
      <c r="M59" s="126">
        <v>46149</v>
      </c>
      <c r="N59" s="129">
        <v>287.83</v>
      </c>
      <c r="O59" s="132">
        <v>3.7269999999999998E-3</v>
      </c>
      <c r="P59" s="107">
        <v>1.3129E-2</v>
      </c>
      <c r="Q59" s="106" t="s">
        <v>579</v>
      </c>
      <c r="R59" s="106" t="s">
        <v>546</v>
      </c>
      <c r="S59" s="105">
        <v>-1</v>
      </c>
      <c r="T59" s="107">
        <v>-1.4128999999999999E-2</v>
      </c>
      <c r="U59" s="130" t="s">
        <v>1914</v>
      </c>
      <c r="V59" t="s">
        <v>549</v>
      </c>
      <c r="W59" t="s">
        <v>636</v>
      </c>
      <c r="X59" t="s">
        <v>670</v>
      </c>
      <c r="Y59" t="s">
        <v>680</v>
      </c>
      <c r="Z59">
        <v>282.18619999999999</v>
      </c>
      <c r="AA59" t="s">
        <v>681</v>
      </c>
      <c r="AB59">
        <v>285.89100000000002</v>
      </c>
      <c r="AC59">
        <v>1.3129078450883199E-2</v>
      </c>
      <c r="AD59" t="s">
        <v>579</v>
      </c>
      <c r="AE59" t="s">
        <v>546</v>
      </c>
      <c r="AF59">
        <v>-1.4128999999999999E-2</v>
      </c>
      <c r="AG59" t="str">
        <f>IF($A59="","",IFERROR(INDEX(Company_List!$G$3:$G$207,MATCH($A59,Company_List!$A$3:$A$207,0)),"unassigned"))</f>
        <v>P2</v>
      </c>
      <c r="AH59" t="s">
        <v>682</v>
      </c>
      <c r="AJ59" t="s">
        <v>593</v>
      </c>
      <c r="AK59" t="str">
        <f>IF($A59="","",IF(COUNTIFS(Human_Data_Entry!$A$3:$A$525,$A59)&gt;0,"YES","NO"))</f>
        <v>YES</v>
      </c>
      <c r="AL59" t="str">
        <f>IF($A59="","",IF(AND($C59&amp;"-"&amp;$D59&gt;=Settings!$B$19,$C59&amp;"-"&amp;$D59&lt;=Settings!$B$20),"IN","OUT"))</f>
        <v>IN</v>
      </c>
      <c r="AM59">
        <f t="shared" si="0"/>
        <v>-1.4128999999999999E-2</v>
      </c>
      <c r="AN59">
        <f t="shared" si="1"/>
        <v>-1.4128999999999999E-2</v>
      </c>
      <c r="AO59">
        <f>IF(ISNUMBER($AM59),ABS(IF(ISNUMBER($G59),$G59,0)-Settings!$B$25),"")</f>
        <v>0.19</v>
      </c>
      <c r="AP59">
        <f t="shared" si="2"/>
        <v>-2.6845099999999998E-3</v>
      </c>
      <c r="AQ59">
        <f>IF(ISNUMBER($AN59),ABS(IF(ISNUMBER($G59),$G59,0)-Settings!$B$25),"")</f>
        <v>0.19</v>
      </c>
      <c r="AR59">
        <f t="shared" si="3"/>
        <v>-2.6845099999999998E-3</v>
      </c>
      <c r="AS59" t="str">
        <f>IF($A59="","",IFERROR(INDEX(Company_List!$H$3:$H$207,MATCH($A59,Company_List!$A$3:$A$207,0)),"unassigned"))</f>
        <v>Consumer Discretionary</v>
      </c>
      <c r="AT59" t="s">
        <v>1915</v>
      </c>
      <c r="AU59" t="s">
        <v>1916</v>
      </c>
      <c r="AV59">
        <v>2</v>
      </c>
      <c r="AW59" t="s">
        <v>595</v>
      </c>
      <c r="AX59" t="s">
        <v>596</v>
      </c>
      <c r="AY59" t="s">
        <v>550</v>
      </c>
      <c r="AZ59" t="s">
        <v>550</v>
      </c>
      <c r="BA59" t="s">
        <v>554</v>
      </c>
    </row>
    <row r="60" spans="1:54" x14ac:dyDescent="0.2">
      <c r="A60" s="115" t="s">
        <v>668</v>
      </c>
      <c r="B60" s="117" t="s">
        <v>670</v>
      </c>
      <c r="C60" s="105">
        <v>2024</v>
      </c>
      <c r="D60" s="106" t="s">
        <v>569</v>
      </c>
      <c r="E60" s="109" t="s">
        <v>1911</v>
      </c>
      <c r="F60" s="106" t="s">
        <v>1912</v>
      </c>
      <c r="G60" s="128">
        <v>-0.1</v>
      </c>
      <c r="H60" s="106" t="s">
        <v>1923</v>
      </c>
      <c r="I60" s="128"/>
      <c r="J60" s="125">
        <v>45698</v>
      </c>
      <c r="K60" s="126">
        <v>45695</v>
      </c>
      <c r="L60" s="129">
        <v>294.3</v>
      </c>
      <c r="M60" s="126">
        <v>45698</v>
      </c>
      <c r="N60" s="129">
        <v>302.27</v>
      </c>
      <c r="O60" s="132">
        <v>5.4910000000000002E-3</v>
      </c>
      <c r="P60" s="107">
        <v>2.7081000000000001E-2</v>
      </c>
      <c r="Q60" s="106" t="s">
        <v>591</v>
      </c>
      <c r="R60" s="106" t="s">
        <v>546</v>
      </c>
      <c r="S60" s="105">
        <v>-1</v>
      </c>
      <c r="T60" s="107">
        <v>-2.8080999999999998E-2</v>
      </c>
      <c r="U60" s="130" t="s">
        <v>1914</v>
      </c>
      <c r="V60" t="s">
        <v>549</v>
      </c>
      <c r="W60" t="s">
        <v>541</v>
      </c>
      <c r="X60" t="s">
        <v>670</v>
      </c>
      <c r="Y60" t="s">
        <v>671</v>
      </c>
      <c r="Z60">
        <v>284.06779999999998</v>
      </c>
      <c r="AA60" t="s">
        <v>672</v>
      </c>
      <c r="AB60">
        <v>291.76069999999999</v>
      </c>
      <c r="AC60">
        <v>2.7081169021436129E-2</v>
      </c>
      <c r="AD60" t="s">
        <v>591</v>
      </c>
      <c r="AE60" t="s">
        <v>546</v>
      </c>
      <c r="AF60">
        <v>-2.8080999999999998E-2</v>
      </c>
      <c r="AG60" t="str">
        <f>IF($A60="","",IFERROR(INDEX(Company_List!$G$3:$G$207,MATCH($A60,Company_List!$A$3:$A$207,0)),"unassigned"))</f>
        <v>P2</v>
      </c>
      <c r="AH60" t="s">
        <v>673</v>
      </c>
      <c r="AJ60" t="s">
        <v>593</v>
      </c>
      <c r="AK60" t="str">
        <f>IF($A60="","",IF(COUNTIFS(Human_Data_Entry!$A$3:$A$525,$A60)&gt;0,"YES","NO"))</f>
        <v>YES</v>
      </c>
      <c r="AL60" t="str">
        <f>IF($A60="","",IF(AND($C60&amp;"-"&amp;$D60&gt;=Settings!$B$19,$C60&amp;"-"&amp;$D60&lt;=Settings!$B$20),"IN","OUT"))</f>
        <v>IN</v>
      </c>
      <c r="AM60">
        <f t="shared" si="0"/>
        <v>-2.8080999999999998E-2</v>
      </c>
      <c r="AN60">
        <f t="shared" si="1"/>
        <v>-2.8080999999999998E-2</v>
      </c>
      <c r="AO60">
        <f>IF(ISNUMBER($AM60),ABS(IF(ISNUMBER($G60),$G60,0)-Settings!$B$25),"")</f>
        <v>0.1</v>
      </c>
      <c r="AP60">
        <f t="shared" si="2"/>
        <v>-2.8081E-3</v>
      </c>
      <c r="AQ60">
        <f>IF(ISNUMBER($AN60),ABS(IF(ISNUMBER($G60),$G60,0)-Settings!$B$25),"")</f>
        <v>0.1</v>
      </c>
      <c r="AR60">
        <f t="shared" si="3"/>
        <v>-2.8081E-3</v>
      </c>
      <c r="AS60" t="str">
        <f>IF($A60="","",IFERROR(INDEX(Company_List!$H$3:$H$207,MATCH($A60,Company_List!$A$3:$A$207,0)),"unassigned"))</f>
        <v>Consumer Discretionary</v>
      </c>
      <c r="AT60" t="s">
        <v>1915</v>
      </c>
      <c r="AU60" t="s">
        <v>1916</v>
      </c>
      <c r="AV60">
        <v>2</v>
      </c>
      <c r="AW60" t="s">
        <v>595</v>
      </c>
      <c r="AX60" t="s">
        <v>596</v>
      </c>
      <c r="AY60" t="s">
        <v>550</v>
      </c>
      <c r="AZ60" t="s">
        <v>550</v>
      </c>
      <c r="BA60" t="s">
        <v>554</v>
      </c>
    </row>
    <row r="61" spans="1:54" x14ac:dyDescent="0.2">
      <c r="A61" s="115" t="s">
        <v>668</v>
      </c>
      <c r="B61" s="117" t="s">
        <v>670</v>
      </c>
      <c r="C61" s="105">
        <v>2025</v>
      </c>
      <c r="D61" s="106" t="s">
        <v>569</v>
      </c>
      <c r="E61" s="109" t="s">
        <v>1911</v>
      </c>
      <c r="F61" s="106" t="s">
        <v>1912</v>
      </c>
      <c r="G61" s="128">
        <v>0.25</v>
      </c>
      <c r="H61" s="106" t="s">
        <v>1913</v>
      </c>
      <c r="I61" s="128"/>
      <c r="J61" s="125">
        <v>46064</v>
      </c>
      <c r="K61" s="126">
        <v>46063</v>
      </c>
      <c r="L61" s="129">
        <v>325.97000000000003</v>
      </c>
      <c r="M61" s="126">
        <v>46064</v>
      </c>
      <c r="N61" s="129">
        <v>323.58</v>
      </c>
      <c r="O61" s="132">
        <v>4.9150000000000001E-3</v>
      </c>
      <c r="P61" s="107">
        <v>-7.332E-3</v>
      </c>
      <c r="Q61" s="106" t="s">
        <v>579</v>
      </c>
      <c r="R61" s="106" t="s">
        <v>554</v>
      </c>
      <c r="S61" s="105">
        <v>0</v>
      </c>
      <c r="T61" s="107">
        <v>0</v>
      </c>
      <c r="U61" s="130" t="s">
        <v>1914</v>
      </c>
      <c r="V61" t="s">
        <v>549</v>
      </c>
      <c r="W61" t="s">
        <v>675</v>
      </c>
      <c r="X61" t="s">
        <v>670</v>
      </c>
      <c r="Y61" t="s">
        <v>676</v>
      </c>
      <c r="Z61">
        <v>319.24930000000001</v>
      </c>
      <c r="AA61" t="s">
        <v>677</v>
      </c>
      <c r="AB61">
        <v>325.78820000000002</v>
      </c>
      <c r="AC61">
        <v>2.0481999938269369E-2</v>
      </c>
      <c r="AD61" t="s">
        <v>591</v>
      </c>
      <c r="AE61" t="s">
        <v>546</v>
      </c>
      <c r="AF61">
        <v>0</v>
      </c>
      <c r="AG61" t="str">
        <f>IF($A61="","",IFERROR(INDEX(Company_List!$G$3:$G$207,MATCH($A61,Company_List!$A$3:$A$207,0)),"unassigned"))</f>
        <v>P2</v>
      </c>
      <c r="AH61" t="s">
        <v>678</v>
      </c>
      <c r="AJ61" t="s">
        <v>593</v>
      </c>
      <c r="AK61" t="str">
        <f>IF($A61="","",IF(COUNTIFS(Human_Data_Entry!$A$3:$A$525,$A61)&gt;0,"YES","NO"))</f>
        <v>YES</v>
      </c>
      <c r="AL61" t="str">
        <f>IF($A61="","",IF(AND($C61&amp;"-"&amp;$D61&gt;=Settings!$B$19,$C61&amp;"-"&amp;$D61&lt;=Settings!$B$20),"IN","OUT"))</f>
        <v>IN</v>
      </c>
      <c r="AM61" t="str">
        <f t="shared" si="0"/>
        <v/>
      </c>
      <c r="AN61" t="str">
        <f t="shared" si="1"/>
        <v/>
      </c>
      <c r="AO61" t="str">
        <f>IF(ISNUMBER($AM61),ABS(IF(ISNUMBER($G61),$G61,0)-Settings!$B$25),"")</f>
        <v/>
      </c>
      <c r="AP61" t="str">
        <f t="shared" si="2"/>
        <v/>
      </c>
      <c r="AQ61" t="str">
        <f>IF(ISNUMBER($AN61),ABS(IF(ISNUMBER($G61),$G61,0)-Settings!$B$25),"")</f>
        <v/>
      </c>
      <c r="AR61" t="str">
        <f t="shared" si="3"/>
        <v/>
      </c>
      <c r="AS61" t="str">
        <f>IF($A61="","",IFERROR(INDEX(Company_List!$H$3:$H$207,MATCH($A61,Company_List!$A$3:$A$207,0)),"unassigned"))</f>
        <v>Consumer Discretionary</v>
      </c>
      <c r="AT61" t="s">
        <v>1915</v>
      </c>
      <c r="AU61" t="s">
        <v>1916</v>
      </c>
      <c r="AV61">
        <v>2</v>
      </c>
      <c r="AW61" t="s">
        <v>595</v>
      </c>
      <c r="AX61" t="s">
        <v>596</v>
      </c>
      <c r="AY61" t="s">
        <v>550</v>
      </c>
      <c r="AZ61" t="s">
        <v>550</v>
      </c>
      <c r="BA61" t="s">
        <v>554</v>
      </c>
    </row>
    <row r="62" spans="1:54" x14ac:dyDescent="0.2">
      <c r="A62" s="115" t="s">
        <v>959</v>
      </c>
      <c r="B62" s="117" t="s">
        <v>960</v>
      </c>
      <c r="C62" s="105">
        <v>2026</v>
      </c>
      <c r="D62" s="106" t="s">
        <v>537</v>
      </c>
      <c r="E62" s="109" t="s">
        <v>1911</v>
      </c>
      <c r="F62" s="106" t="s">
        <v>1912</v>
      </c>
      <c r="G62" s="128">
        <v>-0.41</v>
      </c>
      <c r="H62" s="106" t="s">
        <v>1923</v>
      </c>
      <c r="I62" s="128"/>
      <c r="J62" s="125">
        <v>46141</v>
      </c>
      <c r="K62" s="126">
        <v>46141</v>
      </c>
      <c r="L62" s="129">
        <v>669.12</v>
      </c>
      <c r="M62" s="126">
        <v>46142</v>
      </c>
      <c r="N62" s="129">
        <v>619.32000000000005</v>
      </c>
      <c r="O62" s="132">
        <v>6.7270000000000003E-3</v>
      </c>
      <c r="P62" s="107">
        <v>-7.4425999999999992E-2</v>
      </c>
      <c r="Q62" s="106" t="s">
        <v>545</v>
      </c>
      <c r="R62" s="106" t="s">
        <v>554</v>
      </c>
      <c r="S62" s="105">
        <v>-1</v>
      </c>
      <c r="T62" s="107">
        <v>7.3426000000000005E-2</v>
      </c>
      <c r="U62" s="130" t="s">
        <v>1914</v>
      </c>
      <c r="V62" t="s">
        <v>549</v>
      </c>
      <c r="W62" t="s">
        <v>564</v>
      </c>
      <c r="X62" t="s">
        <v>960</v>
      </c>
      <c r="Y62" t="s">
        <v>656</v>
      </c>
      <c r="Z62">
        <v>668.50040000000001</v>
      </c>
      <c r="AA62" t="s">
        <v>657</v>
      </c>
      <c r="AB62">
        <v>618.74659999999994</v>
      </c>
      <c r="AC62">
        <v>-7.442608591111155E-2</v>
      </c>
      <c r="AD62" t="s">
        <v>545</v>
      </c>
      <c r="AE62" t="s">
        <v>554</v>
      </c>
      <c r="AF62">
        <v>7.3426000000000005E-2</v>
      </c>
      <c r="AG62" t="str">
        <f>IF($A62="","",IFERROR(INDEX(Company_List!$G$3:$G$207,MATCH($A62,Company_List!$A$3:$A$207,0)),"unassigned"))</f>
        <v>P2</v>
      </c>
      <c r="AH62" t="s">
        <v>961</v>
      </c>
      <c r="AI62" t="s">
        <v>962</v>
      </c>
      <c r="AJ62" t="s">
        <v>560</v>
      </c>
      <c r="AK62" t="str">
        <f>IF($A62="","",IF(COUNTIFS(Human_Data_Entry!$A$3:$A$525,$A62)&gt;0,"YES","NO"))</f>
        <v>YES</v>
      </c>
      <c r="AL62" t="str">
        <f>IF($A62="","",IF(AND($C62&amp;"-"&amp;$D62&gt;=Settings!$B$19,$C62&amp;"-"&amp;$D62&lt;=Settings!$B$20),"IN","OUT"))</f>
        <v>IN</v>
      </c>
      <c r="AM62">
        <f t="shared" si="0"/>
        <v>7.3426000000000005E-2</v>
      </c>
      <c r="AN62">
        <f t="shared" si="1"/>
        <v>7.3426000000000005E-2</v>
      </c>
      <c r="AO62">
        <f>IF(ISNUMBER($AM62),ABS(IF(ISNUMBER($G62),$G62,0)-Settings!$B$25),"")</f>
        <v>0.41</v>
      </c>
      <c r="AP62">
        <f t="shared" si="2"/>
        <v>3.0104660000000002E-2</v>
      </c>
      <c r="AQ62">
        <f>IF(ISNUMBER($AN62),ABS(IF(ISNUMBER($G62),$G62,0)-Settings!$B$25),"")</f>
        <v>0.41</v>
      </c>
      <c r="AR62">
        <f t="shared" si="3"/>
        <v>3.0104660000000002E-2</v>
      </c>
      <c r="AS62" t="str">
        <f>IF($A62="","",IFERROR(INDEX(Company_List!$H$3:$H$207,MATCH($A62,Company_List!$A$3:$A$207,0)),"unassigned"))</f>
        <v>Communication Services</v>
      </c>
      <c r="AT62" t="s">
        <v>1915</v>
      </c>
      <c r="AU62" t="s">
        <v>1916</v>
      </c>
      <c r="AV62">
        <v>1</v>
      </c>
      <c r="AW62" t="s">
        <v>561</v>
      </c>
      <c r="AX62" t="s">
        <v>561</v>
      </c>
      <c r="AY62" t="s">
        <v>550</v>
      </c>
      <c r="AZ62" t="s">
        <v>562</v>
      </c>
      <c r="BA62" s="160" t="s">
        <v>546</v>
      </c>
      <c r="BB62" s="160" t="s">
        <v>1922</v>
      </c>
    </row>
    <row r="63" spans="1:54" x14ac:dyDescent="0.2">
      <c r="A63" s="115" t="s">
        <v>959</v>
      </c>
      <c r="B63" s="117" t="s">
        <v>960</v>
      </c>
      <c r="C63" s="105">
        <v>2025</v>
      </c>
      <c r="D63" s="106" t="s">
        <v>563</v>
      </c>
      <c r="E63" s="109" t="s">
        <v>1911</v>
      </c>
      <c r="F63" s="106" t="s">
        <v>1912</v>
      </c>
      <c r="G63" s="128">
        <v>-0.1125</v>
      </c>
      <c r="H63" s="106" t="s">
        <v>1923</v>
      </c>
      <c r="I63" s="128"/>
      <c r="J63" s="125">
        <v>45959</v>
      </c>
      <c r="K63" s="126">
        <v>45959</v>
      </c>
      <c r="L63" s="129">
        <v>751.67</v>
      </c>
      <c r="M63" s="126">
        <v>45960</v>
      </c>
      <c r="N63" s="129">
        <v>669.15</v>
      </c>
      <c r="O63" s="132">
        <v>6.6829999999999997E-3</v>
      </c>
      <c r="P63" s="107">
        <v>-0.109782</v>
      </c>
      <c r="Q63" s="106" t="s">
        <v>545</v>
      </c>
      <c r="R63" s="106" t="s">
        <v>554</v>
      </c>
      <c r="S63" s="105">
        <v>-1</v>
      </c>
      <c r="T63" s="107">
        <v>0.108782</v>
      </c>
      <c r="U63" s="130" t="s">
        <v>1914</v>
      </c>
      <c r="V63" t="s">
        <v>549</v>
      </c>
      <c r="W63" t="s">
        <v>564</v>
      </c>
      <c r="X63" t="s">
        <v>960</v>
      </c>
      <c r="Y63" t="s">
        <v>626</v>
      </c>
      <c r="Z63">
        <v>749.7201</v>
      </c>
      <c r="AA63" t="s">
        <v>660</v>
      </c>
      <c r="AB63">
        <v>667.41420000000005</v>
      </c>
      <c r="AC63">
        <v>-0.1097821761251839</v>
      </c>
      <c r="AD63" t="s">
        <v>545</v>
      </c>
      <c r="AE63" t="s">
        <v>554</v>
      </c>
      <c r="AF63">
        <v>0.108782</v>
      </c>
      <c r="AG63" t="str">
        <f>IF($A63="","",IFERROR(INDEX(Company_List!$G$3:$G$207,MATCH($A63,Company_List!$A$3:$A$207,0)),"unassigned"))</f>
        <v>P2</v>
      </c>
      <c r="AH63" t="s">
        <v>963</v>
      </c>
      <c r="AI63" t="s">
        <v>964</v>
      </c>
      <c r="AJ63" t="s">
        <v>560</v>
      </c>
      <c r="AK63" t="str">
        <f>IF($A63="","",IF(COUNTIFS(Human_Data_Entry!$A$3:$A$525,$A63)&gt;0,"YES","NO"))</f>
        <v>YES</v>
      </c>
      <c r="AL63" t="str">
        <f>IF($A63="","",IF(AND($C63&amp;"-"&amp;$D63&gt;=Settings!$B$19,$C63&amp;"-"&amp;$D63&lt;=Settings!$B$20),"IN","OUT"))</f>
        <v>IN</v>
      </c>
      <c r="AM63">
        <f t="shared" si="0"/>
        <v>0.108782</v>
      </c>
      <c r="AN63">
        <f t="shared" si="1"/>
        <v>0.108782</v>
      </c>
      <c r="AO63">
        <f>IF(ISNUMBER($AM63),ABS(IF(ISNUMBER($G63),$G63,0)-Settings!$B$25),"")</f>
        <v>0.1125</v>
      </c>
      <c r="AP63">
        <f t="shared" si="2"/>
        <v>1.2237975E-2</v>
      </c>
      <c r="AQ63">
        <f>IF(ISNUMBER($AN63),ABS(IF(ISNUMBER($G63),$G63,0)-Settings!$B$25),"")</f>
        <v>0.1125</v>
      </c>
      <c r="AR63">
        <f t="shared" si="3"/>
        <v>1.2237975E-2</v>
      </c>
      <c r="AS63" t="str">
        <f>IF($A63="","",IFERROR(INDEX(Company_List!$H$3:$H$207,MATCH($A63,Company_List!$A$3:$A$207,0)),"unassigned"))</f>
        <v>Communication Services</v>
      </c>
      <c r="AT63" t="s">
        <v>1915</v>
      </c>
      <c r="AU63" t="s">
        <v>1916</v>
      </c>
      <c r="AV63">
        <v>1</v>
      </c>
      <c r="AW63" t="s">
        <v>561</v>
      </c>
      <c r="AX63" t="s">
        <v>561</v>
      </c>
      <c r="AY63" t="s">
        <v>550</v>
      </c>
      <c r="AZ63" t="s">
        <v>562</v>
      </c>
      <c r="BA63" s="160" t="s">
        <v>546</v>
      </c>
      <c r="BB63" s="160" t="s">
        <v>1922</v>
      </c>
    </row>
    <row r="64" spans="1:54" x14ac:dyDescent="0.2">
      <c r="A64" s="115" t="s">
        <v>959</v>
      </c>
      <c r="B64" s="117" t="s">
        <v>960</v>
      </c>
      <c r="C64" s="105">
        <v>2025</v>
      </c>
      <c r="D64" s="106" t="s">
        <v>569</v>
      </c>
      <c r="E64" s="109" t="s">
        <v>1911</v>
      </c>
      <c r="F64" s="106" t="s">
        <v>1912</v>
      </c>
      <c r="G64" s="128">
        <v>0.38750000000000001</v>
      </c>
      <c r="H64" s="106" t="s">
        <v>1919</v>
      </c>
      <c r="I64" s="128"/>
      <c r="J64" s="125">
        <v>46050</v>
      </c>
      <c r="K64" s="126">
        <v>46050</v>
      </c>
      <c r="L64" s="129">
        <v>668.73</v>
      </c>
      <c r="M64" s="126">
        <v>46051</v>
      </c>
      <c r="N64" s="129">
        <v>737.43</v>
      </c>
      <c r="O64" s="132">
        <v>6.9049999999999997E-3</v>
      </c>
      <c r="P64" s="107">
        <v>0.102732</v>
      </c>
      <c r="Q64" s="106" t="s">
        <v>591</v>
      </c>
      <c r="R64" s="106" t="s">
        <v>554</v>
      </c>
      <c r="S64" s="105">
        <v>1</v>
      </c>
      <c r="T64" s="107">
        <v>0.101732</v>
      </c>
      <c r="U64" s="130" t="s">
        <v>1914</v>
      </c>
      <c r="V64" t="s">
        <v>549</v>
      </c>
      <c r="W64" t="s">
        <v>564</v>
      </c>
      <c r="X64" t="s">
        <v>960</v>
      </c>
      <c r="Y64" t="s">
        <v>776</v>
      </c>
      <c r="Z64">
        <v>667.53920000000005</v>
      </c>
      <c r="AA64" t="s">
        <v>694</v>
      </c>
      <c r="AB64">
        <v>736.11689999999999</v>
      </c>
      <c r="AC64">
        <v>0.102732153378451</v>
      </c>
      <c r="AD64" t="s">
        <v>591</v>
      </c>
      <c r="AE64" t="s">
        <v>554</v>
      </c>
      <c r="AF64">
        <v>0.101732</v>
      </c>
      <c r="AG64" t="str">
        <f>IF($A64="","",IFERROR(INDEX(Company_List!$G$3:$G$207,MATCH($A64,Company_List!$A$3:$A$207,0)),"unassigned"))</f>
        <v>P2</v>
      </c>
      <c r="AH64" t="s">
        <v>965</v>
      </c>
      <c r="AI64" t="s">
        <v>966</v>
      </c>
      <c r="AJ64" t="s">
        <v>560</v>
      </c>
      <c r="AK64" t="str">
        <f>IF($A64="","",IF(COUNTIFS(Human_Data_Entry!$A$3:$A$525,$A64)&gt;0,"YES","NO"))</f>
        <v>YES</v>
      </c>
      <c r="AL64" t="str">
        <f>IF($A64="","",IF(AND($C64&amp;"-"&amp;$D64&gt;=Settings!$B$19,$C64&amp;"-"&amp;$D64&lt;=Settings!$B$20),"IN","OUT"))</f>
        <v>IN</v>
      </c>
      <c r="AM64">
        <f t="shared" si="0"/>
        <v>0.101732</v>
      </c>
      <c r="AN64">
        <f t="shared" si="1"/>
        <v>0.101732</v>
      </c>
      <c r="AO64">
        <f>IF(ISNUMBER($AM64),ABS(IF(ISNUMBER($G64),$G64,0)-Settings!$B$25),"")</f>
        <v>0.38750000000000001</v>
      </c>
      <c r="AP64">
        <f t="shared" si="2"/>
        <v>3.9421150000000002E-2</v>
      </c>
      <c r="AQ64">
        <f>IF(ISNUMBER($AN64),ABS(IF(ISNUMBER($G64),$G64,0)-Settings!$B$25),"")</f>
        <v>0.38750000000000001</v>
      </c>
      <c r="AR64">
        <f t="shared" si="3"/>
        <v>3.9421150000000002E-2</v>
      </c>
      <c r="AS64" t="str">
        <f>IF($A64="","",IFERROR(INDEX(Company_List!$H$3:$H$207,MATCH($A64,Company_List!$A$3:$A$207,0)),"unassigned"))</f>
        <v>Communication Services</v>
      </c>
      <c r="AT64" t="s">
        <v>1915</v>
      </c>
      <c r="AU64" t="s">
        <v>1916</v>
      </c>
      <c r="AV64">
        <v>1</v>
      </c>
      <c r="AW64" t="s">
        <v>561</v>
      </c>
      <c r="AX64" t="s">
        <v>561</v>
      </c>
      <c r="AY64" t="s">
        <v>550</v>
      </c>
      <c r="AZ64" t="s">
        <v>562</v>
      </c>
      <c r="BA64" s="160" t="s">
        <v>546</v>
      </c>
      <c r="BB64" s="160" t="s">
        <v>1922</v>
      </c>
    </row>
    <row r="65" spans="1:54" x14ac:dyDescent="0.2">
      <c r="A65" s="115" t="s">
        <v>800</v>
      </c>
      <c r="B65" s="117" t="s">
        <v>802</v>
      </c>
      <c r="C65" s="105">
        <v>2025</v>
      </c>
      <c r="D65" s="106" t="s">
        <v>537</v>
      </c>
      <c r="E65" s="109" t="s">
        <v>1911</v>
      </c>
      <c r="F65" s="106" t="s">
        <v>1912</v>
      </c>
      <c r="G65" s="128">
        <v>-0.5</v>
      </c>
      <c r="H65" s="106" t="s">
        <v>1923</v>
      </c>
      <c r="I65" s="128"/>
      <c r="J65" s="125">
        <v>45566</v>
      </c>
      <c r="K65" s="126">
        <v>45566</v>
      </c>
      <c r="L65" s="129">
        <v>89.13</v>
      </c>
      <c r="M65" s="126">
        <v>45567</v>
      </c>
      <c r="N65" s="129">
        <v>82.89</v>
      </c>
      <c r="O65" s="132">
        <v>3.2360000000000002E-3</v>
      </c>
      <c r="P65" s="107">
        <v>-7.0010000000000003E-2</v>
      </c>
      <c r="Q65" s="106" t="s">
        <v>545</v>
      </c>
      <c r="R65" s="106" t="s">
        <v>554</v>
      </c>
      <c r="S65" s="105">
        <v>-1</v>
      </c>
      <c r="T65" s="107">
        <v>6.9010000000000002E-2</v>
      </c>
      <c r="U65" s="130" t="s">
        <v>1914</v>
      </c>
      <c r="V65" t="s">
        <v>549</v>
      </c>
      <c r="W65" t="s">
        <v>541</v>
      </c>
      <c r="X65" t="s">
        <v>802</v>
      </c>
      <c r="Y65" t="s">
        <v>803</v>
      </c>
      <c r="Z65">
        <v>85.307400000000001</v>
      </c>
      <c r="AA65" t="s">
        <v>804</v>
      </c>
      <c r="AB65">
        <v>79.334999999999994</v>
      </c>
      <c r="AC65">
        <v>-7.001015486395322E-2</v>
      </c>
      <c r="AD65" t="s">
        <v>545</v>
      </c>
      <c r="AE65" t="s">
        <v>554</v>
      </c>
      <c r="AF65">
        <v>6.9010000000000002E-2</v>
      </c>
      <c r="AG65" t="str">
        <f>IF($A65="","",IFERROR(INDEX(Company_List!$G$3:$G$207,MATCH($A65,Company_List!$A$3:$A$207,0)),"unassigned"))</f>
        <v>P2</v>
      </c>
      <c r="AH65" t="s">
        <v>805</v>
      </c>
      <c r="AJ65" t="s">
        <v>593</v>
      </c>
      <c r="AK65" t="str">
        <f>IF($A65="","",IF(COUNTIFS(Human_Data_Entry!$A$3:$A$525,$A65)&gt;0,"YES","NO"))</f>
        <v>YES</v>
      </c>
      <c r="AL65" t="str">
        <f>IF($A65="","",IF(AND($C65&amp;"-"&amp;$D65&gt;=Settings!$B$19,$C65&amp;"-"&amp;$D65&lt;=Settings!$B$20),"IN","OUT"))</f>
        <v>IN</v>
      </c>
      <c r="AM65">
        <f t="shared" si="0"/>
        <v>6.9010000000000002E-2</v>
      </c>
      <c r="AN65">
        <f t="shared" si="1"/>
        <v>6.9010000000000002E-2</v>
      </c>
      <c r="AO65">
        <f>IF(ISNUMBER($AM65),ABS(IF(ISNUMBER($G65),$G65,0)-Settings!$B$25),"")</f>
        <v>0.5</v>
      </c>
      <c r="AP65">
        <f t="shared" si="2"/>
        <v>3.4505000000000001E-2</v>
      </c>
      <c r="AQ65">
        <f>IF(ISNUMBER($AN65),ABS(IF(ISNUMBER($G65),$G65,0)-Settings!$B$25),"")</f>
        <v>0.5</v>
      </c>
      <c r="AR65">
        <f t="shared" si="3"/>
        <v>3.4505000000000001E-2</v>
      </c>
      <c r="AS65" t="str">
        <f>IF($A65="","",IFERROR(INDEX(Company_List!$H$3:$H$207,MATCH($A65,Company_List!$A$3:$A$207,0)),"unassigned"))</f>
        <v>Consumer Discretionary</v>
      </c>
      <c r="AT65" t="s">
        <v>1915</v>
      </c>
      <c r="AU65" t="s">
        <v>1916</v>
      </c>
      <c r="AV65">
        <v>2</v>
      </c>
      <c r="AW65" t="s">
        <v>595</v>
      </c>
      <c r="AX65" t="s">
        <v>596</v>
      </c>
      <c r="AY65" t="s">
        <v>550</v>
      </c>
      <c r="AZ65" t="s">
        <v>550</v>
      </c>
      <c r="BA65" t="s">
        <v>554</v>
      </c>
    </row>
    <row r="66" spans="1:54" x14ac:dyDescent="0.2">
      <c r="A66" s="115" t="s">
        <v>800</v>
      </c>
      <c r="B66" s="117" t="s">
        <v>802</v>
      </c>
      <c r="C66" s="105">
        <v>2025</v>
      </c>
      <c r="D66" s="106" t="s">
        <v>555</v>
      </c>
      <c r="E66" s="109" t="s">
        <v>1911</v>
      </c>
      <c r="F66" s="106" t="s">
        <v>1912</v>
      </c>
      <c r="G66" s="128">
        <v>-0.5</v>
      </c>
      <c r="H66" s="106" t="s">
        <v>1923</v>
      </c>
      <c r="I66" s="128"/>
      <c r="J66" s="125">
        <v>45645</v>
      </c>
      <c r="K66" s="126">
        <v>45645</v>
      </c>
      <c r="L66" s="129">
        <v>77.099999999999994</v>
      </c>
      <c r="M66" s="126">
        <v>45646</v>
      </c>
      <c r="N66" s="129">
        <v>75.959999999999994</v>
      </c>
      <c r="O66" s="132">
        <v>3.382E-3</v>
      </c>
      <c r="P66" s="107">
        <v>-1.4786000000000001E-2</v>
      </c>
      <c r="Q66" s="106" t="s">
        <v>579</v>
      </c>
      <c r="R66" s="106" t="s">
        <v>546</v>
      </c>
      <c r="S66" s="105">
        <v>-1</v>
      </c>
      <c r="T66" s="107">
        <v>1.3786E-2</v>
      </c>
      <c r="U66" s="130" t="s">
        <v>1914</v>
      </c>
      <c r="V66" t="s">
        <v>549</v>
      </c>
      <c r="W66" t="s">
        <v>807</v>
      </c>
      <c r="X66" t="s">
        <v>802</v>
      </c>
      <c r="Y66" t="s">
        <v>808</v>
      </c>
      <c r="Z66">
        <v>74.17</v>
      </c>
      <c r="AA66" t="s">
        <v>809</v>
      </c>
      <c r="AB66">
        <v>73.073300000000003</v>
      </c>
      <c r="AC66">
        <v>-1.4786076089274999E-2</v>
      </c>
      <c r="AD66" t="s">
        <v>579</v>
      </c>
      <c r="AE66" t="s">
        <v>546</v>
      </c>
      <c r="AF66">
        <v>1.3786E-2</v>
      </c>
      <c r="AG66" t="str">
        <f>IF($A66="","",IFERROR(INDEX(Company_List!$G$3:$G$207,MATCH($A66,Company_List!$A$3:$A$207,0)),"unassigned"))</f>
        <v>P2</v>
      </c>
      <c r="AH66" t="s">
        <v>810</v>
      </c>
      <c r="AJ66" t="s">
        <v>593</v>
      </c>
      <c r="AK66" t="str">
        <f>IF($A66="","",IF(COUNTIFS(Human_Data_Entry!$A$3:$A$525,$A66)&gt;0,"YES","NO"))</f>
        <v>YES</v>
      </c>
      <c r="AL66" t="str">
        <f>IF($A66="","",IF(AND($C66&amp;"-"&amp;$D66&gt;=Settings!$B$19,$C66&amp;"-"&amp;$D66&lt;=Settings!$B$20),"IN","OUT"))</f>
        <v>IN</v>
      </c>
      <c r="AM66">
        <f t="shared" si="0"/>
        <v>1.3786E-2</v>
      </c>
      <c r="AN66">
        <f t="shared" si="1"/>
        <v>1.3786E-2</v>
      </c>
      <c r="AO66">
        <f>IF(ISNUMBER($AM66),ABS(IF(ISNUMBER($G66),$G66,0)-Settings!$B$25),"")</f>
        <v>0.5</v>
      </c>
      <c r="AP66">
        <f t="shared" si="2"/>
        <v>6.8929999999999998E-3</v>
      </c>
      <c r="AQ66">
        <f>IF(ISNUMBER($AN66),ABS(IF(ISNUMBER($G66),$G66,0)-Settings!$B$25),"")</f>
        <v>0.5</v>
      </c>
      <c r="AR66">
        <f t="shared" si="3"/>
        <v>6.8929999999999998E-3</v>
      </c>
      <c r="AS66" t="str">
        <f>IF($A66="","",IFERROR(INDEX(Company_List!$H$3:$H$207,MATCH($A66,Company_List!$A$3:$A$207,0)),"unassigned"))</f>
        <v>Consumer Discretionary</v>
      </c>
      <c r="AT66" t="s">
        <v>1915</v>
      </c>
      <c r="AU66" t="s">
        <v>1916</v>
      </c>
      <c r="AV66">
        <v>2</v>
      </c>
      <c r="AW66" t="s">
        <v>595</v>
      </c>
      <c r="AX66" t="s">
        <v>596</v>
      </c>
      <c r="AY66" t="s">
        <v>550</v>
      </c>
      <c r="AZ66" t="s">
        <v>550</v>
      </c>
      <c r="BA66" t="s">
        <v>554</v>
      </c>
    </row>
    <row r="67" spans="1:54" x14ac:dyDescent="0.2">
      <c r="A67" s="115" t="s">
        <v>800</v>
      </c>
      <c r="B67" s="117" t="s">
        <v>802</v>
      </c>
      <c r="C67" s="105">
        <v>2025</v>
      </c>
      <c r="D67" s="106" t="s">
        <v>563</v>
      </c>
      <c r="E67" s="109" t="s">
        <v>1911</v>
      </c>
      <c r="F67" s="106" t="s">
        <v>1912</v>
      </c>
      <c r="G67" s="128">
        <v>-0.27500000000000002</v>
      </c>
      <c r="H67" s="106" t="s">
        <v>1923</v>
      </c>
      <c r="I67" s="128"/>
      <c r="J67" s="125">
        <v>45736</v>
      </c>
      <c r="K67" s="126">
        <v>45736</v>
      </c>
      <c r="L67" s="129">
        <v>71.86</v>
      </c>
      <c r="M67" s="126">
        <v>45737</v>
      </c>
      <c r="N67" s="129">
        <v>66.59</v>
      </c>
      <c r="O67" s="132">
        <v>3.5079999999999998E-3</v>
      </c>
      <c r="P67" s="107">
        <v>-7.3336999999999999E-2</v>
      </c>
      <c r="Q67" s="106" t="s">
        <v>545</v>
      </c>
      <c r="R67" s="106" t="s">
        <v>554</v>
      </c>
      <c r="S67" s="105">
        <v>-1</v>
      </c>
      <c r="T67" s="107">
        <v>7.2336999999999999E-2</v>
      </c>
      <c r="U67" s="130" t="s">
        <v>1914</v>
      </c>
      <c r="V67" t="s">
        <v>549</v>
      </c>
      <c r="W67" t="s">
        <v>541</v>
      </c>
      <c r="X67" t="s">
        <v>802</v>
      </c>
      <c r="Y67" t="s">
        <v>812</v>
      </c>
      <c r="Z67">
        <v>69.478999999999999</v>
      </c>
      <c r="AA67" t="s">
        <v>813</v>
      </c>
      <c r="AB67">
        <v>64.383600000000001</v>
      </c>
      <c r="AC67">
        <v>-7.3337109413599597E-2</v>
      </c>
      <c r="AD67" t="s">
        <v>545</v>
      </c>
      <c r="AE67" t="s">
        <v>554</v>
      </c>
      <c r="AF67">
        <v>7.2336999999999999E-2</v>
      </c>
      <c r="AG67" t="str">
        <f>IF($A67="","",IFERROR(INDEX(Company_List!$G$3:$G$207,MATCH($A67,Company_List!$A$3:$A$207,0)),"unassigned"))</f>
        <v>P2</v>
      </c>
      <c r="AH67" t="s">
        <v>814</v>
      </c>
      <c r="AJ67" t="s">
        <v>593</v>
      </c>
      <c r="AK67" t="str">
        <f>IF($A67="","",IF(COUNTIFS(Human_Data_Entry!$A$3:$A$525,$A67)&gt;0,"YES","NO"))</f>
        <v>YES</v>
      </c>
      <c r="AL67" t="str">
        <f>IF($A67="","",IF(AND($C67&amp;"-"&amp;$D67&gt;=Settings!$B$19,$C67&amp;"-"&amp;$D67&lt;=Settings!$B$20),"IN","OUT"))</f>
        <v>IN</v>
      </c>
      <c r="AM67">
        <f t="shared" ref="AM67:AM130" si="4">IF(AND(OR($H67="BUY",$H67="SELL"),ISNUMBER($T67)),$T67,"")</f>
        <v>7.2336999999999999E-2</v>
      </c>
      <c r="AN67">
        <f t="shared" ref="AN67:AN130" si="5">IF(AND(OR($H67="BUY",$H67="SELL"),ISNUMBER($AF67)),$AF67,"")</f>
        <v>7.2336999999999999E-2</v>
      </c>
      <c r="AO67">
        <f>IF(ISNUMBER($AM67),ABS(IF(ISNUMBER($G67),$G67,0)-Settings!$B$25),"")</f>
        <v>0.27500000000000002</v>
      </c>
      <c r="AP67">
        <f t="shared" ref="AP67:AP130" si="6">IF(ISNUMBER($AO67),$AO67*$AM67,"")</f>
        <v>1.9892675000000002E-2</v>
      </c>
      <c r="AQ67">
        <f>IF(ISNUMBER($AN67),ABS(IF(ISNUMBER($G67),$G67,0)-Settings!$B$25),"")</f>
        <v>0.27500000000000002</v>
      </c>
      <c r="AR67">
        <f t="shared" ref="AR67:AR130" si="7">IF(ISNUMBER($AQ67),$AQ67*$AN67,"")</f>
        <v>1.9892675000000002E-2</v>
      </c>
      <c r="AS67" t="str">
        <f>IF($A67="","",IFERROR(INDEX(Company_List!$H$3:$H$207,MATCH($A67,Company_List!$A$3:$A$207,0)),"unassigned"))</f>
        <v>Consumer Discretionary</v>
      </c>
      <c r="AT67" t="s">
        <v>1915</v>
      </c>
      <c r="AU67" t="s">
        <v>1916</v>
      </c>
      <c r="AV67">
        <v>2</v>
      </c>
      <c r="AW67" t="s">
        <v>595</v>
      </c>
      <c r="AX67" t="s">
        <v>596</v>
      </c>
      <c r="AY67" t="s">
        <v>550</v>
      </c>
      <c r="AZ67" t="s">
        <v>550</v>
      </c>
      <c r="BA67" t="s">
        <v>554</v>
      </c>
    </row>
    <row r="68" spans="1:54" x14ac:dyDescent="0.2">
      <c r="A68" s="115" t="s">
        <v>586</v>
      </c>
      <c r="B68" s="117" t="s">
        <v>588</v>
      </c>
      <c r="C68" s="105">
        <v>2025</v>
      </c>
      <c r="D68" s="106" t="s">
        <v>537</v>
      </c>
      <c r="E68" s="109" t="s">
        <v>1911</v>
      </c>
      <c r="F68" s="106" t="s">
        <v>1912</v>
      </c>
      <c r="G68" s="128">
        <v>-0.27500000000000002</v>
      </c>
      <c r="H68" s="106" t="s">
        <v>1923</v>
      </c>
      <c r="I68" s="128"/>
      <c r="J68" s="125">
        <v>45714</v>
      </c>
      <c r="K68" s="126">
        <v>45714</v>
      </c>
      <c r="L68" s="129">
        <v>131.28</v>
      </c>
      <c r="M68" s="126">
        <v>45715</v>
      </c>
      <c r="N68" s="129">
        <v>135</v>
      </c>
      <c r="O68" s="132">
        <v>3.2759999999999998E-3</v>
      </c>
      <c r="P68" s="107">
        <v>2.8336E-2</v>
      </c>
      <c r="Q68" s="106" t="s">
        <v>591</v>
      </c>
      <c r="R68" s="106" t="s">
        <v>546</v>
      </c>
      <c r="S68" s="105">
        <v>-1</v>
      </c>
      <c r="T68" s="107">
        <v>-2.9336000000000001E-2</v>
      </c>
      <c r="U68" s="130" t="s">
        <v>1914</v>
      </c>
      <c r="V68" t="s">
        <v>549</v>
      </c>
      <c r="W68" t="s">
        <v>564</v>
      </c>
      <c r="X68" t="s">
        <v>588</v>
      </c>
      <c r="Y68" t="s">
        <v>589</v>
      </c>
      <c r="Z68">
        <v>131.08420000000001</v>
      </c>
      <c r="AA68" t="s">
        <v>590</v>
      </c>
      <c r="AB68">
        <v>134.7987</v>
      </c>
      <c r="AC68">
        <v>2.83364750524236E-2</v>
      </c>
      <c r="AD68" t="s">
        <v>591</v>
      </c>
      <c r="AE68" t="s">
        <v>546</v>
      </c>
      <c r="AF68">
        <v>-2.9336000000000001E-2</v>
      </c>
      <c r="AG68" t="str">
        <f>IF($A68="","",IFERROR(INDEX(Company_List!$G$3:$G$207,MATCH($A68,Company_List!$A$3:$A$207,0)),"unassigned"))</f>
        <v>P2</v>
      </c>
      <c r="AH68" t="s">
        <v>592</v>
      </c>
      <c r="AJ68" t="s">
        <v>593</v>
      </c>
      <c r="AK68" t="str">
        <f>IF($A68="","",IF(COUNTIFS(Human_Data_Entry!$A$3:$A$525,$A68)&gt;0,"YES","NO"))</f>
        <v>YES</v>
      </c>
      <c r="AL68" t="str">
        <f>IF($A68="","",IF(AND($C68&amp;"-"&amp;$D68&gt;=Settings!$B$19,$C68&amp;"-"&amp;$D68&lt;=Settings!$B$20),"IN","OUT"))</f>
        <v>IN</v>
      </c>
      <c r="AM68">
        <f t="shared" si="4"/>
        <v>-2.9336000000000001E-2</v>
      </c>
      <c r="AN68">
        <f t="shared" si="5"/>
        <v>-2.9336000000000001E-2</v>
      </c>
      <c r="AO68">
        <f>IF(ISNUMBER($AM68),ABS(IF(ISNUMBER($G68),$G68,0)-Settings!$B$25),"")</f>
        <v>0.27500000000000002</v>
      </c>
      <c r="AP68">
        <f t="shared" si="6"/>
        <v>-8.0674000000000006E-3</v>
      </c>
      <c r="AQ68">
        <f>IF(ISNUMBER($AN68),ABS(IF(ISNUMBER($G68),$G68,0)-Settings!$B$25),"")</f>
        <v>0.27500000000000002</v>
      </c>
      <c r="AR68">
        <f t="shared" si="7"/>
        <v>-8.0674000000000006E-3</v>
      </c>
      <c r="AS68" t="str">
        <f>IF($A68="","",IFERROR(INDEX(Company_List!$H$3:$H$207,MATCH($A68,Company_List!$A$3:$A$207,0)),"unassigned"))</f>
        <v>Information Technology</v>
      </c>
      <c r="AT68" t="s">
        <v>1915</v>
      </c>
      <c r="AU68" t="s">
        <v>1916</v>
      </c>
      <c r="AV68">
        <v>6</v>
      </c>
      <c r="AW68" t="s">
        <v>595</v>
      </c>
      <c r="AX68" t="s">
        <v>596</v>
      </c>
      <c r="AY68" t="s">
        <v>550</v>
      </c>
      <c r="AZ68" t="s">
        <v>562</v>
      </c>
      <c r="BA68" s="160" t="s">
        <v>546</v>
      </c>
      <c r="BB68" s="160" t="s">
        <v>1922</v>
      </c>
    </row>
    <row r="69" spans="1:54" x14ac:dyDescent="0.2">
      <c r="A69" s="115" t="s">
        <v>586</v>
      </c>
      <c r="B69" s="117" t="s">
        <v>588</v>
      </c>
      <c r="C69" s="105">
        <v>2025</v>
      </c>
      <c r="D69" s="106" t="s">
        <v>555</v>
      </c>
      <c r="E69" s="109" t="s">
        <v>1911</v>
      </c>
      <c r="F69" s="106" t="s">
        <v>1912</v>
      </c>
      <c r="G69" s="128">
        <v>-3.2500000000000001E-2</v>
      </c>
      <c r="H69" s="106" t="s">
        <v>1913</v>
      </c>
      <c r="I69" s="128"/>
      <c r="J69" s="125">
        <v>45805</v>
      </c>
      <c r="K69" s="126">
        <v>45805</v>
      </c>
      <c r="L69" s="129">
        <v>134.81</v>
      </c>
      <c r="M69" s="126">
        <v>45806</v>
      </c>
      <c r="N69" s="129">
        <v>142.25</v>
      </c>
      <c r="O69" s="132">
        <v>3.6770000000000001E-3</v>
      </c>
      <c r="P69" s="107">
        <v>5.5189000000000002E-2</v>
      </c>
      <c r="Q69" s="106" t="s">
        <v>591</v>
      </c>
      <c r="R69" s="106" t="s">
        <v>546</v>
      </c>
      <c r="S69" s="105">
        <v>0</v>
      </c>
      <c r="T69" s="107">
        <v>0</v>
      </c>
      <c r="U69" s="130" t="s">
        <v>1914</v>
      </c>
      <c r="V69" t="s">
        <v>549</v>
      </c>
      <c r="W69" t="s">
        <v>564</v>
      </c>
      <c r="X69" t="s">
        <v>588</v>
      </c>
      <c r="Y69" t="s">
        <v>598</v>
      </c>
      <c r="Z69">
        <v>134.62129999999999</v>
      </c>
      <c r="AA69" t="s">
        <v>599</v>
      </c>
      <c r="AB69">
        <v>142.05090000000001</v>
      </c>
      <c r="AC69">
        <v>5.5188774068767169E-2</v>
      </c>
      <c r="AD69" t="s">
        <v>591</v>
      </c>
      <c r="AE69" t="s">
        <v>546</v>
      </c>
      <c r="AF69">
        <v>0</v>
      </c>
      <c r="AG69" t="str">
        <f>IF($A69="","",IFERROR(INDEX(Company_List!$G$3:$G$207,MATCH($A69,Company_List!$A$3:$A$207,0)),"unassigned"))</f>
        <v>P2</v>
      </c>
      <c r="AH69" t="s">
        <v>600</v>
      </c>
      <c r="AJ69" t="s">
        <v>593</v>
      </c>
      <c r="AK69" t="str">
        <f>IF($A69="","",IF(COUNTIFS(Human_Data_Entry!$A$3:$A$525,$A69)&gt;0,"YES","NO"))</f>
        <v>YES</v>
      </c>
      <c r="AL69" t="str">
        <f>IF($A69="","",IF(AND($C69&amp;"-"&amp;$D69&gt;=Settings!$B$19,$C69&amp;"-"&amp;$D69&lt;=Settings!$B$20),"IN","OUT"))</f>
        <v>IN</v>
      </c>
      <c r="AM69" t="str">
        <f t="shared" si="4"/>
        <v/>
      </c>
      <c r="AN69" t="str">
        <f t="shared" si="5"/>
        <v/>
      </c>
      <c r="AO69" t="str">
        <f>IF(ISNUMBER($AM69),ABS(IF(ISNUMBER($G69),$G69,0)-Settings!$B$25),"")</f>
        <v/>
      </c>
      <c r="AP69" t="str">
        <f t="shared" si="6"/>
        <v/>
      </c>
      <c r="AQ69" t="str">
        <f>IF(ISNUMBER($AN69),ABS(IF(ISNUMBER($G69),$G69,0)-Settings!$B$25),"")</f>
        <v/>
      </c>
      <c r="AR69" t="str">
        <f t="shared" si="7"/>
        <v/>
      </c>
      <c r="AS69" t="str">
        <f>IF($A69="","",IFERROR(INDEX(Company_List!$H$3:$H$207,MATCH($A69,Company_List!$A$3:$A$207,0)),"unassigned"))</f>
        <v>Information Technology</v>
      </c>
      <c r="AT69" t="s">
        <v>1915</v>
      </c>
      <c r="AU69" t="s">
        <v>1916</v>
      </c>
      <c r="AV69">
        <v>6</v>
      </c>
      <c r="AW69" t="s">
        <v>561</v>
      </c>
      <c r="AX69" t="s">
        <v>561</v>
      </c>
      <c r="AY69" t="s">
        <v>550</v>
      </c>
      <c r="AZ69" t="s">
        <v>562</v>
      </c>
      <c r="BA69" s="160" t="s">
        <v>546</v>
      </c>
      <c r="BB69" s="160" t="s">
        <v>1922</v>
      </c>
    </row>
    <row r="70" spans="1:54" x14ac:dyDescent="0.2">
      <c r="A70" s="115" t="s">
        <v>586</v>
      </c>
      <c r="B70" s="117" t="s">
        <v>588</v>
      </c>
      <c r="C70" s="105">
        <v>2025</v>
      </c>
      <c r="D70" s="106" t="s">
        <v>563</v>
      </c>
      <c r="E70" s="109" t="s">
        <v>1911</v>
      </c>
      <c r="F70" s="106" t="s">
        <v>1912</v>
      </c>
      <c r="G70" s="128">
        <v>0.33</v>
      </c>
      <c r="H70" s="106" t="s">
        <v>1919</v>
      </c>
      <c r="I70" s="128"/>
      <c r="J70" s="125">
        <v>45896</v>
      </c>
      <c r="K70" s="126">
        <v>45896</v>
      </c>
      <c r="L70" s="129">
        <v>181.6</v>
      </c>
      <c r="M70" s="126">
        <v>45897</v>
      </c>
      <c r="N70" s="129">
        <v>180.82</v>
      </c>
      <c r="O70" s="132">
        <v>4.084E-3</v>
      </c>
      <c r="P70" s="107">
        <v>-4.2950000000000002E-3</v>
      </c>
      <c r="Q70" s="106" t="s">
        <v>579</v>
      </c>
      <c r="R70" s="106" t="s">
        <v>546</v>
      </c>
      <c r="S70" s="105">
        <v>1</v>
      </c>
      <c r="T70" s="107">
        <v>-5.2950000000000002E-3</v>
      </c>
      <c r="U70" s="130" t="s">
        <v>1914</v>
      </c>
      <c r="V70" t="s">
        <v>549</v>
      </c>
      <c r="W70" t="s">
        <v>564</v>
      </c>
      <c r="X70" t="s">
        <v>588</v>
      </c>
      <c r="Y70" t="s">
        <v>602</v>
      </c>
      <c r="Z70">
        <v>181.35849999999999</v>
      </c>
      <c r="AA70" t="s">
        <v>603</v>
      </c>
      <c r="AB70">
        <v>180.5795</v>
      </c>
      <c r="AC70">
        <v>-4.2951986741127449E-3</v>
      </c>
      <c r="AD70" t="s">
        <v>579</v>
      </c>
      <c r="AE70" t="s">
        <v>546</v>
      </c>
      <c r="AF70">
        <v>-5.2950000000000002E-3</v>
      </c>
      <c r="AG70" t="str">
        <f>IF($A70="","",IFERROR(INDEX(Company_List!$G$3:$G$207,MATCH($A70,Company_List!$A$3:$A$207,0)),"unassigned"))</f>
        <v>P2</v>
      </c>
      <c r="AH70" t="s">
        <v>604</v>
      </c>
      <c r="AJ70" t="s">
        <v>593</v>
      </c>
      <c r="AK70" t="str">
        <f>IF($A70="","",IF(COUNTIFS(Human_Data_Entry!$A$3:$A$525,$A70)&gt;0,"YES","NO"))</f>
        <v>YES</v>
      </c>
      <c r="AL70" t="str">
        <f>IF($A70="","",IF(AND($C70&amp;"-"&amp;$D70&gt;=Settings!$B$19,$C70&amp;"-"&amp;$D70&lt;=Settings!$B$20),"IN","OUT"))</f>
        <v>IN</v>
      </c>
      <c r="AM70">
        <f t="shared" si="4"/>
        <v>-5.2950000000000002E-3</v>
      </c>
      <c r="AN70">
        <f t="shared" si="5"/>
        <v>-5.2950000000000002E-3</v>
      </c>
      <c r="AO70">
        <f>IF(ISNUMBER($AM70),ABS(IF(ISNUMBER($G70),$G70,0)-Settings!$B$25),"")</f>
        <v>0.33</v>
      </c>
      <c r="AP70">
        <f t="shared" si="6"/>
        <v>-1.7473500000000002E-3</v>
      </c>
      <c r="AQ70">
        <f>IF(ISNUMBER($AN70),ABS(IF(ISNUMBER($G70),$G70,0)-Settings!$B$25),"")</f>
        <v>0.33</v>
      </c>
      <c r="AR70">
        <f t="shared" si="7"/>
        <v>-1.7473500000000002E-3</v>
      </c>
      <c r="AS70" t="str">
        <f>IF($A70="","",IFERROR(INDEX(Company_List!$H$3:$H$207,MATCH($A70,Company_List!$A$3:$A$207,0)),"unassigned"))</f>
        <v>Information Technology</v>
      </c>
      <c r="AT70" t="s">
        <v>1915</v>
      </c>
      <c r="AU70" t="s">
        <v>1916</v>
      </c>
      <c r="AV70">
        <v>6</v>
      </c>
      <c r="AW70" t="s">
        <v>595</v>
      </c>
      <c r="AX70" t="s">
        <v>596</v>
      </c>
      <c r="AY70" t="s">
        <v>550</v>
      </c>
      <c r="AZ70" t="s">
        <v>562</v>
      </c>
      <c r="BA70" s="160" t="s">
        <v>546</v>
      </c>
      <c r="BB70" s="160" t="s">
        <v>1922</v>
      </c>
    </row>
    <row r="71" spans="1:54" x14ac:dyDescent="0.2">
      <c r="A71" s="115" t="s">
        <v>586</v>
      </c>
      <c r="B71" s="117" t="s">
        <v>588</v>
      </c>
      <c r="C71" s="105">
        <v>2025</v>
      </c>
      <c r="D71" s="106" t="s">
        <v>569</v>
      </c>
      <c r="E71" s="109" t="s">
        <v>1911</v>
      </c>
      <c r="F71" s="106" t="s">
        <v>1912</v>
      </c>
      <c r="G71" s="128">
        <v>0.45750000000000002</v>
      </c>
      <c r="H71" s="106" t="s">
        <v>1919</v>
      </c>
      <c r="I71" s="128"/>
      <c r="J71" s="125">
        <v>45980</v>
      </c>
      <c r="K71" s="126">
        <v>45980</v>
      </c>
      <c r="L71" s="129">
        <v>186.52</v>
      </c>
      <c r="M71" s="126">
        <v>45981</v>
      </c>
      <c r="N71" s="129">
        <v>195.95</v>
      </c>
      <c r="O71" s="132">
        <v>3.7559999999999998E-3</v>
      </c>
      <c r="P71" s="107">
        <v>5.0557999999999999E-2</v>
      </c>
      <c r="Q71" s="106" t="s">
        <v>591</v>
      </c>
      <c r="R71" s="106" t="s">
        <v>554</v>
      </c>
      <c r="S71" s="105">
        <v>1</v>
      </c>
      <c r="T71" s="107">
        <v>4.9557999999999998E-2</v>
      </c>
      <c r="U71" s="130" t="s">
        <v>1914</v>
      </c>
      <c r="V71" t="s">
        <v>549</v>
      </c>
      <c r="W71" t="s">
        <v>564</v>
      </c>
      <c r="X71" t="s">
        <v>588</v>
      </c>
      <c r="Y71" t="s">
        <v>606</v>
      </c>
      <c r="Z71">
        <v>186.2824</v>
      </c>
      <c r="AA71" t="s">
        <v>607</v>
      </c>
      <c r="AB71">
        <v>195.7004</v>
      </c>
      <c r="AC71">
        <v>5.0557553393474099E-2</v>
      </c>
      <c r="AD71" t="s">
        <v>591</v>
      </c>
      <c r="AE71" t="s">
        <v>554</v>
      </c>
      <c r="AF71">
        <v>4.9557999999999998E-2</v>
      </c>
      <c r="AG71" t="str">
        <f>IF($A71="","",IFERROR(INDEX(Company_List!$G$3:$G$207,MATCH($A71,Company_List!$A$3:$A$207,0)),"unassigned"))</f>
        <v>P2</v>
      </c>
      <c r="AH71" t="s">
        <v>608</v>
      </c>
      <c r="AJ71" t="s">
        <v>593</v>
      </c>
      <c r="AK71" t="str">
        <f>IF($A71="","",IF(COUNTIFS(Human_Data_Entry!$A$3:$A$525,$A71)&gt;0,"YES","NO"))</f>
        <v>YES</v>
      </c>
      <c r="AL71" t="str">
        <f>IF($A71="","",IF(AND($C71&amp;"-"&amp;$D71&gt;=Settings!$B$19,$C71&amp;"-"&amp;$D71&lt;=Settings!$B$20),"IN","OUT"))</f>
        <v>IN</v>
      </c>
      <c r="AM71">
        <f t="shared" si="4"/>
        <v>4.9557999999999998E-2</v>
      </c>
      <c r="AN71">
        <f t="shared" si="5"/>
        <v>4.9557999999999998E-2</v>
      </c>
      <c r="AO71">
        <f>IF(ISNUMBER($AM71),ABS(IF(ISNUMBER($G71),$G71,0)-Settings!$B$25),"")</f>
        <v>0.45750000000000002</v>
      </c>
      <c r="AP71">
        <f t="shared" si="6"/>
        <v>2.2672785000000001E-2</v>
      </c>
      <c r="AQ71">
        <f>IF(ISNUMBER($AN71),ABS(IF(ISNUMBER($G71),$G71,0)-Settings!$B$25),"")</f>
        <v>0.45750000000000002</v>
      </c>
      <c r="AR71">
        <f t="shared" si="7"/>
        <v>2.2672785000000001E-2</v>
      </c>
      <c r="AS71" t="str">
        <f>IF($A71="","",IFERROR(INDEX(Company_List!$H$3:$H$207,MATCH($A71,Company_List!$A$3:$A$207,0)),"unassigned"))</f>
        <v>Information Technology</v>
      </c>
      <c r="AT71" t="s">
        <v>1915</v>
      </c>
      <c r="AU71" t="s">
        <v>1916</v>
      </c>
      <c r="AV71">
        <v>6</v>
      </c>
      <c r="AW71" t="s">
        <v>595</v>
      </c>
      <c r="AX71" t="s">
        <v>596</v>
      </c>
      <c r="AY71" t="s">
        <v>550</v>
      </c>
      <c r="AZ71" t="s">
        <v>562</v>
      </c>
      <c r="BA71" s="160" t="s">
        <v>546</v>
      </c>
      <c r="BB71" s="160" t="s">
        <v>1922</v>
      </c>
    </row>
    <row r="72" spans="1:54" x14ac:dyDescent="0.2">
      <c r="A72" s="115" t="s">
        <v>967</v>
      </c>
      <c r="B72" s="117" t="s">
        <v>968</v>
      </c>
      <c r="C72" s="105">
        <v>2026</v>
      </c>
      <c r="D72" s="106" t="s">
        <v>537</v>
      </c>
      <c r="E72" s="109" t="s">
        <v>1911</v>
      </c>
      <c r="F72" s="106" t="s">
        <v>1912</v>
      </c>
      <c r="G72" s="128">
        <v>-0.08</v>
      </c>
      <c r="H72" s="106" t="s">
        <v>1923</v>
      </c>
      <c r="I72" s="128"/>
      <c r="J72" s="125">
        <v>46134</v>
      </c>
      <c r="K72" s="126">
        <v>46134</v>
      </c>
      <c r="L72" s="129">
        <v>387.51</v>
      </c>
      <c r="M72" s="126">
        <v>46135</v>
      </c>
      <c r="N72" s="129">
        <v>375.28</v>
      </c>
      <c r="O72" s="132">
        <v>5.9179999999999996E-3</v>
      </c>
      <c r="P72" s="107">
        <v>-3.1560999999999999E-2</v>
      </c>
      <c r="Q72" s="106" t="s">
        <v>545</v>
      </c>
      <c r="R72" s="106" t="s">
        <v>554</v>
      </c>
      <c r="S72" s="105">
        <v>-1</v>
      </c>
      <c r="T72" s="107">
        <v>3.0561000000000001E-2</v>
      </c>
      <c r="U72" s="130" t="s">
        <v>1914</v>
      </c>
      <c r="V72" t="s">
        <v>549</v>
      </c>
      <c r="W72" t="s">
        <v>564</v>
      </c>
      <c r="X72" t="s">
        <v>968</v>
      </c>
      <c r="Y72" t="s">
        <v>779</v>
      </c>
      <c r="Z72">
        <v>387.51</v>
      </c>
      <c r="AA72" t="s">
        <v>780</v>
      </c>
      <c r="AB72">
        <v>375.28</v>
      </c>
      <c r="AC72">
        <v>-3.1560503430608268E-2</v>
      </c>
      <c r="AD72" t="s">
        <v>545</v>
      </c>
      <c r="AE72" t="s">
        <v>554</v>
      </c>
      <c r="AF72">
        <v>3.0561000000000001E-2</v>
      </c>
      <c r="AG72" t="str">
        <f>IF($A72="","",IFERROR(INDEX(Company_List!$G$3:$G$207,MATCH($A72,Company_List!$A$3:$A$207,0)),"unassigned"))</f>
        <v>P2</v>
      </c>
      <c r="AH72" t="s">
        <v>969</v>
      </c>
      <c r="AI72" t="s">
        <v>970</v>
      </c>
      <c r="AJ72" t="s">
        <v>560</v>
      </c>
      <c r="AK72" t="str">
        <f>IF($A72="","",IF(COUNTIFS(Human_Data_Entry!$A$3:$A$525,$A72)&gt;0,"YES","NO"))</f>
        <v>YES</v>
      </c>
      <c r="AL72" t="str">
        <f>IF($A72="","",IF(AND($C72&amp;"-"&amp;$D72&gt;=Settings!$B$19,$C72&amp;"-"&amp;$D72&lt;=Settings!$B$20),"IN","OUT"))</f>
        <v>IN</v>
      </c>
      <c r="AM72">
        <f t="shared" si="4"/>
        <v>3.0561000000000001E-2</v>
      </c>
      <c r="AN72">
        <f t="shared" si="5"/>
        <v>3.0561000000000001E-2</v>
      </c>
      <c r="AO72">
        <f>IF(ISNUMBER($AM72),ABS(IF(ISNUMBER($G72),$G72,0)-Settings!$B$25),"")</f>
        <v>0.08</v>
      </c>
      <c r="AP72">
        <f t="shared" si="6"/>
        <v>2.44488E-3</v>
      </c>
      <c r="AQ72">
        <f>IF(ISNUMBER($AN72),ABS(IF(ISNUMBER($G72),$G72,0)-Settings!$B$25),"")</f>
        <v>0.08</v>
      </c>
      <c r="AR72">
        <f t="shared" si="7"/>
        <v>2.44488E-3</v>
      </c>
      <c r="AS72" t="str">
        <f>IF($A72="","",IFERROR(INDEX(Company_List!$H$3:$H$207,MATCH($A72,Company_List!$A$3:$A$207,0)),"unassigned"))</f>
        <v>Consumer Discretionary</v>
      </c>
      <c r="AT72" t="s">
        <v>1915</v>
      </c>
      <c r="AU72" t="s">
        <v>1916</v>
      </c>
      <c r="AV72">
        <v>1</v>
      </c>
      <c r="AW72" t="s">
        <v>561</v>
      </c>
      <c r="AX72" t="s">
        <v>561</v>
      </c>
      <c r="AY72" t="s">
        <v>550</v>
      </c>
      <c r="AZ72" t="s">
        <v>562</v>
      </c>
      <c r="BA72" s="160" t="s">
        <v>546</v>
      </c>
      <c r="BB72" s="160" t="s">
        <v>1922</v>
      </c>
    </row>
    <row r="73" spans="1:54" x14ac:dyDescent="0.2">
      <c r="A73" s="115" t="s">
        <v>967</v>
      </c>
      <c r="B73" s="117" t="s">
        <v>968</v>
      </c>
      <c r="C73" s="105">
        <v>2025</v>
      </c>
      <c r="D73" s="106" t="s">
        <v>563</v>
      </c>
      <c r="E73" s="109" t="s">
        <v>1911</v>
      </c>
      <c r="F73" s="106" t="s">
        <v>1912</v>
      </c>
      <c r="G73" s="128">
        <v>0.245</v>
      </c>
      <c r="H73" s="106" t="s">
        <v>1913</v>
      </c>
      <c r="I73" s="128"/>
      <c r="J73" s="125">
        <v>45952</v>
      </c>
      <c r="K73" s="126">
        <v>45952</v>
      </c>
      <c r="L73" s="129">
        <v>438.97</v>
      </c>
      <c r="M73" s="126">
        <v>45953</v>
      </c>
      <c r="N73" s="129">
        <v>420</v>
      </c>
      <c r="O73" s="132">
        <v>6.6230000000000004E-3</v>
      </c>
      <c r="P73" s="107">
        <v>-4.3215000000000003E-2</v>
      </c>
      <c r="Q73" s="106" t="s">
        <v>545</v>
      </c>
      <c r="R73" s="106" t="s">
        <v>546</v>
      </c>
      <c r="S73" s="105">
        <v>0</v>
      </c>
      <c r="T73" s="107">
        <v>0</v>
      </c>
      <c r="U73" s="130" t="s">
        <v>1914</v>
      </c>
      <c r="V73" t="s">
        <v>549</v>
      </c>
      <c r="W73" t="s">
        <v>564</v>
      </c>
      <c r="X73" t="s">
        <v>968</v>
      </c>
      <c r="Y73" t="s">
        <v>566</v>
      </c>
      <c r="Z73">
        <v>438.97</v>
      </c>
      <c r="AA73" t="s">
        <v>971</v>
      </c>
      <c r="AB73">
        <v>420</v>
      </c>
      <c r="AC73">
        <v>-4.3214800457400789E-2</v>
      </c>
      <c r="AD73" t="s">
        <v>545</v>
      </c>
      <c r="AE73" t="s">
        <v>546</v>
      </c>
      <c r="AF73">
        <v>0</v>
      </c>
      <c r="AG73" t="str">
        <f>IF($A73="","",IFERROR(INDEX(Company_List!$G$3:$G$207,MATCH($A73,Company_List!$A$3:$A$207,0)),"unassigned"))</f>
        <v>P2</v>
      </c>
      <c r="AH73" t="s">
        <v>972</v>
      </c>
      <c r="AI73" t="s">
        <v>973</v>
      </c>
      <c r="AJ73" t="s">
        <v>560</v>
      </c>
      <c r="AK73" t="str">
        <f>IF($A73="","",IF(COUNTIFS(Human_Data_Entry!$A$3:$A$525,$A73)&gt;0,"YES","NO"))</f>
        <v>YES</v>
      </c>
      <c r="AL73" t="str">
        <f>IF($A73="","",IF(AND($C73&amp;"-"&amp;$D73&gt;=Settings!$B$19,$C73&amp;"-"&amp;$D73&lt;=Settings!$B$20),"IN","OUT"))</f>
        <v>IN</v>
      </c>
      <c r="AM73" t="str">
        <f t="shared" si="4"/>
        <v/>
      </c>
      <c r="AN73" t="str">
        <f t="shared" si="5"/>
        <v/>
      </c>
      <c r="AO73" t="str">
        <f>IF(ISNUMBER($AM73),ABS(IF(ISNUMBER($G73),$G73,0)-Settings!$B$25),"")</f>
        <v/>
      </c>
      <c r="AP73" t="str">
        <f t="shared" si="6"/>
        <v/>
      </c>
      <c r="AQ73" t="str">
        <f>IF(ISNUMBER($AN73),ABS(IF(ISNUMBER($G73),$G73,0)-Settings!$B$25),"")</f>
        <v/>
      </c>
      <c r="AR73" t="str">
        <f t="shared" si="7"/>
        <v/>
      </c>
      <c r="AS73" t="str">
        <f>IF($A73="","",IFERROR(INDEX(Company_List!$H$3:$H$207,MATCH($A73,Company_List!$A$3:$A$207,0)),"unassigned"))</f>
        <v>Consumer Discretionary</v>
      </c>
      <c r="AT73" t="s">
        <v>1915</v>
      </c>
      <c r="AU73" t="s">
        <v>1916</v>
      </c>
      <c r="AV73">
        <v>1</v>
      </c>
      <c r="AW73" t="s">
        <v>561</v>
      </c>
      <c r="AX73" t="s">
        <v>561</v>
      </c>
      <c r="AY73" t="s">
        <v>550</v>
      </c>
      <c r="AZ73" t="s">
        <v>562</v>
      </c>
      <c r="BA73" s="160" t="s">
        <v>546</v>
      </c>
      <c r="BB73" s="160" t="s">
        <v>1922</v>
      </c>
    </row>
    <row r="74" spans="1:54" x14ac:dyDescent="0.2">
      <c r="A74" s="115" t="s">
        <v>967</v>
      </c>
      <c r="B74" s="117" t="s">
        <v>968</v>
      </c>
      <c r="C74" s="105">
        <v>2025</v>
      </c>
      <c r="D74" s="106" t="s">
        <v>569</v>
      </c>
      <c r="E74" s="109" t="s">
        <v>1911</v>
      </c>
      <c r="F74" s="106" t="s">
        <v>1912</v>
      </c>
      <c r="G74" s="128">
        <v>0.4425</v>
      </c>
      <c r="H74" s="106" t="s">
        <v>1919</v>
      </c>
      <c r="I74" s="128"/>
      <c r="J74" s="125">
        <v>46050</v>
      </c>
      <c r="K74" s="126">
        <v>46050</v>
      </c>
      <c r="L74" s="129">
        <v>431.46</v>
      </c>
      <c r="M74" s="126">
        <v>46051</v>
      </c>
      <c r="N74" s="129">
        <v>437.8</v>
      </c>
      <c r="O74" s="132">
        <v>6.8690000000000001E-3</v>
      </c>
      <c r="P74" s="107">
        <v>1.4694E-2</v>
      </c>
      <c r="Q74" s="106" t="s">
        <v>579</v>
      </c>
      <c r="R74" s="106" t="s">
        <v>546</v>
      </c>
      <c r="S74" s="105">
        <v>1</v>
      </c>
      <c r="T74" s="107">
        <v>1.3694E-2</v>
      </c>
      <c r="U74" s="130" t="s">
        <v>1914</v>
      </c>
      <c r="V74" t="s">
        <v>549</v>
      </c>
      <c r="W74" t="s">
        <v>564</v>
      </c>
      <c r="X74" t="s">
        <v>968</v>
      </c>
      <c r="Y74" t="s">
        <v>776</v>
      </c>
      <c r="Z74">
        <v>431.46</v>
      </c>
      <c r="AA74" t="s">
        <v>694</v>
      </c>
      <c r="AB74">
        <v>437.8</v>
      </c>
      <c r="AC74">
        <v>1.4694287146545609E-2</v>
      </c>
      <c r="AD74" t="s">
        <v>579</v>
      </c>
      <c r="AE74" t="s">
        <v>546</v>
      </c>
      <c r="AF74">
        <v>1.3694E-2</v>
      </c>
      <c r="AG74" t="str">
        <f>IF($A74="","",IFERROR(INDEX(Company_List!$G$3:$G$207,MATCH($A74,Company_List!$A$3:$A$207,0)),"unassigned"))</f>
        <v>P2</v>
      </c>
      <c r="AH74" t="s">
        <v>974</v>
      </c>
      <c r="AI74" t="s">
        <v>975</v>
      </c>
      <c r="AJ74" t="s">
        <v>560</v>
      </c>
      <c r="AK74" t="str">
        <f>IF($A74="","",IF(COUNTIFS(Human_Data_Entry!$A$3:$A$525,$A74)&gt;0,"YES","NO"))</f>
        <v>YES</v>
      </c>
      <c r="AL74" t="str">
        <f>IF($A74="","",IF(AND($C74&amp;"-"&amp;$D74&gt;=Settings!$B$19,$C74&amp;"-"&amp;$D74&lt;=Settings!$B$20),"IN","OUT"))</f>
        <v>IN</v>
      </c>
      <c r="AM74">
        <f t="shared" si="4"/>
        <v>1.3694E-2</v>
      </c>
      <c r="AN74">
        <f t="shared" si="5"/>
        <v>1.3694E-2</v>
      </c>
      <c r="AO74">
        <f>IF(ISNUMBER($AM74),ABS(IF(ISNUMBER($G74),$G74,0)-Settings!$B$25),"")</f>
        <v>0.4425</v>
      </c>
      <c r="AP74">
        <f t="shared" si="6"/>
        <v>6.0595950000000001E-3</v>
      </c>
      <c r="AQ74">
        <f>IF(ISNUMBER($AN74),ABS(IF(ISNUMBER($G74),$G74,0)-Settings!$B$25),"")</f>
        <v>0.4425</v>
      </c>
      <c r="AR74">
        <f t="shared" si="7"/>
        <v>6.0595950000000001E-3</v>
      </c>
      <c r="AS74" t="str">
        <f>IF($A74="","",IFERROR(INDEX(Company_List!$H$3:$H$207,MATCH($A74,Company_List!$A$3:$A$207,0)),"unassigned"))</f>
        <v>Consumer Discretionary</v>
      </c>
      <c r="AT74" t="s">
        <v>1915</v>
      </c>
      <c r="AU74" t="s">
        <v>1916</v>
      </c>
      <c r="AV74">
        <v>1</v>
      </c>
      <c r="AW74" t="s">
        <v>561</v>
      </c>
      <c r="AX74" t="s">
        <v>561</v>
      </c>
      <c r="AY74" t="s">
        <v>550</v>
      </c>
      <c r="AZ74" t="s">
        <v>562</v>
      </c>
      <c r="BA74" s="160" t="s">
        <v>546</v>
      </c>
      <c r="BB74" s="160" t="s">
        <v>1922</v>
      </c>
    </row>
    <row r="75" spans="1:54" x14ac:dyDescent="0.2">
      <c r="A75" s="115" t="s">
        <v>935</v>
      </c>
      <c r="B75" s="117" t="s">
        <v>936</v>
      </c>
      <c r="C75" s="105">
        <v>2025</v>
      </c>
      <c r="D75" s="106" t="s">
        <v>537</v>
      </c>
      <c r="E75" s="109" t="s">
        <v>1911</v>
      </c>
      <c r="F75" s="106" t="s">
        <v>1912</v>
      </c>
      <c r="G75" s="128">
        <v>0.03</v>
      </c>
      <c r="H75" s="106" t="s">
        <v>1913</v>
      </c>
      <c r="I75" s="128"/>
      <c r="J75" s="125">
        <v>45784</v>
      </c>
      <c r="K75" s="126">
        <v>45783</v>
      </c>
      <c r="L75" s="129">
        <v>85.83</v>
      </c>
      <c r="M75" s="126">
        <v>45784</v>
      </c>
      <c r="N75" s="129">
        <v>83.13</v>
      </c>
      <c r="O75" s="132">
        <v>7.6579999999999999E-3</v>
      </c>
      <c r="P75" s="107">
        <v>-3.1458E-2</v>
      </c>
      <c r="Q75" s="106" t="s">
        <v>545</v>
      </c>
      <c r="R75" s="106" t="s">
        <v>546</v>
      </c>
      <c r="S75" s="105">
        <v>0</v>
      </c>
      <c r="T75" s="107">
        <v>0</v>
      </c>
      <c r="U75" s="130" t="s">
        <v>1914</v>
      </c>
      <c r="V75" t="s">
        <v>549</v>
      </c>
      <c r="W75" t="s">
        <v>685</v>
      </c>
      <c r="X75" t="s">
        <v>936</v>
      </c>
      <c r="Y75" t="s">
        <v>937</v>
      </c>
      <c r="Z75">
        <v>85.83</v>
      </c>
      <c r="AA75" t="s">
        <v>938</v>
      </c>
      <c r="AB75">
        <v>83.13</v>
      </c>
      <c r="AC75">
        <v>-3.145758985302121E-2</v>
      </c>
      <c r="AD75" t="s">
        <v>545</v>
      </c>
      <c r="AE75" t="s">
        <v>546</v>
      </c>
      <c r="AF75">
        <v>0</v>
      </c>
      <c r="AG75" t="str">
        <f>IF($A75="","",IFERROR(INDEX(Company_List!$G$3:$G$207,MATCH($A75,Company_List!$A$3:$A$207,0)),"unassigned"))</f>
        <v>P2</v>
      </c>
      <c r="AH75" t="s">
        <v>1929</v>
      </c>
      <c r="AI75" t="s">
        <v>1930</v>
      </c>
      <c r="AJ75" t="s">
        <v>560</v>
      </c>
      <c r="AK75" t="str">
        <f>IF($A75="","",IF(COUNTIFS(Human_Data_Entry!$A$3:$A$525,$A75)&gt;0,"YES","NO"))</f>
        <v>YES</v>
      </c>
      <c r="AL75" t="str">
        <f>IF($A75="","",IF(AND($C75&amp;"-"&amp;$D75&gt;=Settings!$B$19,$C75&amp;"-"&amp;$D75&lt;=Settings!$B$20),"IN","OUT"))</f>
        <v>IN</v>
      </c>
      <c r="AM75" t="str">
        <f t="shared" si="4"/>
        <v/>
      </c>
      <c r="AN75" t="str">
        <f t="shared" si="5"/>
        <v/>
      </c>
      <c r="AO75" t="str">
        <f>IF(ISNUMBER($AM75),ABS(IF(ISNUMBER($G75),$G75,0)-Settings!$B$25),"")</f>
        <v/>
      </c>
      <c r="AP75" t="str">
        <f t="shared" si="6"/>
        <v/>
      </c>
      <c r="AQ75" t="str">
        <f>IF(ISNUMBER($AN75),ABS(IF(ISNUMBER($G75),$G75,0)-Settings!$B$25),"")</f>
        <v/>
      </c>
      <c r="AR75" t="str">
        <f t="shared" si="7"/>
        <v/>
      </c>
      <c r="AS75" t="str">
        <f>IF($A75="","",IFERROR(INDEX(Company_List!$H$3:$H$207,MATCH($A75,Company_List!$A$3:$A$207,0)),"unassigned"))</f>
        <v>Industrials</v>
      </c>
      <c r="AT75" t="s">
        <v>1915</v>
      </c>
      <c r="AU75" t="s">
        <v>1916</v>
      </c>
      <c r="AV75">
        <v>1</v>
      </c>
      <c r="AW75" t="s">
        <v>561</v>
      </c>
      <c r="AX75" t="s">
        <v>561</v>
      </c>
      <c r="AY75" t="s">
        <v>550</v>
      </c>
      <c r="AZ75" t="s">
        <v>562</v>
      </c>
      <c r="BA75" t="s">
        <v>554</v>
      </c>
    </row>
    <row r="76" spans="1:54" x14ac:dyDescent="0.2">
      <c r="A76" s="115" t="s">
        <v>935</v>
      </c>
      <c r="B76" s="117" t="s">
        <v>936</v>
      </c>
      <c r="C76" s="105">
        <v>2026</v>
      </c>
      <c r="D76" s="106" t="s">
        <v>537</v>
      </c>
      <c r="E76" s="109" t="s">
        <v>1911</v>
      </c>
      <c r="F76" s="106" t="s">
        <v>1912</v>
      </c>
      <c r="G76" s="128">
        <v>0.03</v>
      </c>
      <c r="H76" s="106" t="s">
        <v>1913</v>
      </c>
      <c r="I76" s="128"/>
      <c r="J76" s="125">
        <v>46148</v>
      </c>
      <c r="K76" s="126">
        <v>46147</v>
      </c>
      <c r="L76" s="129">
        <v>72.95</v>
      </c>
      <c r="M76" s="126">
        <v>46148</v>
      </c>
      <c r="N76" s="129">
        <v>77.459999999999994</v>
      </c>
      <c r="O76" s="132">
        <v>7.9120000000000006E-3</v>
      </c>
      <c r="P76" s="107">
        <v>6.1823000000000003E-2</v>
      </c>
      <c r="Q76" s="106" t="s">
        <v>591</v>
      </c>
      <c r="R76" s="106" t="s">
        <v>546</v>
      </c>
      <c r="S76" s="105">
        <v>0</v>
      </c>
      <c r="T76" s="107">
        <v>0</v>
      </c>
      <c r="U76" s="130" t="s">
        <v>1914</v>
      </c>
      <c r="V76" t="s">
        <v>549</v>
      </c>
      <c r="W76" t="s">
        <v>541</v>
      </c>
      <c r="X76" t="s">
        <v>936</v>
      </c>
      <c r="Y76" t="s">
        <v>731</v>
      </c>
      <c r="Z76">
        <v>72.95</v>
      </c>
      <c r="AA76" t="s">
        <v>680</v>
      </c>
      <c r="AB76">
        <v>77.459999999999994</v>
      </c>
      <c r="AC76">
        <v>6.1823196510892263E-2</v>
      </c>
      <c r="AD76" t="s">
        <v>591</v>
      </c>
      <c r="AE76" t="s">
        <v>546</v>
      </c>
      <c r="AF76">
        <v>0</v>
      </c>
      <c r="AG76" t="str">
        <f>IF($A76="","",IFERROR(INDEX(Company_List!$G$3:$G$207,MATCH($A76,Company_List!$A$3:$A$207,0)),"unassigned"))</f>
        <v>P2</v>
      </c>
      <c r="AH76" t="s">
        <v>1931</v>
      </c>
      <c r="AI76" t="s">
        <v>1932</v>
      </c>
      <c r="AJ76" t="s">
        <v>560</v>
      </c>
      <c r="AK76" t="str">
        <f>IF($A76="","",IF(COUNTIFS(Human_Data_Entry!$A$3:$A$525,$A76)&gt;0,"YES","NO"))</f>
        <v>YES</v>
      </c>
      <c r="AL76" t="str">
        <f>IF($A76="","",IF(AND($C76&amp;"-"&amp;$D76&gt;=Settings!$B$19,$C76&amp;"-"&amp;$D76&lt;=Settings!$B$20),"IN","OUT"))</f>
        <v>IN</v>
      </c>
      <c r="AM76" t="str">
        <f t="shared" si="4"/>
        <v/>
      </c>
      <c r="AN76" t="str">
        <f t="shared" si="5"/>
        <v/>
      </c>
      <c r="AO76" t="str">
        <f>IF(ISNUMBER($AM76),ABS(IF(ISNUMBER($G76),$G76,0)-Settings!$B$25),"")</f>
        <v/>
      </c>
      <c r="AP76" t="str">
        <f t="shared" si="6"/>
        <v/>
      </c>
      <c r="AQ76" t="str">
        <f>IF(ISNUMBER($AN76),ABS(IF(ISNUMBER($G76),$G76,0)-Settings!$B$25),"")</f>
        <v/>
      </c>
      <c r="AR76" t="str">
        <f t="shared" si="7"/>
        <v/>
      </c>
      <c r="AS76" t="str">
        <f>IF($A76="","",IFERROR(INDEX(Company_List!$H$3:$H$207,MATCH($A76,Company_List!$A$3:$A$207,0)),"unassigned"))</f>
        <v>Industrials</v>
      </c>
      <c r="AT76" t="s">
        <v>1915</v>
      </c>
      <c r="AU76" t="s">
        <v>1916</v>
      </c>
      <c r="AV76">
        <v>1</v>
      </c>
      <c r="AW76" t="s">
        <v>561</v>
      </c>
      <c r="AX76" t="s">
        <v>561</v>
      </c>
      <c r="AY76" t="s">
        <v>550</v>
      </c>
      <c r="AZ76" t="s">
        <v>562</v>
      </c>
      <c r="BA76" t="s">
        <v>554</v>
      </c>
    </row>
    <row r="77" spans="1:54" x14ac:dyDescent="0.2">
      <c r="A77" s="115" t="s">
        <v>935</v>
      </c>
      <c r="B77" s="117" t="s">
        <v>936</v>
      </c>
      <c r="C77" s="105">
        <v>2025</v>
      </c>
      <c r="D77" s="106" t="s">
        <v>555</v>
      </c>
      <c r="E77" s="109" t="s">
        <v>1911</v>
      </c>
      <c r="F77" s="106" t="s">
        <v>1912</v>
      </c>
      <c r="G77" s="128">
        <v>0.21</v>
      </c>
      <c r="H77" s="106" t="s">
        <v>1913</v>
      </c>
      <c r="I77" s="128"/>
      <c r="J77" s="125">
        <v>45875</v>
      </c>
      <c r="K77" s="126">
        <v>45874</v>
      </c>
      <c r="L77" s="129">
        <v>89.39</v>
      </c>
      <c r="M77" s="126">
        <v>45875</v>
      </c>
      <c r="N77" s="129">
        <v>90.95</v>
      </c>
      <c r="O77" s="132">
        <v>7.6439999999999998E-3</v>
      </c>
      <c r="P77" s="107">
        <v>1.7451999999999999E-2</v>
      </c>
      <c r="Q77" s="106" t="s">
        <v>579</v>
      </c>
      <c r="R77" s="106" t="s">
        <v>554</v>
      </c>
      <c r="S77" s="105">
        <v>0</v>
      </c>
      <c r="T77" s="107">
        <v>0</v>
      </c>
      <c r="U77" s="130" t="s">
        <v>1914</v>
      </c>
      <c r="V77" t="s">
        <v>549</v>
      </c>
      <c r="W77" t="s">
        <v>541</v>
      </c>
      <c r="X77" t="s">
        <v>936</v>
      </c>
      <c r="Y77" t="s">
        <v>641</v>
      </c>
      <c r="Z77">
        <v>89.39</v>
      </c>
      <c r="AA77" t="s">
        <v>642</v>
      </c>
      <c r="AB77">
        <v>90.95</v>
      </c>
      <c r="AC77">
        <v>1.7451594333276511E-2</v>
      </c>
      <c r="AD77" t="s">
        <v>579</v>
      </c>
      <c r="AE77" t="s">
        <v>554</v>
      </c>
      <c r="AF77">
        <v>0</v>
      </c>
      <c r="AG77" t="str">
        <f>IF($A77="","",IFERROR(INDEX(Company_List!$G$3:$G$207,MATCH($A77,Company_List!$A$3:$A$207,0)),"unassigned"))</f>
        <v>P2</v>
      </c>
      <c r="AH77" t="s">
        <v>1933</v>
      </c>
      <c r="AI77" t="s">
        <v>1934</v>
      </c>
      <c r="AJ77" t="s">
        <v>560</v>
      </c>
      <c r="AK77" t="str">
        <f>IF($A77="","",IF(COUNTIFS(Human_Data_Entry!$A$3:$A$525,$A77)&gt;0,"YES","NO"))</f>
        <v>YES</v>
      </c>
      <c r="AL77" t="str">
        <f>IF($A77="","",IF(AND($C77&amp;"-"&amp;$D77&gt;=Settings!$B$19,$C77&amp;"-"&amp;$D77&lt;=Settings!$B$20),"IN","OUT"))</f>
        <v>IN</v>
      </c>
      <c r="AM77" t="str">
        <f t="shared" si="4"/>
        <v/>
      </c>
      <c r="AN77" t="str">
        <f t="shared" si="5"/>
        <v/>
      </c>
      <c r="AO77" t="str">
        <f>IF(ISNUMBER($AM77),ABS(IF(ISNUMBER($G77),$G77,0)-Settings!$B$25),"")</f>
        <v/>
      </c>
      <c r="AP77" t="str">
        <f t="shared" si="6"/>
        <v/>
      </c>
      <c r="AQ77" t="str">
        <f>IF(ISNUMBER($AN77),ABS(IF(ISNUMBER($G77),$G77,0)-Settings!$B$25),"")</f>
        <v/>
      </c>
      <c r="AR77" t="str">
        <f t="shared" si="7"/>
        <v/>
      </c>
      <c r="AS77" t="str">
        <f>IF($A77="","",IFERROR(INDEX(Company_List!$H$3:$H$207,MATCH($A77,Company_List!$A$3:$A$207,0)),"unassigned"))</f>
        <v>Industrials</v>
      </c>
      <c r="AT77" t="s">
        <v>1915</v>
      </c>
      <c r="AU77" t="s">
        <v>1916</v>
      </c>
      <c r="AV77">
        <v>1</v>
      </c>
      <c r="AW77" t="s">
        <v>561</v>
      </c>
      <c r="AX77" t="s">
        <v>561</v>
      </c>
      <c r="AY77" t="s">
        <v>550</v>
      </c>
      <c r="AZ77" t="s">
        <v>562</v>
      </c>
      <c r="BA77" t="s">
        <v>554</v>
      </c>
    </row>
    <row r="78" spans="1:54" x14ac:dyDescent="0.2">
      <c r="A78" s="115" t="s">
        <v>935</v>
      </c>
      <c r="B78" s="117" t="s">
        <v>936</v>
      </c>
      <c r="C78" s="105">
        <v>2025</v>
      </c>
      <c r="D78" s="106" t="s">
        <v>569</v>
      </c>
      <c r="E78" s="109" t="s">
        <v>1911</v>
      </c>
      <c r="F78" s="106" t="s">
        <v>1912</v>
      </c>
      <c r="G78" s="128">
        <v>0.27750000000000002</v>
      </c>
      <c r="H78" s="106" t="s">
        <v>1919</v>
      </c>
      <c r="I78" s="128"/>
      <c r="J78" s="125">
        <v>46057</v>
      </c>
      <c r="K78" s="126">
        <v>46056</v>
      </c>
      <c r="L78" s="129">
        <v>77.930000000000007</v>
      </c>
      <c r="M78" s="126">
        <v>46057</v>
      </c>
      <c r="N78" s="129">
        <v>75.62</v>
      </c>
      <c r="O78" s="132">
        <v>8.6680000000000004E-3</v>
      </c>
      <c r="P78" s="107">
        <v>-2.9578E-2</v>
      </c>
      <c r="Q78" s="106" t="s">
        <v>545</v>
      </c>
      <c r="R78" s="106" t="s">
        <v>546</v>
      </c>
      <c r="S78" s="105">
        <v>1</v>
      </c>
      <c r="T78" s="107">
        <v>-3.0578000000000001E-2</v>
      </c>
      <c r="U78" s="130" t="s">
        <v>1914</v>
      </c>
      <c r="V78" t="s">
        <v>549</v>
      </c>
      <c r="W78" t="s">
        <v>541</v>
      </c>
      <c r="X78" t="s">
        <v>936</v>
      </c>
      <c r="Y78" t="s">
        <v>736</v>
      </c>
      <c r="Z78">
        <v>77.930000000000007</v>
      </c>
      <c r="AA78" t="s">
        <v>737</v>
      </c>
      <c r="AB78">
        <v>75.625</v>
      </c>
      <c r="AC78">
        <v>-2.9577826254330891E-2</v>
      </c>
      <c r="AD78" t="s">
        <v>545</v>
      </c>
      <c r="AE78" t="s">
        <v>546</v>
      </c>
      <c r="AF78">
        <v>-3.0578000000000001E-2</v>
      </c>
      <c r="AG78" t="str">
        <f>IF($A78="","",IFERROR(INDEX(Company_List!$G$3:$G$207,MATCH($A78,Company_List!$A$3:$A$207,0)),"unassigned"))</f>
        <v>P2</v>
      </c>
      <c r="AH78" t="s">
        <v>1935</v>
      </c>
      <c r="AI78" t="s">
        <v>1936</v>
      </c>
      <c r="AJ78" t="s">
        <v>560</v>
      </c>
      <c r="AK78" t="str">
        <f>IF($A78="","",IF(COUNTIFS(Human_Data_Entry!$A$3:$A$525,$A78)&gt;0,"YES","NO"))</f>
        <v>YES</v>
      </c>
      <c r="AL78" t="str">
        <f>IF($A78="","",IF(AND($C78&amp;"-"&amp;$D78&gt;=Settings!$B$19,$C78&amp;"-"&amp;$D78&lt;=Settings!$B$20),"IN","OUT"))</f>
        <v>IN</v>
      </c>
      <c r="AM78">
        <f t="shared" si="4"/>
        <v>-3.0578000000000001E-2</v>
      </c>
      <c r="AN78">
        <f t="shared" si="5"/>
        <v>-3.0578000000000001E-2</v>
      </c>
      <c r="AO78">
        <f>IF(ISNUMBER($AM78),ABS(IF(ISNUMBER($G78),$G78,0)-Settings!$B$25),"")</f>
        <v>0.27750000000000002</v>
      </c>
      <c r="AP78">
        <f t="shared" si="6"/>
        <v>-8.4853950000000015E-3</v>
      </c>
      <c r="AQ78">
        <f>IF(ISNUMBER($AN78),ABS(IF(ISNUMBER($G78),$G78,0)-Settings!$B$25),"")</f>
        <v>0.27750000000000002</v>
      </c>
      <c r="AR78">
        <f t="shared" si="7"/>
        <v>-8.4853950000000015E-3</v>
      </c>
      <c r="AS78" t="str">
        <f>IF($A78="","",IFERROR(INDEX(Company_List!$H$3:$H$207,MATCH($A78,Company_List!$A$3:$A$207,0)),"unassigned"))</f>
        <v>Industrials</v>
      </c>
      <c r="AT78" t="s">
        <v>1915</v>
      </c>
      <c r="AU78" t="s">
        <v>1916</v>
      </c>
      <c r="AV78">
        <v>1</v>
      </c>
      <c r="AW78" t="s">
        <v>561</v>
      </c>
      <c r="AX78" t="s">
        <v>561</v>
      </c>
      <c r="AY78" t="s">
        <v>550</v>
      </c>
      <c r="AZ78" t="s">
        <v>562</v>
      </c>
      <c r="BA78" t="s">
        <v>554</v>
      </c>
    </row>
    <row r="79" spans="1:54" x14ac:dyDescent="0.2">
      <c r="A79" s="115" t="s">
        <v>838</v>
      </c>
      <c r="B79" s="117" t="s">
        <v>839</v>
      </c>
      <c r="C79" s="105">
        <v>2025</v>
      </c>
      <c r="D79" s="106" t="s">
        <v>537</v>
      </c>
      <c r="E79" s="109" t="s">
        <v>1911</v>
      </c>
      <c r="F79" s="106" t="s">
        <v>1912</v>
      </c>
      <c r="G79" s="128">
        <v>-0.08</v>
      </c>
      <c r="H79" s="106" t="s">
        <v>1923</v>
      </c>
      <c r="I79" s="128"/>
      <c r="J79" s="125">
        <v>45792</v>
      </c>
      <c r="K79" s="126">
        <v>45791</v>
      </c>
      <c r="L79" s="129">
        <v>96.83</v>
      </c>
      <c r="M79" s="126">
        <v>45792</v>
      </c>
      <c r="N79" s="129">
        <v>94.3</v>
      </c>
      <c r="O79" s="132">
        <v>5.4780000000000002E-3</v>
      </c>
      <c r="P79" s="107">
        <v>-2.6127999999999998E-2</v>
      </c>
      <c r="Q79" s="106" t="s">
        <v>545</v>
      </c>
      <c r="R79" s="106" t="s">
        <v>554</v>
      </c>
      <c r="S79" s="105">
        <v>-1</v>
      </c>
      <c r="T79" s="107">
        <v>2.5128000000000001E-2</v>
      </c>
      <c r="U79" s="130" t="s">
        <v>1914</v>
      </c>
      <c r="V79" t="s">
        <v>549</v>
      </c>
      <c r="W79" t="s">
        <v>541</v>
      </c>
      <c r="X79" t="s">
        <v>839</v>
      </c>
      <c r="Y79" t="s">
        <v>840</v>
      </c>
      <c r="Z79">
        <v>96.027100000000004</v>
      </c>
      <c r="AA79" t="s">
        <v>841</v>
      </c>
      <c r="AB79">
        <v>93.518100000000004</v>
      </c>
      <c r="AC79">
        <v>-2.6128224013291849E-2</v>
      </c>
      <c r="AD79" t="s">
        <v>545</v>
      </c>
      <c r="AE79" t="s">
        <v>554</v>
      </c>
      <c r="AF79">
        <v>2.5128000000000001E-2</v>
      </c>
      <c r="AG79" t="str">
        <f>IF($A79="","",IFERROR(INDEX(Company_List!$G$3:$G$207,MATCH($A79,Company_List!$A$3:$A$207,0)),"unassigned"))</f>
        <v>P2</v>
      </c>
      <c r="AH79" t="s">
        <v>1937</v>
      </c>
      <c r="AJ79" t="s">
        <v>593</v>
      </c>
      <c r="AK79" t="str">
        <f>IF($A79="","",IF(COUNTIFS(Human_Data_Entry!$A$3:$A$525,$A79)&gt;0,"YES","NO"))</f>
        <v>YES</v>
      </c>
      <c r="AL79" t="str">
        <f>IF($A79="","",IF(AND($C79&amp;"-"&amp;$D79&gt;=Settings!$B$19,$C79&amp;"-"&amp;$D79&lt;=Settings!$B$20),"IN","OUT"))</f>
        <v>IN</v>
      </c>
      <c r="AM79">
        <f t="shared" si="4"/>
        <v>2.5128000000000001E-2</v>
      </c>
      <c r="AN79">
        <f t="shared" si="5"/>
        <v>2.5128000000000001E-2</v>
      </c>
      <c r="AO79">
        <f>IF(ISNUMBER($AM79),ABS(IF(ISNUMBER($G79),$G79,0)-Settings!$B$25),"")</f>
        <v>0.08</v>
      </c>
      <c r="AP79">
        <f t="shared" si="6"/>
        <v>2.0102399999999999E-3</v>
      </c>
      <c r="AQ79">
        <f>IF(ISNUMBER($AN79),ABS(IF(ISNUMBER($G79),$G79,0)-Settings!$B$25),"")</f>
        <v>0.08</v>
      </c>
      <c r="AR79">
        <f t="shared" si="7"/>
        <v>2.0102399999999999E-3</v>
      </c>
      <c r="AS79" t="str">
        <f>IF($A79="","",IFERROR(INDEX(Company_List!$H$3:$H$207,MATCH($A79,Company_List!$A$3:$A$207,0)),"unassigned"))</f>
        <v>Consumer Staples</v>
      </c>
      <c r="AT79" t="s">
        <v>1915</v>
      </c>
      <c r="AU79" t="s">
        <v>1916</v>
      </c>
      <c r="AV79">
        <v>3</v>
      </c>
      <c r="AW79" t="s">
        <v>617</v>
      </c>
      <c r="AX79" t="s">
        <v>553</v>
      </c>
      <c r="AY79" t="s">
        <v>550</v>
      </c>
      <c r="AZ79" t="s">
        <v>550</v>
      </c>
      <c r="BA79" t="s">
        <v>554</v>
      </c>
    </row>
    <row r="80" spans="1:54" x14ac:dyDescent="0.2">
      <c r="A80" s="115" t="s">
        <v>838</v>
      </c>
      <c r="B80" s="117" t="s">
        <v>839</v>
      </c>
      <c r="C80" s="105">
        <v>2026</v>
      </c>
      <c r="D80" s="106" t="s">
        <v>537</v>
      </c>
      <c r="E80" s="109" t="s">
        <v>1911</v>
      </c>
      <c r="F80" s="106" t="s">
        <v>1912</v>
      </c>
      <c r="G80" s="128">
        <v>-5.2499999999999998E-2</v>
      </c>
      <c r="H80" s="106" t="s">
        <v>1923</v>
      </c>
      <c r="I80" s="128"/>
      <c r="J80" s="125">
        <v>46163</v>
      </c>
      <c r="K80" s="126">
        <v>46162</v>
      </c>
      <c r="L80" s="129">
        <v>130.85</v>
      </c>
      <c r="M80" s="126">
        <v>46163</v>
      </c>
      <c r="N80" s="129">
        <v>124.41</v>
      </c>
      <c r="O80" s="132">
        <v>5.744E-3</v>
      </c>
      <c r="P80" s="107">
        <v>-4.9216999999999997E-2</v>
      </c>
      <c r="Q80" s="106" t="s">
        <v>545</v>
      </c>
      <c r="R80" s="106" t="s">
        <v>554</v>
      </c>
      <c r="S80" s="105">
        <v>-1</v>
      </c>
      <c r="T80" s="107">
        <v>4.8217000000000003E-2</v>
      </c>
      <c r="U80" s="130" t="s">
        <v>1914</v>
      </c>
      <c r="V80" t="s">
        <v>549</v>
      </c>
      <c r="W80" t="s">
        <v>685</v>
      </c>
      <c r="X80" t="s">
        <v>839</v>
      </c>
      <c r="Y80" t="s">
        <v>797</v>
      </c>
      <c r="Z80">
        <v>130.85</v>
      </c>
      <c r="AA80" t="s">
        <v>849</v>
      </c>
      <c r="AB80">
        <v>124.41</v>
      </c>
      <c r="AC80">
        <v>-4.9216673325945481E-2</v>
      </c>
      <c r="AD80" t="s">
        <v>545</v>
      </c>
      <c r="AE80" t="s">
        <v>554</v>
      </c>
      <c r="AF80">
        <v>4.8217000000000003E-2</v>
      </c>
      <c r="AG80" t="str">
        <f>IF($A80="","",IFERROR(INDEX(Company_List!$G$3:$G$207,MATCH($A80,Company_List!$A$3:$A$207,0)),"unassigned"))</f>
        <v>P2</v>
      </c>
      <c r="AH80" t="s">
        <v>1938</v>
      </c>
      <c r="AJ80" t="s">
        <v>593</v>
      </c>
      <c r="AK80" t="str">
        <f>IF($A80="","",IF(COUNTIFS(Human_Data_Entry!$A$3:$A$525,$A80)&gt;0,"YES","NO"))</f>
        <v>YES</v>
      </c>
      <c r="AL80" t="str">
        <f>IF($A80="","",IF(AND($C80&amp;"-"&amp;$D80&gt;=Settings!$B$19,$C80&amp;"-"&amp;$D80&lt;=Settings!$B$20),"IN","OUT"))</f>
        <v>IN</v>
      </c>
      <c r="AM80">
        <f t="shared" si="4"/>
        <v>4.8217000000000003E-2</v>
      </c>
      <c r="AN80">
        <f t="shared" si="5"/>
        <v>4.8217000000000003E-2</v>
      </c>
      <c r="AO80">
        <f>IF(ISNUMBER($AM80),ABS(IF(ISNUMBER($G80),$G80,0)-Settings!$B$25),"")</f>
        <v>5.2499999999999998E-2</v>
      </c>
      <c r="AP80">
        <f t="shared" si="6"/>
        <v>2.5313925000000001E-3</v>
      </c>
      <c r="AQ80">
        <f>IF(ISNUMBER($AN80),ABS(IF(ISNUMBER($G80),$G80,0)-Settings!$B$25),"")</f>
        <v>5.2499999999999998E-2</v>
      </c>
      <c r="AR80">
        <f t="shared" si="7"/>
        <v>2.5313925000000001E-3</v>
      </c>
      <c r="AS80" t="str">
        <f>IF($A80="","",IFERROR(INDEX(Company_List!$H$3:$H$207,MATCH($A80,Company_List!$A$3:$A$207,0)),"unassigned"))</f>
        <v>Consumer Staples</v>
      </c>
      <c r="AT80" t="s">
        <v>1915</v>
      </c>
      <c r="AU80" t="s">
        <v>1916</v>
      </c>
      <c r="AV80">
        <v>3</v>
      </c>
      <c r="AW80" t="s">
        <v>617</v>
      </c>
      <c r="AX80" t="s">
        <v>553</v>
      </c>
      <c r="AY80" t="s">
        <v>550</v>
      </c>
      <c r="AZ80" t="s">
        <v>550</v>
      </c>
      <c r="BA80" t="s">
        <v>554</v>
      </c>
    </row>
    <row r="81" spans="1:53" x14ac:dyDescent="0.2">
      <c r="A81" s="115" t="s">
        <v>838</v>
      </c>
      <c r="B81" s="117" t="s">
        <v>839</v>
      </c>
      <c r="C81" s="105">
        <v>2025</v>
      </c>
      <c r="D81" s="106" t="s">
        <v>555</v>
      </c>
      <c r="E81" s="109" t="s">
        <v>1911</v>
      </c>
      <c r="F81" s="106" t="s">
        <v>1912</v>
      </c>
      <c r="G81" s="128">
        <v>0.16500000000000001</v>
      </c>
      <c r="H81" s="106" t="s">
        <v>1913</v>
      </c>
      <c r="I81" s="128"/>
      <c r="J81" s="125">
        <v>45890</v>
      </c>
      <c r="K81" s="126">
        <v>45889</v>
      </c>
      <c r="L81" s="129">
        <v>102.57</v>
      </c>
      <c r="M81" s="126">
        <v>45890</v>
      </c>
      <c r="N81" s="129">
        <v>99.41</v>
      </c>
      <c r="O81" s="132">
        <v>5.9950000000000003E-3</v>
      </c>
      <c r="P81" s="107">
        <v>-3.0807999999999999E-2</v>
      </c>
      <c r="Q81" s="106" t="s">
        <v>545</v>
      </c>
      <c r="R81" s="106" t="s">
        <v>546</v>
      </c>
      <c r="S81" s="105">
        <v>0</v>
      </c>
      <c r="T81" s="107">
        <v>0</v>
      </c>
      <c r="U81" s="130" t="s">
        <v>1914</v>
      </c>
      <c r="V81" t="s">
        <v>549</v>
      </c>
      <c r="W81" t="s">
        <v>541</v>
      </c>
      <c r="X81" t="s">
        <v>839</v>
      </c>
      <c r="Y81" t="s">
        <v>785</v>
      </c>
      <c r="Z81">
        <v>101.9571</v>
      </c>
      <c r="AA81" t="s">
        <v>843</v>
      </c>
      <c r="AB81">
        <v>98.816000000000003</v>
      </c>
      <c r="AC81">
        <v>-3.0808226466057818E-2</v>
      </c>
      <c r="AD81" t="s">
        <v>545</v>
      </c>
      <c r="AE81" t="s">
        <v>546</v>
      </c>
      <c r="AF81">
        <v>0</v>
      </c>
      <c r="AG81" t="str">
        <f>IF($A81="","",IFERROR(INDEX(Company_List!$G$3:$G$207,MATCH($A81,Company_List!$A$3:$A$207,0)),"unassigned"))</f>
        <v>P2</v>
      </c>
      <c r="AH81" t="s">
        <v>1939</v>
      </c>
      <c r="AJ81" t="s">
        <v>593</v>
      </c>
      <c r="AK81" t="str">
        <f>IF($A81="","",IF(COUNTIFS(Human_Data_Entry!$A$3:$A$525,$A81)&gt;0,"YES","NO"))</f>
        <v>YES</v>
      </c>
      <c r="AL81" t="str">
        <f>IF($A81="","",IF(AND($C81&amp;"-"&amp;$D81&gt;=Settings!$B$19,$C81&amp;"-"&amp;$D81&lt;=Settings!$B$20),"IN","OUT"))</f>
        <v>IN</v>
      </c>
      <c r="AM81" t="str">
        <f t="shared" si="4"/>
        <v/>
      </c>
      <c r="AN81" t="str">
        <f t="shared" si="5"/>
        <v/>
      </c>
      <c r="AO81" t="str">
        <f>IF(ISNUMBER($AM81),ABS(IF(ISNUMBER($G81),$G81,0)-Settings!$B$25),"")</f>
        <v/>
      </c>
      <c r="AP81" t="str">
        <f t="shared" si="6"/>
        <v/>
      </c>
      <c r="AQ81" t="str">
        <f>IF(ISNUMBER($AN81),ABS(IF(ISNUMBER($G81),$G81,0)-Settings!$B$25),"")</f>
        <v/>
      </c>
      <c r="AR81" t="str">
        <f t="shared" si="7"/>
        <v/>
      </c>
      <c r="AS81" t="str">
        <f>IF($A81="","",IFERROR(INDEX(Company_List!$H$3:$H$207,MATCH($A81,Company_List!$A$3:$A$207,0)),"unassigned"))</f>
        <v>Consumer Staples</v>
      </c>
      <c r="AT81" t="s">
        <v>1915</v>
      </c>
      <c r="AU81" t="s">
        <v>1916</v>
      </c>
      <c r="AV81">
        <v>3</v>
      </c>
      <c r="AW81" t="s">
        <v>617</v>
      </c>
      <c r="AX81" t="s">
        <v>553</v>
      </c>
      <c r="AY81" t="s">
        <v>550</v>
      </c>
      <c r="AZ81" t="s">
        <v>550</v>
      </c>
      <c r="BA81" t="s">
        <v>554</v>
      </c>
    </row>
    <row r="82" spans="1:53" x14ac:dyDescent="0.2">
      <c r="A82" s="115" t="s">
        <v>838</v>
      </c>
      <c r="B82" s="117" t="s">
        <v>839</v>
      </c>
      <c r="C82" s="105">
        <v>2025</v>
      </c>
      <c r="D82" s="106" t="s">
        <v>563</v>
      </c>
      <c r="E82" s="109" t="s">
        <v>1911</v>
      </c>
      <c r="F82" s="106" t="s">
        <v>1912</v>
      </c>
      <c r="G82" s="128">
        <v>0.32</v>
      </c>
      <c r="H82" s="106" t="s">
        <v>1919</v>
      </c>
      <c r="I82" s="128"/>
      <c r="J82" s="125">
        <v>45981</v>
      </c>
      <c r="K82" s="126">
        <v>45980</v>
      </c>
      <c r="L82" s="129">
        <v>100.61</v>
      </c>
      <c r="M82" s="126">
        <v>45981</v>
      </c>
      <c r="N82" s="129">
        <v>103.94</v>
      </c>
      <c r="O82" s="132">
        <v>5.5019999999999999E-3</v>
      </c>
      <c r="P82" s="107">
        <v>3.3098000000000002E-2</v>
      </c>
      <c r="Q82" s="106" t="s">
        <v>591</v>
      </c>
      <c r="R82" s="106" t="s">
        <v>554</v>
      </c>
      <c r="S82" s="105">
        <v>1</v>
      </c>
      <c r="T82" s="107">
        <v>3.2098000000000002E-2</v>
      </c>
      <c r="U82" s="130" t="s">
        <v>1914</v>
      </c>
      <c r="V82" t="s">
        <v>549</v>
      </c>
      <c r="W82" t="s">
        <v>541</v>
      </c>
      <c r="X82" t="s">
        <v>839</v>
      </c>
      <c r="Y82" t="s">
        <v>606</v>
      </c>
      <c r="Z82">
        <v>100.00879999999999</v>
      </c>
      <c r="AA82" t="s">
        <v>607</v>
      </c>
      <c r="AB82">
        <v>103.3189</v>
      </c>
      <c r="AC82">
        <v>3.3098158469423537E-2</v>
      </c>
      <c r="AD82" t="s">
        <v>591</v>
      </c>
      <c r="AE82" t="s">
        <v>554</v>
      </c>
      <c r="AF82">
        <v>3.2098000000000002E-2</v>
      </c>
      <c r="AG82" t="str">
        <f>IF($A82="","",IFERROR(INDEX(Company_List!$G$3:$G$207,MATCH($A82,Company_List!$A$3:$A$207,0)),"unassigned"))</f>
        <v>P2</v>
      </c>
      <c r="AH82" t="s">
        <v>1940</v>
      </c>
      <c r="AJ82" t="s">
        <v>593</v>
      </c>
      <c r="AK82" t="str">
        <f>IF($A82="","",IF(COUNTIFS(Human_Data_Entry!$A$3:$A$525,$A82)&gt;0,"YES","NO"))</f>
        <v>YES</v>
      </c>
      <c r="AL82" t="str">
        <f>IF($A82="","",IF(AND($C82&amp;"-"&amp;$D82&gt;=Settings!$B$19,$C82&amp;"-"&amp;$D82&lt;=Settings!$B$20),"IN","OUT"))</f>
        <v>IN</v>
      </c>
      <c r="AM82">
        <f t="shared" si="4"/>
        <v>3.2098000000000002E-2</v>
      </c>
      <c r="AN82">
        <f t="shared" si="5"/>
        <v>3.2098000000000002E-2</v>
      </c>
      <c r="AO82">
        <f>IF(ISNUMBER($AM82),ABS(IF(ISNUMBER($G82),$G82,0)-Settings!$B$25),"")</f>
        <v>0.32</v>
      </c>
      <c r="AP82">
        <f t="shared" si="6"/>
        <v>1.027136E-2</v>
      </c>
      <c r="AQ82">
        <f>IF(ISNUMBER($AN82),ABS(IF(ISNUMBER($G82),$G82,0)-Settings!$B$25),"")</f>
        <v>0.32</v>
      </c>
      <c r="AR82">
        <f t="shared" si="7"/>
        <v>1.027136E-2</v>
      </c>
      <c r="AS82" t="str">
        <f>IF($A82="","",IFERROR(INDEX(Company_List!$H$3:$H$207,MATCH($A82,Company_List!$A$3:$A$207,0)),"unassigned"))</f>
        <v>Consumer Staples</v>
      </c>
      <c r="AT82" t="s">
        <v>1915</v>
      </c>
      <c r="AU82" t="s">
        <v>1916</v>
      </c>
      <c r="AV82">
        <v>3</v>
      </c>
      <c r="AW82" t="s">
        <v>617</v>
      </c>
      <c r="AX82" t="s">
        <v>553</v>
      </c>
      <c r="AY82" t="s">
        <v>550</v>
      </c>
      <c r="AZ82" t="s">
        <v>550</v>
      </c>
      <c r="BA82" t="s">
        <v>554</v>
      </c>
    </row>
    <row r="83" spans="1:53" x14ac:dyDescent="0.2">
      <c r="A83" s="115" t="s">
        <v>838</v>
      </c>
      <c r="B83" s="117" t="s">
        <v>839</v>
      </c>
      <c r="C83" s="105">
        <v>2025</v>
      </c>
      <c r="D83" s="106" t="s">
        <v>569</v>
      </c>
      <c r="E83" s="109" t="s">
        <v>1911</v>
      </c>
      <c r="F83" s="106" t="s">
        <v>1912</v>
      </c>
      <c r="G83" s="128">
        <v>0.12</v>
      </c>
      <c r="H83" s="106" t="s">
        <v>1913</v>
      </c>
      <c r="I83" s="128"/>
      <c r="J83" s="125">
        <v>46072</v>
      </c>
      <c r="K83" s="126">
        <v>46071</v>
      </c>
      <c r="L83" s="129">
        <v>126.62</v>
      </c>
      <c r="M83" s="126">
        <v>46072</v>
      </c>
      <c r="N83" s="129">
        <v>128.5</v>
      </c>
      <c r="O83" s="132">
        <v>6.7380000000000001E-3</v>
      </c>
      <c r="P83" s="107">
        <v>1.4848E-2</v>
      </c>
      <c r="Q83" s="106" t="s">
        <v>579</v>
      </c>
      <c r="R83" s="106" t="s">
        <v>554</v>
      </c>
      <c r="S83" s="105">
        <v>0</v>
      </c>
      <c r="T83" s="107">
        <v>0</v>
      </c>
      <c r="U83" s="130" t="s">
        <v>1914</v>
      </c>
      <c r="V83" t="s">
        <v>549</v>
      </c>
      <c r="W83" t="s">
        <v>541</v>
      </c>
      <c r="X83" t="s">
        <v>839</v>
      </c>
      <c r="Y83" t="s">
        <v>846</v>
      </c>
      <c r="Z83">
        <v>126.12</v>
      </c>
      <c r="AA83" t="s">
        <v>847</v>
      </c>
      <c r="AB83">
        <v>127.9926</v>
      </c>
      <c r="AC83">
        <v>1.484756150853842E-2</v>
      </c>
      <c r="AD83" t="s">
        <v>579</v>
      </c>
      <c r="AE83" t="s">
        <v>554</v>
      </c>
      <c r="AF83">
        <v>0</v>
      </c>
      <c r="AG83" t="str">
        <f>IF($A83="","",IFERROR(INDEX(Company_List!$G$3:$G$207,MATCH($A83,Company_List!$A$3:$A$207,0)),"unassigned"))</f>
        <v>P2</v>
      </c>
      <c r="AH83" t="s">
        <v>1941</v>
      </c>
      <c r="AJ83" t="s">
        <v>593</v>
      </c>
      <c r="AK83" t="str">
        <f>IF($A83="","",IF(COUNTIFS(Human_Data_Entry!$A$3:$A$525,$A83)&gt;0,"YES","NO"))</f>
        <v>YES</v>
      </c>
      <c r="AL83" t="str">
        <f>IF($A83="","",IF(AND($C83&amp;"-"&amp;$D83&gt;=Settings!$B$19,$C83&amp;"-"&amp;$D83&lt;=Settings!$B$20),"IN","OUT"))</f>
        <v>IN</v>
      </c>
      <c r="AM83" t="str">
        <f t="shared" si="4"/>
        <v/>
      </c>
      <c r="AN83" t="str">
        <f t="shared" si="5"/>
        <v/>
      </c>
      <c r="AO83" t="str">
        <f>IF(ISNUMBER($AM83),ABS(IF(ISNUMBER($G83),$G83,0)-Settings!$B$25),"")</f>
        <v/>
      </c>
      <c r="AP83" t="str">
        <f t="shared" si="6"/>
        <v/>
      </c>
      <c r="AQ83" t="str">
        <f>IF(ISNUMBER($AN83),ABS(IF(ISNUMBER($G83),$G83,0)-Settings!$B$25),"")</f>
        <v/>
      </c>
      <c r="AR83" t="str">
        <f t="shared" si="7"/>
        <v/>
      </c>
      <c r="AS83" t="str">
        <f>IF($A83="","",IFERROR(INDEX(Company_List!$H$3:$H$207,MATCH($A83,Company_List!$A$3:$A$207,0)),"unassigned"))</f>
        <v>Consumer Staples</v>
      </c>
      <c r="AT83" t="s">
        <v>1915</v>
      </c>
      <c r="AU83" t="s">
        <v>1916</v>
      </c>
      <c r="AV83">
        <v>3</v>
      </c>
      <c r="AW83" t="s">
        <v>617</v>
      </c>
      <c r="AX83" t="s">
        <v>553</v>
      </c>
      <c r="AY83" t="s">
        <v>550</v>
      </c>
      <c r="AZ83" t="s">
        <v>550</v>
      </c>
      <c r="BA83" t="s">
        <v>554</v>
      </c>
    </row>
    <row r="84" spans="1:53" x14ac:dyDescent="0.2">
      <c r="A84" s="115" t="s">
        <v>711</v>
      </c>
      <c r="B84" s="117" t="s">
        <v>713</v>
      </c>
      <c r="C84" s="105">
        <v>2025</v>
      </c>
      <c r="D84" s="106" t="s">
        <v>537</v>
      </c>
      <c r="E84" s="109" t="s">
        <v>1911</v>
      </c>
      <c r="F84" s="106" t="s">
        <v>1912</v>
      </c>
      <c r="G84" s="128">
        <v>-0.13500000000000001</v>
      </c>
      <c r="H84" s="106" t="s">
        <v>1923</v>
      </c>
      <c r="I84" s="128"/>
      <c r="J84" s="125">
        <v>45762</v>
      </c>
      <c r="K84" s="126">
        <v>45761</v>
      </c>
      <c r="L84" s="129">
        <v>36.67</v>
      </c>
      <c r="M84" s="126">
        <v>45762</v>
      </c>
      <c r="N84" s="129">
        <v>37.799999999999997</v>
      </c>
      <c r="O84" s="132">
        <v>6.7089999999999997E-3</v>
      </c>
      <c r="P84" s="107">
        <v>3.0814999999999999E-2</v>
      </c>
      <c r="Q84" s="106" t="s">
        <v>591</v>
      </c>
      <c r="R84" s="106" t="s">
        <v>546</v>
      </c>
      <c r="S84" s="105">
        <v>-1</v>
      </c>
      <c r="T84" s="107">
        <v>-3.1815000000000003E-2</v>
      </c>
      <c r="U84" s="130" t="s">
        <v>1914</v>
      </c>
      <c r="V84" t="s">
        <v>549</v>
      </c>
      <c r="W84" t="s">
        <v>541</v>
      </c>
      <c r="X84" t="s">
        <v>713</v>
      </c>
      <c r="Y84" t="s">
        <v>714</v>
      </c>
      <c r="Z84">
        <v>35.677999999999997</v>
      </c>
      <c r="AA84" t="s">
        <v>715</v>
      </c>
      <c r="AB84">
        <v>36.7774</v>
      </c>
      <c r="AC84">
        <v>3.0815289223375762E-2</v>
      </c>
      <c r="AD84" t="s">
        <v>591</v>
      </c>
      <c r="AE84" t="s">
        <v>546</v>
      </c>
      <c r="AF84">
        <v>-3.1815000000000003E-2</v>
      </c>
      <c r="AG84" t="str">
        <f>IF($A84="","",IFERROR(INDEX(Company_List!$G$3:$G$207,MATCH($A84,Company_List!$A$3:$A$207,0)),"unassigned"))</f>
        <v>P2</v>
      </c>
      <c r="AH84" t="s">
        <v>1942</v>
      </c>
      <c r="AI84" t="s">
        <v>1943</v>
      </c>
      <c r="AJ84" t="s">
        <v>754</v>
      </c>
      <c r="AK84" t="str">
        <f>IF($A84="","",IF(COUNTIFS(Human_Data_Entry!$A$3:$A$525,$A84)&gt;0,"YES","NO"))</f>
        <v>YES</v>
      </c>
      <c r="AL84" t="str">
        <f>IF($A84="","",IF(AND($C84&amp;"-"&amp;$D84&gt;=Settings!$B$19,$C84&amp;"-"&amp;$D84&lt;=Settings!$B$20),"IN","OUT"))</f>
        <v>IN</v>
      </c>
      <c r="AM84">
        <f t="shared" si="4"/>
        <v>-3.1815000000000003E-2</v>
      </c>
      <c r="AN84">
        <f t="shared" si="5"/>
        <v>-3.1815000000000003E-2</v>
      </c>
      <c r="AO84">
        <f>IF(ISNUMBER($AM84),ABS(IF(ISNUMBER($G84),$G84,0)-Settings!$B$25),"")</f>
        <v>0.13500000000000001</v>
      </c>
      <c r="AP84">
        <f t="shared" si="6"/>
        <v>-4.2950250000000009E-3</v>
      </c>
      <c r="AQ84">
        <f>IF(ISNUMBER($AN84),ABS(IF(ISNUMBER($G84),$G84,0)-Settings!$B$25),"")</f>
        <v>0.13500000000000001</v>
      </c>
      <c r="AR84">
        <f t="shared" si="7"/>
        <v>-4.2950250000000009E-3</v>
      </c>
      <c r="AS84" t="str">
        <f>IF($A84="","",IFERROR(INDEX(Company_List!$H$3:$H$207,MATCH($A84,Company_List!$A$3:$A$207,0)),"unassigned"))</f>
        <v>Financials</v>
      </c>
      <c r="AT84" t="s">
        <v>1915</v>
      </c>
      <c r="AU84" t="s">
        <v>1916</v>
      </c>
      <c r="AV84">
        <v>2</v>
      </c>
      <c r="AW84" t="s">
        <v>561</v>
      </c>
      <c r="AX84" t="s">
        <v>561</v>
      </c>
      <c r="AY84" t="s">
        <v>550</v>
      </c>
      <c r="AZ84" t="s">
        <v>562</v>
      </c>
      <c r="BA84" t="s">
        <v>554</v>
      </c>
    </row>
    <row r="85" spans="1:53" x14ac:dyDescent="0.2">
      <c r="A85" s="115" t="s">
        <v>711</v>
      </c>
      <c r="B85" s="117" t="s">
        <v>713</v>
      </c>
      <c r="C85" s="105">
        <v>2025</v>
      </c>
      <c r="D85" s="106" t="s">
        <v>555</v>
      </c>
      <c r="E85" s="109" t="s">
        <v>1911</v>
      </c>
      <c r="F85" s="106" t="s">
        <v>1912</v>
      </c>
      <c r="G85" s="128">
        <v>0.1275</v>
      </c>
      <c r="H85" s="106" t="s">
        <v>1913</v>
      </c>
      <c r="I85" s="128"/>
      <c r="J85" s="125">
        <v>45854</v>
      </c>
      <c r="K85" s="126">
        <v>45853</v>
      </c>
      <c r="L85" s="129">
        <v>46.15</v>
      </c>
      <c r="M85" s="126">
        <v>45854</v>
      </c>
      <c r="N85" s="129">
        <v>46.25</v>
      </c>
      <c r="O85" s="132">
        <v>7.1130000000000004E-3</v>
      </c>
      <c r="P85" s="107">
        <v>2.1670000000000001E-3</v>
      </c>
      <c r="Q85" s="106" t="s">
        <v>579</v>
      </c>
      <c r="R85" s="106" t="s">
        <v>554</v>
      </c>
      <c r="S85" s="105">
        <v>0</v>
      </c>
      <c r="T85" s="107">
        <v>0</v>
      </c>
      <c r="U85" s="130" t="s">
        <v>1944</v>
      </c>
      <c r="V85" t="s">
        <v>549</v>
      </c>
      <c r="W85" t="s">
        <v>612</v>
      </c>
      <c r="X85" t="s">
        <v>713</v>
      </c>
      <c r="Y85" t="s">
        <v>718</v>
      </c>
      <c r="Z85">
        <v>46.066499999999998</v>
      </c>
      <c r="AA85" t="s">
        <v>719</v>
      </c>
      <c r="AB85">
        <v>45.880600000000001</v>
      </c>
      <c r="AC85">
        <v>-4.0366627472530918E-3</v>
      </c>
      <c r="AD85" t="s">
        <v>579</v>
      </c>
      <c r="AE85" t="s">
        <v>554</v>
      </c>
      <c r="AF85">
        <v>0</v>
      </c>
      <c r="AG85" t="str">
        <f>IF($A85="","",IFERROR(INDEX(Company_List!$G$3:$G$207,MATCH($A85,Company_List!$A$3:$A$207,0)),"unassigned"))</f>
        <v>P2</v>
      </c>
      <c r="AH85" t="s">
        <v>1945</v>
      </c>
      <c r="AI85" t="s">
        <v>1946</v>
      </c>
      <c r="AJ85" t="s">
        <v>754</v>
      </c>
      <c r="AK85" t="str">
        <f>IF($A85="","",IF(COUNTIFS(Human_Data_Entry!$A$3:$A$525,$A85)&gt;0,"YES","NO"))</f>
        <v>YES</v>
      </c>
      <c r="AL85" t="str">
        <f>IF($A85="","",IF(AND($C85&amp;"-"&amp;$D85&gt;=Settings!$B$19,$C85&amp;"-"&amp;$D85&lt;=Settings!$B$20),"IN","OUT"))</f>
        <v>IN</v>
      </c>
      <c r="AM85" t="str">
        <f t="shared" si="4"/>
        <v/>
      </c>
      <c r="AN85" t="str">
        <f t="shared" si="5"/>
        <v/>
      </c>
      <c r="AO85" t="str">
        <f>IF(ISNUMBER($AM85),ABS(IF(ISNUMBER($G85),$G85,0)-Settings!$B$25),"")</f>
        <v/>
      </c>
      <c r="AP85" t="str">
        <f t="shared" si="6"/>
        <v/>
      </c>
      <c r="AQ85" t="str">
        <f>IF(ISNUMBER($AN85),ABS(IF(ISNUMBER($G85),$G85,0)-Settings!$B$25),"")</f>
        <v/>
      </c>
      <c r="AR85" t="str">
        <f t="shared" si="7"/>
        <v/>
      </c>
      <c r="AS85" t="str">
        <f>IF($A85="","",IFERROR(INDEX(Company_List!$H$3:$H$207,MATCH($A85,Company_List!$A$3:$A$207,0)),"unassigned"))</f>
        <v>Financials</v>
      </c>
      <c r="AT85" t="s">
        <v>1915</v>
      </c>
      <c r="AU85" t="s">
        <v>1916</v>
      </c>
      <c r="AV85">
        <v>2</v>
      </c>
      <c r="AW85" t="s">
        <v>561</v>
      </c>
      <c r="AX85" t="s">
        <v>561</v>
      </c>
      <c r="AY85" t="s">
        <v>550</v>
      </c>
      <c r="AZ85" t="s">
        <v>562</v>
      </c>
      <c r="BA85" t="s">
        <v>554</v>
      </c>
    </row>
    <row r="86" spans="1:53" x14ac:dyDescent="0.2">
      <c r="A86" s="115" t="s">
        <v>711</v>
      </c>
      <c r="B86" s="117" t="s">
        <v>713</v>
      </c>
      <c r="C86" s="105">
        <v>2025</v>
      </c>
      <c r="D86" s="106" t="s">
        <v>563</v>
      </c>
      <c r="E86" s="109" t="s">
        <v>1911</v>
      </c>
      <c r="F86" s="106" t="s">
        <v>1912</v>
      </c>
      <c r="G86" s="128">
        <v>0.3</v>
      </c>
      <c r="H86" s="106" t="s">
        <v>1919</v>
      </c>
      <c r="I86" s="128"/>
      <c r="J86" s="125">
        <v>45945</v>
      </c>
      <c r="K86" s="126">
        <v>45944</v>
      </c>
      <c r="L86" s="129">
        <v>50.09</v>
      </c>
      <c r="M86" s="126">
        <v>45945</v>
      </c>
      <c r="N86" s="129">
        <v>51.57</v>
      </c>
      <c r="O86" s="132">
        <v>7.0990000000000003E-3</v>
      </c>
      <c r="P86" s="107">
        <v>2.9547E-2</v>
      </c>
      <c r="Q86" s="106" t="s">
        <v>591</v>
      </c>
      <c r="R86" s="106" t="s">
        <v>554</v>
      </c>
      <c r="S86" s="105">
        <v>1</v>
      </c>
      <c r="T86" s="107">
        <v>2.8546999999999999E-2</v>
      </c>
      <c r="U86" s="130" t="s">
        <v>1914</v>
      </c>
      <c r="V86" t="s">
        <v>549</v>
      </c>
      <c r="W86" t="s">
        <v>685</v>
      </c>
      <c r="X86" t="s">
        <v>713</v>
      </c>
      <c r="Y86" t="s">
        <v>722</v>
      </c>
      <c r="Z86">
        <v>49.294800000000002</v>
      </c>
      <c r="AA86" t="s">
        <v>723</v>
      </c>
      <c r="AB86">
        <v>50.751300000000001</v>
      </c>
      <c r="AC86">
        <v>2.9546882528871929E-2</v>
      </c>
      <c r="AD86" t="s">
        <v>591</v>
      </c>
      <c r="AE86" t="s">
        <v>554</v>
      </c>
      <c r="AF86">
        <v>2.8546999999999999E-2</v>
      </c>
      <c r="AG86" t="str">
        <f>IF($A86="","",IFERROR(INDEX(Company_List!$G$3:$G$207,MATCH($A86,Company_List!$A$3:$A$207,0)),"unassigned"))</f>
        <v>P2</v>
      </c>
      <c r="AH86" t="s">
        <v>1947</v>
      </c>
      <c r="AI86" t="s">
        <v>1948</v>
      </c>
      <c r="AJ86" t="s">
        <v>754</v>
      </c>
      <c r="AK86" t="str">
        <f>IF($A86="","",IF(COUNTIFS(Human_Data_Entry!$A$3:$A$525,$A86)&gt;0,"YES","NO"))</f>
        <v>YES</v>
      </c>
      <c r="AL86" t="str">
        <f>IF($A86="","",IF(AND($C86&amp;"-"&amp;$D86&gt;=Settings!$B$19,$C86&amp;"-"&amp;$D86&lt;=Settings!$B$20),"IN","OUT"))</f>
        <v>IN</v>
      </c>
      <c r="AM86">
        <f t="shared" si="4"/>
        <v>2.8546999999999999E-2</v>
      </c>
      <c r="AN86">
        <f t="shared" si="5"/>
        <v>2.8546999999999999E-2</v>
      </c>
      <c r="AO86">
        <f>IF(ISNUMBER($AM86),ABS(IF(ISNUMBER($G86),$G86,0)-Settings!$B$25),"")</f>
        <v>0.3</v>
      </c>
      <c r="AP86">
        <f t="shared" si="6"/>
        <v>8.5640999999999998E-3</v>
      </c>
      <c r="AQ86">
        <f>IF(ISNUMBER($AN86),ABS(IF(ISNUMBER($G86),$G86,0)-Settings!$B$25),"")</f>
        <v>0.3</v>
      </c>
      <c r="AR86">
        <f t="shared" si="7"/>
        <v>8.5640999999999998E-3</v>
      </c>
      <c r="AS86" t="str">
        <f>IF($A86="","",IFERROR(INDEX(Company_List!$H$3:$H$207,MATCH($A86,Company_List!$A$3:$A$207,0)),"unassigned"))</f>
        <v>Financials</v>
      </c>
      <c r="AT86" t="s">
        <v>1915</v>
      </c>
      <c r="AU86" t="s">
        <v>1916</v>
      </c>
      <c r="AV86">
        <v>2</v>
      </c>
      <c r="AW86" t="s">
        <v>561</v>
      </c>
      <c r="AX86" t="s">
        <v>561</v>
      </c>
      <c r="AY86" t="s">
        <v>550</v>
      </c>
      <c r="AZ86" t="s">
        <v>562</v>
      </c>
      <c r="BA86" t="s">
        <v>554</v>
      </c>
    </row>
    <row r="87" spans="1:53" x14ac:dyDescent="0.2">
      <c r="A87" s="115" t="s">
        <v>711</v>
      </c>
      <c r="B87" s="117" t="s">
        <v>713</v>
      </c>
      <c r="C87" s="105">
        <v>2025</v>
      </c>
      <c r="D87" s="106" t="s">
        <v>569</v>
      </c>
      <c r="E87" s="109" t="s">
        <v>1911</v>
      </c>
      <c r="F87" s="106" t="s">
        <v>1912</v>
      </c>
      <c r="G87" s="128">
        <v>0.25</v>
      </c>
      <c r="H87" s="106" t="s">
        <v>1913</v>
      </c>
      <c r="I87" s="128"/>
      <c r="J87" s="125">
        <v>46036</v>
      </c>
      <c r="K87" s="126">
        <v>46035</v>
      </c>
      <c r="L87" s="129">
        <v>54.54</v>
      </c>
      <c r="M87" s="126">
        <v>46036</v>
      </c>
      <c r="N87" s="129">
        <v>52.88</v>
      </c>
      <c r="O87" s="132">
        <v>8.3459999999999993E-3</v>
      </c>
      <c r="P87" s="107">
        <v>-3.0436000000000001E-2</v>
      </c>
      <c r="Q87" s="106" t="s">
        <v>545</v>
      </c>
      <c r="R87" s="106" t="s">
        <v>546</v>
      </c>
      <c r="S87" s="105">
        <v>0</v>
      </c>
      <c r="T87" s="107">
        <v>0</v>
      </c>
      <c r="U87" s="130" t="s">
        <v>1914</v>
      </c>
      <c r="V87" t="s">
        <v>549</v>
      </c>
      <c r="W87" t="s">
        <v>541</v>
      </c>
      <c r="X87" t="s">
        <v>713</v>
      </c>
      <c r="Y87" t="s">
        <v>726</v>
      </c>
      <c r="Z87">
        <v>53.953099999999999</v>
      </c>
      <c r="AA87" t="s">
        <v>727</v>
      </c>
      <c r="AB87">
        <v>52.310899999999997</v>
      </c>
      <c r="AC87">
        <v>-3.0436323441360089E-2</v>
      </c>
      <c r="AD87" t="s">
        <v>545</v>
      </c>
      <c r="AE87" t="s">
        <v>546</v>
      </c>
      <c r="AF87">
        <v>0</v>
      </c>
      <c r="AG87" t="str">
        <f>IF($A87="","",IFERROR(INDEX(Company_List!$G$3:$G$207,MATCH($A87,Company_List!$A$3:$A$207,0)),"unassigned"))</f>
        <v>P2</v>
      </c>
      <c r="AH87" t="s">
        <v>1949</v>
      </c>
      <c r="AI87" t="s">
        <v>1950</v>
      </c>
      <c r="AJ87" t="s">
        <v>754</v>
      </c>
      <c r="AK87" t="str">
        <f>IF($A87="","",IF(COUNTIFS(Human_Data_Entry!$A$3:$A$525,$A87)&gt;0,"YES","NO"))</f>
        <v>YES</v>
      </c>
      <c r="AL87" t="str">
        <f>IF($A87="","",IF(AND($C87&amp;"-"&amp;$D87&gt;=Settings!$B$19,$C87&amp;"-"&amp;$D87&lt;=Settings!$B$20),"IN","OUT"))</f>
        <v>IN</v>
      </c>
      <c r="AM87" t="str">
        <f t="shared" si="4"/>
        <v/>
      </c>
      <c r="AN87" t="str">
        <f t="shared" si="5"/>
        <v/>
      </c>
      <c r="AO87" t="str">
        <f>IF(ISNUMBER($AM87),ABS(IF(ISNUMBER($G87),$G87,0)-Settings!$B$25),"")</f>
        <v/>
      </c>
      <c r="AP87" t="str">
        <f t="shared" si="6"/>
        <v/>
      </c>
      <c r="AQ87" t="str">
        <f>IF(ISNUMBER($AN87),ABS(IF(ISNUMBER($G87),$G87,0)-Settings!$B$25),"")</f>
        <v/>
      </c>
      <c r="AR87" t="str">
        <f t="shared" si="7"/>
        <v/>
      </c>
      <c r="AS87" t="str">
        <f>IF($A87="","",IFERROR(INDEX(Company_List!$H$3:$H$207,MATCH($A87,Company_List!$A$3:$A$207,0)),"unassigned"))</f>
        <v>Financials</v>
      </c>
      <c r="AT87" t="s">
        <v>1915</v>
      </c>
      <c r="AU87" t="s">
        <v>1916</v>
      </c>
      <c r="AV87">
        <v>2</v>
      </c>
      <c r="AW87" t="s">
        <v>561</v>
      </c>
      <c r="AX87" t="s">
        <v>561</v>
      </c>
      <c r="AY87" t="s">
        <v>550</v>
      </c>
      <c r="AZ87" t="s">
        <v>562</v>
      </c>
      <c r="BA87" t="s">
        <v>554</v>
      </c>
    </row>
    <row r="88" spans="1:53" x14ac:dyDescent="0.2">
      <c r="A88" s="115" t="s">
        <v>609</v>
      </c>
      <c r="B88" s="117" t="s">
        <v>613</v>
      </c>
      <c r="C88" s="105">
        <v>2025</v>
      </c>
      <c r="D88" s="106" t="s">
        <v>537</v>
      </c>
      <c r="E88" s="109" t="s">
        <v>1911</v>
      </c>
      <c r="F88" s="106" t="s">
        <v>1912</v>
      </c>
      <c r="G88" s="128">
        <v>2.5000000000000001E-3</v>
      </c>
      <c r="H88" s="106" t="s">
        <v>1913</v>
      </c>
      <c r="I88" s="128"/>
      <c r="J88" s="125">
        <v>45770</v>
      </c>
      <c r="K88" s="126">
        <v>45769</v>
      </c>
      <c r="L88" s="129">
        <v>162.52000000000001</v>
      </c>
      <c r="M88" s="126">
        <v>45770</v>
      </c>
      <c r="N88" s="129">
        <v>174</v>
      </c>
      <c r="O88" s="132">
        <v>9.0699999999999999E-3</v>
      </c>
      <c r="P88" s="107">
        <v>7.0637000000000005E-2</v>
      </c>
      <c r="Q88" s="106" t="s">
        <v>591</v>
      </c>
      <c r="R88" s="106" t="s">
        <v>546</v>
      </c>
      <c r="S88" s="105">
        <v>0</v>
      </c>
      <c r="T88" s="107">
        <v>0</v>
      </c>
      <c r="U88" s="130" t="s">
        <v>1914</v>
      </c>
      <c r="V88" t="s">
        <v>549</v>
      </c>
      <c r="W88" t="s">
        <v>612</v>
      </c>
      <c r="X88" t="s">
        <v>613</v>
      </c>
      <c r="Y88" t="s">
        <v>614</v>
      </c>
      <c r="Z88">
        <v>162.52000000000001</v>
      </c>
      <c r="AA88" t="s">
        <v>615</v>
      </c>
      <c r="AB88">
        <v>174</v>
      </c>
      <c r="AC88">
        <v>7.063743365401344E-2</v>
      </c>
      <c r="AD88" t="s">
        <v>591</v>
      </c>
      <c r="AE88" t="s">
        <v>546</v>
      </c>
      <c r="AF88">
        <v>0</v>
      </c>
      <c r="AG88" t="str">
        <f>IF($A88="","",IFERROR(INDEX(Company_List!$G$3:$G$207,MATCH($A88,Company_List!$A$3:$A$207,0)),"unassigned"))</f>
        <v>P2</v>
      </c>
      <c r="AH88" t="s">
        <v>616</v>
      </c>
      <c r="AJ88" t="s">
        <v>548</v>
      </c>
      <c r="AK88" t="str">
        <f>IF($A88="","",IF(COUNTIFS(Human_Data_Entry!$A$3:$A$525,$A88)&gt;0,"YES","NO"))</f>
        <v>YES</v>
      </c>
      <c r="AL88" t="str">
        <f>IF($A88="","",IF(AND($C88&amp;"-"&amp;$D88&gt;=Settings!$B$19,$C88&amp;"-"&amp;$D88&lt;=Settings!$B$20),"IN","OUT"))</f>
        <v>IN</v>
      </c>
      <c r="AM88" t="str">
        <f t="shared" si="4"/>
        <v/>
      </c>
      <c r="AN88" t="str">
        <f t="shared" si="5"/>
        <v/>
      </c>
      <c r="AO88" t="str">
        <f>IF(ISNUMBER($AM88),ABS(IF(ISNUMBER($G88),$G88,0)-Settings!$B$25),"")</f>
        <v/>
      </c>
      <c r="AP88" t="str">
        <f t="shared" si="6"/>
        <v/>
      </c>
      <c r="AQ88" t="str">
        <f>IF(ISNUMBER($AN88),ABS(IF(ISNUMBER($G88),$G88,0)-Settings!$B$25),"")</f>
        <v/>
      </c>
      <c r="AR88" t="str">
        <f t="shared" si="7"/>
        <v/>
      </c>
      <c r="AS88" t="str">
        <f>IF($A88="","",IFERROR(INDEX(Company_List!$H$3:$H$207,MATCH($A88,Company_List!$A$3:$A$207,0)),"unassigned"))</f>
        <v>Industrials</v>
      </c>
      <c r="AT88" t="s">
        <v>1915</v>
      </c>
      <c r="AU88" t="s">
        <v>1916</v>
      </c>
      <c r="AV88">
        <v>1</v>
      </c>
      <c r="AW88" t="s">
        <v>617</v>
      </c>
      <c r="AX88" t="s">
        <v>553</v>
      </c>
      <c r="AY88" t="s">
        <v>550</v>
      </c>
      <c r="AZ88" t="s">
        <v>550</v>
      </c>
      <c r="BA88" t="s">
        <v>554</v>
      </c>
    </row>
    <row r="89" spans="1:53" x14ac:dyDescent="0.2">
      <c r="A89" s="115" t="s">
        <v>609</v>
      </c>
      <c r="B89" s="117" t="s">
        <v>613</v>
      </c>
      <c r="C89" s="105">
        <v>2025</v>
      </c>
      <c r="D89" s="106" t="s">
        <v>555</v>
      </c>
      <c r="E89" s="109" t="s">
        <v>1911</v>
      </c>
      <c r="F89" s="106" t="s">
        <v>1912</v>
      </c>
      <c r="G89" s="128">
        <v>0.155</v>
      </c>
      <c r="H89" s="106" t="s">
        <v>1913</v>
      </c>
      <c r="I89" s="128"/>
      <c r="J89" s="125">
        <v>45867</v>
      </c>
      <c r="K89" s="126">
        <v>45866</v>
      </c>
      <c r="L89" s="129">
        <v>236.41</v>
      </c>
      <c r="M89" s="126">
        <v>45867</v>
      </c>
      <c r="N89" s="129">
        <v>239.5</v>
      </c>
      <c r="O89" s="132">
        <v>5.228E-3</v>
      </c>
      <c r="P89" s="107">
        <v>1.307E-2</v>
      </c>
      <c r="Q89" s="106" t="s">
        <v>579</v>
      </c>
      <c r="R89" s="106" t="s">
        <v>554</v>
      </c>
      <c r="S89" s="105">
        <v>0</v>
      </c>
      <c r="T89" s="107">
        <v>0</v>
      </c>
      <c r="U89" s="130" t="s">
        <v>1914</v>
      </c>
      <c r="V89" t="s">
        <v>549</v>
      </c>
      <c r="W89" t="s">
        <v>612</v>
      </c>
      <c r="X89" t="s">
        <v>613</v>
      </c>
      <c r="Y89" t="s">
        <v>619</v>
      </c>
      <c r="Z89">
        <v>236.41</v>
      </c>
      <c r="AA89" t="s">
        <v>620</v>
      </c>
      <c r="AB89">
        <v>239.5</v>
      </c>
      <c r="AC89">
        <v>1.3070495950755051E-2</v>
      </c>
      <c r="AD89" t="s">
        <v>579</v>
      </c>
      <c r="AE89" t="s">
        <v>554</v>
      </c>
      <c r="AF89">
        <v>0</v>
      </c>
      <c r="AG89" t="str">
        <f>IF($A89="","",IFERROR(INDEX(Company_List!$G$3:$G$207,MATCH($A89,Company_List!$A$3:$A$207,0)),"unassigned"))</f>
        <v>P2</v>
      </c>
      <c r="AH89" t="s">
        <v>621</v>
      </c>
      <c r="AI89" t="s">
        <v>622</v>
      </c>
      <c r="AJ89" t="s">
        <v>560</v>
      </c>
      <c r="AK89" t="str">
        <f>IF($A89="","",IF(COUNTIFS(Human_Data_Entry!$A$3:$A$525,$A89)&gt;0,"YES","NO"))</f>
        <v>YES</v>
      </c>
      <c r="AL89" t="str">
        <f>IF($A89="","",IF(AND($C89&amp;"-"&amp;$D89&gt;=Settings!$B$19,$C89&amp;"-"&amp;$D89&lt;=Settings!$B$20),"IN","OUT"))</f>
        <v>IN</v>
      </c>
      <c r="AM89" t="str">
        <f t="shared" si="4"/>
        <v/>
      </c>
      <c r="AN89" t="str">
        <f t="shared" si="5"/>
        <v/>
      </c>
      <c r="AO89" t="str">
        <f>IF(ISNUMBER($AM89),ABS(IF(ISNUMBER($G89),$G89,0)-Settings!$B$25),"")</f>
        <v/>
      </c>
      <c r="AP89" t="str">
        <f t="shared" si="6"/>
        <v/>
      </c>
      <c r="AQ89" t="str">
        <f>IF(ISNUMBER($AN89),ABS(IF(ISNUMBER($G89),$G89,0)-Settings!$B$25),"")</f>
        <v/>
      </c>
      <c r="AR89" t="str">
        <f t="shared" si="7"/>
        <v/>
      </c>
      <c r="AS89" t="str">
        <f>IF($A89="","",IFERROR(INDEX(Company_List!$H$3:$H$207,MATCH($A89,Company_List!$A$3:$A$207,0)),"unassigned"))</f>
        <v>Industrials</v>
      </c>
      <c r="AT89" t="s">
        <v>1915</v>
      </c>
      <c r="AU89" t="s">
        <v>1916</v>
      </c>
      <c r="AV89">
        <v>1</v>
      </c>
      <c r="AW89" t="s">
        <v>561</v>
      </c>
      <c r="AX89" t="s">
        <v>561</v>
      </c>
      <c r="AY89" t="s">
        <v>550</v>
      </c>
      <c r="AZ89" t="s">
        <v>562</v>
      </c>
      <c r="BA89" t="s">
        <v>554</v>
      </c>
    </row>
    <row r="90" spans="1:53" x14ac:dyDescent="0.2">
      <c r="A90" s="115" t="s">
        <v>609</v>
      </c>
      <c r="B90" s="117" t="s">
        <v>613</v>
      </c>
      <c r="C90" s="105">
        <v>2025</v>
      </c>
      <c r="D90" s="106" t="s">
        <v>563</v>
      </c>
      <c r="E90" s="109" t="s">
        <v>1911</v>
      </c>
      <c r="F90" s="106" t="s">
        <v>1912</v>
      </c>
      <c r="G90" s="128">
        <v>-0.14000000000000001</v>
      </c>
      <c r="H90" s="106" t="s">
        <v>1923</v>
      </c>
      <c r="I90" s="128"/>
      <c r="J90" s="125">
        <v>45959</v>
      </c>
      <c r="K90" s="126">
        <v>45958</v>
      </c>
      <c r="L90" s="129">
        <v>223.33</v>
      </c>
      <c r="M90" s="126">
        <v>45959</v>
      </c>
      <c r="N90" s="129">
        <v>221.36</v>
      </c>
      <c r="O90" s="132">
        <v>5.2469999999999999E-3</v>
      </c>
      <c r="P90" s="107">
        <v>-8.8210000000000007E-3</v>
      </c>
      <c r="Q90" s="106" t="s">
        <v>579</v>
      </c>
      <c r="R90" s="106" t="s">
        <v>546</v>
      </c>
      <c r="S90" s="105">
        <v>-1</v>
      </c>
      <c r="T90" s="107">
        <v>7.8209999999999998E-3</v>
      </c>
      <c r="U90" s="130" t="s">
        <v>1914</v>
      </c>
      <c r="V90" t="s">
        <v>549</v>
      </c>
      <c r="W90" t="s">
        <v>624</v>
      </c>
      <c r="X90" t="s">
        <v>613</v>
      </c>
      <c r="Y90" t="s">
        <v>625</v>
      </c>
      <c r="Z90">
        <v>223.33</v>
      </c>
      <c r="AA90" t="s">
        <v>626</v>
      </c>
      <c r="AB90">
        <v>221.36</v>
      </c>
      <c r="AC90">
        <v>-8.8210315781934046E-3</v>
      </c>
      <c r="AD90" t="s">
        <v>579</v>
      </c>
      <c r="AE90" t="s">
        <v>546</v>
      </c>
      <c r="AF90">
        <v>7.8209999999999998E-3</v>
      </c>
      <c r="AG90" t="str">
        <f>IF($A90="","",IFERROR(INDEX(Company_List!$G$3:$G$207,MATCH($A90,Company_List!$A$3:$A$207,0)),"unassigned"))</f>
        <v>P2</v>
      </c>
      <c r="AH90" t="s">
        <v>627</v>
      </c>
      <c r="AI90" t="s">
        <v>628</v>
      </c>
      <c r="AJ90" t="s">
        <v>560</v>
      </c>
      <c r="AK90" t="str">
        <f>IF($A90="","",IF(COUNTIFS(Human_Data_Entry!$A$3:$A$525,$A90)&gt;0,"YES","NO"))</f>
        <v>YES</v>
      </c>
      <c r="AL90" t="str">
        <f>IF($A90="","",IF(AND($C90&amp;"-"&amp;$D90&gt;=Settings!$B$19,$C90&amp;"-"&amp;$D90&lt;=Settings!$B$20),"IN","OUT"))</f>
        <v>IN</v>
      </c>
      <c r="AM90">
        <f t="shared" si="4"/>
        <v>7.8209999999999998E-3</v>
      </c>
      <c r="AN90">
        <f t="shared" si="5"/>
        <v>7.8209999999999998E-3</v>
      </c>
      <c r="AO90">
        <f>IF(ISNUMBER($AM90),ABS(IF(ISNUMBER($G90),$G90,0)-Settings!$B$25),"")</f>
        <v>0.14000000000000001</v>
      </c>
      <c r="AP90">
        <f t="shared" si="6"/>
        <v>1.09494E-3</v>
      </c>
      <c r="AQ90">
        <f>IF(ISNUMBER($AN90),ABS(IF(ISNUMBER($G90),$G90,0)-Settings!$B$25),"")</f>
        <v>0.14000000000000001</v>
      </c>
      <c r="AR90">
        <f t="shared" si="7"/>
        <v>1.09494E-3</v>
      </c>
      <c r="AS90" t="str">
        <f>IF($A90="","",IFERROR(INDEX(Company_List!$H$3:$H$207,MATCH($A90,Company_List!$A$3:$A$207,0)),"unassigned"))</f>
        <v>Industrials</v>
      </c>
      <c r="AT90" t="s">
        <v>1915</v>
      </c>
      <c r="AU90" t="s">
        <v>1916</v>
      </c>
      <c r="AV90">
        <v>1</v>
      </c>
      <c r="AW90" t="s">
        <v>561</v>
      </c>
      <c r="AX90" t="s">
        <v>561</v>
      </c>
      <c r="AY90" t="s">
        <v>550</v>
      </c>
      <c r="AZ90" t="s">
        <v>562</v>
      </c>
      <c r="BA90" t="s">
        <v>554</v>
      </c>
    </row>
    <row r="91" spans="1:53" x14ac:dyDescent="0.2">
      <c r="A91" s="115" t="s">
        <v>609</v>
      </c>
      <c r="B91" s="117" t="s">
        <v>613</v>
      </c>
      <c r="C91" s="105">
        <v>2025</v>
      </c>
      <c r="D91" s="106" t="s">
        <v>569</v>
      </c>
      <c r="E91" s="109" t="s">
        <v>1911</v>
      </c>
      <c r="F91" s="106" t="s">
        <v>1912</v>
      </c>
      <c r="G91" s="128">
        <v>0.25</v>
      </c>
      <c r="H91" s="106" t="s">
        <v>1913</v>
      </c>
      <c r="I91" s="128"/>
      <c r="J91" s="125">
        <v>46049</v>
      </c>
      <c r="K91" s="126">
        <v>46048</v>
      </c>
      <c r="L91" s="129">
        <v>248.43</v>
      </c>
      <c r="M91" s="126">
        <v>46049</v>
      </c>
      <c r="N91" s="129">
        <v>242.5</v>
      </c>
      <c r="O91" s="132">
        <v>3.5998000000000002E-2</v>
      </c>
      <c r="P91" s="107">
        <v>-2.3869999999999999E-2</v>
      </c>
      <c r="Q91" s="106" t="s">
        <v>545</v>
      </c>
      <c r="R91" s="106" t="s">
        <v>546</v>
      </c>
      <c r="S91" s="105">
        <v>0</v>
      </c>
      <c r="T91" s="107">
        <v>0</v>
      </c>
      <c r="U91" s="130" t="s">
        <v>1914</v>
      </c>
      <c r="V91" t="s">
        <v>549</v>
      </c>
      <c r="W91" t="s">
        <v>630</v>
      </c>
      <c r="X91" t="s">
        <v>613</v>
      </c>
      <c r="Y91" t="s">
        <v>631</v>
      </c>
      <c r="Z91">
        <v>248.43</v>
      </c>
      <c r="AA91" t="s">
        <v>632</v>
      </c>
      <c r="AB91">
        <v>242.5</v>
      </c>
      <c r="AC91">
        <v>-2.386987548641116E-2</v>
      </c>
      <c r="AD91" t="s">
        <v>545</v>
      </c>
      <c r="AE91" t="s">
        <v>546</v>
      </c>
      <c r="AF91">
        <v>0</v>
      </c>
      <c r="AG91" t="str">
        <f>IF($A91="","",IFERROR(INDEX(Company_List!$G$3:$G$207,MATCH($A91,Company_List!$A$3:$A$207,0)),"unassigned"))</f>
        <v>P2</v>
      </c>
      <c r="AH91" t="s">
        <v>633</v>
      </c>
      <c r="AI91" t="s">
        <v>634</v>
      </c>
      <c r="AJ91" t="s">
        <v>560</v>
      </c>
      <c r="AK91" t="str">
        <f>IF($A91="","",IF(COUNTIFS(Human_Data_Entry!$A$3:$A$525,$A91)&gt;0,"YES","NO"))</f>
        <v>YES</v>
      </c>
      <c r="AL91" t="str">
        <f>IF($A91="","",IF(AND($C91&amp;"-"&amp;$D91&gt;=Settings!$B$19,$C91&amp;"-"&amp;$D91&lt;=Settings!$B$20),"IN","OUT"))</f>
        <v>IN</v>
      </c>
      <c r="AM91" t="str">
        <f t="shared" si="4"/>
        <v/>
      </c>
      <c r="AN91" t="str">
        <f t="shared" si="5"/>
        <v/>
      </c>
      <c r="AO91" t="str">
        <f>IF(ISNUMBER($AM91),ABS(IF(ISNUMBER($G91),$G91,0)-Settings!$B$25),"")</f>
        <v/>
      </c>
      <c r="AP91" t="str">
        <f t="shared" si="6"/>
        <v/>
      </c>
      <c r="AQ91" t="str">
        <f>IF(ISNUMBER($AN91),ABS(IF(ISNUMBER($G91),$G91,0)-Settings!$B$25),"")</f>
        <v/>
      </c>
      <c r="AR91" t="str">
        <f t="shared" si="7"/>
        <v/>
      </c>
      <c r="AS91" t="str">
        <f>IF($A91="","",IFERROR(INDEX(Company_List!$H$3:$H$207,MATCH($A91,Company_List!$A$3:$A$207,0)),"unassigned"))</f>
        <v>Industrials</v>
      </c>
      <c r="AT91" t="s">
        <v>1915</v>
      </c>
      <c r="AU91" t="s">
        <v>1916</v>
      </c>
      <c r="AV91">
        <v>1</v>
      </c>
      <c r="AW91" t="s">
        <v>561</v>
      </c>
      <c r="AX91" t="s">
        <v>561</v>
      </c>
      <c r="AY91" t="s">
        <v>550</v>
      </c>
      <c r="AZ91" t="s">
        <v>562</v>
      </c>
      <c r="BA91" t="s">
        <v>554</v>
      </c>
    </row>
    <row r="92" spans="1:53" x14ac:dyDescent="0.2">
      <c r="A92" s="115" t="s">
        <v>635</v>
      </c>
      <c r="B92" s="117" t="s">
        <v>637</v>
      </c>
      <c r="C92" s="105">
        <v>2025</v>
      </c>
      <c r="D92" s="106" t="s">
        <v>537</v>
      </c>
      <c r="E92" s="109" t="s">
        <v>1911</v>
      </c>
      <c r="F92" s="106" t="s">
        <v>1912</v>
      </c>
      <c r="G92" s="128">
        <v>0.25</v>
      </c>
      <c r="H92" s="106" t="s">
        <v>1913</v>
      </c>
      <c r="I92" s="128"/>
      <c r="J92" s="125">
        <v>45693</v>
      </c>
      <c r="K92" s="126">
        <v>45692</v>
      </c>
      <c r="L92" s="129">
        <v>113.3</v>
      </c>
      <c r="M92" s="126">
        <v>45693</v>
      </c>
      <c r="N92" s="129">
        <v>115.7</v>
      </c>
      <c r="O92" s="132">
        <v>6.2729999999999999E-3</v>
      </c>
      <c r="P92" s="107">
        <v>2.1183E-2</v>
      </c>
      <c r="Q92" s="106" t="s">
        <v>591</v>
      </c>
      <c r="R92" s="106" t="s">
        <v>546</v>
      </c>
      <c r="S92" s="105">
        <v>0</v>
      </c>
      <c r="T92" s="107">
        <v>0</v>
      </c>
      <c r="U92" s="130" t="s">
        <v>1914</v>
      </c>
      <c r="V92" t="s">
        <v>549</v>
      </c>
      <c r="W92" t="s">
        <v>636</v>
      </c>
      <c r="X92" t="s">
        <v>637</v>
      </c>
      <c r="Y92" t="s">
        <v>638</v>
      </c>
      <c r="Z92">
        <v>111.2086</v>
      </c>
      <c r="AA92" t="s">
        <v>639</v>
      </c>
      <c r="AB92">
        <v>113.5643</v>
      </c>
      <c r="AC92">
        <v>2.1182587780951119E-2</v>
      </c>
      <c r="AD92" t="s">
        <v>591</v>
      </c>
      <c r="AE92" t="s">
        <v>546</v>
      </c>
      <c r="AF92">
        <v>0</v>
      </c>
      <c r="AG92" t="str">
        <f>IF($A92="","",IFERROR(INDEX(Company_List!$G$3:$G$207,MATCH($A92,Company_List!$A$3:$A$207,0)),"unassigned"))</f>
        <v>P2</v>
      </c>
      <c r="AH92" t="s">
        <v>640</v>
      </c>
      <c r="AJ92" t="s">
        <v>548</v>
      </c>
      <c r="AK92" t="str">
        <f>IF($A92="","",IF(COUNTIFS(Human_Data_Entry!$A$3:$A$525,$A92)&gt;0,"YES","NO"))</f>
        <v>YES</v>
      </c>
      <c r="AL92" t="str">
        <f>IF($A92="","",IF(AND($C92&amp;"-"&amp;$D92&gt;=Settings!$B$19,$C92&amp;"-"&amp;$D92&lt;=Settings!$B$20),"IN","OUT"))</f>
        <v>IN</v>
      </c>
      <c r="AM92" t="str">
        <f t="shared" si="4"/>
        <v/>
      </c>
      <c r="AN92" t="str">
        <f t="shared" si="5"/>
        <v/>
      </c>
      <c r="AO92" t="str">
        <f>IF(ISNUMBER($AM92),ABS(IF(ISNUMBER($G92),$G92,0)-Settings!$B$25),"")</f>
        <v/>
      </c>
      <c r="AP92" t="str">
        <f t="shared" si="6"/>
        <v/>
      </c>
      <c r="AQ92" t="str">
        <f>IF(ISNUMBER($AN92),ABS(IF(ISNUMBER($G92),$G92,0)-Settings!$B$25),"")</f>
        <v/>
      </c>
      <c r="AR92" t="str">
        <f t="shared" si="7"/>
        <v/>
      </c>
      <c r="AS92" t="str">
        <f>IF($A92="","",IFERROR(INDEX(Company_List!$H$3:$H$207,MATCH($A92,Company_List!$A$3:$A$207,0)),"unassigned"))</f>
        <v>Communication Services</v>
      </c>
      <c r="AT92" t="s">
        <v>1915</v>
      </c>
      <c r="AU92" t="s">
        <v>1916</v>
      </c>
      <c r="AV92">
        <v>1</v>
      </c>
      <c r="AW92" t="s">
        <v>595</v>
      </c>
      <c r="AX92" t="s">
        <v>596</v>
      </c>
      <c r="AY92" t="s">
        <v>550</v>
      </c>
      <c r="AZ92" t="s">
        <v>550</v>
      </c>
      <c r="BA92" t="s">
        <v>554</v>
      </c>
    </row>
    <row r="93" spans="1:53" x14ac:dyDescent="0.2">
      <c r="A93" s="115" t="s">
        <v>635</v>
      </c>
      <c r="B93" s="117" t="s">
        <v>637</v>
      </c>
      <c r="C93" s="105">
        <v>2025</v>
      </c>
      <c r="D93" s="106" t="s">
        <v>563</v>
      </c>
      <c r="E93" s="109" t="s">
        <v>1911</v>
      </c>
      <c r="F93" s="106" t="s">
        <v>1912</v>
      </c>
      <c r="G93" s="128">
        <v>0.23749999999999999</v>
      </c>
      <c r="H93" s="106" t="s">
        <v>1913</v>
      </c>
      <c r="I93" s="128"/>
      <c r="J93" s="125">
        <v>45875</v>
      </c>
      <c r="K93" s="126">
        <v>45874</v>
      </c>
      <c r="L93" s="129">
        <v>118.32</v>
      </c>
      <c r="M93" s="126">
        <v>45875</v>
      </c>
      <c r="N93" s="129">
        <v>115.78</v>
      </c>
      <c r="O93" s="132">
        <v>6.136E-3</v>
      </c>
      <c r="P93" s="107">
        <v>-2.1467E-2</v>
      </c>
      <c r="Q93" s="106" t="s">
        <v>545</v>
      </c>
      <c r="R93" s="106" t="s">
        <v>546</v>
      </c>
      <c r="S93" s="105">
        <v>0</v>
      </c>
      <c r="T93" s="107">
        <v>0</v>
      </c>
      <c r="U93" s="130" t="s">
        <v>1914</v>
      </c>
      <c r="V93" t="s">
        <v>549</v>
      </c>
      <c r="W93" t="s">
        <v>541</v>
      </c>
      <c r="X93" t="s">
        <v>637</v>
      </c>
      <c r="Y93" t="s">
        <v>641</v>
      </c>
      <c r="Z93">
        <v>116.63120000000001</v>
      </c>
      <c r="AA93" t="s">
        <v>642</v>
      </c>
      <c r="AB93">
        <v>114.12739999999999</v>
      </c>
      <c r="AC93">
        <v>-2.1467297103971241E-2</v>
      </c>
      <c r="AD93" t="s">
        <v>545</v>
      </c>
      <c r="AE93" t="s">
        <v>546</v>
      </c>
      <c r="AF93">
        <v>0</v>
      </c>
      <c r="AG93" t="str">
        <f>IF($A93="","",IFERROR(INDEX(Company_List!$G$3:$G$207,MATCH($A93,Company_List!$A$3:$A$207,0)),"unassigned"))</f>
        <v>P2</v>
      </c>
      <c r="AH93" t="s">
        <v>643</v>
      </c>
      <c r="AJ93" t="s">
        <v>548</v>
      </c>
      <c r="AK93" t="str">
        <f>IF($A93="","",IF(COUNTIFS(Human_Data_Entry!$A$3:$A$525,$A93)&gt;0,"YES","NO"))</f>
        <v>YES</v>
      </c>
      <c r="AL93" t="str">
        <f>IF($A93="","",IF(AND($C93&amp;"-"&amp;$D93&gt;=Settings!$B$19,$C93&amp;"-"&amp;$D93&lt;=Settings!$B$20),"IN","OUT"))</f>
        <v>IN</v>
      </c>
      <c r="AM93" t="str">
        <f t="shared" si="4"/>
        <v/>
      </c>
      <c r="AN93" t="str">
        <f t="shared" si="5"/>
        <v/>
      </c>
      <c r="AO93" t="str">
        <f>IF(ISNUMBER($AM93),ABS(IF(ISNUMBER($G93),$G93,0)-Settings!$B$25),"")</f>
        <v/>
      </c>
      <c r="AP93" t="str">
        <f t="shared" si="6"/>
        <v/>
      </c>
      <c r="AQ93" t="str">
        <f>IF(ISNUMBER($AN93),ABS(IF(ISNUMBER($G93),$G93,0)-Settings!$B$25),"")</f>
        <v/>
      </c>
      <c r="AR93" t="str">
        <f t="shared" si="7"/>
        <v/>
      </c>
      <c r="AS93" t="str">
        <f>IF($A93="","",IFERROR(INDEX(Company_List!$H$3:$H$207,MATCH($A93,Company_List!$A$3:$A$207,0)),"unassigned"))</f>
        <v>Communication Services</v>
      </c>
      <c r="AT93" t="s">
        <v>1915</v>
      </c>
      <c r="AU93" t="s">
        <v>1916</v>
      </c>
      <c r="AV93">
        <v>1</v>
      </c>
      <c r="AW93" t="s">
        <v>561</v>
      </c>
      <c r="AX93" t="s">
        <v>561</v>
      </c>
      <c r="AY93" t="s">
        <v>550</v>
      </c>
      <c r="AZ93" t="s">
        <v>550</v>
      </c>
      <c r="BA93" t="s">
        <v>554</v>
      </c>
    </row>
    <row r="94" spans="1:53" x14ac:dyDescent="0.2">
      <c r="A94" s="115" t="s">
        <v>635</v>
      </c>
      <c r="B94" s="117" t="s">
        <v>637</v>
      </c>
      <c r="C94" s="105">
        <v>2025</v>
      </c>
      <c r="D94" s="106" t="s">
        <v>569</v>
      </c>
      <c r="E94" s="109" t="s">
        <v>1911</v>
      </c>
      <c r="F94" s="106" t="s">
        <v>1912</v>
      </c>
      <c r="G94" s="128">
        <v>0.3</v>
      </c>
      <c r="H94" s="106" t="s">
        <v>1919</v>
      </c>
      <c r="I94" s="128"/>
      <c r="J94" s="125">
        <v>45974</v>
      </c>
      <c r="K94" s="126">
        <v>45973</v>
      </c>
      <c r="L94" s="129">
        <v>116.65</v>
      </c>
      <c r="M94" s="126">
        <v>45974</v>
      </c>
      <c r="N94" s="129">
        <v>108.89</v>
      </c>
      <c r="O94" s="132">
        <v>6.489E-3</v>
      </c>
      <c r="P94" s="107">
        <v>-6.6524E-2</v>
      </c>
      <c r="Q94" s="106" t="s">
        <v>545</v>
      </c>
      <c r="R94" s="106" t="s">
        <v>546</v>
      </c>
      <c r="S94" s="105">
        <v>1</v>
      </c>
      <c r="T94" s="107">
        <v>-6.7524000000000001E-2</v>
      </c>
      <c r="U94" s="130" t="s">
        <v>1914</v>
      </c>
      <c r="V94" t="s">
        <v>549</v>
      </c>
      <c r="W94" t="s">
        <v>541</v>
      </c>
      <c r="X94" t="s">
        <v>637</v>
      </c>
      <c r="Y94" t="s">
        <v>644</v>
      </c>
      <c r="Z94">
        <v>114.985</v>
      </c>
      <c r="AA94" t="s">
        <v>645</v>
      </c>
      <c r="AB94">
        <v>107.33580000000001</v>
      </c>
      <c r="AC94">
        <v>-6.6523850976772464E-2</v>
      </c>
      <c r="AD94" t="s">
        <v>545</v>
      </c>
      <c r="AE94" t="s">
        <v>546</v>
      </c>
      <c r="AF94">
        <v>-6.7524000000000001E-2</v>
      </c>
      <c r="AG94" t="str">
        <f>IF($A94="","",IFERROR(INDEX(Company_List!$G$3:$G$207,MATCH($A94,Company_List!$A$3:$A$207,0)),"unassigned"))</f>
        <v>P2</v>
      </c>
      <c r="AH94" t="s">
        <v>646</v>
      </c>
      <c r="AJ94" t="s">
        <v>548</v>
      </c>
      <c r="AK94" t="str">
        <f>IF($A94="","",IF(COUNTIFS(Human_Data_Entry!$A$3:$A$525,$A94)&gt;0,"YES","NO"))</f>
        <v>YES</v>
      </c>
      <c r="AL94" t="str">
        <f>IF($A94="","",IF(AND($C94&amp;"-"&amp;$D94&gt;=Settings!$B$19,$C94&amp;"-"&amp;$D94&lt;=Settings!$B$20),"IN","OUT"))</f>
        <v>IN</v>
      </c>
      <c r="AM94">
        <f t="shared" si="4"/>
        <v>-6.7524000000000001E-2</v>
      </c>
      <c r="AN94">
        <f t="shared" si="5"/>
        <v>-6.7524000000000001E-2</v>
      </c>
      <c r="AO94">
        <f>IF(ISNUMBER($AM94),ABS(IF(ISNUMBER($G94),$G94,0)-Settings!$B$25),"")</f>
        <v>0.3</v>
      </c>
      <c r="AP94">
        <f t="shared" si="6"/>
        <v>-2.02572E-2</v>
      </c>
      <c r="AQ94">
        <f>IF(ISNUMBER($AN94),ABS(IF(ISNUMBER($G94),$G94,0)-Settings!$B$25),"")</f>
        <v>0.3</v>
      </c>
      <c r="AR94">
        <f t="shared" si="7"/>
        <v>-2.02572E-2</v>
      </c>
      <c r="AS94" t="str">
        <f>IF($A94="","",IFERROR(INDEX(Company_List!$H$3:$H$207,MATCH($A94,Company_List!$A$3:$A$207,0)),"unassigned"))</f>
        <v>Communication Services</v>
      </c>
      <c r="AT94" t="s">
        <v>1915</v>
      </c>
      <c r="AU94" t="s">
        <v>1916</v>
      </c>
      <c r="AV94">
        <v>1</v>
      </c>
      <c r="AW94" t="s">
        <v>561</v>
      </c>
      <c r="AX94" t="s">
        <v>561</v>
      </c>
      <c r="AY94" t="s">
        <v>550</v>
      </c>
      <c r="AZ94" t="s">
        <v>550</v>
      </c>
      <c r="BA94" t="s">
        <v>554</v>
      </c>
    </row>
    <row r="95" spans="1:53" x14ac:dyDescent="0.2">
      <c r="A95" s="115" t="s">
        <v>747</v>
      </c>
      <c r="B95" s="117" t="s">
        <v>749</v>
      </c>
      <c r="C95" s="105">
        <v>2025</v>
      </c>
      <c r="D95" s="106" t="s">
        <v>537</v>
      </c>
      <c r="E95" s="109" t="s">
        <v>1911</v>
      </c>
      <c r="F95" s="106" t="s">
        <v>1912</v>
      </c>
      <c r="G95" s="128">
        <v>-0.41</v>
      </c>
      <c r="H95" s="106" t="s">
        <v>1923</v>
      </c>
      <c r="I95" s="128"/>
      <c r="J95" s="125">
        <v>45758</v>
      </c>
      <c r="K95" s="126">
        <v>45757</v>
      </c>
      <c r="L95" s="129">
        <v>227.11</v>
      </c>
      <c r="M95" s="126">
        <v>45758</v>
      </c>
      <c r="N95" s="129">
        <v>226.31</v>
      </c>
      <c r="O95" s="132"/>
      <c r="P95" s="107">
        <v>-3.5230000000000001E-3</v>
      </c>
      <c r="Q95" s="106" t="s">
        <v>579</v>
      </c>
      <c r="R95" s="106" t="s">
        <v>546</v>
      </c>
      <c r="S95" s="105">
        <v>-1</v>
      </c>
      <c r="T95" s="107">
        <v>2.5230000000000001E-3</v>
      </c>
      <c r="U95" s="130" t="s">
        <v>1951</v>
      </c>
      <c r="V95" t="s">
        <v>549</v>
      </c>
      <c r="W95" t="s">
        <v>748</v>
      </c>
      <c r="X95" t="s">
        <v>749</v>
      </c>
      <c r="Y95" t="s">
        <v>750</v>
      </c>
      <c r="Z95">
        <v>238.07490000000001</v>
      </c>
      <c r="AA95" t="s">
        <v>751</v>
      </c>
      <c r="AB95">
        <v>235.47380000000001</v>
      </c>
      <c r="AC95">
        <v>-1.0925475720880521E-2</v>
      </c>
      <c r="AD95" t="s">
        <v>579</v>
      </c>
      <c r="AE95" t="s">
        <v>546</v>
      </c>
      <c r="AF95">
        <v>9.9249999999999998E-3</v>
      </c>
      <c r="AG95" t="str">
        <f>IF($A95="","",IFERROR(INDEX(Company_List!$G$3:$G$207,MATCH($A95,Company_List!$A$3:$A$207,0)),"unassigned"))</f>
        <v>P2</v>
      </c>
      <c r="AH95" t="s">
        <v>752</v>
      </c>
      <c r="AI95" t="s">
        <v>753</v>
      </c>
      <c r="AJ95" t="s">
        <v>754</v>
      </c>
      <c r="AK95" t="str">
        <f>IF($A95="","",IF(COUNTIFS(Human_Data_Entry!$A$3:$A$525,$A95)&gt;0,"YES","NO"))</f>
        <v>YES</v>
      </c>
      <c r="AL95" t="str">
        <f>IF($A95="","",IF(AND($C95&amp;"-"&amp;$D95&gt;=Settings!$B$19,$C95&amp;"-"&amp;$D95&lt;=Settings!$B$20),"IN","OUT"))</f>
        <v>IN</v>
      </c>
      <c r="AM95">
        <f t="shared" si="4"/>
        <v>2.5230000000000001E-3</v>
      </c>
      <c r="AN95">
        <f t="shared" si="5"/>
        <v>9.9249999999999998E-3</v>
      </c>
      <c r="AO95">
        <f>IF(ISNUMBER($AM95),ABS(IF(ISNUMBER($G95),$G95,0)-Settings!$B$25),"")</f>
        <v>0.41</v>
      </c>
      <c r="AP95">
        <f t="shared" si="6"/>
        <v>1.03443E-3</v>
      </c>
      <c r="AQ95">
        <f>IF(ISNUMBER($AN95),ABS(IF(ISNUMBER($G95),$G95,0)-Settings!$B$25),"")</f>
        <v>0.41</v>
      </c>
      <c r="AR95">
        <f t="shared" si="7"/>
        <v>4.06925E-3</v>
      </c>
      <c r="AS95" t="str">
        <f>IF($A95="","",IFERROR(INDEX(Company_List!$H$3:$H$207,MATCH($A95,Company_List!$A$3:$A$207,0)),"unassigned"))</f>
        <v>Financials</v>
      </c>
      <c r="AT95" t="s">
        <v>1915</v>
      </c>
      <c r="AU95" t="s">
        <v>1916</v>
      </c>
      <c r="AV95">
        <v>2</v>
      </c>
      <c r="AW95" t="s">
        <v>561</v>
      </c>
      <c r="AX95" t="s">
        <v>561</v>
      </c>
      <c r="AY95" t="s">
        <v>550</v>
      </c>
      <c r="AZ95" t="s">
        <v>562</v>
      </c>
      <c r="BA95" t="s">
        <v>554</v>
      </c>
    </row>
    <row r="96" spans="1:53" x14ac:dyDescent="0.2">
      <c r="A96" s="115" t="s">
        <v>747</v>
      </c>
      <c r="B96" s="117" t="s">
        <v>749</v>
      </c>
      <c r="C96" s="105">
        <v>2026</v>
      </c>
      <c r="D96" s="106" t="s">
        <v>537</v>
      </c>
      <c r="E96" s="109" t="s">
        <v>1911</v>
      </c>
      <c r="F96" s="106" t="s">
        <v>1912</v>
      </c>
      <c r="G96" s="128">
        <v>-0.08</v>
      </c>
      <c r="H96" s="106" t="s">
        <v>1923</v>
      </c>
      <c r="I96" s="128"/>
      <c r="J96" s="125">
        <v>46126</v>
      </c>
      <c r="K96" s="126">
        <v>46125</v>
      </c>
      <c r="L96" s="129">
        <v>313.68</v>
      </c>
      <c r="M96" s="126">
        <v>46126</v>
      </c>
      <c r="N96" s="129">
        <v>309.82</v>
      </c>
      <c r="O96" s="132">
        <v>8.3129999999999992E-3</v>
      </c>
      <c r="P96" s="107">
        <v>-1.2305E-2</v>
      </c>
      <c r="Q96" s="106" t="s">
        <v>579</v>
      </c>
      <c r="R96" s="106" t="s">
        <v>546</v>
      </c>
      <c r="S96" s="105">
        <v>-1</v>
      </c>
      <c r="T96" s="107">
        <v>1.1305000000000001E-2</v>
      </c>
      <c r="U96" s="130" t="s">
        <v>1914</v>
      </c>
      <c r="V96" t="s">
        <v>549</v>
      </c>
      <c r="W96" t="s">
        <v>624</v>
      </c>
      <c r="X96" t="s">
        <v>749</v>
      </c>
      <c r="Y96" t="s">
        <v>766</v>
      </c>
      <c r="Z96">
        <v>312.27319999999997</v>
      </c>
      <c r="AA96" t="s">
        <v>767</v>
      </c>
      <c r="AB96">
        <v>308.43049999999999</v>
      </c>
      <c r="AC96">
        <v>-1.230550873185565E-2</v>
      </c>
      <c r="AD96" t="s">
        <v>579</v>
      </c>
      <c r="AE96" t="s">
        <v>546</v>
      </c>
      <c r="AF96">
        <v>1.1306E-2</v>
      </c>
      <c r="AG96" t="str">
        <f>IF($A96="","",IFERROR(INDEX(Company_List!$G$3:$G$207,MATCH($A96,Company_List!$A$3:$A$207,0)),"unassigned"))</f>
        <v>P2</v>
      </c>
      <c r="AH96" t="s">
        <v>1952</v>
      </c>
      <c r="AI96" t="s">
        <v>1953</v>
      </c>
      <c r="AJ96" t="s">
        <v>754</v>
      </c>
      <c r="AK96" t="str">
        <f>IF($A96="","",IF(COUNTIFS(Human_Data_Entry!$A$3:$A$525,$A96)&gt;0,"YES","NO"))</f>
        <v>YES</v>
      </c>
      <c r="AL96" t="str">
        <f>IF($A96="","",IF(AND($C96&amp;"-"&amp;$D96&gt;=Settings!$B$19,$C96&amp;"-"&amp;$D96&lt;=Settings!$B$20),"IN","OUT"))</f>
        <v>IN</v>
      </c>
      <c r="AM96">
        <f t="shared" si="4"/>
        <v>1.1305000000000001E-2</v>
      </c>
      <c r="AN96">
        <f t="shared" si="5"/>
        <v>1.1306E-2</v>
      </c>
      <c r="AO96">
        <f>IF(ISNUMBER($AM96),ABS(IF(ISNUMBER($G96),$G96,0)-Settings!$B$25),"")</f>
        <v>0.08</v>
      </c>
      <c r="AP96">
        <f t="shared" si="6"/>
        <v>9.0440000000000008E-4</v>
      </c>
      <c r="AQ96">
        <f>IF(ISNUMBER($AN96),ABS(IF(ISNUMBER($G96),$G96,0)-Settings!$B$25),"")</f>
        <v>0.08</v>
      </c>
      <c r="AR96">
        <f t="shared" si="7"/>
        <v>9.0448000000000004E-4</v>
      </c>
      <c r="AS96" t="str">
        <f>IF($A96="","",IFERROR(INDEX(Company_List!$H$3:$H$207,MATCH($A96,Company_List!$A$3:$A$207,0)),"unassigned"))</f>
        <v>Financials</v>
      </c>
      <c r="AT96" t="s">
        <v>1924</v>
      </c>
      <c r="AU96" t="s">
        <v>1925</v>
      </c>
      <c r="AV96">
        <v>2</v>
      </c>
      <c r="AW96" t="s">
        <v>561</v>
      </c>
      <c r="AX96" t="s">
        <v>561</v>
      </c>
      <c r="AY96" t="s">
        <v>550</v>
      </c>
      <c r="AZ96" t="s">
        <v>562</v>
      </c>
      <c r="BA96" t="s">
        <v>554</v>
      </c>
    </row>
    <row r="97" spans="1:54" x14ac:dyDescent="0.2">
      <c r="A97" s="115" t="s">
        <v>747</v>
      </c>
      <c r="B97" s="117" t="s">
        <v>749</v>
      </c>
      <c r="C97" s="105">
        <v>2025</v>
      </c>
      <c r="D97" s="106" t="s">
        <v>555</v>
      </c>
      <c r="E97" s="109" t="s">
        <v>1911</v>
      </c>
      <c r="F97" s="106" t="s">
        <v>1912</v>
      </c>
      <c r="G97" s="128">
        <v>0.21</v>
      </c>
      <c r="H97" s="106" t="s">
        <v>1913</v>
      </c>
      <c r="I97" s="128"/>
      <c r="J97" s="125">
        <v>45853</v>
      </c>
      <c r="K97" s="126">
        <v>45852</v>
      </c>
      <c r="L97" s="129">
        <v>288.7</v>
      </c>
      <c r="M97" s="126">
        <v>45853</v>
      </c>
      <c r="N97" s="129">
        <v>288</v>
      </c>
      <c r="O97" s="132"/>
      <c r="P97" s="107">
        <v>-2.4250000000000001E-3</v>
      </c>
      <c r="Q97" s="106" t="s">
        <v>579</v>
      </c>
      <c r="R97" s="106" t="s">
        <v>554</v>
      </c>
      <c r="S97" s="105">
        <v>0</v>
      </c>
      <c r="T97" s="107">
        <v>0</v>
      </c>
      <c r="U97" s="130" t="s">
        <v>1951</v>
      </c>
      <c r="V97" t="s">
        <v>549</v>
      </c>
      <c r="W97" t="s">
        <v>624</v>
      </c>
      <c r="X97" t="s">
        <v>749</v>
      </c>
      <c r="Y97" t="s">
        <v>718</v>
      </c>
      <c r="Z97">
        <v>283.28070000000002</v>
      </c>
      <c r="AA97" t="s">
        <v>719</v>
      </c>
      <c r="AB97">
        <v>282.59379999999999</v>
      </c>
      <c r="AC97">
        <v>-2.424757842669704E-3</v>
      </c>
      <c r="AD97" t="s">
        <v>579</v>
      </c>
      <c r="AE97" t="s">
        <v>554</v>
      </c>
      <c r="AF97">
        <v>0</v>
      </c>
      <c r="AG97" t="str">
        <f>IF($A97="","",IFERROR(INDEX(Company_List!$G$3:$G$207,MATCH($A97,Company_List!$A$3:$A$207,0)),"unassigned"))</f>
        <v>P2</v>
      </c>
      <c r="AH97" t="s">
        <v>755</v>
      </c>
      <c r="AJ97" t="s">
        <v>548</v>
      </c>
      <c r="AK97" t="str">
        <f>IF($A97="","",IF(COUNTIFS(Human_Data_Entry!$A$3:$A$525,$A97)&gt;0,"YES","NO"))</f>
        <v>YES</v>
      </c>
      <c r="AL97" t="str">
        <f>IF($A97="","",IF(AND($C97&amp;"-"&amp;$D97&gt;=Settings!$B$19,$C97&amp;"-"&amp;$D97&lt;=Settings!$B$20),"IN","OUT"))</f>
        <v>IN</v>
      </c>
      <c r="AM97" t="str">
        <f t="shared" si="4"/>
        <v/>
      </c>
      <c r="AN97" t="str">
        <f t="shared" si="5"/>
        <v/>
      </c>
      <c r="AO97" t="str">
        <f>IF(ISNUMBER($AM97),ABS(IF(ISNUMBER($G97),$G97,0)-Settings!$B$25),"")</f>
        <v/>
      </c>
      <c r="AP97" t="str">
        <f t="shared" si="6"/>
        <v/>
      </c>
      <c r="AQ97" t="str">
        <f>IF(ISNUMBER($AN97),ABS(IF(ISNUMBER($G97),$G97,0)-Settings!$B$25),"")</f>
        <v/>
      </c>
      <c r="AR97" t="str">
        <f t="shared" si="7"/>
        <v/>
      </c>
      <c r="AS97" t="str">
        <f>IF($A97="","",IFERROR(INDEX(Company_List!$H$3:$H$207,MATCH($A97,Company_List!$A$3:$A$207,0)),"unassigned"))</f>
        <v>Financials</v>
      </c>
      <c r="AT97" t="s">
        <v>1915</v>
      </c>
      <c r="AU97" t="s">
        <v>1916</v>
      </c>
      <c r="AV97">
        <v>1</v>
      </c>
      <c r="AW97" t="s">
        <v>561</v>
      </c>
      <c r="AX97" t="s">
        <v>561</v>
      </c>
      <c r="AY97" t="s">
        <v>756</v>
      </c>
      <c r="AZ97" t="s">
        <v>550</v>
      </c>
      <c r="BA97" t="s">
        <v>554</v>
      </c>
    </row>
    <row r="98" spans="1:54" x14ac:dyDescent="0.2">
      <c r="A98" s="115" t="s">
        <v>747</v>
      </c>
      <c r="B98" s="117" t="s">
        <v>749</v>
      </c>
      <c r="C98" s="105">
        <v>2025</v>
      </c>
      <c r="D98" s="106" t="s">
        <v>563</v>
      </c>
      <c r="E98" s="109" t="s">
        <v>1911</v>
      </c>
      <c r="F98" s="106" t="s">
        <v>1912</v>
      </c>
      <c r="G98" s="128">
        <v>0.2175</v>
      </c>
      <c r="H98" s="106" t="s">
        <v>1913</v>
      </c>
      <c r="I98" s="128"/>
      <c r="J98" s="125">
        <v>45944</v>
      </c>
      <c r="K98" s="126">
        <v>45943</v>
      </c>
      <c r="L98" s="129">
        <v>307.97000000000003</v>
      </c>
      <c r="M98" s="126">
        <v>45944</v>
      </c>
      <c r="N98" s="129">
        <v>305.83999999999997</v>
      </c>
      <c r="O98" s="132"/>
      <c r="P98" s="107">
        <v>-6.9160000000000003E-3</v>
      </c>
      <c r="Q98" s="106" t="s">
        <v>579</v>
      </c>
      <c r="R98" s="106" t="s">
        <v>554</v>
      </c>
      <c r="S98" s="105">
        <v>0</v>
      </c>
      <c r="T98" s="107">
        <v>0</v>
      </c>
      <c r="U98" s="130" t="s">
        <v>1951</v>
      </c>
      <c r="V98" t="s">
        <v>549</v>
      </c>
      <c r="W98" t="s">
        <v>624</v>
      </c>
      <c r="X98" t="s">
        <v>749</v>
      </c>
      <c r="Y98" t="s">
        <v>757</v>
      </c>
      <c r="Z98">
        <v>303.65809999999999</v>
      </c>
      <c r="AA98" t="s">
        <v>722</v>
      </c>
      <c r="AB98">
        <v>301.55790000000002</v>
      </c>
      <c r="AC98">
        <v>-6.9162051796260691E-3</v>
      </c>
      <c r="AD98" t="s">
        <v>579</v>
      </c>
      <c r="AE98" t="s">
        <v>554</v>
      </c>
      <c r="AF98">
        <v>0</v>
      </c>
      <c r="AG98" t="str">
        <f>IF($A98="","",IFERROR(INDEX(Company_List!$G$3:$G$207,MATCH($A98,Company_List!$A$3:$A$207,0)),"unassigned"))</f>
        <v>P2</v>
      </c>
      <c r="AH98" t="s">
        <v>758</v>
      </c>
      <c r="AI98" t="s">
        <v>759</v>
      </c>
      <c r="AJ98" t="s">
        <v>754</v>
      </c>
      <c r="AK98" t="str">
        <f>IF($A98="","",IF(COUNTIFS(Human_Data_Entry!$A$3:$A$525,$A98)&gt;0,"YES","NO"))</f>
        <v>YES</v>
      </c>
      <c r="AL98" t="str">
        <f>IF($A98="","",IF(AND($C98&amp;"-"&amp;$D98&gt;=Settings!$B$19,$C98&amp;"-"&amp;$D98&lt;=Settings!$B$20),"IN","OUT"))</f>
        <v>IN</v>
      </c>
      <c r="AM98" t="str">
        <f t="shared" si="4"/>
        <v/>
      </c>
      <c r="AN98" t="str">
        <f t="shared" si="5"/>
        <v/>
      </c>
      <c r="AO98" t="str">
        <f>IF(ISNUMBER($AM98),ABS(IF(ISNUMBER($G98),$G98,0)-Settings!$B$25),"")</f>
        <v/>
      </c>
      <c r="AP98" t="str">
        <f t="shared" si="6"/>
        <v/>
      </c>
      <c r="AQ98" t="str">
        <f>IF(ISNUMBER($AN98),ABS(IF(ISNUMBER($G98),$G98,0)-Settings!$B$25),"")</f>
        <v/>
      </c>
      <c r="AR98" t="str">
        <f t="shared" si="7"/>
        <v/>
      </c>
      <c r="AS98" t="str">
        <f>IF($A98="","",IFERROR(INDEX(Company_List!$H$3:$H$207,MATCH($A98,Company_List!$A$3:$A$207,0)),"unassigned"))</f>
        <v>Financials</v>
      </c>
      <c r="AT98" t="s">
        <v>1915</v>
      </c>
      <c r="AU98" t="s">
        <v>1916</v>
      </c>
      <c r="AV98">
        <v>2</v>
      </c>
      <c r="AW98" t="s">
        <v>561</v>
      </c>
      <c r="AX98" t="s">
        <v>561</v>
      </c>
      <c r="AY98" t="s">
        <v>550</v>
      </c>
      <c r="AZ98" t="s">
        <v>562</v>
      </c>
      <c r="BA98" t="s">
        <v>554</v>
      </c>
    </row>
    <row r="99" spans="1:54" x14ac:dyDescent="0.2">
      <c r="A99" s="115" t="s">
        <v>747</v>
      </c>
      <c r="B99" s="117" t="s">
        <v>749</v>
      </c>
      <c r="C99" s="105">
        <v>2025</v>
      </c>
      <c r="D99" s="106" t="s">
        <v>569</v>
      </c>
      <c r="E99" s="109" t="s">
        <v>1911</v>
      </c>
      <c r="F99" s="106" t="s">
        <v>1912</v>
      </c>
      <c r="G99" s="128">
        <v>0.2225</v>
      </c>
      <c r="H99" s="106" t="s">
        <v>1913</v>
      </c>
      <c r="I99" s="128"/>
      <c r="J99" s="125">
        <v>46035</v>
      </c>
      <c r="K99" s="126">
        <v>46034</v>
      </c>
      <c r="L99" s="129">
        <v>324.49</v>
      </c>
      <c r="M99" s="126">
        <v>46035</v>
      </c>
      <c r="N99" s="129">
        <v>324.3</v>
      </c>
      <c r="O99" s="132"/>
      <c r="P99" s="107">
        <v>-5.8600000000000004E-4</v>
      </c>
      <c r="Q99" s="106" t="s">
        <v>579</v>
      </c>
      <c r="R99" s="106" t="s">
        <v>554</v>
      </c>
      <c r="S99" s="105">
        <v>0</v>
      </c>
      <c r="T99" s="107">
        <v>0</v>
      </c>
      <c r="U99" s="130" t="s">
        <v>1951</v>
      </c>
      <c r="V99" t="s">
        <v>549</v>
      </c>
      <c r="W99" t="s">
        <v>624</v>
      </c>
      <c r="X99" t="s">
        <v>749</v>
      </c>
      <c r="Y99" t="s">
        <v>760</v>
      </c>
      <c r="Z99">
        <v>321.39</v>
      </c>
      <c r="AA99" t="s">
        <v>726</v>
      </c>
      <c r="AB99">
        <v>321.20179999999999</v>
      </c>
      <c r="AC99">
        <v>-5.8557170775175261E-4</v>
      </c>
      <c r="AD99" t="s">
        <v>579</v>
      </c>
      <c r="AE99" t="s">
        <v>554</v>
      </c>
      <c r="AF99">
        <v>0</v>
      </c>
      <c r="AG99" t="str">
        <f>IF($A99="","",IFERROR(INDEX(Company_List!$G$3:$G$207,MATCH($A99,Company_List!$A$3:$A$207,0)),"unassigned"))</f>
        <v>P2</v>
      </c>
      <c r="AH99" t="s">
        <v>761</v>
      </c>
      <c r="AJ99" t="s">
        <v>548</v>
      </c>
      <c r="AK99" t="str">
        <f>IF($A99="","",IF(COUNTIFS(Human_Data_Entry!$A$3:$A$525,$A99)&gt;0,"YES","NO"))</f>
        <v>YES</v>
      </c>
      <c r="AL99" t="str">
        <f>IF($A99="","",IF(AND($C99&amp;"-"&amp;$D99&gt;=Settings!$B$19,$C99&amp;"-"&amp;$D99&lt;=Settings!$B$20),"IN","OUT"))</f>
        <v>IN</v>
      </c>
      <c r="AM99" t="str">
        <f t="shared" si="4"/>
        <v/>
      </c>
      <c r="AN99" t="str">
        <f t="shared" si="5"/>
        <v/>
      </c>
      <c r="AO99" t="str">
        <f>IF(ISNUMBER($AM99),ABS(IF(ISNUMBER($G99),$G99,0)-Settings!$B$25),"")</f>
        <v/>
      </c>
      <c r="AP99" t="str">
        <f t="shared" si="6"/>
        <v/>
      </c>
      <c r="AQ99" t="str">
        <f>IF(ISNUMBER($AN99),ABS(IF(ISNUMBER($G99),$G99,0)-Settings!$B$25),"")</f>
        <v/>
      </c>
      <c r="AR99" t="str">
        <f t="shared" si="7"/>
        <v/>
      </c>
      <c r="AS99" t="str">
        <f>IF($A99="","",IFERROR(INDEX(Company_List!$H$3:$H$207,MATCH($A99,Company_List!$A$3:$A$207,0)),"unassigned"))</f>
        <v>Financials</v>
      </c>
      <c r="AT99" t="s">
        <v>1915</v>
      </c>
      <c r="AU99" t="s">
        <v>1916</v>
      </c>
      <c r="AV99">
        <v>1</v>
      </c>
      <c r="AW99" t="s">
        <v>561</v>
      </c>
      <c r="AX99" t="s">
        <v>561</v>
      </c>
      <c r="AY99" t="s">
        <v>756</v>
      </c>
      <c r="AZ99" t="s">
        <v>550</v>
      </c>
      <c r="BA99" t="s">
        <v>554</v>
      </c>
    </row>
    <row r="100" spans="1:54" x14ac:dyDescent="0.2">
      <c r="A100" s="115" t="s">
        <v>536</v>
      </c>
      <c r="B100" s="117" t="s">
        <v>542</v>
      </c>
      <c r="C100" s="105">
        <v>2025</v>
      </c>
      <c r="D100" s="106" t="s">
        <v>537</v>
      </c>
      <c r="E100" s="109" t="s">
        <v>1911</v>
      </c>
      <c r="F100" s="106" t="s">
        <v>1912</v>
      </c>
      <c r="G100" s="128">
        <v>-5.2499999999999998E-2</v>
      </c>
      <c r="H100" s="106" t="s">
        <v>1923</v>
      </c>
      <c r="I100" s="128"/>
      <c r="J100" s="125">
        <v>45764</v>
      </c>
      <c r="K100" s="126">
        <v>45764</v>
      </c>
      <c r="L100" s="129">
        <v>97.302999999999997</v>
      </c>
      <c r="M100" s="126">
        <v>45765</v>
      </c>
      <c r="N100" s="129">
        <v>98.44</v>
      </c>
      <c r="O100" s="132">
        <v>8.116E-3</v>
      </c>
      <c r="P100" s="107">
        <v>1.1684999999999999E-2</v>
      </c>
      <c r="Q100" s="106" t="s">
        <v>579</v>
      </c>
      <c r="R100" s="106" t="s">
        <v>546</v>
      </c>
      <c r="S100" s="105">
        <v>-1</v>
      </c>
      <c r="T100" s="107">
        <v>-1.2685E-2</v>
      </c>
      <c r="U100" s="130" t="s">
        <v>1914</v>
      </c>
      <c r="V100" t="s">
        <v>549</v>
      </c>
      <c r="W100" t="s">
        <v>564</v>
      </c>
      <c r="X100" t="s">
        <v>542</v>
      </c>
      <c r="Y100" t="s">
        <v>577</v>
      </c>
      <c r="Z100">
        <v>97.302999999999997</v>
      </c>
      <c r="AA100" t="s">
        <v>578</v>
      </c>
      <c r="AB100">
        <v>98.44</v>
      </c>
      <c r="AC100">
        <v>1.168515861088423E-2</v>
      </c>
      <c r="AD100" t="s">
        <v>579</v>
      </c>
      <c r="AE100" t="s">
        <v>546</v>
      </c>
      <c r="AF100">
        <v>-1.2685E-2</v>
      </c>
      <c r="AG100" t="str">
        <f>IF($A100="","",IFERROR(INDEX(Company_List!$G$3:$G$207,MATCH($A100,Company_List!$A$3:$A$207,0)),"unassigned"))</f>
        <v>P2</v>
      </c>
      <c r="AH100" t="s">
        <v>580</v>
      </c>
      <c r="AI100" t="s">
        <v>581</v>
      </c>
      <c r="AJ100" t="s">
        <v>560</v>
      </c>
      <c r="AK100" t="str">
        <f>IF($A100="","",IF(COUNTIFS(Human_Data_Entry!$A$3:$A$525,$A100)&gt;0,"YES","NO"))</f>
        <v>YES</v>
      </c>
      <c r="AL100" t="str">
        <f>IF($A100="","",IF(AND($C100&amp;"-"&amp;$D100&gt;=Settings!$B$19,$C100&amp;"-"&amp;$D100&lt;=Settings!$B$20),"IN","OUT"))</f>
        <v>IN</v>
      </c>
      <c r="AM100">
        <f t="shared" si="4"/>
        <v>-1.2685E-2</v>
      </c>
      <c r="AN100">
        <f t="shared" si="5"/>
        <v>-1.2685E-2</v>
      </c>
      <c r="AO100">
        <f>IF(ISNUMBER($AM100),ABS(IF(ISNUMBER($G100),$G100,0)-Settings!$B$25),"")</f>
        <v>5.2499999999999998E-2</v>
      </c>
      <c r="AP100">
        <f t="shared" si="6"/>
        <v>-6.6596249999999993E-4</v>
      </c>
      <c r="AQ100">
        <f>IF(ISNUMBER($AN100),ABS(IF(ISNUMBER($G100),$G100,0)-Settings!$B$25),"")</f>
        <v>5.2499999999999998E-2</v>
      </c>
      <c r="AR100">
        <f t="shared" si="7"/>
        <v>-6.6596249999999993E-4</v>
      </c>
      <c r="AS100" t="str">
        <f>IF($A100="","",IFERROR(INDEX(Company_List!$H$3:$H$207,MATCH($A100,Company_List!$A$3:$A$207,0)),"unassigned"))</f>
        <v>Communication Services</v>
      </c>
      <c r="AT100" t="s">
        <v>1915</v>
      </c>
      <c r="AU100" t="s">
        <v>1916</v>
      </c>
      <c r="AV100">
        <v>1</v>
      </c>
      <c r="AW100" t="s">
        <v>561</v>
      </c>
      <c r="AX100" t="s">
        <v>561</v>
      </c>
      <c r="AY100" t="s">
        <v>550</v>
      </c>
      <c r="AZ100" t="s">
        <v>562</v>
      </c>
      <c r="BA100" t="s">
        <v>554</v>
      </c>
    </row>
    <row r="101" spans="1:54" x14ac:dyDescent="0.2">
      <c r="A101" s="115" t="s">
        <v>536</v>
      </c>
      <c r="B101" s="117" t="s">
        <v>542</v>
      </c>
      <c r="C101" s="105">
        <v>2026</v>
      </c>
      <c r="D101" s="106" t="s">
        <v>537</v>
      </c>
      <c r="E101" s="109" t="s">
        <v>1911</v>
      </c>
      <c r="F101" s="106" t="s">
        <v>1912</v>
      </c>
      <c r="G101" s="128">
        <v>-5.2499999999999998E-2</v>
      </c>
      <c r="H101" s="106" t="s">
        <v>1923</v>
      </c>
      <c r="I101" s="128"/>
      <c r="J101" s="125">
        <v>46128</v>
      </c>
      <c r="K101" s="126">
        <v>46128</v>
      </c>
      <c r="L101" s="129">
        <v>107.79</v>
      </c>
      <c r="M101" s="126">
        <v>46129</v>
      </c>
      <c r="N101" s="129">
        <v>96.37</v>
      </c>
      <c r="O101" s="132">
        <v>8.0809999999999996E-3</v>
      </c>
      <c r="P101" s="107">
        <v>-0.105947</v>
      </c>
      <c r="Q101" s="106" t="s">
        <v>545</v>
      </c>
      <c r="R101" s="106" t="s">
        <v>554</v>
      </c>
      <c r="S101" s="105">
        <v>-1</v>
      </c>
      <c r="T101" s="107">
        <v>0.104947</v>
      </c>
      <c r="U101" s="130" t="s">
        <v>1914</v>
      </c>
      <c r="V101" t="s">
        <v>549</v>
      </c>
      <c r="W101" t="s">
        <v>541</v>
      </c>
      <c r="X101" t="s">
        <v>542</v>
      </c>
      <c r="Y101" t="s">
        <v>543</v>
      </c>
      <c r="Z101">
        <v>107.79</v>
      </c>
      <c r="AA101" t="s">
        <v>544</v>
      </c>
      <c r="AB101">
        <v>96.37</v>
      </c>
      <c r="AC101">
        <v>-0.10594672876939661</v>
      </c>
      <c r="AD101" t="s">
        <v>545</v>
      </c>
      <c r="AE101" t="s">
        <v>554</v>
      </c>
      <c r="AF101">
        <v>0.104947</v>
      </c>
      <c r="AG101" t="str">
        <f>IF($A101="","",IFERROR(INDEX(Company_List!$G$3:$G$207,MATCH($A101,Company_List!$A$3:$A$207,0)),"unassigned"))</f>
        <v>P2</v>
      </c>
      <c r="AH101" t="s">
        <v>547</v>
      </c>
      <c r="AJ101" t="s">
        <v>548</v>
      </c>
      <c r="AK101" t="str">
        <f>IF($A101="","",IF(COUNTIFS(Human_Data_Entry!$A$3:$A$525,$A101)&gt;0,"YES","NO"))</f>
        <v>YES</v>
      </c>
      <c r="AL101" t="str">
        <f>IF($A101="","",IF(AND($C101&amp;"-"&amp;$D101&gt;=Settings!$B$19,$C101&amp;"-"&amp;$D101&lt;=Settings!$B$20),"IN","OUT"))</f>
        <v>IN</v>
      </c>
      <c r="AM101">
        <f t="shared" si="4"/>
        <v>0.104947</v>
      </c>
      <c r="AN101">
        <f t="shared" si="5"/>
        <v>0.104947</v>
      </c>
      <c r="AO101">
        <f>IF(ISNUMBER($AM101),ABS(IF(ISNUMBER($G101),$G101,0)-Settings!$B$25),"")</f>
        <v>5.2499999999999998E-2</v>
      </c>
      <c r="AP101">
        <f t="shared" si="6"/>
        <v>5.5097174999999997E-3</v>
      </c>
      <c r="AQ101">
        <f>IF(ISNUMBER($AN101),ABS(IF(ISNUMBER($G101),$G101,0)-Settings!$B$25),"")</f>
        <v>5.2499999999999998E-2</v>
      </c>
      <c r="AR101">
        <f t="shared" si="7"/>
        <v>5.5097174999999997E-3</v>
      </c>
      <c r="AS101" t="str">
        <f>IF($A101="","",IFERROR(INDEX(Company_List!$H$3:$H$207,MATCH($A101,Company_List!$A$3:$A$207,0)),"unassigned"))</f>
        <v>Communication Services</v>
      </c>
      <c r="AT101" t="s">
        <v>1915</v>
      </c>
      <c r="AU101" t="s">
        <v>1916</v>
      </c>
      <c r="AV101">
        <v>1</v>
      </c>
      <c r="AW101" t="s">
        <v>552</v>
      </c>
      <c r="AX101" t="s">
        <v>553</v>
      </c>
      <c r="AY101" t="s">
        <v>550</v>
      </c>
      <c r="AZ101" t="s">
        <v>550</v>
      </c>
      <c r="BA101" t="s">
        <v>554</v>
      </c>
    </row>
    <row r="102" spans="1:54" x14ac:dyDescent="0.2">
      <c r="A102" s="115" t="s">
        <v>536</v>
      </c>
      <c r="B102" s="117" t="s">
        <v>542</v>
      </c>
      <c r="C102" s="105">
        <v>2025</v>
      </c>
      <c r="D102" s="106" t="s">
        <v>555</v>
      </c>
      <c r="E102" s="109" t="s">
        <v>1911</v>
      </c>
      <c r="F102" s="106" t="s">
        <v>1912</v>
      </c>
      <c r="G102" s="128">
        <v>0.21</v>
      </c>
      <c r="H102" s="106" t="s">
        <v>1913</v>
      </c>
      <c r="I102" s="128"/>
      <c r="J102" s="125">
        <v>45855</v>
      </c>
      <c r="K102" s="126">
        <v>45855</v>
      </c>
      <c r="L102" s="129">
        <v>127.417</v>
      </c>
      <c r="M102" s="126">
        <v>45856</v>
      </c>
      <c r="N102" s="129">
        <v>124.2</v>
      </c>
      <c r="O102" s="132">
        <v>8.4329999999999995E-3</v>
      </c>
      <c r="P102" s="107">
        <v>-2.5278999999999999E-2</v>
      </c>
      <c r="Q102" s="106" t="s">
        <v>545</v>
      </c>
      <c r="R102" s="106" t="s">
        <v>546</v>
      </c>
      <c r="S102" s="105">
        <v>0</v>
      </c>
      <c r="T102" s="107">
        <v>0</v>
      </c>
      <c r="U102" s="130" t="s">
        <v>1914</v>
      </c>
      <c r="V102" t="s">
        <v>549</v>
      </c>
      <c r="W102" t="s">
        <v>541</v>
      </c>
      <c r="X102" t="s">
        <v>542</v>
      </c>
      <c r="Y102" t="s">
        <v>556</v>
      </c>
      <c r="Z102">
        <v>127.417</v>
      </c>
      <c r="AA102" t="s">
        <v>557</v>
      </c>
      <c r="AB102">
        <v>124.196</v>
      </c>
      <c r="AC102">
        <v>-2.527920921070188E-2</v>
      </c>
      <c r="AD102" t="s">
        <v>545</v>
      </c>
      <c r="AE102" t="s">
        <v>546</v>
      </c>
      <c r="AF102">
        <v>0</v>
      </c>
      <c r="AG102" t="str">
        <f>IF($A102="","",IFERROR(INDEX(Company_List!$G$3:$G$207,MATCH($A102,Company_List!$A$3:$A$207,0)),"unassigned"))</f>
        <v>P2</v>
      </c>
      <c r="AH102" t="s">
        <v>558</v>
      </c>
      <c r="AI102" t="s">
        <v>559</v>
      </c>
      <c r="AJ102" t="s">
        <v>560</v>
      </c>
      <c r="AK102" t="str">
        <f>IF($A102="","",IF(COUNTIFS(Human_Data_Entry!$A$3:$A$525,$A102)&gt;0,"YES","NO"))</f>
        <v>YES</v>
      </c>
      <c r="AL102" t="str">
        <f>IF($A102="","",IF(AND($C102&amp;"-"&amp;$D102&gt;=Settings!$B$19,$C102&amp;"-"&amp;$D102&lt;=Settings!$B$20),"IN","OUT"))</f>
        <v>IN</v>
      </c>
      <c r="AM102" t="str">
        <f t="shared" si="4"/>
        <v/>
      </c>
      <c r="AN102" t="str">
        <f t="shared" si="5"/>
        <v/>
      </c>
      <c r="AO102" t="str">
        <f>IF(ISNUMBER($AM102),ABS(IF(ISNUMBER($G102),$G102,0)-Settings!$B$25),"")</f>
        <v/>
      </c>
      <c r="AP102" t="str">
        <f t="shared" si="6"/>
        <v/>
      </c>
      <c r="AQ102" t="str">
        <f>IF(ISNUMBER($AN102),ABS(IF(ISNUMBER($G102),$G102,0)-Settings!$B$25),"")</f>
        <v/>
      </c>
      <c r="AR102" t="str">
        <f t="shared" si="7"/>
        <v/>
      </c>
      <c r="AS102" t="str">
        <f>IF($A102="","",IFERROR(INDEX(Company_List!$H$3:$H$207,MATCH($A102,Company_List!$A$3:$A$207,0)),"unassigned"))</f>
        <v>Communication Services</v>
      </c>
      <c r="AT102" t="s">
        <v>1915</v>
      </c>
      <c r="AU102" t="s">
        <v>1916</v>
      </c>
      <c r="AV102">
        <v>1</v>
      </c>
      <c r="AW102" t="s">
        <v>561</v>
      </c>
      <c r="AX102" t="s">
        <v>561</v>
      </c>
      <c r="AY102" t="s">
        <v>550</v>
      </c>
      <c r="AZ102" t="s">
        <v>562</v>
      </c>
      <c r="BA102" t="s">
        <v>554</v>
      </c>
    </row>
    <row r="103" spans="1:54" x14ac:dyDescent="0.2">
      <c r="A103" s="115" t="s">
        <v>536</v>
      </c>
      <c r="B103" s="117" t="s">
        <v>542</v>
      </c>
      <c r="C103" s="105">
        <v>2025</v>
      </c>
      <c r="D103" s="106" t="s">
        <v>563</v>
      </c>
      <c r="E103" s="109" t="s">
        <v>1911</v>
      </c>
      <c r="F103" s="106" t="s">
        <v>1912</v>
      </c>
      <c r="G103" s="128">
        <v>0.13500000000000001</v>
      </c>
      <c r="H103" s="106" t="s">
        <v>1913</v>
      </c>
      <c r="I103" s="128"/>
      <c r="J103" s="125">
        <v>45951</v>
      </c>
      <c r="K103" s="126">
        <v>45951</v>
      </c>
      <c r="L103" s="129">
        <v>124.13500000000001</v>
      </c>
      <c r="M103" s="126">
        <v>45952</v>
      </c>
      <c r="N103" s="129">
        <v>114.29</v>
      </c>
      <c r="O103" s="132">
        <v>5.8110000000000002E-3</v>
      </c>
      <c r="P103" s="107">
        <v>-7.9309000000000004E-2</v>
      </c>
      <c r="Q103" s="106" t="s">
        <v>545</v>
      </c>
      <c r="R103" s="106" t="s">
        <v>546</v>
      </c>
      <c r="S103" s="105">
        <v>0</v>
      </c>
      <c r="T103" s="107">
        <v>0</v>
      </c>
      <c r="U103" s="130" t="s">
        <v>1914</v>
      </c>
      <c r="V103" t="s">
        <v>549</v>
      </c>
      <c r="W103" t="s">
        <v>564</v>
      </c>
      <c r="X103" t="s">
        <v>542</v>
      </c>
      <c r="Y103" t="s">
        <v>565</v>
      </c>
      <c r="Z103">
        <v>124.13500000000001</v>
      </c>
      <c r="AA103" t="s">
        <v>566</v>
      </c>
      <c r="AB103">
        <v>114.29</v>
      </c>
      <c r="AC103">
        <v>-7.9308823791697444E-2</v>
      </c>
      <c r="AD103" t="s">
        <v>545</v>
      </c>
      <c r="AE103" t="s">
        <v>546</v>
      </c>
      <c r="AF103">
        <v>0</v>
      </c>
      <c r="AG103" t="str">
        <f>IF($A103="","",IFERROR(INDEX(Company_List!$G$3:$G$207,MATCH($A103,Company_List!$A$3:$A$207,0)),"unassigned"))</f>
        <v>P2</v>
      </c>
      <c r="AH103" t="s">
        <v>567</v>
      </c>
      <c r="AI103" t="s">
        <v>568</v>
      </c>
      <c r="AJ103" t="s">
        <v>560</v>
      </c>
      <c r="AK103" t="str">
        <f>IF($A103="","",IF(COUNTIFS(Human_Data_Entry!$A$3:$A$525,$A103)&gt;0,"YES","NO"))</f>
        <v>YES</v>
      </c>
      <c r="AL103" t="str">
        <f>IF($A103="","",IF(AND($C103&amp;"-"&amp;$D103&gt;=Settings!$B$19,$C103&amp;"-"&amp;$D103&lt;=Settings!$B$20),"IN","OUT"))</f>
        <v>IN</v>
      </c>
      <c r="AM103" t="str">
        <f t="shared" si="4"/>
        <v/>
      </c>
      <c r="AN103" t="str">
        <f t="shared" si="5"/>
        <v/>
      </c>
      <c r="AO103" t="str">
        <f>IF(ISNUMBER($AM103),ABS(IF(ISNUMBER($G103),$G103,0)-Settings!$B$25),"")</f>
        <v/>
      </c>
      <c r="AP103" t="str">
        <f t="shared" si="6"/>
        <v/>
      </c>
      <c r="AQ103" t="str">
        <f>IF(ISNUMBER($AN103),ABS(IF(ISNUMBER($G103),$G103,0)-Settings!$B$25),"")</f>
        <v/>
      </c>
      <c r="AR103" t="str">
        <f t="shared" si="7"/>
        <v/>
      </c>
      <c r="AS103" t="str">
        <f>IF($A103="","",IFERROR(INDEX(Company_List!$H$3:$H$207,MATCH($A103,Company_List!$A$3:$A$207,0)),"unassigned"))</f>
        <v>Communication Services</v>
      </c>
      <c r="AT103" t="s">
        <v>1915</v>
      </c>
      <c r="AU103" t="s">
        <v>1916</v>
      </c>
      <c r="AV103">
        <v>1</v>
      </c>
      <c r="AW103" t="s">
        <v>561</v>
      </c>
      <c r="AX103" t="s">
        <v>561</v>
      </c>
      <c r="AY103" t="s">
        <v>550</v>
      </c>
      <c r="AZ103" t="s">
        <v>562</v>
      </c>
      <c r="BA103" s="160" t="s">
        <v>546</v>
      </c>
      <c r="BB103" s="160" t="s">
        <v>1922</v>
      </c>
    </row>
    <row r="104" spans="1:54" x14ac:dyDescent="0.2">
      <c r="A104" s="115" t="s">
        <v>536</v>
      </c>
      <c r="B104" s="117" t="s">
        <v>542</v>
      </c>
      <c r="C104" s="105">
        <v>2024</v>
      </c>
      <c r="D104" s="106" t="s">
        <v>569</v>
      </c>
      <c r="E104" s="109" t="s">
        <v>1911</v>
      </c>
      <c r="F104" s="106" t="s">
        <v>1912</v>
      </c>
      <c r="G104" s="128">
        <v>0.8</v>
      </c>
      <c r="H104" s="106" t="s">
        <v>1919</v>
      </c>
      <c r="I104" s="128"/>
      <c r="J104" s="125">
        <v>45678</v>
      </c>
      <c r="K104" s="126">
        <v>45678</v>
      </c>
      <c r="L104" s="129">
        <v>86.968000000000004</v>
      </c>
      <c r="M104" s="126">
        <v>45679</v>
      </c>
      <c r="N104" s="129">
        <v>99.8</v>
      </c>
      <c r="O104" s="132">
        <v>5.6909999999999999E-3</v>
      </c>
      <c r="P104" s="107">
        <v>0.14758299999999999</v>
      </c>
      <c r="Q104" s="106" t="s">
        <v>591</v>
      </c>
      <c r="R104" s="106" t="s">
        <v>554</v>
      </c>
      <c r="S104" s="105">
        <v>1</v>
      </c>
      <c r="T104" s="107">
        <v>0.14658299999999999</v>
      </c>
      <c r="U104" s="130" t="s">
        <v>1914</v>
      </c>
      <c r="V104" t="s">
        <v>549</v>
      </c>
      <c r="W104" t="s">
        <v>564</v>
      </c>
      <c r="X104" t="s">
        <v>542</v>
      </c>
      <c r="Y104" t="s">
        <v>650</v>
      </c>
      <c r="Z104">
        <v>86.968000000000004</v>
      </c>
      <c r="AA104" t="s">
        <v>651</v>
      </c>
      <c r="AB104">
        <v>99.802999999999997</v>
      </c>
      <c r="AC104">
        <v>0.14758300414904321</v>
      </c>
      <c r="AD104" t="s">
        <v>591</v>
      </c>
      <c r="AE104" t="s">
        <v>554</v>
      </c>
      <c r="AF104">
        <v>0.14658299999999999</v>
      </c>
      <c r="AG104" t="str">
        <f>IF($A104="","",IFERROR(INDEX(Company_List!$G$3:$G$207,MATCH($A104,Company_List!$A$3:$A$207,0)),"unassigned"))</f>
        <v>P2</v>
      </c>
      <c r="AH104" t="s">
        <v>652</v>
      </c>
      <c r="AI104" t="s">
        <v>653</v>
      </c>
      <c r="AJ104" t="s">
        <v>560</v>
      </c>
      <c r="AK104" t="str">
        <f>IF($A104="","",IF(COUNTIFS(Human_Data_Entry!$A$3:$A$525,$A104)&gt;0,"YES","NO"))</f>
        <v>YES</v>
      </c>
      <c r="AL104" t="str">
        <f>IF($A104="","",IF(AND($C104&amp;"-"&amp;$D104&gt;=Settings!$B$19,$C104&amp;"-"&amp;$D104&lt;=Settings!$B$20),"IN","OUT"))</f>
        <v>IN</v>
      </c>
      <c r="AM104">
        <f t="shared" si="4"/>
        <v>0.14658299999999999</v>
      </c>
      <c r="AN104">
        <f t="shared" si="5"/>
        <v>0.14658299999999999</v>
      </c>
      <c r="AO104">
        <f>IF(ISNUMBER($AM104),ABS(IF(ISNUMBER($G104),$G104,0)-Settings!$B$25),"")</f>
        <v>0.8</v>
      </c>
      <c r="AP104">
        <f t="shared" si="6"/>
        <v>0.11726639999999999</v>
      </c>
      <c r="AQ104">
        <f>IF(ISNUMBER($AN104),ABS(IF(ISNUMBER($G104),$G104,0)-Settings!$B$25),"")</f>
        <v>0.8</v>
      </c>
      <c r="AR104">
        <f t="shared" si="7"/>
        <v>0.11726639999999999</v>
      </c>
      <c r="AS104" t="str">
        <f>IF($A104="","",IFERROR(INDEX(Company_List!$H$3:$H$207,MATCH($A104,Company_List!$A$3:$A$207,0)),"unassigned"))</f>
        <v>Communication Services</v>
      </c>
      <c r="AT104" t="s">
        <v>1915</v>
      </c>
      <c r="AU104" t="s">
        <v>1916</v>
      </c>
      <c r="AV104">
        <v>1</v>
      </c>
      <c r="AW104" t="s">
        <v>561</v>
      </c>
      <c r="AX104" t="s">
        <v>561</v>
      </c>
      <c r="AY104" t="s">
        <v>550</v>
      </c>
      <c r="AZ104" t="s">
        <v>562</v>
      </c>
      <c r="BA104" s="160" t="s">
        <v>546</v>
      </c>
      <c r="BB104" s="160" t="s">
        <v>1922</v>
      </c>
    </row>
    <row r="105" spans="1:54" x14ac:dyDescent="0.2">
      <c r="A105" s="115" t="s">
        <v>536</v>
      </c>
      <c r="B105" s="117" t="s">
        <v>542</v>
      </c>
      <c r="C105" s="105">
        <v>2025</v>
      </c>
      <c r="D105" s="106" t="s">
        <v>569</v>
      </c>
      <c r="E105" s="109" t="s">
        <v>1911</v>
      </c>
      <c r="F105" s="106" t="s">
        <v>1912</v>
      </c>
      <c r="G105" s="128">
        <v>0.4425</v>
      </c>
      <c r="H105" s="106" t="s">
        <v>1919</v>
      </c>
      <c r="I105" s="128"/>
      <c r="J105" s="125">
        <v>46042</v>
      </c>
      <c r="K105" s="126">
        <v>46042</v>
      </c>
      <c r="L105" s="129">
        <v>87.26</v>
      </c>
      <c r="M105" s="126">
        <v>46043</v>
      </c>
      <c r="N105" s="129">
        <v>82.52</v>
      </c>
      <c r="O105" s="132">
        <v>8.7980000000000003E-3</v>
      </c>
      <c r="P105" s="107">
        <v>-5.4320000000000007E-2</v>
      </c>
      <c r="Q105" s="106" t="s">
        <v>545</v>
      </c>
      <c r="R105" s="106" t="s">
        <v>546</v>
      </c>
      <c r="S105" s="105">
        <v>1</v>
      </c>
      <c r="T105" s="107">
        <v>-5.5320000000000001E-2</v>
      </c>
      <c r="U105" s="130" t="s">
        <v>1914</v>
      </c>
      <c r="V105" t="s">
        <v>549</v>
      </c>
      <c r="W105" t="s">
        <v>564</v>
      </c>
      <c r="X105" t="s">
        <v>542</v>
      </c>
      <c r="Y105" t="s">
        <v>570</v>
      </c>
      <c r="Z105">
        <v>87.26</v>
      </c>
      <c r="AA105" t="s">
        <v>571</v>
      </c>
      <c r="AB105">
        <v>82.52</v>
      </c>
      <c r="AC105">
        <v>-5.4320477783165719E-2</v>
      </c>
      <c r="AD105" t="s">
        <v>545</v>
      </c>
      <c r="AE105" t="s">
        <v>546</v>
      </c>
      <c r="AF105">
        <v>-5.5320000000000001E-2</v>
      </c>
      <c r="AG105" t="str">
        <f>IF($A105="","",IFERROR(INDEX(Company_List!$G$3:$G$207,MATCH($A105,Company_List!$A$3:$A$207,0)),"unassigned"))</f>
        <v>P2</v>
      </c>
      <c r="AH105" t="s">
        <v>572</v>
      </c>
      <c r="AI105" t="s">
        <v>573</v>
      </c>
      <c r="AJ105" t="s">
        <v>560</v>
      </c>
      <c r="AK105" t="str">
        <f>IF($A105="","",IF(COUNTIFS(Human_Data_Entry!$A$3:$A$525,$A105)&gt;0,"YES","NO"))</f>
        <v>YES</v>
      </c>
      <c r="AL105" t="str">
        <f>IF($A105="","",IF(AND($C105&amp;"-"&amp;$D105&gt;=Settings!$B$19,$C105&amp;"-"&amp;$D105&lt;=Settings!$B$20),"IN","OUT"))</f>
        <v>IN</v>
      </c>
      <c r="AM105">
        <f t="shared" si="4"/>
        <v>-5.5320000000000001E-2</v>
      </c>
      <c r="AN105">
        <f t="shared" si="5"/>
        <v>-5.5320000000000001E-2</v>
      </c>
      <c r="AO105">
        <f>IF(ISNUMBER($AM105),ABS(IF(ISNUMBER($G105),$G105,0)-Settings!$B$25),"")</f>
        <v>0.4425</v>
      </c>
      <c r="AP105">
        <f t="shared" si="6"/>
        <v>-2.44791E-2</v>
      </c>
      <c r="AQ105">
        <f>IF(ISNUMBER($AN105),ABS(IF(ISNUMBER($G105),$G105,0)-Settings!$B$25),"")</f>
        <v>0.4425</v>
      </c>
      <c r="AR105">
        <f t="shared" si="7"/>
        <v>-2.44791E-2</v>
      </c>
      <c r="AS105" t="str">
        <f>IF($A105="","",IFERROR(INDEX(Company_List!$H$3:$H$207,MATCH($A105,Company_List!$A$3:$A$207,0)),"unassigned"))</f>
        <v>Communication Services</v>
      </c>
      <c r="AT105" t="s">
        <v>1915</v>
      </c>
      <c r="AU105" t="s">
        <v>1916</v>
      </c>
      <c r="AV105">
        <v>1</v>
      </c>
      <c r="AW105" t="s">
        <v>561</v>
      </c>
      <c r="AX105" t="s">
        <v>561</v>
      </c>
      <c r="AY105" t="s">
        <v>550</v>
      </c>
      <c r="AZ105" t="s">
        <v>562</v>
      </c>
      <c r="BA105" s="160" t="s">
        <v>546</v>
      </c>
      <c r="BB105" s="160" t="s">
        <v>1922</v>
      </c>
    </row>
    <row r="106" spans="1:54" x14ac:dyDescent="0.2">
      <c r="A106" s="115" t="s">
        <v>782</v>
      </c>
      <c r="B106" s="117" t="s">
        <v>783</v>
      </c>
      <c r="C106" s="105">
        <v>2025</v>
      </c>
      <c r="D106" s="106" t="s">
        <v>537</v>
      </c>
      <c r="E106" s="109" t="s">
        <v>1911</v>
      </c>
      <c r="F106" s="106" t="s">
        <v>1912</v>
      </c>
      <c r="G106" s="128">
        <v>-0.41</v>
      </c>
      <c r="H106" s="106" t="s">
        <v>1923</v>
      </c>
      <c r="I106" s="128"/>
      <c r="J106" s="125">
        <v>45798</v>
      </c>
      <c r="K106" s="126">
        <v>45797</v>
      </c>
      <c r="L106" s="129">
        <v>98.12</v>
      </c>
      <c r="M106" s="126">
        <v>45798</v>
      </c>
      <c r="N106" s="129">
        <v>91.5</v>
      </c>
      <c r="O106" s="132">
        <v>8.4849999999999995E-3</v>
      </c>
      <c r="P106" s="107">
        <v>-6.7468E-2</v>
      </c>
      <c r="Q106" s="106" t="s">
        <v>545</v>
      </c>
      <c r="R106" s="106" t="s">
        <v>554</v>
      </c>
      <c r="S106" s="105">
        <v>-1</v>
      </c>
      <c r="T106" s="107">
        <v>6.6467999999999999E-2</v>
      </c>
      <c r="U106" s="130" t="s">
        <v>1914</v>
      </c>
      <c r="V106" t="s">
        <v>549</v>
      </c>
      <c r="W106" t="s">
        <v>636</v>
      </c>
      <c r="X106" t="s">
        <v>783</v>
      </c>
      <c r="Y106" t="s">
        <v>789</v>
      </c>
      <c r="Z106">
        <v>94.005700000000004</v>
      </c>
      <c r="AA106" t="s">
        <v>790</v>
      </c>
      <c r="AB106">
        <v>87.663300000000007</v>
      </c>
      <c r="AC106">
        <v>-6.7468380494081895E-2</v>
      </c>
      <c r="AD106" t="s">
        <v>545</v>
      </c>
      <c r="AE106" t="s">
        <v>554</v>
      </c>
      <c r="AF106">
        <v>6.6467999999999999E-2</v>
      </c>
      <c r="AG106" t="str">
        <f>IF($A106="","",IFERROR(INDEX(Company_List!$G$3:$G$207,MATCH($A106,Company_List!$A$3:$A$207,0)),"unassigned"))</f>
        <v>both</v>
      </c>
      <c r="AH106" t="s">
        <v>1954</v>
      </c>
      <c r="AI106" t="s">
        <v>1955</v>
      </c>
      <c r="AJ106" t="s">
        <v>754</v>
      </c>
      <c r="AK106" t="str">
        <f>IF($A106="","",IF(COUNTIFS(Human_Data_Entry!$A$3:$A$525,$A106)&gt;0,"YES","NO"))</f>
        <v>YES</v>
      </c>
      <c r="AL106" t="str">
        <f>IF($A106="","",IF(AND($C106&amp;"-"&amp;$D106&gt;=Settings!$B$19,$C106&amp;"-"&amp;$D106&lt;=Settings!$B$20),"IN","OUT"))</f>
        <v>IN</v>
      </c>
      <c r="AM106">
        <f t="shared" si="4"/>
        <v>6.6467999999999999E-2</v>
      </c>
      <c r="AN106">
        <f t="shared" si="5"/>
        <v>6.6467999999999999E-2</v>
      </c>
      <c r="AO106">
        <f>IF(ISNUMBER($AM106),ABS(IF(ISNUMBER($G106),$G106,0)-Settings!$B$25),"")</f>
        <v>0.41</v>
      </c>
      <c r="AP106">
        <f t="shared" si="6"/>
        <v>2.7251879999999999E-2</v>
      </c>
      <c r="AQ106">
        <f>IF(ISNUMBER($AN106),ABS(IF(ISNUMBER($G106),$G106,0)-Settings!$B$25),"")</f>
        <v>0.41</v>
      </c>
      <c r="AR106">
        <f t="shared" si="7"/>
        <v>2.7251879999999999E-2</v>
      </c>
      <c r="AS106" t="str">
        <f>IF($A106="","",IFERROR(INDEX(Company_List!$H$3:$H$207,MATCH($A106,Company_List!$A$3:$A$207,0)),"unassigned"))</f>
        <v>Consumer Staples</v>
      </c>
      <c r="AT106" t="s">
        <v>1915</v>
      </c>
      <c r="AU106" t="s">
        <v>1916</v>
      </c>
      <c r="AV106">
        <v>2</v>
      </c>
      <c r="AW106" t="s">
        <v>788</v>
      </c>
      <c r="AX106" t="s">
        <v>553</v>
      </c>
      <c r="AY106" t="s">
        <v>550</v>
      </c>
      <c r="AZ106" t="s">
        <v>562</v>
      </c>
      <c r="BA106" t="s">
        <v>554</v>
      </c>
    </row>
    <row r="107" spans="1:54" x14ac:dyDescent="0.2">
      <c r="A107" s="115" t="s">
        <v>782</v>
      </c>
      <c r="B107" s="117" t="s">
        <v>783</v>
      </c>
      <c r="C107" s="105">
        <v>2026</v>
      </c>
      <c r="D107" s="106" t="s">
        <v>537</v>
      </c>
      <c r="E107" s="109" t="s">
        <v>1911</v>
      </c>
      <c r="F107" s="106" t="s">
        <v>1912</v>
      </c>
      <c r="G107" s="128">
        <v>0.03</v>
      </c>
      <c r="H107" s="106" t="s">
        <v>1913</v>
      </c>
      <c r="I107" s="128"/>
      <c r="J107" s="125">
        <v>46162</v>
      </c>
      <c r="K107" s="126">
        <v>46161</v>
      </c>
      <c r="L107" s="129">
        <v>127.24</v>
      </c>
      <c r="M107" s="126">
        <v>46162</v>
      </c>
      <c r="N107" s="129">
        <v>120.21</v>
      </c>
      <c r="O107" s="132">
        <v>8.8719999999999997E-3</v>
      </c>
      <c r="P107" s="107">
        <v>-5.525E-2</v>
      </c>
      <c r="Q107" s="106" t="s">
        <v>545</v>
      </c>
      <c r="R107" s="106" t="s">
        <v>546</v>
      </c>
      <c r="S107" s="105">
        <v>0</v>
      </c>
      <c r="T107" s="107">
        <v>0</v>
      </c>
      <c r="U107" s="130" t="s">
        <v>1914</v>
      </c>
      <c r="V107" t="s">
        <v>549</v>
      </c>
      <c r="W107" t="s">
        <v>636</v>
      </c>
      <c r="X107" t="s">
        <v>783</v>
      </c>
      <c r="Y107" t="s">
        <v>796</v>
      </c>
      <c r="Z107">
        <v>127.24</v>
      </c>
      <c r="AA107" t="s">
        <v>797</v>
      </c>
      <c r="AB107">
        <v>120.21</v>
      </c>
      <c r="AC107">
        <v>-5.5249914417634653E-2</v>
      </c>
      <c r="AD107" t="s">
        <v>545</v>
      </c>
      <c r="AE107" t="s">
        <v>546</v>
      </c>
      <c r="AF107">
        <v>0</v>
      </c>
      <c r="AG107" t="str">
        <f>IF($A107="","",IFERROR(INDEX(Company_List!$G$3:$G$207,MATCH($A107,Company_List!$A$3:$A$207,0)),"unassigned"))</f>
        <v>both</v>
      </c>
      <c r="AH107" t="s">
        <v>1956</v>
      </c>
      <c r="AI107" t="s">
        <v>1957</v>
      </c>
      <c r="AJ107" t="s">
        <v>754</v>
      </c>
      <c r="AK107" t="str">
        <f>IF($A107="","",IF(COUNTIFS(Human_Data_Entry!$A$3:$A$525,$A107)&gt;0,"YES","NO"))</f>
        <v>YES</v>
      </c>
      <c r="AL107" t="str">
        <f>IF($A107="","",IF(AND($C107&amp;"-"&amp;$D107&gt;=Settings!$B$19,$C107&amp;"-"&amp;$D107&lt;=Settings!$B$20),"IN","OUT"))</f>
        <v>IN</v>
      </c>
      <c r="AM107" t="str">
        <f t="shared" si="4"/>
        <v/>
      </c>
      <c r="AN107" t="str">
        <f t="shared" si="5"/>
        <v/>
      </c>
      <c r="AO107" t="str">
        <f>IF(ISNUMBER($AM107),ABS(IF(ISNUMBER($G107),$G107,0)-Settings!$B$25),"")</f>
        <v/>
      </c>
      <c r="AP107" t="str">
        <f t="shared" si="6"/>
        <v/>
      </c>
      <c r="AQ107" t="str">
        <f>IF(ISNUMBER($AN107),ABS(IF(ISNUMBER($G107),$G107,0)-Settings!$B$25),"")</f>
        <v/>
      </c>
      <c r="AR107" t="str">
        <f t="shared" si="7"/>
        <v/>
      </c>
      <c r="AS107" t="str">
        <f>IF($A107="","",IFERROR(INDEX(Company_List!$H$3:$H$207,MATCH($A107,Company_List!$A$3:$A$207,0)),"unassigned"))</f>
        <v>Consumer Staples</v>
      </c>
      <c r="AT107" t="s">
        <v>1915</v>
      </c>
      <c r="AU107" t="s">
        <v>1916</v>
      </c>
      <c r="AV107">
        <v>2</v>
      </c>
      <c r="AW107" t="s">
        <v>595</v>
      </c>
      <c r="AX107" t="s">
        <v>596</v>
      </c>
      <c r="AY107" t="s">
        <v>550</v>
      </c>
      <c r="AZ107" t="s">
        <v>562</v>
      </c>
      <c r="BA107" t="s">
        <v>554</v>
      </c>
    </row>
    <row r="108" spans="1:54" x14ac:dyDescent="0.2">
      <c r="A108" s="115" t="s">
        <v>782</v>
      </c>
      <c r="B108" s="117" t="s">
        <v>783</v>
      </c>
      <c r="C108" s="105">
        <v>2025</v>
      </c>
      <c r="D108" s="106" t="s">
        <v>555</v>
      </c>
      <c r="E108" s="109" t="s">
        <v>1911</v>
      </c>
      <c r="F108" s="106" t="s">
        <v>1912</v>
      </c>
      <c r="G108" s="128">
        <v>0</v>
      </c>
      <c r="H108" s="106" t="s">
        <v>1913</v>
      </c>
      <c r="I108" s="128"/>
      <c r="J108" s="125">
        <v>45889</v>
      </c>
      <c r="K108" s="126">
        <v>45888</v>
      </c>
      <c r="L108" s="129">
        <v>105.36</v>
      </c>
      <c r="M108" s="126">
        <v>45889</v>
      </c>
      <c r="N108" s="129">
        <v>94.41</v>
      </c>
      <c r="O108" s="132">
        <v>8.6580000000000008E-3</v>
      </c>
      <c r="P108" s="107">
        <v>-0.10392899999999999</v>
      </c>
      <c r="Q108" s="106" t="s">
        <v>545</v>
      </c>
      <c r="R108" s="106" t="s">
        <v>546</v>
      </c>
      <c r="S108" s="105">
        <v>0</v>
      </c>
      <c r="T108" s="107">
        <v>0</v>
      </c>
      <c r="U108" s="130" t="s">
        <v>1914</v>
      </c>
      <c r="V108" t="s">
        <v>549</v>
      </c>
      <c r="W108" t="s">
        <v>636</v>
      </c>
      <c r="X108" t="s">
        <v>783</v>
      </c>
      <c r="Y108" t="s">
        <v>784</v>
      </c>
      <c r="Z108">
        <v>102.0369</v>
      </c>
      <c r="AA108" t="s">
        <v>785</v>
      </c>
      <c r="AB108">
        <v>91.432199999999995</v>
      </c>
      <c r="AC108">
        <v>-0.1039292512694035</v>
      </c>
      <c r="AD108" t="s">
        <v>545</v>
      </c>
      <c r="AE108" t="s">
        <v>546</v>
      </c>
      <c r="AF108">
        <v>0</v>
      </c>
      <c r="AG108" t="str">
        <f>IF($A108="","",IFERROR(INDEX(Company_List!$G$3:$G$207,MATCH($A108,Company_List!$A$3:$A$207,0)),"unassigned"))</f>
        <v>both</v>
      </c>
      <c r="AH108" t="s">
        <v>1958</v>
      </c>
      <c r="AI108" t="s">
        <v>1959</v>
      </c>
      <c r="AJ108" t="s">
        <v>754</v>
      </c>
      <c r="AK108" t="str">
        <f>IF($A108="","",IF(COUNTIFS(Human_Data_Entry!$A$3:$A$525,$A108)&gt;0,"YES","NO"))</f>
        <v>YES</v>
      </c>
      <c r="AL108" t="str">
        <f>IF($A108="","",IF(AND($C108&amp;"-"&amp;$D108&gt;=Settings!$B$19,$C108&amp;"-"&amp;$D108&lt;=Settings!$B$20),"IN","OUT"))</f>
        <v>IN</v>
      </c>
      <c r="AM108" t="str">
        <f t="shared" si="4"/>
        <v/>
      </c>
      <c r="AN108" t="str">
        <f t="shared" si="5"/>
        <v/>
      </c>
      <c r="AO108" t="str">
        <f>IF(ISNUMBER($AM108),ABS(IF(ISNUMBER($G108),$G108,0)-Settings!$B$25),"")</f>
        <v/>
      </c>
      <c r="AP108" t="str">
        <f t="shared" si="6"/>
        <v/>
      </c>
      <c r="AQ108" t="str">
        <f>IF(ISNUMBER($AN108),ABS(IF(ISNUMBER($G108),$G108,0)-Settings!$B$25),"")</f>
        <v/>
      </c>
      <c r="AR108" t="str">
        <f t="shared" si="7"/>
        <v/>
      </c>
      <c r="AS108" t="str">
        <f>IF($A108="","",IFERROR(INDEX(Company_List!$H$3:$H$207,MATCH($A108,Company_List!$A$3:$A$207,0)),"unassigned"))</f>
        <v>Consumer Staples</v>
      </c>
      <c r="AT108" t="s">
        <v>1915</v>
      </c>
      <c r="AU108" t="s">
        <v>1916</v>
      </c>
      <c r="AV108">
        <v>2</v>
      </c>
      <c r="AW108" t="s">
        <v>788</v>
      </c>
      <c r="AX108" t="s">
        <v>553</v>
      </c>
      <c r="AY108" t="s">
        <v>550</v>
      </c>
      <c r="AZ108" t="s">
        <v>562</v>
      </c>
      <c r="BA108" t="s">
        <v>554</v>
      </c>
    </row>
    <row r="109" spans="1:54" x14ac:dyDescent="0.2">
      <c r="A109" s="115" t="s">
        <v>782</v>
      </c>
      <c r="B109" s="117" t="s">
        <v>783</v>
      </c>
      <c r="C109" s="105">
        <v>2025</v>
      </c>
      <c r="D109" s="106" t="s">
        <v>563</v>
      </c>
      <c r="E109" s="109" t="s">
        <v>1911</v>
      </c>
      <c r="F109" s="106" t="s">
        <v>1912</v>
      </c>
      <c r="G109" s="128">
        <v>-0.23</v>
      </c>
      <c r="H109" s="106" t="s">
        <v>1923</v>
      </c>
      <c r="I109" s="128"/>
      <c r="J109" s="125">
        <v>45980</v>
      </c>
      <c r="K109" s="126">
        <v>45979</v>
      </c>
      <c r="L109" s="129">
        <v>88.53</v>
      </c>
      <c r="M109" s="126">
        <v>45980</v>
      </c>
      <c r="N109" s="129">
        <v>86.42</v>
      </c>
      <c r="O109" s="132">
        <v>8.7779999999999993E-3</v>
      </c>
      <c r="P109" s="107">
        <v>-2.3834000000000001E-2</v>
      </c>
      <c r="Q109" s="106" t="s">
        <v>545</v>
      </c>
      <c r="R109" s="106" t="s">
        <v>554</v>
      </c>
      <c r="S109" s="105">
        <v>-1</v>
      </c>
      <c r="T109" s="107">
        <v>2.2834E-2</v>
      </c>
      <c r="U109" s="130" t="s">
        <v>1914</v>
      </c>
      <c r="V109" t="s">
        <v>549</v>
      </c>
      <c r="W109" t="s">
        <v>636</v>
      </c>
      <c r="X109" t="s">
        <v>783</v>
      </c>
      <c r="Y109" t="s">
        <v>793</v>
      </c>
      <c r="Z109">
        <v>86.818399999999997</v>
      </c>
      <c r="AA109" t="s">
        <v>606</v>
      </c>
      <c r="AB109">
        <v>84.749200000000002</v>
      </c>
      <c r="AC109">
        <v>-2.3833770096601831E-2</v>
      </c>
      <c r="AD109" t="s">
        <v>545</v>
      </c>
      <c r="AE109" t="s">
        <v>554</v>
      </c>
      <c r="AF109">
        <v>2.2834E-2</v>
      </c>
      <c r="AG109" t="str">
        <f>IF($A109="","",IFERROR(INDEX(Company_List!$G$3:$G$207,MATCH($A109,Company_List!$A$3:$A$207,0)),"unassigned"))</f>
        <v>both</v>
      </c>
      <c r="AH109" t="s">
        <v>1960</v>
      </c>
      <c r="AI109" t="s">
        <v>1961</v>
      </c>
      <c r="AJ109" t="s">
        <v>754</v>
      </c>
      <c r="AK109" t="str">
        <f>IF($A109="","",IF(COUNTIFS(Human_Data_Entry!$A$3:$A$525,$A109)&gt;0,"YES","NO"))</f>
        <v>YES</v>
      </c>
      <c r="AL109" t="str">
        <f>IF($A109="","",IF(AND($C109&amp;"-"&amp;$D109&gt;=Settings!$B$19,$C109&amp;"-"&amp;$D109&lt;=Settings!$B$20),"IN","OUT"))</f>
        <v>IN</v>
      </c>
      <c r="AM109">
        <f t="shared" si="4"/>
        <v>2.2834E-2</v>
      </c>
      <c r="AN109">
        <f t="shared" si="5"/>
        <v>2.2834E-2</v>
      </c>
      <c r="AO109">
        <f>IF(ISNUMBER($AM109),ABS(IF(ISNUMBER($G109),$G109,0)-Settings!$B$25),"")</f>
        <v>0.23</v>
      </c>
      <c r="AP109">
        <f t="shared" si="6"/>
        <v>5.2518199999999999E-3</v>
      </c>
      <c r="AQ109">
        <f>IF(ISNUMBER($AN109),ABS(IF(ISNUMBER($G109),$G109,0)-Settings!$B$25),"")</f>
        <v>0.23</v>
      </c>
      <c r="AR109">
        <f t="shared" si="7"/>
        <v>5.2518199999999999E-3</v>
      </c>
      <c r="AS109" t="str">
        <f>IF($A109="","",IFERROR(INDEX(Company_List!$H$3:$H$207,MATCH($A109,Company_List!$A$3:$A$207,0)),"unassigned"))</f>
        <v>Consumer Staples</v>
      </c>
      <c r="AT109" t="s">
        <v>1915</v>
      </c>
      <c r="AU109" t="s">
        <v>1916</v>
      </c>
      <c r="AV109">
        <v>2</v>
      </c>
      <c r="AW109" t="s">
        <v>788</v>
      </c>
      <c r="AX109" t="s">
        <v>553</v>
      </c>
      <c r="AY109" t="s">
        <v>550</v>
      </c>
      <c r="AZ109" t="s">
        <v>562</v>
      </c>
      <c r="BA109" t="s">
        <v>554</v>
      </c>
    </row>
    <row r="110" spans="1:54" x14ac:dyDescent="0.2">
      <c r="A110" s="115" t="s">
        <v>1005</v>
      </c>
      <c r="B110" s="117" t="s">
        <v>1962</v>
      </c>
      <c r="C110" s="105">
        <v>2026</v>
      </c>
      <c r="D110" s="106" t="s">
        <v>537</v>
      </c>
      <c r="E110" s="109" t="s">
        <v>1911</v>
      </c>
      <c r="F110" s="106" t="s">
        <v>1912</v>
      </c>
      <c r="G110" s="128">
        <v>-5.2499999999999998E-2</v>
      </c>
      <c r="H110" s="106" t="s">
        <v>1923</v>
      </c>
      <c r="I110" s="128"/>
      <c r="J110" s="125">
        <v>46140</v>
      </c>
      <c r="K110" s="126">
        <v>46139</v>
      </c>
      <c r="L110" s="129">
        <v>23.09</v>
      </c>
      <c r="M110" s="126">
        <v>46140</v>
      </c>
      <c r="N110" s="129">
        <v>22.92</v>
      </c>
      <c r="O110" s="132">
        <v>1.6143000000000001E-2</v>
      </c>
      <c r="P110" s="107">
        <v>-7.3619999999999996E-3</v>
      </c>
      <c r="Q110" s="106" t="s">
        <v>579</v>
      </c>
      <c r="R110" s="106" t="s">
        <v>546</v>
      </c>
      <c r="S110" s="105">
        <v>-1</v>
      </c>
      <c r="T110" s="107">
        <v>6.3619999999999996E-3</v>
      </c>
      <c r="U110" s="130" t="s">
        <v>1914</v>
      </c>
      <c r="V110" t="s">
        <v>549</v>
      </c>
      <c r="W110" t="s">
        <v>864</v>
      </c>
      <c r="X110" t="s">
        <v>1006</v>
      </c>
      <c r="Y110" t="s">
        <v>708</v>
      </c>
      <c r="Z110">
        <v>427.35219999999998</v>
      </c>
      <c r="AA110" t="s">
        <v>709</v>
      </c>
      <c r="AB110">
        <v>417.95319999999998</v>
      </c>
      <c r="AC110">
        <v>-2.1993444444841911E-2</v>
      </c>
      <c r="AD110" t="s">
        <v>545</v>
      </c>
      <c r="AE110" t="s">
        <v>554</v>
      </c>
      <c r="AF110">
        <v>2.0993000000000001E-2</v>
      </c>
      <c r="AG110" t="str">
        <f>IF($A110="","",IFERROR(INDEX(Company_List!$G$3:$G$207,MATCH($A110,Company_List!$A$3:$A$207,0)),"unassigned"))</f>
        <v>P2</v>
      </c>
      <c r="AH110" t="s">
        <v>1963</v>
      </c>
      <c r="AI110" t="s">
        <v>1964</v>
      </c>
      <c r="AJ110" t="s">
        <v>754</v>
      </c>
      <c r="AK110" t="str">
        <f>IF($A110="","",IF(COUNTIFS(Human_Data_Entry!$A$3:$A$525,$A110)&gt;0,"YES","NO"))</f>
        <v>YES</v>
      </c>
      <c r="AL110" t="str">
        <f>IF($A110="","",IF(AND($C110&amp;"-"&amp;$D110&gt;=Settings!$B$19,$C110&amp;"-"&amp;$D110&lt;=Settings!$B$20),"IN","OUT"))</f>
        <v>IN</v>
      </c>
      <c r="AM110">
        <f t="shared" si="4"/>
        <v>6.3619999999999996E-3</v>
      </c>
      <c r="AN110">
        <f t="shared" si="5"/>
        <v>2.0993000000000001E-2</v>
      </c>
      <c r="AO110">
        <f>IF(ISNUMBER($AM110),ABS(IF(ISNUMBER($G110),$G110,0)-Settings!$B$25),"")</f>
        <v>5.2499999999999998E-2</v>
      </c>
      <c r="AP110">
        <f t="shared" si="6"/>
        <v>3.3400499999999996E-4</v>
      </c>
      <c r="AQ110">
        <f>IF(ISNUMBER($AN110),ABS(IF(ISNUMBER($G110),$G110,0)-Settings!$B$25),"")</f>
        <v>5.2499999999999998E-2</v>
      </c>
      <c r="AR110">
        <f t="shared" si="7"/>
        <v>1.1021325E-3</v>
      </c>
      <c r="AS110" t="str">
        <f>IF($A110="","",IFERROR(INDEX(Company_List!$H$3:$H$207,MATCH($A110,Company_List!$A$3:$A$207,0)),"unassigned"))</f>
        <v>Financials</v>
      </c>
      <c r="AT110" t="s">
        <v>1915</v>
      </c>
      <c r="AU110" t="s">
        <v>1916</v>
      </c>
      <c r="AV110">
        <v>2</v>
      </c>
      <c r="AW110" t="s">
        <v>561</v>
      </c>
      <c r="AX110" t="s">
        <v>561</v>
      </c>
      <c r="AY110" t="s">
        <v>550</v>
      </c>
      <c r="AZ110" t="s">
        <v>562</v>
      </c>
      <c r="BA110" t="s">
        <v>554</v>
      </c>
    </row>
    <row r="111" spans="1:54" x14ac:dyDescent="0.2">
      <c r="A111" s="115" t="s">
        <v>1005</v>
      </c>
      <c r="B111" s="117" t="s">
        <v>1962</v>
      </c>
      <c r="C111" s="105">
        <v>2025</v>
      </c>
      <c r="D111" s="106" t="s">
        <v>555</v>
      </c>
      <c r="E111" s="109" t="s">
        <v>1911</v>
      </c>
      <c r="F111" s="106" t="s">
        <v>1912</v>
      </c>
      <c r="G111" s="128">
        <v>0.1825</v>
      </c>
      <c r="H111" s="106" t="s">
        <v>1913</v>
      </c>
      <c r="I111" s="128"/>
      <c r="J111" s="125">
        <v>45867</v>
      </c>
      <c r="K111" s="126">
        <v>45866</v>
      </c>
      <c r="L111" s="129">
        <v>19.41</v>
      </c>
      <c r="M111" s="126">
        <v>45867</v>
      </c>
      <c r="N111" s="129">
        <v>19.82</v>
      </c>
      <c r="O111" s="132">
        <v>2.7562E-2</v>
      </c>
      <c r="P111" s="107">
        <v>2.1122999999999999E-2</v>
      </c>
      <c r="Q111" s="106" t="s">
        <v>591</v>
      </c>
      <c r="R111" s="106" t="s">
        <v>546</v>
      </c>
      <c r="S111" s="105">
        <v>0</v>
      </c>
      <c r="T111" s="107">
        <v>0</v>
      </c>
      <c r="U111" s="130" t="s">
        <v>1914</v>
      </c>
      <c r="V111" t="s">
        <v>549</v>
      </c>
      <c r="W111" t="s">
        <v>864</v>
      </c>
      <c r="X111" t="s">
        <v>1006</v>
      </c>
      <c r="Y111" t="s">
        <v>619</v>
      </c>
      <c r="Z111">
        <v>361.0883</v>
      </c>
      <c r="AA111" t="s">
        <v>620</v>
      </c>
      <c r="AB111">
        <v>359.48880000000003</v>
      </c>
      <c r="AC111">
        <v>-4.4296653674348249E-3</v>
      </c>
      <c r="AD111" t="s">
        <v>579</v>
      </c>
      <c r="AE111" t="s">
        <v>554</v>
      </c>
      <c r="AF111">
        <v>0</v>
      </c>
      <c r="AG111" t="str">
        <f>IF($A111="","",IFERROR(INDEX(Company_List!$G$3:$G$207,MATCH($A111,Company_List!$A$3:$A$207,0)),"unassigned"))</f>
        <v>P2</v>
      </c>
      <c r="AH111" t="s">
        <v>1965</v>
      </c>
      <c r="AI111" t="s">
        <v>1966</v>
      </c>
      <c r="AJ111" t="s">
        <v>754</v>
      </c>
      <c r="AK111" t="str">
        <f>IF($A111="","",IF(COUNTIFS(Human_Data_Entry!$A$3:$A$525,$A111)&gt;0,"YES","NO"))</f>
        <v>YES</v>
      </c>
      <c r="AL111" t="str">
        <f>IF($A111="","",IF(AND($C111&amp;"-"&amp;$D111&gt;=Settings!$B$19,$C111&amp;"-"&amp;$D111&lt;=Settings!$B$20),"IN","OUT"))</f>
        <v>IN</v>
      </c>
      <c r="AM111" t="str">
        <f t="shared" si="4"/>
        <v/>
      </c>
      <c r="AN111" t="str">
        <f t="shared" si="5"/>
        <v/>
      </c>
      <c r="AO111" t="str">
        <f>IF(ISNUMBER($AM111),ABS(IF(ISNUMBER($G111),$G111,0)-Settings!$B$25),"")</f>
        <v/>
      </c>
      <c r="AP111" t="str">
        <f t="shared" si="6"/>
        <v/>
      </c>
      <c r="AQ111" t="str">
        <f>IF(ISNUMBER($AN111),ABS(IF(ISNUMBER($G111),$G111,0)-Settings!$B$25),"")</f>
        <v/>
      </c>
      <c r="AR111" t="str">
        <f t="shared" si="7"/>
        <v/>
      </c>
      <c r="AS111" t="str">
        <f>IF($A111="","",IFERROR(INDEX(Company_List!$H$3:$H$207,MATCH($A111,Company_List!$A$3:$A$207,0)),"unassigned"))</f>
        <v>Financials</v>
      </c>
      <c r="AT111" t="s">
        <v>1915</v>
      </c>
      <c r="AU111" t="s">
        <v>1916</v>
      </c>
      <c r="AV111">
        <v>2</v>
      </c>
      <c r="AW111" t="s">
        <v>561</v>
      </c>
      <c r="AX111" t="s">
        <v>561</v>
      </c>
      <c r="AY111" t="s">
        <v>550</v>
      </c>
      <c r="AZ111" t="s">
        <v>562</v>
      </c>
      <c r="BA111" t="s">
        <v>554</v>
      </c>
    </row>
    <row r="112" spans="1:54" x14ac:dyDescent="0.2">
      <c r="A112" s="115" t="s">
        <v>1005</v>
      </c>
      <c r="B112" s="117" t="s">
        <v>1962</v>
      </c>
      <c r="C112" s="105">
        <v>2025</v>
      </c>
      <c r="D112" s="106" t="s">
        <v>563</v>
      </c>
      <c r="E112" s="109" t="s">
        <v>1911</v>
      </c>
      <c r="F112" s="106" t="s">
        <v>1912</v>
      </c>
      <c r="G112" s="128">
        <v>0.32750000000000001</v>
      </c>
      <c r="H112" s="106" t="s">
        <v>1919</v>
      </c>
      <c r="I112" s="128"/>
      <c r="J112" s="125">
        <v>45952</v>
      </c>
      <c r="K112" s="126">
        <v>45951</v>
      </c>
      <c r="L112" s="129">
        <v>19.489999999999998</v>
      </c>
      <c r="M112" s="126">
        <v>45952</v>
      </c>
      <c r="N112" s="129">
        <v>20.47</v>
      </c>
      <c r="O112" s="132">
        <v>1.7673000000000001E-2</v>
      </c>
      <c r="P112" s="107">
        <v>5.0282E-2</v>
      </c>
      <c r="Q112" s="106" t="s">
        <v>591</v>
      </c>
      <c r="R112" s="106" t="s">
        <v>554</v>
      </c>
      <c r="S112" s="105">
        <v>1</v>
      </c>
      <c r="T112" s="107">
        <v>4.9281999999999999E-2</v>
      </c>
      <c r="U112" s="130" t="s">
        <v>1914</v>
      </c>
      <c r="V112" t="s">
        <v>549</v>
      </c>
      <c r="W112" t="s">
        <v>864</v>
      </c>
      <c r="X112" t="s">
        <v>1006</v>
      </c>
      <c r="Y112" t="s">
        <v>565</v>
      </c>
      <c r="Z112">
        <v>364.16730000000001</v>
      </c>
      <c r="AA112" t="s">
        <v>566</v>
      </c>
      <c r="AB112">
        <v>372.41539999999998</v>
      </c>
      <c r="AC112">
        <v>2.2649285069589509E-2</v>
      </c>
      <c r="AD112" t="s">
        <v>591</v>
      </c>
      <c r="AE112" t="s">
        <v>554</v>
      </c>
      <c r="AF112">
        <v>2.1649000000000002E-2</v>
      </c>
      <c r="AG112" t="str">
        <f>IF($A112="","",IFERROR(INDEX(Company_List!$G$3:$G$207,MATCH($A112,Company_List!$A$3:$A$207,0)),"unassigned"))</f>
        <v>P2</v>
      </c>
      <c r="AH112" t="s">
        <v>1967</v>
      </c>
      <c r="AI112" t="s">
        <v>1968</v>
      </c>
      <c r="AJ112" t="s">
        <v>754</v>
      </c>
      <c r="AK112" t="str">
        <f>IF($A112="","",IF(COUNTIFS(Human_Data_Entry!$A$3:$A$525,$A112)&gt;0,"YES","NO"))</f>
        <v>YES</v>
      </c>
      <c r="AL112" t="str">
        <f>IF($A112="","",IF(AND($C112&amp;"-"&amp;$D112&gt;=Settings!$B$19,$C112&amp;"-"&amp;$D112&lt;=Settings!$B$20),"IN","OUT"))</f>
        <v>IN</v>
      </c>
      <c r="AM112">
        <f t="shared" si="4"/>
        <v>4.9281999999999999E-2</v>
      </c>
      <c r="AN112">
        <f t="shared" si="5"/>
        <v>2.1649000000000002E-2</v>
      </c>
      <c r="AO112">
        <f>IF(ISNUMBER($AM112),ABS(IF(ISNUMBER($G112),$G112,0)-Settings!$B$25),"")</f>
        <v>0.32750000000000001</v>
      </c>
      <c r="AP112">
        <f t="shared" si="6"/>
        <v>1.6139855000000002E-2</v>
      </c>
      <c r="AQ112">
        <f>IF(ISNUMBER($AN112),ABS(IF(ISNUMBER($G112),$G112,0)-Settings!$B$25),"")</f>
        <v>0.32750000000000001</v>
      </c>
      <c r="AR112">
        <f t="shared" si="7"/>
        <v>7.090047500000001E-3</v>
      </c>
      <c r="AS112" t="str">
        <f>IF($A112="","",IFERROR(INDEX(Company_List!$H$3:$H$207,MATCH($A112,Company_List!$A$3:$A$207,0)),"unassigned"))</f>
        <v>Financials</v>
      </c>
      <c r="AT112" t="s">
        <v>1915</v>
      </c>
      <c r="AU112" t="s">
        <v>1916</v>
      </c>
      <c r="AV112">
        <v>2</v>
      </c>
      <c r="AW112" t="s">
        <v>595</v>
      </c>
      <c r="AX112" t="s">
        <v>596</v>
      </c>
      <c r="AY112" t="s">
        <v>550</v>
      </c>
      <c r="AZ112" t="s">
        <v>562</v>
      </c>
      <c r="BA112" t="s">
        <v>554</v>
      </c>
    </row>
    <row r="113" spans="1:53" x14ac:dyDescent="0.2">
      <c r="A113" s="115" t="s">
        <v>999</v>
      </c>
      <c r="B113" s="117" t="s">
        <v>1000</v>
      </c>
      <c r="C113" s="105">
        <v>2026</v>
      </c>
      <c r="D113" s="106" t="s">
        <v>537</v>
      </c>
      <c r="E113" s="109" t="s">
        <v>1911</v>
      </c>
      <c r="F113" s="106" t="s">
        <v>1912</v>
      </c>
      <c r="G113" s="128">
        <v>0.14000000000000001</v>
      </c>
      <c r="H113" s="106" t="s">
        <v>1913</v>
      </c>
      <c r="I113" s="128"/>
      <c r="J113" s="125">
        <v>46141</v>
      </c>
      <c r="K113" s="126">
        <v>46141</v>
      </c>
      <c r="L113" s="129">
        <v>12.24</v>
      </c>
      <c r="M113" s="126">
        <v>46142</v>
      </c>
      <c r="N113" s="129">
        <v>11.55</v>
      </c>
      <c r="O113" s="132">
        <v>9.0539999999999995E-3</v>
      </c>
      <c r="P113" s="107">
        <v>-5.6372999999999999E-2</v>
      </c>
      <c r="Q113" s="106" t="s">
        <v>545</v>
      </c>
      <c r="R113" s="106" t="s">
        <v>546</v>
      </c>
      <c r="S113" s="105">
        <v>0</v>
      </c>
      <c r="T113" s="107">
        <v>0</v>
      </c>
      <c r="U113" s="130" t="s">
        <v>1914</v>
      </c>
      <c r="V113" t="s">
        <v>549</v>
      </c>
      <c r="W113" t="s">
        <v>541</v>
      </c>
      <c r="X113" t="s">
        <v>1000</v>
      </c>
      <c r="Y113" t="s">
        <v>656</v>
      </c>
      <c r="Z113">
        <v>12.0876</v>
      </c>
      <c r="AA113" t="s">
        <v>657</v>
      </c>
      <c r="AB113">
        <v>11.4062</v>
      </c>
      <c r="AC113">
        <v>-5.6372604337555518E-2</v>
      </c>
      <c r="AD113" t="s">
        <v>545</v>
      </c>
      <c r="AE113" t="s">
        <v>546</v>
      </c>
      <c r="AF113">
        <v>0</v>
      </c>
      <c r="AG113" t="str">
        <f>IF($A113="","",IFERROR(INDEX(Company_List!$G$3:$G$207,MATCH($A113,Company_List!$A$3:$A$207,0)),"unassigned"))</f>
        <v>P2</v>
      </c>
      <c r="AH113" t="s">
        <v>1004</v>
      </c>
      <c r="AJ113" t="s">
        <v>548</v>
      </c>
      <c r="AK113" t="str">
        <f>IF($A113="","",IF(COUNTIFS(Human_Data_Entry!$A$3:$A$525,$A113)&gt;0,"YES","NO"))</f>
        <v>YES</v>
      </c>
      <c r="AL113" t="str">
        <f>IF($A113="","",IF(AND($C113&amp;"-"&amp;$D113&gt;=Settings!$B$19,$C113&amp;"-"&amp;$D113&lt;=Settings!$B$20),"IN","OUT"))</f>
        <v>IN</v>
      </c>
      <c r="AM113" t="str">
        <f t="shared" si="4"/>
        <v/>
      </c>
      <c r="AN113" t="str">
        <f t="shared" si="5"/>
        <v/>
      </c>
      <c r="AO113" t="str">
        <f>IF(ISNUMBER($AM113),ABS(IF(ISNUMBER($G113),$G113,0)-Settings!$B$25),"")</f>
        <v/>
      </c>
      <c r="AP113" t="str">
        <f t="shared" si="6"/>
        <v/>
      </c>
      <c r="AQ113" t="str">
        <f>IF(ISNUMBER($AN113),ABS(IF(ISNUMBER($G113),$G113,0)-Settings!$B$25),"")</f>
        <v/>
      </c>
      <c r="AR113" t="str">
        <f t="shared" si="7"/>
        <v/>
      </c>
      <c r="AS113" t="str">
        <f>IF($A113="","",IFERROR(INDEX(Company_List!$H$3:$H$207,MATCH($A113,Company_List!$A$3:$A$207,0)),"unassigned"))</f>
        <v>Consumer Discretionary</v>
      </c>
      <c r="AT113" t="s">
        <v>1915</v>
      </c>
      <c r="AU113" t="s">
        <v>1916</v>
      </c>
      <c r="AV113">
        <v>1</v>
      </c>
      <c r="AW113" t="s">
        <v>561</v>
      </c>
      <c r="AX113" t="s">
        <v>561</v>
      </c>
      <c r="AY113" t="s">
        <v>550</v>
      </c>
      <c r="AZ113" t="s">
        <v>550</v>
      </c>
      <c r="BA113" t="s">
        <v>554</v>
      </c>
    </row>
    <row r="114" spans="1:53" x14ac:dyDescent="0.2">
      <c r="A114" s="115" t="s">
        <v>999</v>
      </c>
      <c r="B114" s="117" t="s">
        <v>1000</v>
      </c>
      <c r="C114" s="105">
        <v>2025</v>
      </c>
      <c r="D114" s="106" t="s">
        <v>555</v>
      </c>
      <c r="E114" s="109" t="s">
        <v>1911</v>
      </c>
      <c r="F114" s="106" t="s">
        <v>1912</v>
      </c>
      <c r="G114" s="128">
        <v>-0.12</v>
      </c>
      <c r="H114" s="106" t="s">
        <v>1923</v>
      </c>
      <c r="I114" s="128"/>
      <c r="J114" s="125">
        <v>45868</v>
      </c>
      <c r="K114" s="126">
        <v>45868</v>
      </c>
      <c r="L114" s="129">
        <v>10.87</v>
      </c>
      <c r="M114" s="126">
        <v>45869</v>
      </c>
      <c r="N114" s="129">
        <v>10.77</v>
      </c>
      <c r="O114" s="132">
        <v>9.2339999999999992E-3</v>
      </c>
      <c r="P114" s="107">
        <v>-9.1999999999999998E-3</v>
      </c>
      <c r="Q114" s="106" t="s">
        <v>579</v>
      </c>
      <c r="R114" s="106" t="s">
        <v>546</v>
      </c>
      <c r="S114" s="105">
        <v>-1</v>
      </c>
      <c r="T114" s="107">
        <v>8.2000000000000007E-3</v>
      </c>
      <c r="U114" s="130" t="s">
        <v>1944</v>
      </c>
      <c r="V114" t="s">
        <v>549</v>
      </c>
      <c r="W114" t="s">
        <v>541</v>
      </c>
      <c r="X114" t="s">
        <v>1000</v>
      </c>
      <c r="Y114" t="s">
        <v>1001</v>
      </c>
      <c r="Z114">
        <v>10.3591</v>
      </c>
      <c r="AA114" t="s">
        <v>687</v>
      </c>
      <c r="AB114">
        <v>10.2638</v>
      </c>
      <c r="AC114">
        <v>-9.1996037618700538E-3</v>
      </c>
      <c r="AD114" t="s">
        <v>579</v>
      </c>
      <c r="AE114" t="s">
        <v>546</v>
      </c>
      <c r="AF114">
        <v>8.2000000000000007E-3</v>
      </c>
      <c r="AG114" t="str">
        <f>IF($A114="","",IFERROR(INDEX(Company_List!$G$3:$G$207,MATCH($A114,Company_List!$A$3:$A$207,0)),"unassigned"))</f>
        <v>P2</v>
      </c>
      <c r="AH114" t="s">
        <v>1002</v>
      </c>
      <c r="AJ114" t="s">
        <v>548</v>
      </c>
      <c r="AK114" t="str">
        <f>IF($A114="","",IF(COUNTIFS(Human_Data_Entry!$A$3:$A$525,$A114)&gt;0,"YES","NO"))</f>
        <v>YES</v>
      </c>
      <c r="AL114" t="str">
        <f>IF($A114="","",IF(AND($C114&amp;"-"&amp;$D114&gt;=Settings!$B$19,$C114&amp;"-"&amp;$D114&lt;=Settings!$B$20),"IN","OUT"))</f>
        <v>IN</v>
      </c>
      <c r="AM114">
        <f t="shared" si="4"/>
        <v>8.2000000000000007E-3</v>
      </c>
      <c r="AN114">
        <f t="shared" si="5"/>
        <v>8.2000000000000007E-3</v>
      </c>
      <c r="AO114">
        <f>IF(ISNUMBER($AM114),ABS(IF(ISNUMBER($G114),$G114,0)-Settings!$B$25),"")</f>
        <v>0.12</v>
      </c>
      <c r="AP114">
        <f t="shared" si="6"/>
        <v>9.8400000000000007E-4</v>
      </c>
      <c r="AQ114">
        <f>IF(ISNUMBER($AN114),ABS(IF(ISNUMBER($G114),$G114,0)-Settings!$B$25),"")</f>
        <v>0.12</v>
      </c>
      <c r="AR114">
        <f t="shared" si="7"/>
        <v>9.8400000000000007E-4</v>
      </c>
      <c r="AS114" t="str">
        <f>IF($A114="","",IFERROR(INDEX(Company_List!$H$3:$H$207,MATCH($A114,Company_List!$A$3:$A$207,0)),"unassigned"))</f>
        <v>Consumer Discretionary</v>
      </c>
      <c r="AT114" t="s">
        <v>1915</v>
      </c>
      <c r="AU114" t="s">
        <v>1916</v>
      </c>
      <c r="AV114">
        <v>1</v>
      </c>
      <c r="AW114" t="s">
        <v>561</v>
      </c>
      <c r="AX114" t="s">
        <v>561</v>
      </c>
      <c r="AY114" t="s">
        <v>550</v>
      </c>
      <c r="AZ114" t="s">
        <v>550</v>
      </c>
      <c r="BA114" t="s">
        <v>554</v>
      </c>
    </row>
    <row r="115" spans="1:53" x14ac:dyDescent="0.2">
      <c r="A115" s="115" t="s">
        <v>999</v>
      </c>
      <c r="B115" s="117" t="s">
        <v>1000</v>
      </c>
      <c r="C115" s="105">
        <v>2025</v>
      </c>
      <c r="D115" s="106" t="s">
        <v>569</v>
      </c>
      <c r="E115" s="109" t="s">
        <v>1911</v>
      </c>
      <c r="F115" s="106" t="s">
        <v>1912</v>
      </c>
      <c r="G115" s="128">
        <v>0.27750000000000002</v>
      </c>
      <c r="H115" s="106" t="s">
        <v>1919</v>
      </c>
      <c r="I115" s="128"/>
      <c r="J115" s="125">
        <v>46063</v>
      </c>
      <c r="K115" s="126">
        <v>46063</v>
      </c>
      <c r="L115" s="129">
        <v>13.57</v>
      </c>
      <c r="M115" s="126">
        <v>46064</v>
      </c>
      <c r="N115" s="129">
        <v>13.62</v>
      </c>
      <c r="O115" s="132">
        <v>9.7140000000000004E-3</v>
      </c>
      <c r="P115" s="107">
        <v>3.6849999999999999E-3</v>
      </c>
      <c r="Q115" s="106" t="s">
        <v>579</v>
      </c>
      <c r="R115" s="106" t="s">
        <v>546</v>
      </c>
      <c r="S115" s="105">
        <v>1</v>
      </c>
      <c r="T115" s="107">
        <v>2.6849999999999999E-3</v>
      </c>
      <c r="U115" s="130" t="s">
        <v>1914</v>
      </c>
      <c r="V115" t="s">
        <v>549</v>
      </c>
      <c r="W115" t="s">
        <v>807</v>
      </c>
      <c r="X115" t="s">
        <v>1000</v>
      </c>
      <c r="Y115" t="s">
        <v>705</v>
      </c>
      <c r="Z115">
        <v>13.2575</v>
      </c>
      <c r="AA115" t="s">
        <v>676</v>
      </c>
      <c r="AB115">
        <v>13.3063</v>
      </c>
      <c r="AC115">
        <v>3.6846837062562941E-3</v>
      </c>
      <c r="AD115" t="s">
        <v>579</v>
      </c>
      <c r="AE115" t="s">
        <v>546</v>
      </c>
      <c r="AF115">
        <v>2.6849999999999999E-3</v>
      </c>
      <c r="AG115" t="str">
        <f>IF($A115="","",IFERROR(INDEX(Company_List!$G$3:$G$207,MATCH($A115,Company_List!$A$3:$A$207,0)),"unassigned"))</f>
        <v>P2</v>
      </c>
      <c r="AH115" t="s">
        <v>1003</v>
      </c>
      <c r="AJ115" t="s">
        <v>548</v>
      </c>
      <c r="AK115" t="str">
        <f>IF($A115="","",IF(COUNTIFS(Human_Data_Entry!$A$3:$A$525,$A115)&gt;0,"YES","NO"))</f>
        <v>YES</v>
      </c>
      <c r="AL115" t="str">
        <f>IF($A115="","",IF(AND($C115&amp;"-"&amp;$D115&gt;=Settings!$B$19,$C115&amp;"-"&amp;$D115&lt;=Settings!$B$20),"IN","OUT"))</f>
        <v>IN</v>
      </c>
      <c r="AM115">
        <f t="shared" si="4"/>
        <v>2.6849999999999999E-3</v>
      </c>
      <c r="AN115">
        <f t="shared" si="5"/>
        <v>2.6849999999999999E-3</v>
      </c>
      <c r="AO115">
        <f>IF(ISNUMBER($AM115),ABS(IF(ISNUMBER($G115),$G115,0)-Settings!$B$25),"")</f>
        <v>0.27750000000000002</v>
      </c>
      <c r="AP115">
        <f t="shared" si="6"/>
        <v>7.4508750000000002E-4</v>
      </c>
      <c r="AQ115">
        <f>IF(ISNUMBER($AN115),ABS(IF(ISNUMBER($G115),$G115,0)-Settings!$B$25),"")</f>
        <v>0.27750000000000002</v>
      </c>
      <c r="AR115">
        <f t="shared" si="7"/>
        <v>7.4508750000000002E-4</v>
      </c>
      <c r="AS115" t="str">
        <f>IF($A115="","",IFERROR(INDEX(Company_List!$H$3:$H$207,MATCH($A115,Company_List!$A$3:$A$207,0)),"unassigned"))</f>
        <v>Consumer Discretionary</v>
      </c>
      <c r="AT115" t="s">
        <v>1915</v>
      </c>
      <c r="AU115" t="s">
        <v>1916</v>
      </c>
      <c r="AV115">
        <v>1</v>
      </c>
      <c r="AW115" t="s">
        <v>561</v>
      </c>
      <c r="AX115" t="s">
        <v>561</v>
      </c>
      <c r="AY115" t="s">
        <v>550</v>
      </c>
      <c r="AZ115" t="s">
        <v>550</v>
      </c>
      <c r="BA115" t="s">
        <v>554</v>
      </c>
    </row>
    <row r="116" spans="1:53" x14ac:dyDescent="0.2">
      <c r="A116" s="115" t="s">
        <v>987</v>
      </c>
      <c r="B116" s="117" t="s">
        <v>988</v>
      </c>
      <c r="C116" s="105">
        <v>2025</v>
      </c>
      <c r="D116" s="106" t="s">
        <v>537</v>
      </c>
      <c r="E116" s="109" t="s">
        <v>1911</v>
      </c>
      <c r="F116" s="106" t="s">
        <v>1912</v>
      </c>
      <c r="G116" s="128">
        <v>0.25</v>
      </c>
      <c r="H116" s="106" t="s">
        <v>1913</v>
      </c>
      <c r="I116" s="128"/>
      <c r="J116" s="125">
        <v>45595</v>
      </c>
      <c r="K116" s="126">
        <v>45595</v>
      </c>
      <c r="L116" s="129">
        <v>432.53</v>
      </c>
      <c r="M116" s="126">
        <v>45596</v>
      </c>
      <c r="N116" s="129">
        <v>415.36</v>
      </c>
      <c r="O116" s="132">
        <v>1.1334E-2</v>
      </c>
      <c r="P116" s="107">
        <v>-3.9697000000000003E-2</v>
      </c>
      <c r="Q116" s="106" t="s">
        <v>545</v>
      </c>
      <c r="R116" s="106" t="s">
        <v>546</v>
      </c>
      <c r="S116" s="105">
        <v>0</v>
      </c>
      <c r="T116" s="107">
        <v>0</v>
      </c>
      <c r="U116" s="130" t="s">
        <v>1914</v>
      </c>
      <c r="V116" t="s">
        <v>549</v>
      </c>
      <c r="W116" t="s">
        <v>685</v>
      </c>
      <c r="X116" t="s">
        <v>988</v>
      </c>
      <c r="Y116" t="s">
        <v>989</v>
      </c>
      <c r="Z116">
        <v>426.60520000000002</v>
      </c>
      <c r="AA116" t="s">
        <v>990</v>
      </c>
      <c r="AB116">
        <v>409.6703</v>
      </c>
      <c r="AC116">
        <v>-3.9696777796284291E-2</v>
      </c>
      <c r="AD116" t="s">
        <v>545</v>
      </c>
      <c r="AE116" t="s">
        <v>546</v>
      </c>
      <c r="AF116">
        <v>0</v>
      </c>
      <c r="AG116" t="str">
        <f>IF($A116="","",IFERROR(INDEX(Company_List!$G$3:$G$207,MATCH($A116,Company_List!$A$3:$A$207,0)),"unassigned"))</f>
        <v>P2</v>
      </c>
      <c r="AH116" t="s">
        <v>1969</v>
      </c>
      <c r="AI116" t="s">
        <v>1970</v>
      </c>
      <c r="AJ116" t="s">
        <v>754</v>
      </c>
      <c r="AK116" t="str">
        <f>IF($A116="","",IF(COUNTIFS(Human_Data_Entry!$A$3:$A$525,$A116)&gt;0,"YES","NO"))</f>
        <v>YES</v>
      </c>
      <c r="AL116" t="str">
        <f>IF($A116="","",IF(AND($C116&amp;"-"&amp;$D116&gt;=Settings!$B$19,$C116&amp;"-"&amp;$D116&lt;=Settings!$B$20),"IN","OUT"))</f>
        <v>IN</v>
      </c>
      <c r="AM116" t="str">
        <f t="shared" si="4"/>
        <v/>
      </c>
      <c r="AN116" t="str">
        <f t="shared" si="5"/>
        <v/>
      </c>
      <c r="AO116" t="str">
        <f>IF(ISNUMBER($AM116),ABS(IF(ISNUMBER($G116),$G116,0)-Settings!$B$25),"")</f>
        <v/>
      </c>
      <c r="AP116" t="str">
        <f t="shared" si="6"/>
        <v/>
      </c>
      <c r="AQ116" t="str">
        <f>IF(ISNUMBER($AN116),ABS(IF(ISNUMBER($G116),$G116,0)-Settings!$B$25),"")</f>
        <v/>
      </c>
      <c r="AR116" t="str">
        <f t="shared" si="7"/>
        <v/>
      </c>
      <c r="AS116" t="str">
        <f>IF($A116="","",IFERROR(INDEX(Company_List!$H$3:$H$207,MATCH($A116,Company_List!$A$3:$A$207,0)),"unassigned"))</f>
        <v>Information Technology</v>
      </c>
      <c r="AT116" t="s">
        <v>1915</v>
      </c>
      <c r="AU116" t="s">
        <v>1916</v>
      </c>
      <c r="AV116">
        <v>2</v>
      </c>
      <c r="AW116" t="s">
        <v>561</v>
      </c>
      <c r="AX116" t="s">
        <v>561</v>
      </c>
      <c r="AY116" t="s">
        <v>550</v>
      </c>
      <c r="AZ116" t="s">
        <v>562</v>
      </c>
      <c r="BA116" t="s">
        <v>554</v>
      </c>
    </row>
    <row r="117" spans="1:53" x14ac:dyDescent="0.2">
      <c r="A117" s="115" t="s">
        <v>987</v>
      </c>
      <c r="B117" s="117" t="s">
        <v>988</v>
      </c>
      <c r="C117" s="105">
        <v>2026</v>
      </c>
      <c r="D117" s="106" t="s">
        <v>537</v>
      </c>
      <c r="E117" s="109" t="s">
        <v>1911</v>
      </c>
      <c r="F117" s="106" t="s">
        <v>1912</v>
      </c>
      <c r="G117" s="128">
        <v>0.3</v>
      </c>
      <c r="H117" s="106" t="s">
        <v>1919</v>
      </c>
      <c r="I117" s="128"/>
      <c r="J117" s="125">
        <v>45959</v>
      </c>
      <c r="K117" s="126">
        <v>45959</v>
      </c>
      <c r="L117" s="129">
        <v>541.54999999999995</v>
      </c>
      <c r="M117" s="126">
        <v>45960</v>
      </c>
      <c r="N117" s="129">
        <v>530.48</v>
      </c>
      <c r="O117" s="132">
        <v>9.9069999999999991E-3</v>
      </c>
      <c r="P117" s="107">
        <v>-2.0441000000000001E-2</v>
      </c>
      <c r="Q117" s="106" t="s">
        <v>545</v>
      </c>
      <c r="R117" s="106" t="s">
        <v>546</v>
      </c>
      <c r="S117" s="105">
        <v>1</v>
      </c>
      <c r="T117" s="107">
        <v>-2.1441000000000002E-2</v>
      </c>
      <c r="U117" s="130" t="s">
        <v>1914</v>
      </c>
      <c r="V117" t="s">
        <v>549</v>
      </c>
      <c r="W117" t="s">
        <v>541</v>
      </c>
      <c r="X117" t="s">
        <v>988</v>
      </c>
      <c r="Y117" t="s">
        <v>626</v>
      </c>
      <c r="Z117">
        <v>538.14179999999999</v>
      </c>
      <c r="AA117" t="s">
        <v>660</v>
      </c>
      <c r="AB117">
        <v>527.14149999999995</v>
      </c>
      <c r="AC117">
        <v>-2.0441241690054662E-2</v>
      </c>
      <c r="AD117" t="s">
        <v>545</v>
      </c>
      <c r="AE117" t="s">
        <v>546</v>
      </c>
      <c r="AF117">
        <v>-2.1441000000000002E-2</v>
      </c>
      <c r="AG117" t="str">
        <f>IF($A117="","",IFERROR(INDEX(Company_List!$G$3:$G$207,MATCH($A117,Company_List!$A$3:$A$207,0)),"unassigned"))</f>
        <v>P2</v>
      </c>
      <c r="AH117" t="s">
        <v>1971</v>
      </c>
      <c r="AI117" t="s">
        <v>1972</v>
      </c>
      <c r="AJ117" t="s">
        <v>754</v>
      </c>
      <c r="AK117" t="str">
        <f>IF($A117="","",IF(COUNTIFS(Human_Data_Entry!$A$3:$A$525,$A117)&gt;0,"YES","NO"))</f>
        <v>YES</v>
      </c>
      <c r="AL117" t="str">
        <f>IF($A117="","",IF(AND($C117&amp;"-"&amp;$D117&gt;=Settings!$B$19,$C117&amp;"-"&amp;$D117&lt;=Settings!$B$20),"IN","OUT"))</f>
        <v>IN</v>
      </c>
      <c r="AM117">
        <f t="shared" si="4"/>
        <v>-2.1441000000000002E-2</v>
      </c>
      <c r="AN117">
        <f t="shared" si="5"/>
        <v>-2.1441000000000002E-2</v>
      </c>
      <c r="AO117">
        <f>IF(ISNUMBER($AM117),ABS(IF(ISNUMBER($G117),$G117,0)-Settings!$B$25),"")</f>
        <v>0.3</v>
      </c>
      <c r="AP117">
        <f t="shared" si="6"/>
        <v>-6.4323000000000002E-3</v>
      </c>
      <c r="AQ117">
        <f>IF(ISNUMBER($AN117),ABS(IF(ISNUMBER($G117),$G117,0)-Settings!$B$25),"")</f>
        <v>0.3</v>
      </c>
      <c r="AR117">
        <f t="shared" si="7"/>
        <v>-6.4323000000000002E-3</v>
      </c>
      <c r="AS117" t="str">
        <f>IF($A117="","",IFERROR(INDEX(Company_List!$H$3:$H$207,MATCH($A117,Company_List!$A$3:$A$207,0)),"unassigned"))</f>
        <v>Information Technology</v>
      </c>
      <c r="AT117" t="s">
        <v>1915</v>
      </c>
      <c r="AU117" t="s">
        <v>1916</v>
      </c>
      <c r="AV117">
        <v>2</v>
      </c>
      <c r="AW117" t="s">
        <v>561</v>
      </c>
      <c r="AX117" t="s">
        <v>561</v>
      </c>
      <c r="AY117" t="s">
        <v>550</v>
      </c>
      <c r="AZ117" t="s">
        <v>562</v>
      </c>
      <c r="BA117" t="s">
        <v>554</v>
      </c>
    </row>
    <row r="118" spans="1:53" x14ac:dyDescent="0.2">
      <c r="A118" s="115" t="s">
        <v>987</v>
      </c>
      <c r="B118" s="117" t="s">
        <v>988</v>
      </c>
      <c r="C118" s="105">
        <v>2025</v>
      </c>
      <c r="D118" s="106" t="s">
        <v>555</v>
      </c>
      <c r="E118" s="109" t="s">
        <v>1911</v>
      </c>
      <c r="F118" s="106" t="s">
        <v>1912</v>
      </c>
      <c r="G118" s="128">
        <v>0.3</v>
      </c>
      <c r="H118" s="106" t="s">
        <v>1919</v>
      </c>
      <c r="I118" s="128"/>
      <c r="J118" s="125">
        <v>45686</v>
      </c>
      <c r="K118" s="126">
        <v>45686</v>
      </c>
      <c r="L118" s="129">
        <v>442.33</v>
      </c>
      <c r="M118" s="126">
        <v>45687</v>
      </c>
      <c r="N118" s="129">
        <v>418.77</v>
      </c>
      <c r="O118" s="132">
        <v>1.0581E-2</v>
      </c>
      <c r="P118" s="107">
        <v>-5.3262999999999998E-2</v>
      </c>
      <c r="Q118" s="106" t="s">
        <v>545</v>
      </c>
      <c r="R118" s="106" t="s">
        <v>546</v>
      </c>
      <c r="S118" s="105">
        <v>1</v>
      </c>
      <c r="T118" s="107">
        <v>-5.4262999999999999E-2</v>
      </c>
      <c r="U118" s="130" t="s">
        <v>1914</v>
      </c>
      <c r="V118" t="s">
        <v>549</v>
      </c>
      <c r="W118" t="s">
        <v>541</v>
      </c>
      <c r="X118" t="s">
        <v>988</v>
      </c>
      <c r="Y118" t="s">
        <v>993</v>
      </c>
      <c r="Z118">
        <v>437.14420000000001</v>
      </c>
      <c r="AA118" t="s">
        <v>994</v>
      </c>
      <c r="AB118">
        <v>413.86040000000003</v>
      </c>
      <c r="AC118">
        <v>-5.3263473442787597E-2</v>
      </c>
      <c r="AD118" t="s">
        <v>545</v>
      </c>
      <c r="AE118" t="s">
        <v>546</v>
      </c>
      <c r="AF118">
        <v>-5.4262999999999999E-2</v>
      </c>
      <c r="AG118" t="str">
        <f>IF($A118="","",IFERROR(INDEX(Company_List!$G$3:$G$207,MATCH($A118,Company_List!$A$3:$A$207,0)),"unassigned"))</f>
        <v>P2</v>
      </c>
      <c r="AH118" t="s">
        <v>1973</v>
      </c>
      <c r="AI118" t="s">
        <v>1974</v>
      </c>
      <c r="AJ118" t="s">
        <v>754</v>
      </c>
      <c r="AK118" t="str">
        <f>IF($A118="","",IF(COUNTIFS(Human_Data_Entry!$A$3:$A$525,$A118)&gt;0,"YES","NO"))</f>
        <v>YES</v>
      </c>
      <c r="AL118" t="str">
        <f>IF($A118="","",IF(AND($C118&amp;"-"&amp;$D118&gt;=Settings!$B$19,$C118&amp;"-"&amp;$D118&lt;=Settings!$B$20),"IN","OUT"))</f>
        <v>IN</v>
      </c>
      <c r="AM118">
        <f t="shared" si="4"/>
        <v>-5.4262999999999999E-2</v>
      </c>
      <c r="AN118">
        <f t="shared" si="5"/>
        <v>-5.4262999999999999E-2</v>
      </c>
      <c r="AO118">
        <f>IF(ISNUMBER($AM118),ABS(IF(ISNUMBER($G118),$G118,0)-Settings!$B$25),"")</f>
        <v>0.3</v>
      </c>
      <c r="AP118">
        <f t="shared" si="6"/>
        <v>-1.6278899999999999E-2</v>
      </c>
      <c r="AQ118">
        <f>IF(ISNUMBER($AN118),ABS(IF(ISNUMBER($G118),$G118,0)-Settings!$B$25),"")</f>
        <v>0.3</v>
      </c>
      <c r="AR118">
        <f t="shared" si="7"/>
        <v>-1.6278899999999999E-2</v>
      </c>
      <c r="AS118" t="str">
        <f>IF($A118="","",IFERROR(INDEX(Company_List!$H$3:$H$207,MATCH($A118,Company_List!$A$3:$A$207,0)),"unassigned"))</f>
        <v>Information Technology</v>
      </c>
      <c r="AT118" t="s">
        <v>1915</v>
      </c>
      <c r="AU118" t="s">
        <v>1916</v>
      </c>
      <c r="AV118">
        <v>2</v>
      </c>
      <c r="AW118" t="s">
        <v>595</v>
      </c>
      <c r="AX118" t="s">
        <v>596</v>
      </c>
      <c r="AY118" t="s">
        <v>550</v>
      </c>
      <c r="AZ118" t="s">
        <v>562</v>
      </c>
      <c r="BA118" t="s">
        <v>554</v>
      </c>
    </row>
    <row r="119" spans="1:53" x14ac:dyDescent="0.2">
      <c r="A119" s="115" t="s">
        <v>976</v>
      </c>
      <c r="B119" s="117" t="s">
        <v>977</v>
      </c>
      <c r="C119" s="105">
        <v>2025</v>
      </c>
      <c r="D119" s="106" t="s">
        <v>537</v>
      </c>
      <c r="E119" s="109" t="s">
        <v>1911</v>
      </c>
      <c r="F119" s="106" t="s">
        <v>1912</v>
      </c>
      <c r="G119" s="128">
        <v>-0.08</v>
      </c>
      <c r="H119" s="106" t="s">
        <v>1923</v>
      </c>
      <c r="I119" s="128"/>
      <c r="J119" s="125">
        <v>45776</v>
      </c>
      <c r="K119" s="126">
        <v>45775</v>
      </c>
      <c r="L119" s="129">
        <v>23.05</v>
      </c>
      <c r="M119" s="126">
        <v>45776</v>
      </c>
      <c r="N119" s="129">
        <v>22.83</v>
      </c>
      <c r="O119" s="132">
        <v>1.2341E-2</v>
      </c>
      <c r="P119" s="107">
        <v>-9.5440000000000004E-3</v>
      </c>
      <c r="Q119" s="106" t="s">
        <v>579</v>
      </c>
      <c r="R119" s="106" t="s">
        <v>546</v>
      </c>
      <c r="S119" s="105">
        <v>-1</v>
      </c>
      <c r="T119" s="107">
        <v>8.5439999999999995E-3</v>
      </c>
      <c r="U119" s="130" t="s">
        <v>1914</v>
      </c>
      <c r="V119" t="s">
        <v>549</v>
      </c>
      <c r="W119" t="s">
        <v>807</v>
      </c>
      <c r="X119" t="s">
        <v>977</v>
      </c>
      <c r="Y119" t="s">
        <v>978</v>
      </c>
      <c r="Z119">
        <v>20.777699999999999</v>
      </c>
      <c r="AA119" t="s">
        <v>979</v>
      </c>
      <c r="AB119">
        <v>20.5793</v>
      </c>
      <c r="AC119">
        <v>-9.5445700319887559E-3</v>
      </c>
      <c r="AD119" t="s">
        <v>579</v>
      </c>
      <c r="AE119" t="s">
        <v>546</v>
      </c>
      <c r="AF119">
        <v>8.5450000000000005E-3</v>
      </c>
      <c r="AG119" t="str">
        <f>IF($A119="","",IFERROR(INDEX(Company_List!$G$3:$G$207,MATCH($A119,Company_List!$A$3:$A$207,0)),"unassigned"))</f>
        <v>P2</v>
      </c>
      <c r="AH119" t="s">
        <v>980</v>
      </c>
      <c r="AJ119" t="s">
        <v>548</v>
      </c>
      <c r="AK119" t="str">
        <f>IF($A119="","",IF(COUNTIFS(Human_Data_Entry!$A$3:$A$525,$A119)&gt;0,"YES","NO"))</f>
        <v>YES</v>
      </c>
      <c r="AL119" t="str">
        <f>IF($A119="","",IF(AND($C119&amp;"-"&amp;$D119&gt;=Settings!$B$19,$C119&amp;"-"&amp;$D119&lt;=Settings!$B$20),"IN","OUT"))</f>
        <v>IN</v>
      </c>
      <c r="AM119">
        <f t="shared" si="4"/>
        <v>8.5439999999999995E-3</v>
      </c>
      <c r="AN119">
        <f t="shared" si="5"/>
        <v>8.5450000000000005E-3</v>
      </c>
      <c r="AO119">
        <f>IF(ISNUMBER($AM119),ABS(IF(ISNUMBER($G119),$G119,0)-Settings!$B$25),"")</f>
        <v>0.08</v>
      </c>
      <c r="AP119">
        <f t="shared" si="6"/>
        <v>6.8351999999999996E-4</v>
      </c>
      <c r="AQ119">
        <f>IF(ISNUMBER($AN119),ABS(IF(ISNUMBER($G119),$G119,0)-Settings!$B$25),"")</f>
        <v>0.08</v>
      </c>
      <c r="AR119">
        <f t="shared" si="7"/>
        <v>6.8360000000000003E-4</v>
      </c>
      <c r="AS119" t="str">
        <f>IF($A119="","",IFERROR(INDEX(Company_List!$H$3:$H$207,MATCH($A119,Company_List!$A$3:$A$207,0)),"unassigned"))</f>
        <v>Health Care</v>
      </c>
      <c r="AT119" t="s">
        <v>1915</v>
      </c>
      <c r="AU119" t="s">
        <v>1916</v>
      </c>
      <c r="AV119">
        <v>1</v>
      </c>
      <c r="AW119" t="s">
        <v>788</v>
      </c>
      <c r="AX119" t="s">
        <v>553</v>
      </c>
      <c r="AY119" t="s">
        <v>550</v>
      </c>
      <c r="AZ119" t="s">
        <v>550</v>
      </c>
      <c r="BA119" t="s">
        <v>554</v>
      </c>
    </row>
    <row r="120" spans="1:53" x14ac:dyDescent="0.2">
      <c r="A120" s="115" t="s">
        <v>976</v>
      </c>
      <c r="B120" s="117" t="s">
        <v>977</v>
      </c>
      <c r="C120" s="105">
        <v>2026</v>
      </c>
      <c r="D120" s="106" t="s">
        <v>537</v>
      </c>
      <c r="E120" s="109" t="s">
        <v>1911</v>
      </c>
      <c r="F120" s="106" t="s">
        <v>1912</v>
      </c>
      <c r="G120" s="128">
        <v>-2.5000000000000001E-2</v>
      </c>
      <c r="H120" s="106" t="s">
        <v>1913</v>
      </c>
      <c r="I120" s="128"/>
      <c r="J120" s="125">
        <v>46147</v>
      </c>
      <c r="K120" s="126">
        <v>46146</v>
      </c>
      <c r="L120" s="129">
        <v>26.3</v>
      </c>
      <c r="M120" s="126">
        <v>46147</v>
      </c>
      <c r="N120" s="129">
        <v>26.59</v>
      </c>
      <c r="O120" s="132">
        <v>1.0423999999999999E-2</v>
      </c>
      <c r="P120" s="107">
        <v>1.1027E-2</v>
      </c>
      <c r="Q120" s="106" t="s">
        <v>579</v>
      </c>
      <c r="R120" s="106" t="s">
        <v>554</v>
      </c>
      <c r="S120" s="105">
        <v>0</v>
      </c>
      <c r="T120" s="107">
        <v>0</v>
      </c>
      <c r="U120" s="130" t="s">
        <v>1914</v>
      </c>
      <c r="V120" t="s">
        <v>549</v>
      </c>
      <c r="W120" t="s">
        <v>807</v>
      </c>
      <c r="X120" t="s">
        <v>977</v>
      </c>
      <c r="Y120" t="s">
        <v>985</v>
      </c>
      <c r="Z120">
        <v>25.428100000000001</v>
      </c>
      <c r="AA120" t="s">
        <v>731</v>
      </c>
      <c r="AB120">
        <v>25.708500000000001</v>
      </c>
      <c r="AC120">
        <v>1.1026653282446451E-2</v>
      </c>
      <c r="AD120" t="s">
        <v>579</v>
      </c>
      <c r="AE120" t="s">
        <v>554</v>
      </c>
      <c r="AF120">
        <v>0</v>
      </c>
      <c r="AG120" t="str">
        <f>IF($A120="","",IFERROR(INDEX(Company_List!$G$3:$G$207,MATCH($A120,Company_List!$A$3:$A$207,0)),"unassigned"))</f>
        <v>P2</v>
      </c>
      <c r="AH120" t="s">
        <v>986</v>
      </c>
      <c r="AJ120" t="s">
        <v>548</v>
      </c>
      <c r="AK120" t="str">
        <f>IF($A120="","",IF(COUNTIFS(Human_Data_Entry!$A$3:$A$525,$A120)&gt;0,"YES","NO"))</f>
        <v>YES</v>
      </c>
      <c r="AL120" t="str">
        <f>IF($A120="","",IF(AND($C120&amp;"-"&amp;$D120&gt;=Settings!$B$19,$C120&amp;"-"&amp;$D120&lt;=Settings!$B$20),"IN","OUT"))</f>
        <v>IN</v>
      </c>
      <c r="AM120" t="str">
        <f t="shared" si="4"/>
        <v/>
      </c>
      <c r="AN120" t="str">
        <f t="shared" si="5"/>
        <v/>
      </c>
      <c r="AO120" t="str">
        <f>IF(ISNUMBER($AM120),ABS(IF(ISNUMBER($G120),$G120,0)-Settings!$B$25),"")</f>
        <v/>
      </c>
      <c r="AP120" t="str">
        <f t="shared" si="6"/>
        <v/>
      </c>
      <c r="AQ120" t="str">
        <f>IF(ISNUMBER($AN120),ABS(IF(ISNUMBER($G120),$G120,0)-Settings!$B$25),"")</f>
        <v/>
      </c>
      <c r="AR120" t="str">
        <f t="shared" si="7"/>
        <v/>
      </c>
      <c r="AS120" t="str">
        <f>IF($A120="","",IFERROR(INDEX(Company_List!$H$3:$H$207,MATCH($A120,Company_List!$A$3:$A$207,0)),"unassigned"))</f>
        <v>Health Care</v>
      </c>
      <c r="AT120" t="s">
        <v>1915</v>
      </c>
      <c r="AU120" t="s">
        <v>1916</v>
      </c>
      <c r="AV120">
        <v>1</v>
      </c>
      <c r="AW120" t="s">
        <v>788</v>
      </c>
      <c r="AX120" t="s">
        <v>553</v>
      </c>
      <c r="AY120" t="s">
        <v>550</v>
      </c>
      <c r="AZ120" t="s">
        <v>550</v>
      </c>
      <c r="BA120" t="s">
        <v>554</v>
      </c>
    </row>
    <row r="121" spans="1:53" x14ac:dyDescent="0.2">
      <c r="A121" s="115" t="s">
        <v>976</v>
      </c>
      <c r="B121" s="117" t="s">
        <v>977</v>
      </c>
      <c r="C121" s="105">
        <v>2025</v>
      </c>
      <c r="D121" s="106" t="s">
        <v>555</v>
      </c>
      <c r="E121" s="109" t="s">
        <v>1911</v>
      </c>
      <c r="F121" s="106" t="s">
        <v>1912</v>
      </c>
      <c r="G121" s="128">
        <v>0.21</v>
      </c>
      <c r="H121" s="106" t="s">
        <v>1913</v>
      </c>
      <c r="I121" s="128"/>
      <c r="J121" s="125">
        <v>45874</v>
      </c>
      <c r="K121" s="126">
        <v>45873</v>
      </c>
      <c r="L121" s="129">
        <v>23.53</v>
      </c>
      <c r="M121" s="126">
        <v>45874</v>
      </c>
      <c r="N121" s="129">
        <v>24.27</v>
      </c>
      <c r="O121" s="132">
        <v>1.3157E-2</v>
      </c>
      <c r="P121" s="107">
        <v>3.1448999999999998E-2</v>
      </c>
      <c r="Q121" s="106" t="s">
        <v>591</v>
      </c>
      <c r="R121" s="106" t="s">
        <v>546</v>
      </c>
      <c r="S121" s="105">
        <v>0</v>
      </c>
      <c r="T121" s="107">
        <v>0</v>
      </c>
      <c r="U121" s="130" t="s">
        <v>1914</v>
      </c>
      <c r="V121" t="s">
        <v>549</v>
      </c>
      <c r="W121" t="s">
        <v>685</v>
      </c>
      <c r="X121" t="s">
        <v>977</v>
      </c>
      <c r="Y121" t="s">
        <v>981</v>
      </c>
      <c r="Z121">
        <v>21.9879</v>
      </c>
      <c r="AA121" t="s">
        <v>641</v>
      </c>
      <c r="AB121">
        <v>22.679400000000001</v>
      </c>
      <c r="AC121">
        <v>3.1449165419419438E-2</v>
      </c>
      <c r="AD121" t="s">
        <v>591</v>
      </c>
      <c r="AE121" t="s">
        <v>546</v>
      </c>
      <c r="AF121">
        <v>0</v>
      </c>
      <c r="AG121" t="str">
        <f>IF($A121="","",IFERROR(INDEX(Company_List!$G$3:$G$207,MATCH($A121,Company_List!$A$3:$A$207,0)),"unassigned"))</f>
        <v>P2</v>
      </c>
      <c r="AH121" t="s">
        <v>982</v>
      </c>
      <c r="AJ121" t="s">
        <v>548</v>
      </c>
      <c r="AK121" t="str">
        <f>IF($A121="","",IF(COUNTIFS(Human_Data_Entry!$A$3:$A$525,$A121)&gt;0,"YES","NO"))</f>
        <v>YES</v>
      </c>
      <c r="AL121" t="str">
        <f>IF($A121="","",IF(AND($C121&amp;"-"&amp;$D121&gt;=Settings!$B$19,$C121&amp;"-"&amp;$D121&lt;=Settings!$B$20),"IN","OUT"))</f>
        <v>IN</v>
      </c>
      <c r="AM121" t="str">
        <f t="shared" si="4"/>
        <v/>
      </c>
      <c r="AN121" t="str">
        <f t="shared" si="5"/>
        <v/>
      </c>
      <c r="AO121" t="str">
        <f>IF(ISNUMBER($AM121),ABS(IF(ISNUMBER($G121),$G121,0)-Settings!$B$25),"")</f>
        <v/>
      </c>
      <c r="AP121" t="str">
        <f t="shared" si="6"/>
        <v/>
      </c>
      <c r="AQ121" t="str">
        <f>IF(ISNUMBER($AN121),ABS(IF(ISNUMBER($G121),$G121,0)-Settings!$B$25),"")</f>
        <v/>
      </c>
      <c r="AR121" t="str">
        <f t="shared" si="7"/>
        <v/>
      </c>
      <c r="AS121" t="str">
        <f>IF($A121="","",IFERROR(INDEX(Company_List!$H$3:$H$207,MATCH($A121,Company_List!$A$3:$A$207,0)),"unassigned"))</f>
        <v>Health Care</v>
      </c>
      <c r="AT121" t="s">
        <v>1915</v>
      </c>
      <c r="AU121" t="s">
        <v>1916</v>
      </c>
      <c r="AV121">
        <v>1</v>
      </c>
      <c r="AW121" t="s">
        <v>788</v>
      </c>
      <c r="AX121" t="s">
        <v>553</v>
      </c>
      <c r="AY121" t="s">
        <v>550</v>
      </c>
      <c r="AZ121" t="s">
        <v>550</v>
      </c>
      <c r="BA121" t="s">
        <v>554</v>
      </c>
    </row>
    <row r="122" spans="1:53" x14ac:dyDescent="0.2">
      <c r="A122" s="115" t="s">
        <v>976</v>
      </c>
      <c r="B122" s="117" t="s">
        <v>977</v>
      </c>
      <c r="C122" s="105">
        <v>2025</v>
      </c>
      <c r="D122" s="106" t="s">
        <v>569</v>
      </c>
      <c r="E122" s="109" t="s">
        <v>1911</v>
      </c>
      <c r="F122" s="106" t="s">
        <v>1912</v>
      </c>
      <c r="G122" s="128">
        <v>0.1125</v>
      </c>
      <c r="H122" s="106" t="s">
        <v>1913</v>
      </c>
      <c r="I122" s="128"/>
      <c r="J122" s="125">
        <v>46056</v>
      </c>
      <c r="K122" s="126">
        <v>46055</v>
      </c>
      <c r="L122" s="129">
        <v>26.66</v>
      </c>
      <c r="M122" s="126">
        <v>46056</v>
      </c>
      <c r="N122" s="129">
        <v>25.36</v>
      </c>
      <c r="O122" s="132">
        <v>1.3416000000000001E-2</v>
      </c>
      <c r="P122" s="107">
        <v>-4.8762E-2</v>
      </c>
      <c r="Q122" s="106" t="s">
        <v>545</v>
      </c>
      <c r="R122" s="106" t="s">
        <v>546</v>
      </c>
      <c r="S122" s="105">
        <v>0</v>
      </c>
      <c r="T122" s="107">
        <v>0</v>
      </c>
      <c r="U122" s="130" t="s">
        <v>1914</v>
      </c>
      <c r="V122" t="s">
        <v>549</v>
      </c>
      <c r="W122" t="s">
        <v>541</v>
      </c>
      <c r="X122" t="s">
        <v>977</v>
      </c>
      <c r="Y122" t="s">
        <v>983</v>
      </c>
      <c r="Z122">
        <v>25.776199999999999</v>
      </c>
      <c r="AA122" t="s">
        <v>736</v>
      </c>
      <c r="AB122">
        <v>24.519300000000001</v>
      </c>
      <c r="AC122">
        <v>-4.8762109905065527E-2</v>
      </c>
      <c r="AD122" t="s">
        <v>545</v>
      </c>
      <c r="AE122" t="s">
        <v>546</v>
      </c>
      <c r="AF122">
        <v>0</v>
      </c>
      <c r="AG122" t="str">
        <f>IF($A122="","",IFERROR(INDEX(Company_List!$G$3:$G$207,MATCH($A122,Company_List!$A$3:$A$207,0)),"unassigned"))</f>
        <v>P2</v>
      </c>
      <c r="AH122" t="s">
        <v>984</v>
      </c>
      <c r="AJ122" t="s">
        <v>548</v>
      </c>
      <c r="AK122" t="str">
        <f>IF($A122="","",IF(COUNTIFS(Human_Data_Entry!$A$3:$A$525,$A122)&gt;0,"YES","NO"))</f>
        <v>YES</v>
      </c>
      <c r="AL122" t="str">
        <f>IF($A122="","",IF(AND($C122&amp;"-"&amp;$D122&gt;=Settings!$B$19,$C122&amp;"-"&amp;$D122&lt;=Settings!$B$20),"IN","OUT"))</f>
        <v>IN</v>
      </c>
      <c r="AM122" t="str">
        <f t="shared" si="4"/>
        <v/>
      </c>
      <c r="AN122" t="str">
        <f t="shared" si="5"/>
        <v/>
      </c>
      <c r="AO122" t="str">
        <f>IF(ISNUMBER($AM122),ABS(IF(ISNUMBER($G122),$G122,0)-Settings!$B$25),"")</f>
        <v/>
      </c>
      <c r="AP122" t="str">
        <f t="shared" si="6"/>
        <v/>
      </c>
      <c r="AQ122" t="str">
        <f>IF(ISNUMBER($AN122),ABS(IF(ISNUMBER($G122),$G122,0)-Settings!$B$25),"")</f>
        <v/>
      </c>
      <c r="AR122" t="str">
        <f t="shared" si="7"/>
        <v/>
      </c>
      <c r="AS122" t="str">
        <f>IF($A122="","",IFERROR(INDEX(Company_List!$H$3:$H$207,MATCH($A122,Company_List!$A$3:$A$207,0)),"unassigned"))</f>
        <v>Health Care</v>
      </c>
      <c r="AT122" t="s">
        <v>1915</v>
      </c>
      <c r="AU122" t="s">
        <v>1916</v>
      </c>
      <c r="AV122">
        <v>1</v>
      </c>
      <c r="AW122" t="s">
        <v>788</v>
      </c>
      <c r="AX122" t="s">
        <v>553</v>
      </c>
      <c r="AY122" t="s">
        <v>550</v>
      </c>
      <c r="AZ122" t="s">
        <v>550</v>
      </c>
      <c r="BA122" t="s">
        <v>554</v>
      </c>
    </row>
    <row r="123" spans="1:53" x14ac:dyDescent="0.2">
      <c r="A123" s="115" t="s">
        <v>1013</v>
      </c>
      <c r="B123" s="117" t="s">
        <v>1015</v>
      </c>
      <c r="C123" s="105">
        <v>2025</v>
      </c>
      <c r="D123" s="106" t="s">
        <v>537</v>
      </c>
      <c r="E123" s="109" t="s">
        <v>1911</v>
      </c>
      <c r="F123" s="106" t="s">
        <v>1912</v>
      </c>
      <c r="G123" s="128">
        <v>-0.41</v>
      </c>
      <c r="H123" s="106" t="s">
        <v>1923</v>
      </c>
      <c r="I123" s="128"/>
      <c r="J123" s="125">
        <v>45762</v>
      </c>
      <c r="K123" s="126">
        <v>45762</v>
      </c>
      <c r="L123" s="129">
        <v>67</v>
      </c>
      <c r="M123" s="126">
        <v>45763</v>
      </c>
      <c r="N123" s="129">
        <v>69.64</v>
      </c>
      <c r="O123" s="132">
        <v>1.908E-2</v>
      </c>
      <c r="P123" s="107">
        <v>3.9403000000000001E-2</v>
      </c>
      <c r="Q123" s="106" t="s">
        <v>591</v>
      </c>
      <c r="R123" s="106" t="s">
        <v>546</v>
      </c>
      <c r="S123" s="105">
        <v>-1</v>
      </c>
      <c r="T123" s="107">
        <v>-4.0403000000000001E-2</v>
      </c>
      <c r="U123" s="130" t="s">
        <v>1914</v>
      </c>
      <c r="V123" t="s">
        <v>549</v>
      </c>
      <c r="W123" t="s">
        <v>541</v>
      </c>
      <c r="X123" t="s">
        <v>1015</v>
      </c>
      <c r="Y123" t="s">
        <v>715</v>
      </c>
      <c r="Z123">
        <v>67</v>
      </c>
      <c r="AA123" t="s">
        <v>906</v>
      </c>
      <c r="AB123">
        <v>69.64</v>
      </c>
      <c r="AC123">
        <v>3.9402970149253778E-2</v>
      </c>
      <c r="AD123" t="s">
        <v>591</v>
      </c>
      <c r="AE123" t="s">
        <v>546</v>
      </c>
      <c r="AF123">
        <v>-4.0403000000000001E-2</v>
      </c>
      <c r="AG123" t="str">
        <f>IF($A123="","",IFERROR(INDEX(Company_List!$G$3:$G$207,MATCH($A123,Company_List!$A$3:$A$207,0)),"unassigned"))</f>
        <v>P2</v>
      </c>
      <c r="AH123" t="s">
        <v>1016</v>
      </c>
      <c r="AJ123" t="s">
        <v>593</v>
      </c>
      <c r="AK123" t="str">
        <f>IF($A123="","",IF(COUNTIFS(Human_Data_Entry!$A$3:$A$525,$A123)&gt;0,"YES","NO"))</f>
        <v>YES</v>
      </c>
      <c r="AL123" t="str">
        <f>IF($A123="","",IF(AND($C123&amp;"-"&amp;$D123&gt;=Settings!$B$19,$C123&amp;"-"&amp;$D123&lt;=Settings!$B$20),"IN","OUT"))</f>
        <v>IN</v>
      </c>
      <c r="AM123">
        <f t="shared" si="4"/>
        <v>-4.0403000000000001E-2</v>
      </c>
      <c r="AN123">
        <f t="shared" si="5"/>
        <v>-4.0403000000000001E-2</v>
      </c>
      <c r="AO123">
        <f>IF(ISNUMBER($AM123),ABS(IF(ISNUMBER($G123),$G123,0)-Settings!$B$25),"")</f>
        <v>0.41</v>
      </c>
      <c r="AP123">
        <f t="shared" si="6"/>
        <v>-1.656523E-2</v>
      </c>
      <c r="AQ123">
        <f>IF(ISNUMBER($AN123),ABS(IF(ISNUMBER($G123),$G123,0)-Settings!$B$25),"")</f>
        <v>0.41</v>
      </c>
      <c r="AR123">
        <f t="shared" si="7"/>
        <v>-1.656523E-2</v>
      </c>
      <c r="AS123" t="str">
        <f>IF($A123="","",IFERROR(INDEX(Company_List!$H$3:$H$207,MATCH($A123,Company_List!$A$3:$A$207,0)),"unassigned"))</f>
        <v>Industrials</v>
      </c>
      <c r="AT123" t="s">
        <v>1915</v>
      </c>
      <c r="AU123" t="s">
        <v>1916</v>
      </c>
      <c r="AV123">
        <v>2</v>
      </c>
      <c r="AW123" t="s">
        <v>561</v>
      </c>
      <c r="AX123" t="s">
        <v>561</v>
      </c>
      <c r="AY123" t="s">
        <v>550</v>
      </c>
      <c r="AZ123" t="s">
        <v>550</v>
      </c>
      <c r="BA123" t="s">
        <v>554</v>
      </c>
    </row>
    <row r="124" spans="1:53" x14ac:dyDescent="0.2">
      <c r="A124" s="115" t="s">
        <v>1013</v>
      </c>
      <c r="B124" s="117" t="s">
        <v>1015</v>
      </c>
      <c r="C124" s="105">
        <v>2025</v>
      </c>
      <c r="D124" s="106" t="s">
        <v>555</v>
      </c>
      <c r="E124" s="109" t="s">
        <v>1911</v>
      </c>
      <c r="F124" s="106" t="s">
        <v>1912</v>
      </c>
      <c r="G124" s="128">
        <v>0.21</v>
      </c>
      <c r="H124" s="106" t="s">
        <v>1913</v>
      </c>
      <c r="I124" s="128"/>
      <c r="J124" s="125">
        <v>45854</v>
      </c>
      <c r="K124" s="126">
        <v>45854</v>
      </c>
      <c r="L124" s="129">
        <v>88.47</v>
      </c>
      <c r="M124" s="126">
        <v>45855</v>
      </c>
      <c r="N124" s="129">
        <v>91.89</v>
      </c>
      <c r="O124" s="132">
        <v>1.9495999999999999E-2</v>
      </c>
      <c r="P124" s="107">
        <v>3.8656999999999997E-2</v>
      </c>
      <c r="Q124" s="106" t="s">
        <v>591</v>
      </c>
      <c r="R124" s="106" t="s">
        <v>546</v>
      </c>
      <c r="S124" s="105">
        <v>0</v>
      </c>
      <c r="T124" s="107">
        <v>0</v>
      </c>
      <c r="U124" s="130" t="s">
        <v>1914</v>
      </c>
      <c r="V124" t="s">
        <v>549</v>
      </c>
      <c r="W124" t="s">
        <v>630</v>
      </c>
      <c r="X124" t="s">
        <v>1015</v>
      </c>
      <c r="Y124" t="s">
        <v>884</v>
      </c>
      <c r="Z124">
        <v>88.47</v>
      </c>
      <c r="AA124" t="s">
        <v>556</v>
      </c>
      <c r="AB124">
        <v>91.89</v>
      </c>
      <c r="AC124">
        <v>3.8657148879200381E-2</v>
      </c>
      <c r="AD124" t="s">
        <v>591</v>
      </c>
      <c r="AE124" t="s">
        <v>546</v>
      </c>
      <c r="AF124">
        <v>0</v>
      </c>
      <c r="AG124" t="str">
        <f>IF($A124="","",IFERROR(INDEX(Company_List!$G$3:$G$207,MATCH($A124,Company_List!$A$3:$A$207,0)),"unassigned"))</f>
        <v>P2</v>
      </c>
      <c r="AH124" t="s">
        <v>1018</v>
      </c>
      <c r="AJ124" t="s">
        <v>593</v>
      </c>
      <c r="AK124" t="str">
        <f>IF($A124="","",IF(COUNTIFS(Human_Data_Entry!$A$3:$A$525,$A124)&gt;0,"YES","NO"))</f>
        <v>YES</v>
      </c>
      <c r="AL124" t="str">
        <f>IF($A124="","",IF(AND($C124&amp;"-"&amp;$D124&gt;=Settings!$B$19,$C124&amp;"-"&amp;$D124&lt;=Settings!$B$20),"IN","OUT"))</f>
        <v>IN</v>
      </c>
      <c r="AM124" t="str">
        <f t="shared" si="4"/>
        <v/>
      </c>
      <c r="AN124" t="str">
        <f t="shared" si="5"/>
        <v/>
      </c>
      <c r="AO124" t="str">
        <f>IF(ISNUMBER($AM124),ABS(IF(ISNUMBER($G124),$G124,0)-Settings!$B$25),"")</f>
        <v/>
      </c>
      <c r="AP124" t="str">
        <f t="shared" si="6"/>
        <v/>
      </c>
      <c r="AQ124" t="str">
        <f>IF(ISNUMBER($AN124),ABS(IF(ISNUMBER($G124),$G124,0)-Settings!$B$25),"")</f>
        <v/>
      </c>
      <c r="AR124" t="str">
        <f t="shared" si="7"/>
        <v/>
      </c>
      <c r="AS124" t="str">
        <f>IF($A124="","",IFERROR(INDEX(Company_List!$H$3:$H$207,MATCH($A124,Company_List!$A$3:$A$207,0)),"unassigned"))</f>
        <v>Industrials</v>
      </c>
      <c r="AT124" t="s">
        <v>1915</v>
      </c>
      <c r="AU124" t="s">
        <v>1916</v>
      </c>
      <c r="AV124">
        <v>3</v>
      </c>
      <c r="AW124" t="s">
        <v>561</v>
      </c>
      <c r="AX124" t="s">
        <v>561</v>
      </c>
      <c r="AY124" t="s">
        <v>550</v>
      </c>
      <c r="AZ124" t="s">
        <v>550</v>
      </c>
      <c r="BA124" t="s">
        <v>554</v>
      </c>
    </row>
    <row r="125" spans="1:53" x14ac:dyDescent="0.2">
      <c r="A125" s="115" t="s">
        <v>1013</v>
      </c>
      <c r="B125" s="117" t="s">
        <v>1015</v>
      </c>
      <c r="C125" s="105">
        <v>2025</v>
      </c>
      <c r="D125" s="106" t="s">
        <v>563</v>
      </c>
      <c r="E125" s="109" t="s">
        <v>1911</v>
      </c>
      <c r="F125" s="106" t="s">
        <v>1912</v>
      </c>
      <c r="G125" s="128">
        <v>0.3</v>
      </c>
      <c r="H125" s="106" t="s">
        <v>1919</v>
      </c>
      <c r="I125" s="128"/>
      <c r="J125" s="125">
        <v>45945</v>
      </c>
      <c r="K125" s="126">
        <v>45945</v>
      </c>
      <c r="L125" s="129">
        <v>104.05</v>
      </c>
      <c r="M125" s="126">
        <v>45946</v>
      </c>
      <c r="N125" s="129">
        <v>102.94</v>
      </c>
      <c r="O125" s="132">
        <v>1.2194E-2</v>
      </c>
      <c r="P125" s="107">
        <v>-1.0668E-2</v>
      </c>
      <c r="Q125" s="106" t="s">
        <v>579</v>
      </c>
      <c r="R125" s="106" t="s">
        <v>546</v>
      </c>
      <c r="S125" s="105">
        <v>1</v>
      </c>
      <c r="T125" s="107">
        <v>-1.1668E-2</v>
      </c>
      <c r="U125" s="130" t="s">
        <v>1914</v>
      </c>
      <c r="V125" t="s">
        <v>549</v>
      </c>
      <c r="W125" t="s">
        <v>630</v>
      </c>
      <c r="X125" t="s">
        <v>1015</v>
      </c>
      <c r="Y125" t="s">
        <v>723</v>
      </c>
      <c r="Z125">
        <v>104.05</v>
      </c>
      <c r="AA125" t="s">
        <v>913</v>
      </c>
      <c r="AB125">
        <v>102.94</v>
      </c>
      <c r="AC125">
        <v>-1.0667957405056459E-2</v>
      </c>
      <c r="AD125" t="s">
        <v>579</v>
      </c>
      <c r="AE125" t="s">
        <v>546</v>
      </c>
      <c r="AF125">
        <v>-1.1668E-2</v>
      </c>
      <c r="AG125" t="str">
        <f>IF($A125="","",IFERROR(INDEX(Company_List!$G$3:$G$207,MATCH($A125,Company_List!$A$3:$A$207,0)),"unassigned"))</f>
        <v>P2</v>
      </c>
      <c r="AH125" t="s">
        <v>1020</v>
      </c>
      <c r="AJ125" t="s">
        <v>548</v>
      </c>
      <c r="AK125" t="str">
        <f>IF($A125="","",IF(COUNTIFS(Human_Data_Entry!$A$3:$A$525,$A125)&gt;0,"YES","NO"))</f>
        <v>YES</v>
      </c>
      <c r="AL125" t="str">
        <f>IF($A125="","",IF(AND($C125&amp;"-"&amp;$D125&gt;=Settings!$B$19,$C125&amp;"-"&amp;$D125&lt;=Settings!$B$20),"IN","OUT"))</f>
        <v>IN</v>
      </c>
      <c r="AM125">
        <f t="shared" si="4"/>
        <v>-1.1668E-2</v>
      </c>
      <c r="AN125">
        <f t="shared" si="5"/>
        <v>-1.1668E-2</v>
      </c>
      <c r="AO125">
        <f>IF(ISNUMBER($AM125),ABS(IF(ISNUMBER($G125),$G125,0)-Settings!$B$25),"")</f>
        <v>0.3</v>
      </c>
      <c r="AP125">
        <f t="shared" si="6"/>
        <v>-3.5003999999999999E-3</v>
      </c>
      <c r="AQ125">
        <f>IF(ISNUMBER($AN125),ABS(IF(ISNUMBER($G125),$G125,0)-Settings!$B$25),"")</f>
        <v>0.3</v>
      </c>
      <c r="AR125">
        <f t="shared" si="7"/>
        <v>-3.5003999999999999E-3</v>
      </c>
      <c r="AS125" t="str">
        <f>IF($A125="","",IFERROR(INDEX(Company_List!$H$3:$H$207,MATCH($A125,Company_List!$A$3:$A$207,0)),"unassigned"))</f>
        <v>Industrials</v>
      </c>
      <c r="AT125" t="s">
        <v>1915</v>
      </c>
      <c r="AU125" t="s">
        <v>1916</v>
      </c>
      <c r="AV125">
        <v>1</v>
      </c>
      <c r="AW125" t="s">
        <v>561</v>
      </c>
      <c r="AX125" t="s">
        <v>561</v>
      </c>
      <c r="AY125" t="s">
        <v>550</v>
      </c>
      <c r="AZ125" t="s">
        <v>550</v>
      </c>
      <c r="BA125" t="s">
        <v>554</v>
      </c>
    </row>
    <row r="126" spans="1:53" x14ac:dyDescent="0.2">
      <c r="A126" s="115" t="s">
        <v>1013</v>
      </c>
      <c r="B126" s="117" t="s">
        <v>1015</v>
      </c>
      <c r="C126" s="105">
        <v>2025</v>
      </c>
      <c r="D126" s="106" t="s">
        <v>569</v>
      </c>
      <c r="E126" s="109" t="s">
        <v>1911</v>
      </c>
      <c r="F126" s="106" t="s">
        <v>1912</v>
      </c>
      <c r="G126" s="128">
        <v>0.27750000000000002</v>
      </c>
      <c r="H126" s="106" t="s">
        <v>1919</v>
      </c>
      <c r="I126" s="128"/>
      <c r="J126" s="125">
        <v>46042</v>
      </c>
      <c r="K126" s="126">
        <v>46042</v>
      </c>
      <c r="L126" s="129">
        <v>108.57</v>
      </c>
      <c r="M126" s="126">
        <v>46043</v>
      </c>
      <c r="N126" s="129">
        <v>111.95</v>
      </c>
      <c r="O126" s="132">
        <v>4.5787000000000001E-2</v>
      </c>
      <c r="P126" s="107">
        <v>3.1132E-2</v>
      </c>
      <c r="Q126" s="106" t="s">
        <v>591</v>
      </c>
      <c r="R126" s="106" t="s">
        <v>554</v>
      </c>
      <c r="S126" s="105">
        <v>1</v>
      </c>
      <c r="T126" s="107">
        <v>3.0131999999999999E-2</v>
      </c>
      <c r="U126" s="130" t="s">
        <v>1914</v>
      </c>
      <c r="V126" t="s">
        <v>549</v>
      </c>
      <c r="W126" t="s">
        <v>630</v>
      </c>
      <c r="X126" t="s">
        <v>1015</v>
      </c>
      <c r="Y126" t="s">
        <v>570</v>
      </c>
      <c r="Z126">
        <v>108.57</v>
      </c>
      <c r="AA126" t="s">
        <v>571</v>
      </c>
      <c r="AB126">
        <v>111.95</v>
      </c>
      <c r="AC126">
        <v>3.1131960946854591E-2</v>
      </c>
      <c r="AD126" t="s">
        <v>591</v>
      </c>
      <c r="AE126" t="s">
        <v>554</v>
      </c>
      <c r="AF126">
        <v>3.0131999999999999E-2</v>
      </c>
      <c r="AG126" t="str">
        <f>IF($A126="","",IFERROR(INDEX(Company_List!$G$3:$G$207,MATCH($A126,Company_List!$A$3:$A$207,0)),"unassigned"))</f>
        <v>P2</v>
      </c>
      <c r="AH126" t="s">
        <v>1022</v>
      </c>
      <c r="AJ126" t="s">
        <v>593</v>
      </c>
      <c r="AK126" t="str">
        <f>IF($A126="","",IF(COUNTIFS(Human_Data_Entry!$A$3:$A$525,$A126)&gt;0,"YES","NO"))</f>
        <v>YES</v>
      </c>
      <c r="AL126" t="str">
        <f>IF($A126="","",IF(AND($C126&amp;"-"&amp;$D126&gt;=Settings!$B$19,$C126&amp;"-"&amp;$D126&lt;=Settings!$B$20),"IN","OUT"))</f>
        <v>IN</v>
      </c>
      <c r="AM126">
        <f t="shared" si="4"/>
        <v>3.0131999999999999E-2</v>
      </c>
      <c r="AN126">
        <f t="shared" si="5"/>
        <v>3.0131999999999999E-2</v>
      </c>
      <c r="AO126">
        <f>IF(ISNUMBER($AM126),ABS(IF(ISNUMBER($G126),$G126,0)-Settings!$B$25),"")</f>
        <v>0.27750000000000002</v>
      </c>
      <c r="AP126">
        <f t="shared" si="6"/>
        <v>8.3616300000000001E-3</v>
      </c>
      <c r="AQ126">
        <f>IF(ISNUMBER($AN126),ABS(IF(ISNUMBER($G126),$G126,0)-Settings!$B$25),"")</f>
        <v>0.27750000000000002</v>
      </c>
      <c r="AR126">
        <f t="shared" si="7"/>
        <v>8.3616300000000001E-3</v>
      </c>
      <c r="AS126" t="str">
        <f>IF($A126="","",IFERROR(INDEX(Company_List!$H$3:$H$207,MATCH($A126,Company_List!$A$3:$A$207,0)),"unassigned"))</f>
        <v>Industrials</v>
      </c>
      <c r="AT126" t="s">
        <v>1915</v>
      </c>
      <c r="AU126" t="s">
        <v>1916</v>
      </c>
      <c r="AV126">
        <v>3</v>
      </c>
      <c r="AW126" t="s">
        <v>561</v>
      </c>
      <c r="AX126" t="s">
        <v>561</v>
      </c>
      <c r="AY126" t="s">
        <v>1023</v>
      </c>
      <c r="AZ126" t="s">
        <v>550</v>
      </c>
      <c r="BA126" t="s">
        <v>554</v>
      </c>
    </row>
    <row r="127" spans="1:53" x14ac:dyDescent="0.2">
      <c r="A127" s="115" t="s">
        <v>1600</v>
      </c>
      <c r="B127" s="117" t="s">
        <v>1602</v>
      </c>
      <c r="C127" s="105">
        <v>2023</v>
      </c>
      <c r="D127" s="106" t="s">
        <v>537</v>
      </c>
      <c r="E127" s="109" t="s">
        <v>1911</v>
      </c>
      <c r="F127" s="106" t="s">
        <v>1912</v>
      </c>
      <c r="G127" s="128">
        <v>0.5</v>
      </c>
      <c r="H127" s="106" t="s">
        <v>1919</v>
      </c>
      <c r="I127" s="128"/>
      <c r="J127" s="125">
        <v>45041</v>
      </c>
      <c r="K127" s="126">
        <v>45040</v>
      </c>
      <c r="L127" s="129">
        <v>185.5</v>
      </c>
      <c r="M127" s="126">
        <v>45041</v>
      </c>
      <c r="N127" s="129">
        <v>186.56</v>
      </c>
      <c r="O127" s="132">
        <v>7.3270000000000002E-3</v>
      </c>
      <c r="P127" s="107">
        <v>5.7140000000000003E-3</v>
      </c>
      <c r="Q127" s="106" t="s">
        <v>579</v>
      </c>
      <c r="R127" s="106" t="s">
        <v>546</v>
      </c>
      <c r="S127" s="105">
        <v>1</v>
      </c>
      <c r="T127" s="107">
        <v>4.7140000000000003E-3</v>
      </c>
      <c r="U127" s="130" t="s">
        <v>1914</v>
      </c>
      <c r="V127" t="s">
        <v>549</v>
      </c>
      <c r="W127" t="s">
        <v>636</v>
      </c>
      <c r="X127" t="s">
        <v>1602</v>
      </c>
      <c r="Y127" t="s">
        <v>1603</v>
      </c>
      <c r="Z127">
        <v>165.90600000000001</v>
      </c>
      <c r="AA127" t="s">
        <v>1604</v>
      </c>
      <c r="AB127">
        <v>166.85409999999999</v>
      </c>
      <c r="AC127">
        <v>5.7143160602478133E-3</v>
      </c>
      <c r="AD127" t="s">
        <v>579</v>
      </c>
      <c r="AE127" t="s">
        <v>546</v>
      </c>
      <c r="AF127">
        <v>4.7140000000000003E-3</v>
      </c>
      <c r="AG127" t="str">
        <f>IF($A127="","",IFERROR(INDEX(Company_List!$G$3:$G$207,MATCH($A127,Company_List!$A$3:$A$207,0)),"unassigned"))</f>
        <v>P2</v>
      </c>
      <c r="AH127" t="s">
        <v>1605</v>
      </c>
      <c r="AI127" t="s">
        <v>1606</v>
      </c>
      <c r="AJ127" t="s">
        <v>754</v>
      </c>
      <c r="AK127" t="str">
        <f>IF($A127="","",IF(COUNTIFS(Human_Data_Entry!$A$3:$A$525,$A127)&gt;0,"YES","NO"))</f>
        <v>YES</v>
      </c>
      <c r="AL127" t="str">
        <f>IF($A127="","",IF(AND($C127&amp;"-"&amp;$D127&gt;=Settings!$B$19,$C127&amp;"-"&amp;$D127&lt;=Settings!$B$20),"IN","OUT"))</f>
        <v>IN</v>
      </c>
      <c r="AM127">
        <f t="shared" si="4"/>
        <v>4.7140000000000003E-3</v>
      </c>
      <c r="AN127">
        <f t="shared" si="5"/>
        <v>4.7140000000000003E-3</v>
      </c>
      <c r="AO127">
        <f>IF(ISNUMBER($AM127),ABS(IF(ISNUMBER($G127),$G127,0)-Settings!$B$25),"")</f>
        <v>0.5</v>
      </c>
      <c r="AP127">
        <f t="shared" si="6"/>
        <v>2.3570000000000002E-3</v>
      </c>
      <c r="AQ127">
        <f>IF(ISNUMBER($AN127),ABS(IF(ISNUMBER($G127),$G127,0)-Settings!$B$25),"")</f>
        <v>0.5</v>
      </c>
      <c r="AR127">
        <f t="shared" si="7"/>
        <v>2.3570000000000002E-3</v>
      </c>
      <c r="AS127" t="str">
        <f>IF($A127="","",IFERROR(INDEX(Company_List!$H$3:$H$207,MATCH($A127,Company_List!$A$3:$A$207,0)),"unassigned"))</f>
        <v>Consumer Staples</v>
      </c>
      <c r="AT127" t="s">
        <v>1924</v>
      </c>
      <c r="AU127" t="s">
        <v>1925</v>
      </c>
      <c r="AV127">
        <v>2</v>
      </c>
      <c r="AW127" t="s">
        <v>882</v>
      </c>
      <c r="AX127" t="s">
        <v>596</v>
      </c>
      <c r="AY127" t="s">
        <v>550</v>
      </c>
      <c r="AZ127" t="s">
        <v>562</v>
      </c>
      <c r="BA127" t="s">
        <v>554</v>
      </c>
    </row>
    <row r="128" spans="1:53" x14ac:dyDescent="0.2">
      <c r="A128" s="115" t="s">
        <v>1600</v>
      </c>
      <c r="B128" s="117" t="s">
        <v>1602</v>
      </c>
      <c r="C128" s="105">
        <v>2024</v>
      </c>
      <c r="D128" s="106" t="s">
        <v>537</v>
      </c>
      <c r="E128" s="109" t="s">
        <v>1911</v>
      </c>
      <c r="F128" s="106" t="s">
        <v>1912</v>
      </c>
      <c r="G128" s="128">
        <v>0</v>
      </c>
      <c r="H128" s="106" t="s">
        <v>1913</v>
      </c>
      <c r="I128" s="128"/>
      <c r="J128" s="125">
        <v>45405</v>
      </c>
      <c r="K128" s="126">
        <v>45404</v>
      </c>
      <c r="L128" s="129">
        <v>176.46</v>
      </c>
      <c r="M128" s="126">
        <v>45405</v>
      </c>
      <c r="N128" s="129">
        <v>174.7</v>
      </c>
      <c r="O128" s="132">
        <v>4.9360000000000003E-3</v>
      </c>
      <c r="P128" s="107">
        <v>-9.9740000000000002E-3</v>
      </c>
      <c r="Q128" s="106" t="s">
        <v>579</v>
      </c>
      <c r="R128" s="106" t="s">
        <v>554</v>
      </c>
      <c r="S128" s="105">
        <v>0</v>
      </c>
      <c r="T128" s="107">
        <v>0</v>
      </c>
      <c r="U128" s="130" t="s">
        <v>1914</v>
      </c>
      <c r="V128" t="s">
        <v>549</v>
      </c>
      <c r="W128" t="s">
        <v>636</v>
      </c>
      <c r="X128" t="s">
        <v>1602</v>
      </c>
      <c r="Y128" t="s">
        <v>1623</v>
      </c>
      <c r="Z128">
        <v>162.4924</v>
      </c>
      <c r="AA128" t="s">
        <v>1232</v>
      </c>
      <c r="AB128">
        <v>160.8717</v>
      </c>
      <c r="AC128">
        <v>-9.9738227750599436E-3</v>
      </c>
      <c r="AD128" t="s">
        <v>579</v>
      </c>
      <c r="AE128" t="s">
        <v>554</v>
      </c>
      <c r="AF128">
        <v>0</v>
      </c>
      <c r="AG128" t="str">
        <f>IF($A128="","",IFERROR(INDEX(Company_List!$G$3:$G$207,MATCH($A128,Company_List!$A$3:$A$207,0)),"unassigned"))</f>
        <v>P2</v>
      </c>
      <c r="AH128" t="s">
        <v>1624</v>
      </c>
      <c r="AI128" t="s">
        <v>1625</v>
      </c>
      <c r="AJ128" t="s">
        <v>754</v>
      </c>
      <c r="AK128" t="str">
        <f>IF($A128="","",IF(COUNTIFS(Human_Data_Entry!$A$3:$A$525,$A128)&gt;0,"YES","NO"))</f>
        <v>YES</v>
      </c>
      <c r="AL128" t="str">
        <f>IF($A128="","",IF(AND($C128&amp;"-"&amp;$D128&gt;=Settings!$B$19,$C128&amp;"-"&amp;$D128&lt;=Settings!$B$20),"IN","OUT"))</f>
        <v>IN</v>
      </c>
      <c r="AM128" t="str">
        <f t="shared" si="4"/>
        <v/>
      </c>
      <c r="AN128" t="str">
        <f t="shared" si="5"/>
        <v/>
      </c>
      <c r="AO128" t="str">
        <f>IF(ISNUMBER($AM128),ABS(IF(ISNUMBER($G128),$G128,0)-Settings!$B$25),"")</f>
        <v/>
      </c>
      <c r="AP128" t="str">
        <f t="shared" si="6"/>
        <v/>
      </c>
      <c r="AQ128" t="str">
        <f>IF(ISNUMBER($AN128),ABS(IF(ISNUMBER($G128),$G128,0)-Settings!$B$25),"")</f>
        <v/>
      </c>
      <c r="AR128" t="str">
        <f t="shared" si="7"/>
        <v/>
      </c>
      <c r="AS128" t="str">
        <f>IF($A128="","",IFERROR(INDEX(Company_List!$H$3:$H$207,MATCH($A128,Company_List!$A$3:$A$207,0)),"unassigned"))</f>
        <v>Consumer Staples</v>
      </c>
      <c r="AT128" t="s">
        <v>1924</v>
      </c>
      <c r="AU128" t="s">
        <v>1925</v>
      </c>
      <c r="AV128">
        <v>2</v>
      </c>
      <c r="AW128" t="s">
        <v>882</v>
      </c>
      <c r="AX128" t="s">
        <v>596</v>
      </c>
      <c r="AY128" t="s">
        <v>550</v>
      </c>
      <c r="AZ128" t="s">
        <v>562</v>
      </c>
      <c r="BA128" t="s">
        <v>554</v>
      </c>
    </row>
    <row r="129" spans="1:53" x14ac:dyDescent="0.2">
      <c r="A129" s="115" t="s">
        <v>1600</v>
      </c>
      <c r="B129" s="117" t="s">
        <v>1602</v>
      </c>
      <c r="C129" s="105">
        <v>2025</v>
      </c>
      <c r="D129" s="106" t="s">
        <v>537</v>
      </c>
      <c r="E129" s="109" t="s">
        <v>1911</v>
      </c>
      <c r="F129" s="106" t="s">
        <v>1912</v>
      </c>
      <c r="G129" s="128">
        <v>-0.41</v>
      </c>
      <c r="H129" s="106" t="s">
        <v>1923</v>
      </c>
      <c r="I129" s="128"/>
      <c r="J129" s="125">
        <v>45771</v>
      </c>
      <c r="K129" s="126">
        <v>45770</v>
      </c>
      <c r="L129" s="129">
        <v>142.26</v>
      </c>
      <c r="M129" s="126">
        <v>45771</v>
      </c>
      <c r="N129" s="129">
        <v>141.44999999999999</v>
      </c>
      <c r="O129" s="132">
        <v>9.7400000000000004E-3</v>
      </c>
      <c r="P129" s="107">
        <v>-5.6940000000000003E-3</v>
      </c>
      <c r="Q129" s="106" t="s">
        <v>579</v>
      </c>
      <c r="R129" s="106" t="s">
        <v>546</v>
      </c>
      <c r="S129" s="105">
        <v>-1</v>
      </c>
      <c r="T129" s="107">
        <v>4.6940000000000003E-3</v>
      </c>
      <c r="U129" s="130" t="s">
        <v>1914</v>
      </c>
      <c r="V129" t="s">
        <v>549</v>
      </c>
      <c r="W129" t="s">
        <v>636</v>
      </c>
      <c r="X129" t="s">
        <v>1602</v>
      </c>
      <c r="Y129" t="s">
        <v>615</v>
      </c>
      <c r="Z129">
        <v>135.3569</v>
      </c>
      <c r="AA129" t="s">
        <v>1131</v>
      </c>
      <c r="AB129">
        <v>134.58619999999999</v>
      </c>
      <c r="AC129">
        <v>-5.6937664720270046E-3</v>
      </c>
      <c r="AD129" t="s">
        <v>579</v>
      </c>
      <c r="AE129" t="s">
        <v>546</v>
      </c>
      <c r="AF129">
        <v>4.6940000000000003E-3</v>
      </c>
      <c r="AG129" t="str">
        <f>IF($A129="","",IFERROR(INDEX(Company_List!$G$3:$G$207,MATCH($A129,Company_List!$A$3:$A$207,0)),"unassigned"))</f>
        <v>P2</v>
      </c>
      <c r="AH129" t="s">
        <v>1641</v>
      </c>
      <c r="AI129" t="s">
        <v>1642</v>
      </c>
      <c r="AJ129" t="s">
        <v>754</v>
      </c>
      <c r="AK129" t="str">
        <f>IF($A129="","",IF(COUNTIFS(Human_Data_Entry!$A$3:$A$525,$A129)&gt;0,"YES","NO"))</f>
        <v>YES</v>
      </c>
      <c r="AL129" t="str">
        <f>IF($A129="","",IF(AND($C129&amp;"-"&amp;$D129&gt;=Settings!$B$19,$C129&amp;"-"&amp;$D129&lt;=Settings!$B$20),"IN","OUT"))</f>
        <v>IN</v>
      </c>
      <c r="AM129">
        <f t="shared" si="4"/>
        <v>4.6940000000000003E-3</v>
      </c>
      <c r="AN129">
        <f t="shared" si="5"/>
        <v>4.6940000000000003E-3</v>
      </c>
      <c r="AO129">
        <f>IF(ISNUMBER($AM129),ABS(IF(ISNUMBER($G129),$G129,0)-Settings!$B$25),"")</f>
        <v>0.41</v>
      </c>
      <c r="AP129">
        <f t="shared" si="6"/>
        <v>1.92454E-3</v>
      </c>
      <c r="AQ129">
        <f>IF(ISNUMBER($AN129),ABS(IF(ISNUMBER($G129),$G129,0)-Settings!$B$25),"")</f>
        <v>0.41</v>
      </c>
      <c r="AR129">
        <f t="shared" si="7"/>
        <v>1.92454E-3</v>
      </c>
      <c r="AS129" t="str">
        <f>IF($A129="","",IFERROR(INDEX(Company_List!$H$3:$H$207,MATCH($A129,Company_List!$A$3:$A$207,0)),"unassigned"))</f>
        <v>Consumer Staples</v>
      </c>
      <c r="AT129" t="s">
        <v>1924</v>
      </c>
      <c r="AU129" t="s">
        <v>1925</v>
      </c>
      <c r="AV129">
        <v>2</v>
      </c>
      <c r="AW129" t="s">
        <v>882</v>
      </c>
      <c r="AX129" t="s">
        <v>596</v>
      </c>
      <c r="AY129" t="s">
        <v>550</v>
      </c>
      <c r="AZ129" t="s">
        <v>562</v>
      </c>
      <c r="BA129" t="s">
        <v>554</v>
      </c>
    </row>
    <row r="130" spans="1:53" x14ac:dyDescent="0.2">
      <c r="A130" s="115" t="s">
        <v>1600</v>
      </c>
      <c r="B130" s="117" t="s">
        <v>1602</v>
      </c>
      <c r="C130" s="105">
        <v>2026</v>
      </c>
      <c r="D130" s="106" t="s">
        <v>537</v>
      </c>
      <c r="E130" s="109" t="s">
        <v>1911</v>
      </c>
      <c r="F130" s="106" t="s">
        <v>1912</v>
      </c>
      <c r="G130" s="128">
        <v>-5.2499999999999998E-2</v>
      </c>
      <c r="H130" s="106" t="s">
        <v>1923</v>
      </c>
      <c r="I130" s="128"/>
      <c r="J130" s="125">
        <v>46128</v>
      </c>
      <c r="K130" s="126">
        <v>46127</v>
      </c>
      <c r="L130" s="129">
        <v>154.85</v>
      </c>
      <c r="M130" s="126">
        <v>46128</v>
      </c>
      <c r="N130" s="129">
        <v>155.54</v>
      </c>
      <c r="O130" s="132">
        <v>7.7479999999999997E-3</v>
      </c>
      <c r="P130" s="107">
        <v>4.4559999999999999E-3</v>
      </c>
      <c r="Q130" s="106" t="s">
        <v>579</v>
      </c>
      <c r="R130" s="106" t="s">
        <v>546</v>
      </c>
      <c r="S130" s="105">
        <v>-1</v>
      </c>
      <c r="T130" s="107">
        <v>-5.4559999999999999E-3</v>
      </c>
      <c r="U130" s="130" t="s">
        <v>1914</v>
      </c>
      <c r="V130" t="s">
        <v>549</v>
      </c>
      <c r="W130" t="s">
        <v>636</v>
      </c>
      <c r="X130" t="s">
        <v>1602</v>
      </c>
      <c r="Y130" t="s">
        <v>920</v>
      </c>
      <c r="Z130">
        <v>153.23779999999999</v>
      </c>
      <c r="AA130" t="s">
        <v>543</v>
      </c>
      <c r="AB130">
        <v>153.92060000000001</v>
      </c>
      <c r="AC130">
        <v>4.4558008953424879E-3</v>
      </c>
      <c r="AD130" t="s">
        <v>579</v>
      </c>
      <c r="AE130" t="s">
        <v>546</v>
      </c>
      <c r="AF130">
        <v>-5.4559999999999999E-3</v>
      </c>
      <c r="AG130" t="str">
        <f>IF($A130="","",IFERROR(INDEX(Company_List!$G$3:$G$207,MATCH($A130,Company_List!$A$3:$A$207,0)),"unassigned"))</f>
        <v>P2</v>
      </c>
      <c r="AH130" t="s">
        <v>1653</v>
      </c>
      <c r="AI130" t="s">
        <v>1654</v>
      </c>
      <c r="AJ130" t="s">
        <v>754</v>
      </c>
      <c r="AK130" t="str">
        <f>IF($A130="","",IF(COUNTIFS(Human_Data_Entry!$A$3:$A$525,$A130)&gt;0,"YES","NO"))</f>
        <v>YES</v>
      </c>
      <c r="AL130" t="str">
        <f>IF($A130="","",IF(AND($C130&amp;"-"&amp;$D130&gt;=Settings!$B$19,$C130&amp;"-"&amp;$D130&lt;=Settings!$B$20),"IN","OUT"))</f>
        <v>IN</v>
      </c>
      <c r="AM130">
        <f t="shared" si="4"/>
        <v>-5.4559999999999999E-3</v>
      </c>
      <c r="AN130">
        <f t="shared" si="5"/>
        <v>-5.4559999999999999E-3</v>
      </c>
      <c r="AO130">
        <f>IF(ISNUMBER($AM130),ABS(IF(ISNUMBER($G130),$G130,0)-Settings!$B$25),"")</f>
        <v>5.2499999999999998E-2</v>
      </c>
      <c r="AP130">
        <f t="shared" si="6"/>
        <v>-2.8644E-4</v>
      </c>
      <c r="AQ130">
        <f>IF(ISNUMBER($AN130),ABS(IF(ISNUMBER($G130),$G130,0)-Settings!$B$25),"")</f>
        <v>5.2499999999999998E-2</v>
      </c>
      <c r="AR130">
        <f t="shared" si="7"/>
        <v>-2.8644E-4</v>
      </c>
      <c r="AS130" t="str">
        <f>IF($A130="","",IFERROR(INDEX(Company_List!$H$3:$H$207,MATCH($A130,Company_List!$A$3:$A$207,0)),"unassigned"))</f>
        <v>Consumer Staples</v>
      </c>
      <c r="AT130" t="s">
        <v>1924</v>
      </c>
      <c r="AU130" t="s">
        <v>1925</v>
      </c>
      <c r="AV130">
        <v>2</v>
      </c>
      <c r="AW130" t="s">
        <v>595</v>
      </c>
      <c r="AX130" t="s">
        <v>596</v>
      </c>
      <c r="AY130" t="s">
        <v>550</v>
      </c>
      <c r="AZ130" t="s">
        <v>562</v>
      </c>
      <c r="BA130" t="s">
        <v>554</v>
      </c>
    </row>
    <row r="131" spans="1:53" x14ac:dyDescent="0.2">
      <c r="A131" s="115" t="s">
        <v>1600</v>
      </c>
      <c r="B131" s="117" t="s">
        <v>1602</v>
      </c>
      <c r="C131" s="105">
        <v>2023</v>
      </c>
      <c r="D131" s="106" t="s">
        <v>555</v>
      </c>
      <c r="E131" s="109" t="s">
        <v>1911</v>
      </c>
      <c r="F131" s="106" t="s">
        <v>1912</v>
      </c>
      <c r="G131" s="128">
        <v>0.5</v>
      </c>
      <c r="H131" s="106" t="s">
        <v>1919</v>
      </c>
      <c r="I131" s="128"/>
      <c r="J131" s="125">
        <v>45120</v>
      </c>
      <c r="K131" s="126">
        <v>45119</v>
      </c>
      <c r="L131" s="129">
        <v>183.17</v>
      </c>
      <c r="M131" s="126">
        <v>45120</v>
      </c>
      <c r="N131" s="129">
        <v>185.8</v>
      </c>
      <c r="O131" s="132">
        <v>8.5009999999999999E-3</v>
      </c>
      <c r="P131" s="107">
        <v>1.4357999999999999E-2</v>
      </c>
      <c r="Q131" s="106" t="s">
        <v>579</v>
      </c>
      <c r="R131" s="106" t="s">
        <v>546</v>
      </c>
      <c r="S131" s="105">
        <v>1</v>
      </c>
      <c r="T131" s="107">
        <v>1.3358E-2</v>
      </c>
      <c r="U131" s="130" t="s">
        <v>1914</v>
      </c>
      <c r="V131" t="s">
        <v>549</v>
      </c>
      <c r="W131" t="s">
        <v>636</v>
      </c>
      <c r="X131" t="s">
        <v>1602</v>
      </c>
      <c r="Y131" t="s">
        <v>1608</v>
      </c>
      <c r="Z131">
        <v>164.9666</v>
      </c>
      <c r="AA131" t="s">
        <v>1609</v>
      </c>
      <c r="AB131">
        <v>167.33519999999999</v>
      </c>
      <c r="AC131">
        <v>1.4358322849737081E-2</v>
      </c>
      <c r="AD131" t="s">
        <v>579</v>
      </c>
      <c r="AE131" t="s">
        <v>546</v>
      </c>
      <c r="AF131">
        <v>1.3358E-2</v>
      </c>
      <c r="AG131" t="str">
        <f>IF($A131="","",IFERROR(INDEX(Company_List!$G$3:$G$207,MATCH($A131,Company_List!$A$3:$A$207,0)),"unassigned"))</f>
        <v>P2</v>
      </c>
      <c r="AH131" t="s">
        <v>1610</v>
      </c>
      <c r="AI131" t="s">
        <v>1611</v>
      </c>
      <c r="AJ131" t="s">
        <v>754</v>
      </c>
      <c r="AK131" t="str">
        <f>IF($A131="","",IF(COUNTIFS(Human_Data_Entry!$A$3:$A$525,$A131)&gt;0,"YES","NO"))</f>
        <v>YES</v>
      </c>
      <c r="AL131" t="str">
        <f>IF($A131="","",IF(AND($C131&amp;"-"&amp;$D131&gt;=Settings!$B$19,$C131&amp;"-"&amp;$D131&lt;=Settings!$B$20),"IN","OUT"))</f>
        <v>IN</v>
      </c>
      <c r="AM131">
        <f t="shared" ref="AM131:AM194" si="8">IF(AND(OR($H131="BUY",$H131="SELL"),ISNUMBER($T131)),$T131,"")</f>
        <v>1.3358E-2</v>
      </c>
      <c r="AN131">
        <f t="shared" ref="AN131:AN194" si="9">IF(AND(OR($H131="BUY",$H131="SELL"),ISNUMBER($AF131)),$AF131,"")</f>
        <v>1.3358E-2</v>
      </c>
      <c r="AO131">
        <f>IF(ISNUMBER($AM131),ABS(IF(ISNUMBER($G131),$G131,0)-Settings!$B$25),"")</f>
        <v>0.5</v>
      </c>
      <c r="AP131">
        <f t="shared" ref="AP131:AP194" si="10">IF(ISNUMBER($AO131),$AO131*$AM131,"")</f>
        <v>6.679E-3</v>
      </c>
      <c r="AQ131">
        <f>IF(ISNUMBER($AN131),ABS(IF(ISNUMBER($G131),$G131,0)-Settings!$B$25),"")</f>
        <v>0.5</v>
      </c>
      <c r="AR131">
        <f t="shared" ref="AR131:AR194" si="11">IF(ISNUMBER($AQ131),$AQ131*$AN131,"")</f>
        <v>6.679E-3</v>
      </c>
      <c r="AS131" t="str">
        <f>IF($A131="","",IFERROR(INDEX(Company_List!$H$3:$H$207,MATCH($A131,Company_List!$A$3:$A$207,0)),"unassigned"))</f>
        <v>Consumer Staples</v>
      </c>
      <c r="AT131" t="s">
        <v>1924</v>
      </c>
      <c r="AU131" t="s">
        <v>1925</v>
      </c>
      <c r="AV131">
        <v>2</v>
      </c>
      <c r="AW131" t="s">
        <v>882</v>
      </c>
      <c r="AX131" t="s">
        <v>596</v>
      </c>
      <c r="AY131" t="s">
        <v>550</v>
      </c>
      <c r="AZ131" t="s">
        <v>562</v>
      </c>
      <c r="BA131" t="s">
        <v>554</v>
      </c>
    </row>
    <row r="132" spans="1:53" x14ac:dyDescent="0.2">
      <c r="A132" s="115" t="s">
        <v>1600</v>
      </c>
      <c r="B132" s="117" t="s">
        <v>1602</v>
      </c>
      <c r="C132" s="105">
        <v>2024</v>
      </c>
      <c r="D132" s="106" t="s">
        <v>555</v>
      </c>
      <c r="E132" s="109" t="s">
        <v>1911</v>
      </c>
      <c r="F132" s="106" t="s">
        <v>1912</v>
      </c>
      <c r="G132" s="128">
        <v>-0.5</v>
      </c>
      <c r="H132" s="106" t="s">
        <v>1923</v>
      </c>
      <c r="I132" s="128"/>
      <c r="J132" s="125">
        <v>45484</v>
      </c>
      <c r="K132" s="126">
        <v>45483</v>
      </c>
      <c r="L132" s="129">
        <v>163.59</v>
      </c>
      <c r="M132" s="126">
        <v>45484</v>
      </c>
      <c r="N132" s="129">
        <v>159.1</v>
      </c>
      <c r="O132" s="132">
        <v>8.2349999999999993E-3</v>
      </c>
      <c r="P132" s="107">
        <v>-2.7446999999999999E-2</v>
      </c>
      <c r="Q132" s="106" t="s">
        <v>545</v>
      </c>
      <c r="R132" s="106" t="s">
        <v>554</v>
      </c>
      <c r="S132" s="105">
        <v>-1</v>
      </c>
      <c r="T132" s="107">
        <v>2.6446999999999998E-2</v>
      </c>
      <c r="U132" s="130" t="s">
        <v>1914</v>
      </c>
      <c r="V132" t="s">
        <v>549</v>
      </c>
      <c r="W132" t="s">
        <v>636</v>
      </c>
      <c r="X132" t="s">
        <v>1602</v>
      </c>
      <c r="Y132" t="s">
        <v>1627</v>
      </c>
      <c r="Z132">
        <v>151.8289</v>
      </c>
      <c r="AA132" t="s">
        <v>1628</v>
      </c>
      <c r="AB132">
        <v>147.6617</v>
      </c>
      <c r="AC132">
        <v>-2.744678580892352E-2</v>
      </c>
      <c r="AD132" t="s">
        <v>545</v>
      </c>
      <c r="AE132" t="s">
        <v>554</v>
      </c>
      <c r="AF132">
        <v>2.6446999999999998E-2</v>
      </c>
      <c r="AG132" t="str">
        <f>IF($A132="","",IFERROR(INDEX(Company_List!$G$3:$G$207,MATCH($A132,Company_List!$A$3:$A$207,0)),"unassigned"))</f>
        <v>P2</v>
      </c>
      <c r="AH132" t="s">
        <v>1629</v>
      </c>
      <c r="AI132" t="s">
        <v>1630</v>
      </c>
      <c r="AJ132" t="s">
        <v>754</v>
      </c>
      <c r="AK132" t="str">
        <f>IF($A132="","",IF(COUNTIFS(Human_Data_Entry!$A$3:$A$525,$A132)&gt;0,"YES","NO"))</f>
        <v>YES</v>
      </c>
      <c r="AL132" t="str">
        <f>IF($A132="","",IF(AND($C132&amp;"-"&amp;$D132&gt;=Settings!$B$19,$C132&amp;"-"&amp;$D132&lt;=Settings!$B$20),"IN","OUT"))</f>
        <v>IN</v>
      </c>
      <c r="AM132">
        <f t="shared" si="8"/>
        <v>2.6446999999999998E-2</v>
      </c>
      <c r="AN132">
        <f t="shared" si="9"/>
        <v>2.6446999999999998E-2</v>
      </c>
      <c r="AO132">
        <f>IF(ISNUMBER($AM132),ABS(IF(ISNUMBER($G132),$G132,0)-Settings!$B$25),"")</f>
        <v>0.5</v>
      </c>
      <c r="AP132">
        <f t="shared" si="10"/>
        <v>1.3223499999999999E-2</v>
      </c>
      <c r="AQ132">
        <f>IF(ISNUMBER($AN132),ABS(IF(ISNUMBER($G132),$G132,0)-Settings!$B$25),"")</f>
        <v>0.5</v>
      </c>
      <c r="AR132">
        <f t="shared" si="11"/>
        <v>1.3223499999999999E-2</v>
      </c>
      <c r="AS132" t="str">
        <f>IF($A132="","",IFERROR(INDEX(Company_List!$H$3:$H$207,MATCH($A132,Company_List!$A$3:$A$207,0)),"unassigned"))</f>
        <v>Consumer Staples</v>
      </c>
      <c r="AT132" t="s">
        <v>1924</v>
      </c>
      <c r="AU132" t="s">
        <v>1925</v>
      </c>
      <c r="AV132">
        <v>2</v>
      </c>
      <c r="AW132" t="s">
        <v>882</v>
      </c>
      <c r="AX132" t="s">
        <v>596</v>
      </c>
      <c r="AY132" t="s">
        <v>550</v>
      </c>
      <c r="AZ132" t="s">
        <v>562</v>
      </c>
      <c r="BA132" t="s">
        <v>554</v>
      </c>
    </row>
    <row r="133" spans="1:53" x14ac:dyDescent="0.2">
      <c r="A133" s="115" t="s">
        <v>1600</v>
      </c>
      <c r="B133" s="117" t="s">
        <v>1602</v>
      </c>
      <c r="C133" s="105">
        <v>2025</v>
      </c>
      <c r="D133" s="106" t="s">
        <v>555</v>
      </c>
      <c r="E133" s="109" t="s">
        <v>1911</v>
      </c>
      <c r="F133" s="106" t="s">
        <v>1912</v>
      </c>
      <c r="G133" s="128">
        <v>0.155</v>
      </c>
      <c r="H133" s="106" t="s">
        <v>1913</v>
      </c>
      <c r="I133" s="128"/>
      <c r="J133" s="125">
        <v>45855</v>
      </c>
      <c r="K133" s="126">
        <v>45854</v>
      </c>
      <c r="L133" s="129">
        <v>135.35</v>
      </c>
      <c r="M133" s="126">
        <v>45855</v>
      </c>
      <c r="N133" s="129">
        <v>141.69999999999999</v>
      </c>
      <c r="O133" s="132">
        <v>9.5689999999999994E-3</v>
      </c>
      <c r="P133" s="107">
        <v>4.6914999999999998E-2</v>
      </c>
      <c r="Q133" s="106" t="s">
        <v>591</v>
      </c>
      <c r="R133" s="106" t="s">
        <v>546</v>
      </c>
      <c r="S133" s="105">
        <v>0</v>
      </c>
      <c r="T133" s="107">
        <v>0</v>
      </c>
      <c r="U133" s="130" t="s">
        <v>1914</v>
      </c>
      <c r="V133" t="s">
        <v>549</v>
      </c>
      <c r="W133" t="s">
        <v>636</v>
      </c>
      <c r="X133" t="s">
        <v>1602</v>
      </c>
      <c r="Y133" t="s">
        <v>884</v>
      </c>
      <c r="Z133">
        <v>130.1953</v>
      </c>
      <c r="AA133" t="s">
        <v>556</v>
      </c>
      <c r="AB133">
        <v>136.30340000000001</v>
      </c>
      <c r="AC133">
        <v>4.6915311776041392E-2</v>
      </c>
      <c r="AD133" t="s">
        <v>591</v>
      </c>
      <c r="AE133" t="s">
        <v>546</v>
      </c>
      <c r="AF133">
        <v>0</v>
      </c>
      <c r="AG133" t="str">
        <f>IF($A133="","",IFERROR(INDEX(Company_List!$G$3:$G$207,MATCH($A133,Company_List!$A$3:$A$207,0)),"unassigned"))</f>
        <v>P2</v>
      </c>
      <c r="AH133" t="s">
        <v>1644</v>
      </c>
      <c r="AI133" t="s">
        <v>1645</v>
      </c>
      <c r="AJ133" t="s">
        <v>754</v>
      </c>
      <c r="AK133" t="str">
        <f>IF($A133="","",IF(COUNTIFS(Human_Data_Entry!$A$3:$A$525,$A133)&gt;0,"YES","NO"))</f>
        <v>YES</v>
      </c>
      <c r="AL133" t="str">
        <f>IF($A133="","",IF(AND($C133&amp;"-"&amp;$D133&gt;=Settings!$B$19,$C133&amp;"-"&amp;$D133&lt;=Settings!$B$20),"IN","OUT"))</f>
        <v>IN</v>
      </c>
      <c r="AM133" t="str">
        <f t="shared" si="8"/>
        <v/>
      </c>
      <c r="AN133" t="str">
        <f t="shared" si="9"/>
        <v/>
      </c>
      <c r="AO133" t="str">
        <f>IF(ISNUMBER($AM133),ABS(IF(ISNUMBER($G133),$G133,0)-Settings!$B$25),"")</f>
        <v/>
      </c>
      <c r="AP133" t="str">
        <f t="shared" si="10"/>
        <v/>
      </c>
      <c r="AQ133" t="str">
        <f>IF(ISNUMBER($AN133),ABS(IF(ISNUMBER($G133),$G133,0)-Settings!$B$25),"")</f>
        <v/>
      </c>
      <c r="AR133" t="str">
        <f t="shared" si="11"/>
        <v/>
      </c>
      <c r="AS133" t="str">
        <f>IF($A133="","",IFERROR(INDEX(Company_List!$H$3:$H$207,MATCH($A133,Company_List!$A$3:$A$207,0)),"unassigned"))</f>
        <v>Consumer Staples</v>
      </c>
      <c r="AT133" t="s">
        <v>1924</v>
      </c>
      <c r="AU133" t="s">
        <v>1925</v>
      </c>
      <c r="AV133">
        <v>2</v>
      </c>
      <c r="AW133" t="s">
        <v>882</v>
      </c>
      <c r="AX133" t="s">
        <v>596</v>
      </c>
      <c r="AY133" t="s">
        <v>550</v>
      </c>
      <c r="AZ133" t="s">
        <v>562</v>
      </c>
      <c r="BA133" t="s">
        <v>554</v>
      </c>
    </row>
    <row r="134" spans="1:53" x14ac:dyDescent="0.2">
      <c r="A134" s="115" t="s">
        <v>1600</v>
      </c>
      <c r="B134" s="117" t="s">
        <v>1602</v>
      </c>
      <c r="C134" s="105">
        <v>2026</v>
      </c>
      <c r="D134" s="106" t="s">
        <v>555</v>
      </c>
      <c r="E134" s="109" t="s">
        <v>1911</v>
      </c>
      <c r="F134" s="106" t="s">
        <v>1912</v>
      </c>
      <c r="G134" s="128">
        <v>-0.2175</v>
      </c>
      <c r="H134" s="106" t="s">
        <v>1923</v>
      </c>
      <c r="I134" s="128"/>
      <c r="J134" s="125">
        <v>46212</v>
      </c>
      <c r="K134" s="126">
        <v>46211</v>
      </c>
      <c r="L134" s="129">
        <v>142.51</v>
      </c>
      <c r="M134" s="126">
        <v>46212</v>
      </c>
      <c r="N134" s="129">
        <v>137.09</v>
      </c>
      <c r="O134" s="132">
        <v>9.4190000000000003E-3</v>
      </c>
      <c r="P134" s="107">
        <v>-3.8032000000000003E-2</v>
      </c>
      <c r="Q134" s="106" t="s">
        <v>545</v>
      </c>
      <c r="R134" s="106" t="s">
        <v>554</v>
      </c>
      <c r="S134" s="105">
        <v>-1</v>
      </c>
      <c r="T134" s="107">
        <v>3.7032000000000002E-2</v>
      </c>
      <c r="U134" s="130" t="s">
        <v>1914</v>
      </c>
      <c r="V134" t="s">
        <v>549</v>
      </c>
      <c r="W134" t="s">
        <v>636</v>
      </c>
      <c r="X134" t="s">
        <v>1602</v>
      </c>
      <c r="Y134" t="s">
        <v>1656</v>
      </c>
      <c r="Z134">
        <v>142.51</v>
      </c>
      <c r="AA134" t="s">
        <v>1657</v>
      </c>
      <c r="AB134">
        <v>137.09</v>
      </c>
      <c r="AC134">
        <v>-3.8032413094955128E-2</v>
      </c>
      <c r="AD134" t="s">
        <v>545</v>
      </c>
      <c r="AE134" t="s">
        <v>554</v>
      </c>
      <c r="AF134">
        <v>3.7032000000000002E-2</v>
      </c>
      <c r="AG134" t="str">
        <f>IF($A134="","",IFERROR(INDEX(Company_List!$G$3:$G$207,MATCH($A134,Company_List!$A$3:$A$207,0)),"unassigned"))</f>
        <v>P2</v>
      </c>
      <c r="AH134" t="s">
        <v>1658</v>
      </c>
      <c r="AI134" t="s">
        <v>1659</v>
      </c>
      <c r="AJ134" t="s">
        <v>754</v>
      </c>
      <c r="AK134" t="str">
        <f>IF($A134="","",IF(COUNTIFS(Human_Data_Entry!$A$3:$A$525,$A134)&gt;0,"YES","NO"))</f>
        <v>YES</v>
      </c>
      <c r="AL134" t="str">
        <f>IF($A134="","",IF(AND($C134&amp;"-"&amp;$D134&gt;=Settings!$B$19,$C134&amp;"-"&amp;$D134&lt;=Settings!$B$20),"IN","OUT"))</f>
        <v>IN</v>
      </c>
      <c r="AM134">
        <f t="shared" si="8"/>
        <v>3.7032000000000002E-2</v>
      </c>
      <c r="AN134">
        <f t="shared" si="9"/>
        <v>3.7032000000000002E-2</v>
      </c>
      <c r="AO134">
        <f>IF(ISNUMBER($AM134),ABS(IF(ISNUMBER($G134),$G134,0)-Settings!$B$25),"")</f>
        <v>0.2175</v>
      </c>
      <c r="AP134">
        <f t="shared" si="10"/>
        <v>8.0544600000000011E-3</v>
      </c>
      <c r="AQ134">
        <f>IF(ISNUMBER($AN134),ABS(IF(ISNUMBER($G134),$G134,0)-Settings!$B$25),"")</f>
        <v>0.2175</v>
      </c>
      <c r="AR134">
        <f t="shared" si="11"/>
        <v>8.0544600000000011E-3</v>
      </c>
      <c r="AS134" t="str">
        <f>IF($A134="","",IFERROR(INDEX(Company_List!$H$3:$H$207,MATCH($A134,Company_List!$A$3:$A$207,0)),"unassigned"))</f>
        <v>Consumer Staples</v>
      </c>
      <c r="AT134" t="s">
        <v>1924</v>
      </c>
      <c r="AU134" t="s">
        <v>1925</v>
      </c>
      <c r="AV134">
        <v>2</v>
      </c>
      <c r="AW134" t="s">
        <v>561</v>
      </c>
      <c r="AX134" t="s">
        <v>561</v>
      </c>
      <c r="AY134" t="s">
        <v>550</v>
      </c>
      <c r="AZ134" t="s">
        <v>562</v>
      </c>
      <c r="BA134" t="s">
        <v>554</v>
      </c>
    </row>
    <row r="135" spans="1:53" x14ac:dyDescent="0.2">
      <c r="A135" s="115" t="s">
        <v>1600</v>
      </c>
      <c r="B135" s="117" t="s">
        <v>1602</v>
      </c>
      <c r="C135" s="105">
        <v>2023</v>
      </c>
      <c r="D135" s="106" t="s">
        <v>563</v>
      </c>
      <c r="E135" s="109" t="s">
        <v>1911</v>
      </c>
      <c r="F135" s="106" t="s">
        <v>1912</v>
      </c>
      <c r="G135" s="128">
        <v>0.5</v>
      </c>
      <c r="H135" s="106" t="s">
        <v>1919</v>
      </c>
      <c r="I135" s="128"/>
      <c r="J135" s="125">
        <v>45209</v>
      </c>
      <c r="K135" s="126">
        <v>45208</v>
      </c>
      <c r="L135" s="129">
        <v>161.36000000000001</v>
      </c>
      <c r="M135" s="126">
        <v>45209</v>
      </c>
      <c r="N135" s="129">
        <v>164.25</v>
      </c>
      <c r="O135" s="132">
        <v>8.2889999999999995E-3</v>
      </c>
      <c r="P135" s="107">
        <v>1.7909999999999999E-2</v>
      </c>
      <c r="Q135" s="106" t="s">
        <v>579</v>
      </c>
      <c r="R135" s="106" t="s">
        <v>546</v>
      </c>
      <c r="S135" s="105">
        <v>1</v>
      </c>
      <c r="T135" s="107">
        <v>1.6910000000000001E-2</v>
      </c>
      <c r="U135" s="130" t="s">
        <v>1914</v>
      </c>
      <c r="V135" t="s">
        <v>549</v>
      </c>
      <c r="W135" t="s">
        <v>636</v>
      </c>
      <c r="X135" t="s">
        <v>1602</v>
      </c>
      <c r="Y135" t="s">
        <v>1613</v>
      </c>
      <c r="Z135">
        <v>146.34639999999999</v>
      </c>
      <c r="AA135" t="s">
        <v>1614</v>
      </c>
      <c r="AB135">
        <v>148.9675</v>
      </c>
      <c r="AC135">
        <v>1.7909956955248382E-2</v>
      </c>
      <c r="AD135" t="s">
        <v>579</v>
      </c>
      <c r="AE135" t="s">
        <v>546</v>
      </c>
      <c r="AF135">
        <v>1.6910000000000001E-2</v>
      </c>
      <c r="AG135" t="str">
        <f>IF($A135="","",IFERROR(INDEX(Company_List!$G$3:$G$207,MATCH($A135,Company_List!$A$3:$A$207,0)),"unassigned"))</f>
        <v>P2</v>
      </c>
      <c r="AH135" t="s">
        <v>1615</v>
      </c>
      <c r="AI135" t="s">
        <v>1616</v>
      </c>
      <c r="AJ135" t="s">
        <v>754</v>
      </c>
      <c r="AK135" t="str">
        <f>IF($A135="","",IF(COUNTIFS(Human_Data_Entry!$A$3:$A$525,$A135)&gt;0,"YES","NO"))</f>
        <v>YES</v>
      </c>
      <c r="AL135" t="str">
        <f>IF($A135="","",IF(AND($C135&amp;"-"&amp;$D135&gt;=Settings!$B$19,$C135&amp;"-"&amp;$D135&lt;=Settings!$B$20),"IN","OUT"))</f>
        <v>IN</v>
      </c>
      <c r="AM135">
        <f t="shared" si="8"/>
        <v>1.6910000000000001E-2</v>
      </c>
      <c r="AN135">
        <f t="shared" si="9"/>
        <v>1.6910000000000001E-2</v>
      </c>
      <c r="AO135">
        <f>IF(ISNUMBER($AM135),ABS(IF(ISNUMBER($G135),$G135,0)-Settings!$B$25),"")</f>
        <v>0.5</v>
      </c>
      <c r="AP135">
        <f t="shared" si="10"/>
        <v>8.4550000000000007E-3</v>
      </c>
      <c r="AQ135">
        <f>IF(ISNUMBER($AN135),ABS(IF(ISNUMBER($G135),$G135,0)-Settings!$B$25),"")</f>
        <v>0.5</v>
      </c>
      <c r="AR135">
        <f t="shared" si="11"/>
        <v>8.4550000000000007E-3</v>
      </c>
      <c r="AS135" t="str">
        <f>IF($A135="","",IFERROR(INDEX(Company_List!$H$3:$H$207,MATCH($A135,Company_List!$A$3:$A$207,0)),"unassigned"))</f>
        <v>Consumer Staples</v>
      </c>
      <c r="AT135" t="s">
        <v>1924</v>
      </c>
      <c r="AU135" t="s">
        <v>1925</v>
      </c>
      <c r="AV135">
        <v>2</v>
      </c>
      <c r="AW135" t="s">
        <v>882</v>
      </c>
      <c r="AX135" t="s">
        <v>596</v>
      </c>
      <c r="AY135" t="s">
        <v>550</v>
      </c>
      <c r="AZ135" t="s">
        <v>562</v>
      </c>
      <c r="BA135" t="s">
        <v>554</v>
      </c>
    </row>
    <row r="136" spans="1:53" x14ac:dyDescent="0.2">
      <c r="A136" s="115" t="s">
        <v>1600</v>
      </c>
      <c r="B136" s="117" t="s">
        <v>1602</v>
      </c>
      <c r="C136" s="105">
        <v>2024</v>
      </c>
      <c r="D136" s="106" t="s">
        <v>563</v>
      </c>
      <c r="E136" s="109" t="s">
        <v>1911</v>
      </c>
      <c r="F136" s="106" t="s">
        <v>1912</v>
      </c>
      <c r="G136" s="128">
        <v>-0.5</v>
      </c>
      <c r="H136" s="106" t="s">
        <v>1923</v>
      </c>
      <c r="I136" s="128"/>
      <c r="J136" s="125">
        <v>45573</v>
      </c>
      <c r="K136" s="126">
        <v>45572</v>
      </c>
      <c r="L136" s="129">
        <v>167.21</v>
      </c>
      <c r="M136" s="126">
        <v>45573</v>
      </c>
      <c r="N136" s="129">
        <v>167.72</v>
      </c>
      <c r="O136" s="132">
        <v>7.718E-3</v>
      </c>
      <c r="P136" s="107">
        <v>3.0500000000000002E-3</v>
      </c>
      <c r="Q136" s="106" t="s">
        <v>579</v>
      </c>
      <c r="R136" s="106" t="s">
        <v>546</v>
      </c>
      <c r="S136" s="105">
        <v>-1</v>
      </c>
      <c r="T136" s="107">
        <v>-4.0499999999999998E-3</v>
      </c>
      <c r="U136" s="130" t="s">
        <v>1914</v>
      </c>
      <c r="V136" t="s">
        <v>549</v>
      </c>
      <c r="W136" t="s">
        <v>636</v>
      </c>
      <c r="X136" t="s">
        <v>1602</v>
      </c>
      <c r="Y136" t="s">
        <v>1632</v>
      </c>
      <c r="Z136">
        <v>156.37039999999999</v>
      </c>
      <c r="AA136" t="s">
        <v>1633</v>
      </c>
      <c r="AB136">
        <v>156.84729999999999</v>
      </c>
      <c r="AC136">
        <v>3.0499750038358001E-3</v>
      </c>
      <c r="AD136" t="s">
        <v>579</v>
      </c>
      <c r="AE136" t="s">
        <v>546</v>
      </c>
      <c r="AF136">
        <v>-4.0499999999999998E-3</v>
      </c>
      <c r="AG136" t="str">
        <f>IF($A136="","",IFERROR(INDEX(Company_List!$G$3:$G$207,MATCH($A136,Company_List!$A$3:$A$207,0)),"unassigned"))</f>
        <v>P2</v>
      </c>
      <c r="AH136" t="s">
        <v>1634</v>
      </c>
      <c r="AI136" t="s">
        <v>1635</v>
      </c>
      <c r="AJ136" t="s">
        <v>754</v>
      </c>
      <c r="AK136" t="str">
        <f>IF($A136="","",IF(COUNTIFS(Human_Data_Entry!$A$3:$A$525,$A136)&gt;0,"YES","NO"))</f>
        <v>YES</v>
      </c>
      <c r="AL136" t="str">
        <f>IF($A136="","",IF(AND($C136&amp;"-"&amp;$D136&gt;=Settings!$B$19,$C136&amp;"-"&amp;$D136&lt;=Settings!$B$20),"IN","OUT"))</f>
        <v>IN</v>
      </c>
      <c r="AM136">
        <f t="shared" si="8"/>
        <v>-4.0499999999999998E-3</v>
      </c>
      <c r="AN136">
        <f t="shared" si="9"/>
        <v>-4.0499999999999998E-3</v>
      </c>
      <c r="AO136">
        <f>IF(ISNUMBER($AM136),ABS(IF(ISNUMBER($G136),$G136,0)-Settings!$B$25),"")</f>
        <v>0.5</v>
      </c>
      <c r="AP136">
        <f t="shared" si="10"/>
        <v>-2.0249999999999999E-3</v>
      </c>
      <c r="AQ136">
        <f>IF(ISNUMBER($AN136),ABS(IF(ISNUMBER($G136),$G136,0)-Settings!$B$25),"")</f>
        <v>0.5</v>
      </c>
      <c r="AR136">
        <f t="shared" si="11"/>
        <v>-2.0249999999999999E-3</v>
      </c>
      <c r="AS136" t="str">
        <f>IF($A136="","",IFERROR(INDEX(Company_List!$H$3:$H$207,MATCH($A136,Company_List!$A$3:$A$207,0)),"unassigned"))</f>
        <v>Consumer Staples</v>
      </c>
      <c r="AT136" t="s">
        <v>1924</v>
      </c>
      <c r="AU136" t="s">
        <v>1925</v>
      </c>
      <c r="AV136">
        <v>2</v>
      </c>
      <c r="AW136" t="s">
        <v>882</v>
      </c>
      <c r="AX136" t="s">
        <v>596</v>
      </c>
      <c r="AY136" t="s">
        <v>550</v>
      </c>
      <c r="AZ136" t="s">
        <v>562</v>
      </c>
      <c r="BA136" t="s">
        <v>554</v>
      </c>
    </row>
    <row r="137" spans="1:53" x14ac:dyDescent="0.2">
      <c r="A137" s="115" t="s">
        <v>1600</v>
      </c>
      <c r="B137" s="117" t="s">
        <v>1602</v>
      </c>
      <c r="C137" s="105">
        <v>2025</v>
      </c>
      <c r="D137" s="106" t="s">
        <v>563</v>
      </c>
      <c r="E137" s="109" t="s">
        <v>1911</v>
      </c>
      <c r="F137" s="106" t="s">
        <v>1912</v>
      </c>
      <c r="G137" s="128">
        <v>0.245</v>
      </c>
      <c r="H137" s="106" t="s">
        <v>1913</v>
      </c>
      <c r="I137" s="128"/>
      <c r="J137" s="125">
        <v>45939</v>
      </c>
      <c r="K137" s="126">
        <v>45938</v>
      </c>
      <c r="L137" s="129">
        <v>138.84</v>
      </c>
      <c r="M137" s="126">
        <v>45939</v>
      </c>
      <c r="N137" s="129">
        <v>140.46</v>
      </c>
      <c r="O137" s="132">
        <v>1.0285000000000001E-2</v>
      </c>
      <c r="P137" s="107">
        <v>1.1668E-2</v>
      </c>
      <c r="Q137" s="106" t="s">
        <v>579</v>
      </c>
      <c r="R137" s="106" t="s">
        <v>554</v>
      </c>
      <c r="S137" s="105">
        <v>0</v>
      </c>
      <c r="T137" s="107">
        <v>0</v>
      </c>
      <c r="U137" s="130" t="s">
        <v>1914</v>
      </c>
      <c r="V137" t="s">
        <v>549</v>
      </c>
      <c r="W137" t="s">
        <v>636</v>
      </c>
      <c r="X137" t="s">
        <v>1602</v>
      </c>
      <c r="Y137" t="s">
        <v>1282</v>
      </c>
      <c r="Z137">
        <v>134.8588</v>
      </c>
      <c r="AA137" t="s">
        <v>1283</v>
      </c>
      <c r="AB137">
        <v>136.4323</v>
      </c>
      <c r="AC137">
        <v>1.1668198846777019E-2</v>
      </c>
      <c r="AD137" t="s">
        <v>579</v>
      </c>
      <c r="AE137" t="s">
        <v>554</v>
      </c>
      <c r="AF137">
        <v>0</v>
      </c>
      <c r="AG137" t="str">
        <f>IF($A137="","",IFERROR(INDEX(Company_List!$G$3:$G$207,MATCH($A137,Company_List!$A$3:$A$207,0)),"unassigned"))</f>
        <v>P2</v>
      </c>
      <c r="AH137" t="s">
        <v>1647</v>
      </c>
      <c r="AI137" t="s">
        <v>1648</v>
      </c>
      <c r="AJ137" t="s">
        <v>754</v>
      </c>
      <c r="AK137" t="str">
        <f>IF($A137="","",IF(COUNTIFS(Human_Data_Entry!$A$3:$A$525,$A137)&gt;0,"YES","NO"))</f>
        <v>YES</v>
      </c>
      <c r="AL137" t="str">
        <f>IF($A137="","",IF(AND($C137&amp;"-"&amp;$D137&gt;=Settings!$B$19,$C137&amp;"-"&amp;$D137&lt;=Settings!$B$20),"IN","OUT"))</f>
        <v>IN</v>
      </c>
      <c r="AM137" t="str">
        <f t="shared" si="8"/>
        <v/>
      </c>
      <c r="AN137" t="str">
        <f t="shared" si="9"/>
        <v/>
      </c>
      <c r="AO137" t="str">
        <f>IF(ISNUMBER($AM137),ABS(IF(ISNUMBER($G137),$G137,0)-Settings!$B$25),"")</f>
        <v/>
      </c>
      <c r="AP137" t="str">
        <f t="shared" si="10"/>
        <v/>
      </c>
      <c r="AQ137" t="str">
        <f>IF(ISNUMBER($AN137),ABS(IF(ISNUMBER($G137),$G137,0)-Settings!$B$25),"")</f>
        <v/>
      </c>
      <c r="AR137" t="str">
        <f t="shared" si="11"/>
        <v/>
      </c>
      <c r="AS137" t="str">
        <f>IF($A137="","",IFERROR(INDEX(Company_List!$H$3:$H$207,MATCH($A137,Company_List!$A$3:$A$207,0)),"unassigned"))</f>
        <v>Consumer Staples</v>
      </c>
      <c r="AT137" t="s">
        <v>1924</v>
      </c>
      <c r="AU137" t="s">
        <v>1925</v>
      </c>
      <c r="AV137">
        <v>2</v>
      </c>
      <c r="AW137" t="s">
        <v>882</v>
      </c>
      <c r="AX137" t="s">
        <v>596</v>
      </c>
      <c r="AY137" t="s">
        <v>550</v>
      </c>
      <c r="AZ137" t="s">
        <v>562</v>
      </c>
      <c r="BA137" t="s">
        <v>554</v>
      </c>
    </row>
    <row r="138" spans="1:53" x14ac:dyDescent="0.2">
      <c r="A138" s="115" t="s">
        <v>1600</v>
      </c>
      <c r="B138" s="117" t="s">
        <v>1602</v>
      </c>
      <c r="C138" s="105">
        <v>2023</v>
      </c>
      <c r="D138" s="106" t="s">
        <v>569</v>
      </c>
      <c r="E138" s="109" t="s">
        <v>1911</v>
      </c>
      <c r="F138" s="106" t="s">
        <v>1912</v>
      </c>
      <c r="G138" s="128">
        <v>-0.5</v>
      </c>
      <c r="H138" s="106" t="s">
        <v>1923</v>
      </c>
      <c r="I138" s="128"/>
      <c r="J138" s="125">
        <v>45331</v>
      </c>
      <c r="K138" s="126">
        <v>45330</v>
      </c>
      <c r="L138" s="129">
        <v>173.85</v>
      </c>
      <c r="M138" s="126">
        <v>45331</v>
      </c>
      <c r="N138" s="129">
        <v>171.2</v>
      </c>
      <c r="O138" s="132">
        <v>9.7630000000000008E-3</v>
      </c>
      <c r="P138" s="107">
        <v>-1.5243E-2</v>
      </c>
      <c r="Q138" s="106" t="s">
        <v>579</v>
      </c>
      <c r="R138" s="106" t="s">
        <v>546</v>
      </c>
      <c r="S138" s="105">
        <v>-1</v>
      </c>
      <c r="T138" s="107">
        <v>1.4243E-2</v>
      </c>
      <c r="U138" s="130" t="s">
        <v>1914</v>
      </c>
      <c r="V138" t="s">
        <v>549</v>
      </c>
      <c r="W138" t="s">
        <v>636</v>
      </c>
      <c r="X138" t="s">
        <v>1602</v>
      </c>
      <c r="Y138" t="s">
        <v>1618</v>
      </c>
      <c r="Z138">
        <v>158.8766</v>
      </c>
      <c r="AA138" t="s">
        <v>1619</v>
      </c>
      <c r="AB138">
        <v>156.45480000000001</v>
      </c>
      <c r="AC138">
        <v>-1.524309010372187E-2</v>
      </c>
      <c r="AD138" t="s">
        <v>579</v>
      </c>
      <c r="AE138" t="s">
        <v>546</v>
      </c>
      <c r="AF138">
        <v>1.4243E-2</v>
      </c>
      <c r="AG138" t="str">
        <f>IF($A138="","",IFERROR(INDEX(Company_List!$G$3:$G$207,MATCH($A138,Company_List!$A$3:$A$207,0)),"unassigned"))</f>
        <v>P2</v>
      </c>
      <c r="AH138" t="s">
        <v>1620</v>
      </c>
      <c r="AI138" t="s">
        <v>1621</v>
      </c>
      <c r="AJ138" t="s">
        <v>754</v>
      </c>
      <c r="AK138" t="str">
        <f>IF($A138="","",IF(COUNTIFS(Human_Data_Entry!$A$3:$A$525,$A138)&gt;0,"YES","NO"))</f>
        <v>YES</v>
      </c>
      <c r="AL138" t="str">
        <f>IF($A138="","",IF(AND($C138&amp;"-"&amp;$D138&gt;=Settings!$B$19,$C138&amp;"-"&amp;$D138&lt;=Settings!$B$20),"IN","OUT"))</f>
        <v>IN</v>
      </c>
      <c r="AM138">
        <f t="shared" si="8"/>
        <v>1.4243E-2</v>
      </c>
      <c r="AN138">
        <f t="shared" si="9"/>
        <v>1.4243E-2</v>
      </c>
      <c r="AO138">
        <f>IF(ISNUMBER($AM138),ABS(IF(ISNUMBER($G138),$G138,0)-Settings!$B$25),"")</f>
        <v>0.5</v>
      </c>
      <c r="AP138">
        <f t="shared" si="10"/>
        <v>7.1215000000000002E-3</v>
      </c>
      <c r="AQ138">
        <f>IF(ISNUMBER($AN138),ABS(IF(ISNUMBER($G138),$G138,0)-Settings!$B$25),"")</f>
        <v>0.5</v>
      </c>
      <c r="AR138">
        <f t="shared" si="11"/>
        <v>7.1215000000000002E-3</v>
      </c>
      <c r="AS138" t="str">
        <f>IF($A138="","",IFERROR(INDEX(Company_List!$H$3:$H$207,MATCH($A138,Company_List!$A$3:$A$207,0)),"unassigned"))</f>
        <v>Consumer Staples</v>
      </c>
      <c r="AT138" t="s">
        <v>1924</v>
      </c>
      <c r="AU138" t="s">
        <v>1925</v>
      </c>
      <c r="AV138">
        <v>2</v>
      </c>
      <c r="AW138" t="s">
        <v>882</v>
      </c>
      <c r="AX138" t="s">
        <v>596</v>
      </c>
      <c r="AY138" t="s">
        <v>550</v>
      </c>
      <c r="AZ138" t="s">
        <v>562</v>
      </c>
      <c r="BA138" t="s">
        <v>554</v>
      </c>
    </row>
    <row r="139" spans="1:53" x14ac:dyDescent="0.2">
      <c r="A139" s="115" t="s">
        <v>1600</v>
      </c>
      <c r="B139" s="117" t="s">
        <v>1602</v>
      </c>
      <c r="C139" s="105">
        <v>2024</v>
      </c>
      <c r="D139" s="106" t="s">
        <v>569</v>
      </c>
      <c r="E139" s="109" t="s">
        <v>1911</v>
      </c>
      <c r="F139" s="106" t="s">
        <v>1912</v>
      </c>
      <c r="G139" s="128">
        <v>-0.1</v>
      </c>
      <c r="H139" s="106" t="s">
        <v>1923</v>
      </c>
      <c r="I139" s="128"/>
      <c r="J139" s="125">
        <v>45692</v>
      </c>
      <c r="K139" s="126">
        <v>45691</v>
      </c>
      <c r="L139" s="129">
        <v>150.27000000000001</v>
      </c>
      <c r="M139" s="126">
        <v>45692</v>
      </c>
      <c r="N139" s="129">
        <v>146.1</v>
      </c>
      <c r="O139" s="132">
        <v>9.3209999999999994E-3</v>
      </c>
      <c r="P139" s="107">
        <v>-2.775E-2</v>
      </c>
      <c r="Q139" s="106" t="s">
        <v>545</v>
      </c>
      <c r="R139" s="106" t="s">
        <v>554</v>
      </c>
      <c r="S139" s="105">
        <v>-1</v>
      </c>
      <c r="T139" s="107">
        <v>2.6749999999999999E-2</v>
      </c>
      <c r="U139" s="130" t="s">
        <v>1914</v>
      </c>
      <c r="V139" t="s">
        <v>549</v>
      </c>
      <c r="W139" t="s">
        <v>636</v>
      </c>
      <c r="X139" t="s">
        <v>1602</v>
      </c>
      <c r="Y139" t="s">
        <v>1637</v>
      </c>
      <c r="Z139">
        <v>141.7251</v>
      </c>
      <c r="AA139" t="s">
        <v>638</v>
      </c>
      <c r="AB139">
        <v>137.79230000000001</v>
      </c>
      <c r="AC139">
        <v>-2.7750069551326952E-2</v>
      </c>
      <c r="AD139" t="s">
        <v>545</v>
      </c>
      <c r="AE139" t="s">
        <v>554</v>
      </c>
      <c r="AF139">
        <v>2.6749999999999999E-2</v>
      </c>
      <c r="AG139" t="str">
        <f>IF($A139="","",IFERROR(INDEX(Company_List!$G$3:$G$207,MATCH($A139,Company_List!$A$3:$A$207,0)),"unassigned"))</f>
        <v>P2</v>
      </c>
      <c r="AH139" t="s">
        <v>1638</v>
      </c>
      <c r="AI139" t="s">
        <v>1639</v>
      </c>
      <c r="AJ139" t="s">
        <v>754</v>
      </c>
      <c r="AK139" t="str">
        <f>IF($A139="","",IF(COUNTIFS(Human_Data_Entry!$A$3:$A$525,$A139)&gt;0,"YES","NO"))</f>
        <v>YES</v>
      </c>
      <c r="AL139" t="str">
        <f>IF($A139="","",IF(AND($C139&amp;"-"&amp;$D139&gt;=Settings!$B$19,$C139&amp;"-"&amp;$D139&lt;=Settings!$B$20),"IN","OUT"))</f>
        <v>IN</v>
      </c>
      <c r="AM139">
        <f t="shared" si="8"/>
        <v>2.6749999999999999E-2</v>
      </c>
      <c r="AN139">
        <f t="shared" si="9"/>
        <v>2.6749999999999999E-2</v>
      </c>
      <c r="AO139">
        <f>IF(ISNUMBER($AM139),ABS(IF(ISNUMBER($G139),$G139,0)-Settings!$B$25),"")</f>
        <v>0.1</v>
      </c>
      <c r="AP139">
        <f t="shared" si="10"/>
        <v>2.6750000000000003E-3</v>
      </c>
      <c r="AQ139">
        <f>IF(ISNUMBER($AN139),ABS(IF(ISNUMBER($G139),$G139,0)-Settings!$B$25),"")</f>
        <v>0.1</v>
      </c>
      <c r="AR139">
        <f t="shared" si="11"/>
        <v>2.6750000000000003E-3</v>
      </c>
      <c r="AS139" t="str">
        <f>IF($A139="","",IFERROR(INDEX(Company_List!$H$3:$H$207,MATCH($A139,Company_List!$A$3:$A$207,0)),"unassigned"))</f>
        <v>Consumer Staples</v>
      </c>
      <c r="AT139" t="s">
        <v>1924</v>
      </c>
      <c r="AU139" t="s">
        <v>1925</v>
      </c>
      <c r="AV139">
        <v>2</v>
      </c>
      <c r="AW139" t="s">
        <v>882</v>
      </c>
      <c r="AX139" t="s">
        <v>596</v>
      </c>
      <c r="AY139" t="s">
        <v>550</v>
      </c>
      <c r="AZ139" t="s">
        <v>562</v>
      </c>
      <c r="BA139" t="s">
        <v>554</v>
      </c>
    </row>
    <row r="140" spans="1:53" x14ac:dyDescent="0.2">
      <c r="A140" s="115" t="s">
        <v>1600</v>
      </c>
      <c r="B140" s="117" t="s">
        <v>1602</v>
      </c>
      <c r="C140" s="105">
        <v>2025</v>
      </c>
      <c r="D140" s="106" t="s">
        <v>569</v>
      </c>
      <c r="E140" s="109" t="s">
        <v>1911</v>
      </c>
      <c r="F140" s="106" t="s">
        <v>1912</v>
      </c>
      <c r="G140" s="128">
        <v>0.19500000000000001</v>
      </c>
      <c r="H140" s="106" t="s">
        <v>1913</v>
      </c>
      <c r="I140" s="128"/>
      <c r="J140" s="125">
        <v>46056</v>
      </c>
      <c r="K140" s="126">
        <v>46055</v>
      </c>
      <c r="L140" s="129">
        <v>155.19999999999999</v>
      </c>
      <c r="M140" s="126">
        <v>46056</v>
      </c>
      <c r="N140" s="129">
        <v>156.6</v>
      </c>
      <c r="O140" s="132">
        <v>1.0094000000000001E-2</v>
      </c>
      <c r="P140" s="107">
        <v>9.0209999999999995E-3</v>
      </c>
      <c r="Q140" s="106" t="s">
        <v>579</v>
      </c>
      <c r="R140" s="106" t="s">
        <v>554</v>
      </c>
      <c r="S140" s="105">
        <v>0</v>
      </c>
      <c r="T140" s="107">
        <v>0</v>
      </c>
      <c r="U140" s="130" t="s">
        <v>1914</v>
      </c>
      <c r="V140" t="s">
        <v>549</v>
      </c>
      <c r="W140" t="s">
        <v>636</v>
      </c>
      <c r="X140" t="s">
        <v>1602</v>
      </c>
      <c r="Y140" t="s">
        <v>983</v>
      </c>
      <c r="Z140">
        <v>152.22409999999999</v>
      </c>
      <c r="AA140" t="s">
        <v>736</v>
      </c>
      <c r="AB140">
        <v>153.59729999999999</v>
      </c>
      <c r="AC140">
        <v>9.0206896429256851E-3</v>
      </c>
      <c r="AD140" t="s">
        <v>579</v>
      </c>
      <c r="AE140" t="s">
        <v>554</v>
      </c>
      <c r="AF140">
        <v>0</v>
      </c>
      <c r="AG140" t="str">
        <f>IF($A140="","",IFERROR(INDEX(Company_List!$G$3:$G$207,MATCH($A140,Company_List!$A$3:$A$207,0)),"unassigned"))</f>
        <v>P2</v>
      </c>
      <c r="AH140" t="s">
        <v>1650</v>
      </c>
      <c r="AI140" t="s">
        <v>1651</v>
      </c>
      <c r="AJ140" t="s">
        <v>754</v>
      </c>
      <c r="AK140" t="str">
        <f>IF($A140="","",IF(COUNTIFS(Human_Data_Entry!$A$3:$A$525,$A140)&gt;0,"YES","NO"))</f>
        <v>YES</v>
      </c>
      <c r="AL140" t="str">
        <f>IF($A140="","",IF(AND($C140&amp;"-"&amp;$D140&gt;=Settings!$B$19,$C140&amp;"-"&amp;$D140&lt;=Settings!$B$20),"IN","OUT"))</f>
        <v>IN</v>
      </c>
      <c r="AM140" t="str">
        <f t="shared" si="8"/>
        <v/>
      </c>
      <c r="AN140" t="str">
        <f t="shared" si="9"/>
        <v/>
      </c>
      <c r="AO140" t="str">
        <f>IF(ISNUMBER($AM140),ABS(IF(ISNUMBER($G140),$G140,0)-Settings!$B$25),"")</f>
        <v/>
      </c>
      <c r="AP140" t="str">
        <f t="shared" si="10"/>
        <v/>
      </c>
      <c r="AQ140" t="str">
        <f>IF(ISNUMBER($AN140),ABS(IF(ISNUMBER($G140),$G140,0)-Settings!$B$25),"")</f>
        <v/>
      </c>
      <c r="AR140" t="str">
        <f t="shared" si="11"/>
        <v/>
      </c>
      <c r="AS140" t="str">
        <f>IF($A140="","",IFERROR(INDEX(Company_List!$H$3:$H$207,MATCH($A140,Company_List!$A$3:$A$207,0)),"unassigned"))</f>
        <v>Consumer Staples</v>
      </c>
      <c r="AT140" t="s">
        <v>1924</v>
      </c>
      <c r="AU140" t="s">
        <v>1925</v>
      </c>
      <c r="AV140">
        <v>2</v>
      </c>
      <c r="AW140" t="s">
        <v>882</v>
      </c>
      <c r="AX140" t="s">
        <v>596</v>
      </c>
      <c r="AY140" t="s">
        <v>550</v>
      </c>
      <c r="AZ140" t="s">
        <v>562</v>
      </c>
      <c r="BA140" t="s">
        <v>554</v>
      </c>
    </row>
    <row r="141" spans="1:53" x14ac:dyDescent="0.2">
      <c r="A141" s="115" t="s">
        <v>1056</v>
      </c>
      <c r="B141" s="117" t="s">
        <v>1057</v>
      </c>
      <c r="C141" s="105">
        <v>2026</v>
      </c>
      <c r="D141" s="106" t="s">
        <v>537</v>
      </c>
      <c r="E141" s="109" t="s">
        <v>1911</v>
      </c>
      <c r="F141" s="106" t="s">
        <v>1912</v>
      </c>
      <c r="G141" s="128">
        <v>-5.5E-2</v>
      </c>
      <c r="H141" s="106" t="s">
        <v>1923</v>
      </c>
      <c r="I141" s="128"/>
      <c r="J141" s="125">
        <v>45918</v>
      </c>
      <c r="K141" s="126">
        <v>45918</v>
      </c>
      <c r="L141" s="129">
        <v>182.51410000000001</v>
      </c>
      <c r="M141" s="126">
        <v>45919</v>
      </c>
      <c r="N141" s="129">
        <v>183.96</v>
      </c>
      <c r="O141" s="132">
        <v>7.6350000000000003E-3</v>
      </c>
      <c r="P141" s="107">
        <v>7.9469999999999992E-3</v>
      </c>
      <c r="Q141" s="106" t="s">
        <v>579</v>
      </c>
      <c r="R141" s="106" t="s">
        <v>546</v>
      </c>
      <c r="S141" s="105">
        <v>-1</v>
      </c>
      <c r="T141" s="107">
        <v>-8.9470000000000001E-3</v>
      </c>
      <c r="U141" s="130" t="s">
        <v>1914</v>
      </c>
      <c r="V141" t="s">
        <v>549</v>
      </c>
      <c r="W141" t="s">
        <v>541</v>
      </c>
      <c r="X141" t="s">
        <v>1057</v>
      </c>
      <c r="Y141" t="s">
        <v>1067</v>
      </c>
      <c r="Z141">
        <v>180.1738</v>
      </c>
      <c r="AA141" t="s">
        <v>1068</v>
      </c>
      <c r="AB141">
        <v>181.60560000000001</v>
      </c>
      <c r="AC141">
        <v>7.947007323929561E-3</v>
      </c>
      <c r="AD141" t="s">
        <v>579</v>
      </c>
      <c r="AE141" t="s">
        <v>546</v>
      </c>
      <c r="AF141">
        <v>-8.9470000000000001E-3</v>
      </c>
      <c r="AG141" t="str">
        <f>IF($A141="","",IFERROR(INDEX(Company_List!$G$3:$G$207,MATCH($A141,Company_List!$A$3:$A$207,0)),"unassigned"))</f>
        <v>P2</v>
      </c>
      <c r="AH141" t="s">
        <v>1069</v>
      </c>
      <c r="AJ141" t="s">
        <v>548</v>
      </c>
      <c r="AK141" t="str">
        <f>IF($A141="","",IF(COUNTIFS(Human_Data_Entry!$A$3:$A$525,$A141)&gt;0,"YES","NO"))</f>
        <v>YES</v>
      </c>
      <c r="AL141" t="str">
        <f>IF($A141="","",IF(AND($C141&amp;"-"&amp;$D141&gt;=Settings!$B$19,$C141&amp;"-"&amp;$D141&lt;=Settings!$B$20),"IN","OUT"))</f>
        <v>IN</v>
      </c>
      <c r="AM141">
        <f t="shared" si="8"/>
        <v>-8.9470000000000001E-3</v>
      </c>
      <c r="AN141">
        <f t="shared" si="9"/>
        <v>-8.9470000000000001E-3</v>
      </c>
      <c r="AO141">
        <f>IF(ISNUMBER($AM141),ABS(IF(ISNUMBER($G141),$G141,0)-Settings!$B$25),"")</f>
        <v>5.5E-2</v>
      </c>
      <c r="AP141">
        <f t="shared" si="10"/>
        <v>-4.9208499999999996E-4</v>
      </c>
      <c r="AQ141">
        <f>IF(ISNUMBER($AN141),ABS(IF(ISNUMBER($G141),$G141,0)-Settings!$B$25),"")</f>
        <v>5.5E-2</v>
      </c>
      <c r="AR141">
        <f t="shared" si="11"/>
        <v>-4.9208499999999996E-4</v>
      </c>
      <c r="AS141" t="str">
        <f>IF($A141="","",IFERROR(INDEX(Company_List!$H$3:$H$207,MATCH($A141,Company_List!$A$3:$A$207,0)),"unassigned"))</f>
        <v>Industrials</v>
      </c>
      <c r="AT141" t="s">
        <v>1924</v>
      </c>
      <c r="AU141" t="s">
        <v>1925</v>
      </c>
      <c r="AV141">
        <v>1</v>
      </c>
      <c r="AW141" t="s">
        <v>561</v>
      </c>
      <c r="AX141" t="s">
        <v>561</v>
      </c>
      <c r="AY141" t="s">
        <v>550</v>
      </c>
      <c r="AZ141" t="s">
        <v>550</v>
      </c>
      <c r="BA141" t="s">
        <v>554</v>
      </c>
    </row>
    <row r="142" spans="1:53" x14ac:dyDescent="0.2">
      <c r="A142" s="115" t="s">
        <v>1056</v>
      </c>
      <c r="B142" s="117" t="s">
        <v>1057</v>
      </c>
      <c r="C142" s="105">
        <v>2026</v>
      </c>
      <c r="D142" s="106" t="s">
        <v>555</v>
      </c>
      <c r="E142" s="109" t="s">
        <v>1911</v>
      </c>
      <c r="F142" s="106" t="s">
        <v>1912</v>
      </c>
      <c r="G142" s="128">
        <v>0.23749999999999999</v>
      </c>
      <c r="H142" s="106" t="s">
        <v>1913</v>
      </c>
      <c r="I142" s="128"/>
      <c r="J142" s="125">
        <v>46009</v>
      </c>
      <c r="K142" s="126">
        <v>46009</v>
      </c>
      <c r="L142" s="129">
        <v>231.36179999999999</v>
      </c>
      <c r="M142" s="126">
        <v>46010</v>
      </c>
      <c r="N142" s="129">
        <v>219.23</v>
      </c>
      <c r="O142" s="132">
        <v>8.4390000000000003E-3</v>
      </c>
      <c r="P142" s="107">
        <v>-5.2451999999999999E-2</v>
      </c>
      <c r="Q142" s="106" t="s">
        <v>545</v>
      </c>
      <c r="R142" s="106" t="s">
        <v>546</v>
      </c>
      <c r="S142" s="105">
        <v>0</v>
      </c>
      <c r="T142" s="107">
        <v>0</v>
      </c>
      <c r="U142" s="130" t="s">
        <v>1914</v>
      </c>
      <c r="V142" t="s">
        <v>549</v>
      </c>
      <c r="W142" t="s">
        <v>748</v>
      </c>
      <c r="X142" t="s">
        <v>1057</v>
      </c>
      <c r="Y142" t="s">
        <v>1058</v>
      </c>
      <c r="Z142">
        <v>229.5658</v>
      </c>
      <c r="AA142" t="s">
        <v>1059</v>
      </c>
      <c r="AB142">
        <v>217.52459999999999</v>
      </c>
      <c r="AC142">
        <v>-5.2451972957172292E-2</v>
      </c>
      <c r="AD142" t="s">
        <v>545</v>
      </c>
      <c r="AE142" t="s">
        <v>546</v>
      </c>
      <c r="AF142">
        <v>0</v>
      </c>
      <c r="AG142" t="str">
        <f>IF($A142="","",IFERROR(INDEX(Company_List!$G$3:$G$207,MATCH($A142,Company_List!$A$3:$A$207,0)),"unassigned"))</f>
        <v>P2</v>
      </c>
      <c r="AH142" t="s">
        <v>1060</v>
      </c>
      <c r="AJ142" t="s">
        <v>548</v>
      </c>
      <c r="AK142" t="str">
        <f>IF($A142="","",IF(COUNTIFS(Human_Data_Entry!$A$3:$A$525,$A142)&gt;0,"YES","NO"))</f>
        <v>YES</v>
      </c>
      <c r="AL142" t="str">
        <f>IF($A142="","",IF(AND($C142&amp;"-"&amp;$D142&gt;=Settings!$B$19,$C142&amp;"-"&amp;$D142&lt;=Settings!$B$20),"IN","OUT"))</f>
        <v>IN</v>
      </c>
      <c r="AM142" t="str">
        <f t="shared" si="8"/>
        <v/>
      </c>
      <c r="AN142" t="str">
        <f t="shared" si="9"/>
        <v/>
      </c>
      <c r="AO142" t="str">
        <f>IF(ISNUMBER($AM142),ABS(IF(ISNUMBER($G142),$G142,0)-Settings!$B$25),"")</f>
        <v/>
      </c>
      <c r="AP142" t="str">
        <f t="shared" si="10"/>
        <v/>
      </c>
      <c r="AQ142" t="str">
        <f>IF(ISNUMBER($AN142),ABS(IF(ISNUMBER($G142),$G142,0)-Settings!$B$25),"")</f>
        <v/>
      </c>
      <c r="AR142" t="str">
        <f t="shared" si="11"/>
        <v/>
      </c>
      <c r="AS142" t="str">
        <f>IF($A142="","",IFERROR(INDEX(Company_List!$H$3:$H$207,MATCH($A142,Company_List!$A$3:$A$207,0)),"unassigned"))</f>
        <v>Industrials</v>
      </c>
      <c r="AT142" t="s">
        <v>1924</v>
      </c>
      <c r="AU142" t="s">
        <v>1925</v>
      </c>
      <c r="AV142">
        <v>1</v>
      </c>
      <c r="AW142" t="s">
        <v>561</v>
      </c>
      <c r="AX142" t="s">
        <v>561</v>
      </c>
      <c r="AY142" t="s">
        <v>550</v>
      </c>
      <c r="AZ142" t="s">
        <v>550</v>
      </c>
      <c r="BA142" t="s">
        <v>554</v>
      </c>
    </row>
    <row r="143" spans="1:53" x14ac:dyDescent="0.2">
      <c r="A143" s="115" t="s">
        <v>1056</v>
      </c>
      <c r="B143" s="117" t="s">
        <v>1057</v>
      </c>
      <c r="C143" s="105">
        <v>2026</v>
      </c>
      <c r="D143" s="106" t="s">
        <v>563</v>
      </c>
      <c r="E143" s="109" t="s">
        <v>1911</v>
      </c>
      <c r="F143" s="106" t="s">
        <v>1912</v>
      </c>
      <c r="G143" s="128">
        <v>0.25750000000000001</v>
      </c>
      <c r="H143" s="106" t="s">
        <v>1919</v>
      </c>
      <c r="I143" s="128"/>
      <c r="J143" s="125">
        <v>46100</v>
      </c>
      <c r="K143" s="126">
        <v>46100</v>
      </c>
      <c r="L143" s="129">
        <v>286.95409999999998</v>
      </c>
      <c r="M143" s="126">
        <v>46101</v>
      </c>
      <c r="N143" s="129">
        <v>306.87</v>
      </c>
      <c r="O143" s="132">
        <v>8.489E-3</v>
      </c>
      <c r="P143" s="107">
        <v>6.9389000000000006E-2</v>
      </c>
      <c r="Q143" s="106" t="s">
        <v>591</v>
      </c>
      <c r="R143" s="106" t="s">
        <v>554</v>
      </c>
      <c r="S143" s="105">
        <v>1</v>
      </c>
      <c r="T143" s="107">
        <v>6.8389000000000005E-2</v>
      </c>
      <c r="U143" s="130" t="s">
        <v>1914</v>
      </c>
      <c r="V143" t="s">
        <v>549</v>
      </c>
      <c r="W143" t="s">
        <v>541</v>
      </c>
      <c r="X143" t="s">
        <v>1057</v>
      </c>
      <c r="Y143" t="s">
        <v>1061</v>
      </c>
      <c r="Z143">
        <v>285.8809</v>
      </c>
      <c r="AA143" t="s">
        <v>1062</v>
      </c>
      <c r="AB143">
        <v>305.71769999999998</v>
      </c>
      <c r="AC143">
        <v>6.9388570232447266E-2</v>
      </c>
      <c r="AD143" t="s">
        <v>591</v>
      </c>
      <c r="AE143" t="s">
        <v>554</v>
      </c>
      <c r="AF143">
        <v>6.8389000000000005E-2</v>
      </c>
      <c r="AG143" t="str">
        <f>IF($A143="","",IFERROR(INDEX(Company_List!$G$3:$G$207,MATCH($A143,Company_List!$A$3:$A$207,0)),"unassigned"))</f>
        <v>P2</v>
      </c>
      <c r="AH143" t="s">
        <v>1063</v>
      </c>
      <c r="AJ143" t="s">
        <v>548</v>
      </c>
      <c r="AK143" t="str">
        <f>IF($A143="","",IF(COUNTIFS(Human_Data_Entry!$A$3:$A$525,$A143)&gt;0,"YES","NO"))</f>
        <v>YES</v>
      </c>
      <c r="AL143" t="str">
        <f>IF($A143="","",IF(AND($C143&amp;"-"&amp;$D143&gt;=Settings!$B$19,$C143&amp;"-"&amp;$D143&lt;=Settings!$B$20),"IN","OUT"))</f>
        <v>IN</v>
      </c>
      <c r="AM143">
        <f t="shared" si="8"/>
        <v>6.8389000000000005E-2</v>
      </c>
      <c r="AN143">
        <f t="shared" si="9"/>
        <v>6.8389000000000005E-2</v>
      </c>
      <c r="AO143">
        <f>IF(ISNUMBER($AM143),ABS(IF(ISNUMBER($G143),$G143,0)-Settings!$B$25),"")</f>
        <v>0.25750000000000001</v>
      </c>
      <c r="AP143">
        <f t="shared" si="10"/>
        <v>1.7610167500000003E-2</v>
      </c>
      <c r="AQ143">
        <f>IF(ISNUMBER($AN143),ABS(IF(ISNUMBER($G143),$G143,0)-Settings!$B$25),"")</f>
        <v>0.25750000000000001</v>
      </c>
      <c r="AR143">
        <f t="shared" si="11"/>
        <v>1.7610167500000003E-2</v>
      </c>
      <c r="AS143" t="str">
        <f>IF($A143="","",IFERROR(INDEX(Company_List!$H$3:$H$207,MATCH($A143,Company_List!$A$3:$A$207,0)),"unassigned"))</f>
        <v>Industrials</v>
      </c>
      <c r="AT143" t="s">
        <v>1924</v>
      </c>
      <c r="AU143" t="s">
        <v>1925</v>
      </c>
      <c r="AV143">
        <v>1</v>
      </c>
      <c r="AW143" t="s">
        <v>561</v>
      </c>
      <c r="AX143" t="s">
        <v>561</v>
      </c>
      <c r="AY143" t="s">
        <v>550</v>
      </c>
      <c r="AZ143" t="s">
        <v>550</v>
      </c>
      <c r="BA143" t="s">
        <v>554</v>
      </c>
    </row>
    <row r="144" spans="1:53" x14ac:dyDescent="0.2">
      <c r="A144" s="115" t="s">
        <v>1056</v>
      </c>
      <c r="B144" s="117" t="s">
        <v>1057</v>
      </c>
      <c r="C144" s="105">
        <v>2026</v>
      </c>
      <c r="D144" s="106" t="s">
        <v>569</v>
      </c>
      <c r="E144" s="109" t="s">
        <v>1911</v>
      </c>
      <c r="F144" s="106" t="s">
        <v>1912</v>
      </c>
      <c r="G144" s="128">
        <v>5.7500000000000002E-2</v>
      </c>
      <c r="H144" s="106" t="s">
        <v>1913</v>
      </c>
      <c r="I144" s="128"/>
      <c r="J144" s="125">
        <v>46196</v>
      </c>
      <c r="K144" s="126">
        <v>46196</v>
      </c>
      <c r="L144" s="129">
        <v>317.24</v>
      </c>
      <c r="M144" s="126">
        <v>46197</v>
      </c>
      <c r="N144" s="129">
        <v>314.77</v>
      </c>
      <c r="O144" s="132">
        <v>9.4359999999999999E-3</v>
      </c>
      <c r="P144" s="107">
        <v>-7.7860000000000004E-3</v>
      </c>
      <c r="Q144" s="106" t="s">
        <v>579</v>
      </c>
      <c r="R144" s="106" t="s">
        <v>554</v>
      </c>
      <c r="S144" s="105">
        <v>0</v>
      </c>
      <c r="T144" s="107">
        <v>0</v>
      </c>
      <c r="U144" s="130" t="s">
        <v>1914</v>
      </c>
      <c r="V144" t="s">
        <v>549</v>
      </c>
      <c r="W144" t="s">
        <v>541</v>
      </c>
      <c r="X144" t="s">
        <v>1057</v>
      </c>
      <c r="Y144" t="s">
        <v>1064</v>
      </c>
      <c r="Z144">
        <v>317.24</v>
      </c>
      <c r="AA144" t="s">
        <v>1065</v>
      </c>
      <c r="AB144">
        <v>314.77</v>
      </c>
      <c r="AC144">
        <v>-7.7859068145852859E-3</v>
      </c>
      <c r="AD144" t="s">
        <v>579</v>
      </c>
      <c r="AE144" t="s">
        <v>554</v>
      </c>
      <c r="AF144">
        <v>0</v>
      </c>
      <c r="AG144" t="str">
        <f>IF($A144="","",IFERROR(INDEX(Company_List!$G$3:$G$207,MATCH($A144,Company_List!$A$3:$A$207,0)),"unassigned"))</f>
        <v>P2</v>
      </c>
      <c r="AH144" t="s">
        <v>1066</v>
      </c>
      <c r="AJ144" t="s">
        <v>548</v>
      </c>
      <c r="AK144" t="str">
        <f>IF($A144="","",IF(COUNTIFS(Human_Data_Entry!$A$3:$A$525,$A144)&gt;0,"YES","NO"))</f>
        <v>YES</v>
      </c>
      <c r="AL144" t="str">
        <f>IF($A144="","",IF(AND($C144&amp;"-"&amp;$D144&gt;=Settings!$B$19,$C144&amp;"-"&amp;$D144&lt;=Settings!$B$20),"IN","OUT"))</f>
        <v>IN</v>
      </c>
      <c r="AM144" t="str">
        <f t="shared" si="8"/>
        <v/>
      </c>
      <c r="AN144" t="str">
        <f t="shared" si="9"/>
        <v/>
      </c>
      <c r="AO144" t="str">
        <f>IF(ISNUMBER($AM144),ABS(IF(ISNUMBER($G144),$G144,0)-Settings!$B$25),"")</f>
        <v/>
      </c>
      <c r="AP144" t="str">
        <f t="shared" si="10"/>
        <v/>
      </c>
      <c r="AQ144" t="str">
        <f>IF(ISNUMBER($AN144),ABS(IF(ISNUMBER($G144),$G144,0)-Settings!$B$25),"")</f>
        <v/>
      </c>
      <c r="AR144" t="str">
        <f t="shared" si="11"/>
        <v/>
      </c>
      <c r="AS144" t="str">
        <f>IF($A144="","",IFERROR(INDEX(Company_List!$H$3:$H$207,MATCH($A144,Company_List!$A$3:$A$207,0)),"unassigned"))</f>
        <v>Industrials</v>
      </c>
      <c r="AT144" t="s">
        <v>1924</v>
      </c>
      <c r="AU144" t="s">
        <v>1925</v>
      </c>
      <c r="AV144">
        <v>1</v>
      </c>
      <c r="AW144" t="s">
        <v>561</v>
      </c>
      <c r="AX144" t="s">
        <v>561</v>
      </c>
      <c r="AY144" t="s">
        <v>550</v>
      </c>
      <c r="AZ144" t="s">
        <v>550</v>
      </c>
      <c r="BA144" t="s">
        <v>554</v>
      </c>
    </row>
    <row r="145" spans="1:53" x14ac:dyDescent="0.2">
      <c r="A145" s="115" t="s">
        <v>1035</v>
      </c>
      <c r="B145" s="117" t="s">
        <v>1037</v>
      </c>
      <c r="C145" s="105">
        <v>2025</v>
      </c>
      <c r="D145" s="106" t="s">
        <v>537</v>
      </c>
      <c r="E145" s="109" t="s">
        <v>1911</v>
      </c>
      <c r="F145" s="106" t="s">
        <v>1912</v>
      </c>
      <c r="G145" s="128">
        <v>-5.2499999999999998E-2</v>
      </c>
      <c r="H145" s="106" t="s">
        <v>1923</v>
      </c>
      <c r="I145" s="128"/>
      <c r="J145" s="125">
        <v>45769</v>
      </c>
      <c r="K145" s="126">
        <v>45768</v>
      </c>
      <c r="L145" s="129">
        <v>458.33</v>
      </c>
      <c r="M145" s="126">
        <v>45769</v>
      </c>
      <c r="N145" s="129">
        <v>458.05</v>
      </c>
      <c r="O145" s="132">
        <v>8.7980000000000003E-3</v>
      </c>
      <c r="P145" s="107">
        <v>-6.11E-4</v>
      </c>
      <c r="Q145" s="106" t="s">
        <v>579</v>
      </c>
      <c r="R145" s="106" t="s">
        <v>546</v>
      </c>
      <c r="S145" s="105">
        <v>-1</v>
      </c>
      <c r="T145" s="107">
        <v>-3.8900000000000002E-4</v>
      </c>
      <c r="U145" s="130" t="s">
        <v>1914</v>
      </c>
      <c r="V145" t="s">
        <v>549</v>
      </c>
      <c r="W145" t="s">
        <v>853</v>
      </c>
      <c r="X145" t="s">
        <v>1037</v>
      </c>
      <c r="Y145" t="s">
        <v>578</v>
      </c>
      <c r="Z145">
        <v>443.23970000000003</v>
      </c>
      <c r="AA145" t="s">
        <v>614</v>
      </c>
      <c r="AB145">
        <v>442.96899999999999</v>
      </c>
      <c r="AC145">
        <v>-6.1086047906669784E-4</v>
      </c>
      <c r="AD145" t="s">
        <v>579</v>
      </c>
      <c r="AE145" t="s">
        <v>546</v>
      </c>
      <c r="AF145">
        <v>-3.8900000000000002E-4</v>
      </c>
      <c r="AG145" t="str">
        <f>IF($A145="","",IFERROR(INDEX(Company_List!$G$3:$G$207,MATCH($A145,Company_List!$A$3:$A$207,0)),"unassigned"))</f>
        <v>P2</v>
      </c>
      <c r="AH145" t="s">
        <v>1038</v>
      </c>
      <c r="AJ145" t="s">
        <v>593</v>
      </c>
      <c r="AK145" t="str">
        <f>IF($A145="","",IF(COUNTIFS(Human_Data_Entry!$A$3:$A$525,$A145)&gt;0,"YES","NO"))</f>
        <v>YES</v>
      </c>
      <c r="AL145" t="str">
        <f>IF($A145="","",IF(AND($C145&amp;"-"&amp;$D145&gt;=Settings!$B$19,$C145&amp;"-"&amp;$D145&lt;=Settings!$B$20),"IN","OUT"))</f>
        <v>IN</v>
      </c>
      <c r="AM145">
        <f t="shared" si="8"/>
        <v>-3.8900000000000002E-4</v>
      </c>
      <c r="AN145">
        <f t="shared" si="9"/>
        <v>-3.8900000000000002E-4</v>
      </c>
      <c r="AO145">
        <f>IF(ISNUMBER($AM145),ABS(IF(ISNUMBER($G145),$G145,0)-Settings!$B$25),"")</f>
        <v>5.2499999999999998E-2</v>
      </c>
      <c r="AP145">
        <f t="shared" si="10"/>
        <v>-2.04225E-5</v>
      </c>
      <c r="AQ145">
        <f>IF(ISNUMBER($AN145),ABS(IF(ISNUMBER($G145),$G145,0)-Settings!$B$25),"")</f>
        <v>5.2499999999999998E-2</v>
      </c>
      <c r="AR145">
        <f t="shared" si="11"/>
        <v>-2.04225E-5</v>
      </c>
      <c r="AS145" t="str">
        <f>IF($A145="","",IFERROR(INDEX(Company_List!$H$3:$H$207,MATCH($A145,Company_List!$A$3:$A$207,0)),"unassigned"))</f>
        <v>Industrials</v>
      </c>
      <c r="AT145" t="s">
        <v>1924</v>
      </c>
      <c r="AU145" t="s">
        <v>1925</v>
      </c>
      <c r="AV145">
        <v>4</v>
      </c>
      <c r="AW145" t="s">
        <v>561</v>
      </c>
      <c r="AX145" t="s">
        <v>561</v>
      </c>
      <c r="AY145" t="s">
        <v>550</v>
      </c>
      <c r="AZ145" t="s">
        <v>550</v>
      </c>
      <c r="BA145" t="s">
        <v>554</v>
      </c>
    </row>
    <row r="146" spans="1:53" x14ac:dyDescent="0.2">
      <c r="A146" s="115" t="s">
        <v>1035</v>
      </c>
      <c r="B146" s="117" t="s">
        <v>1037</v>
      </c>
      <c r="C146" s="105">
        <v>2025</v>
      </c>
      <c r="D146" s="106" t="s">
        <v>555</v>
      </c>
      <c r="E146" s="109" t="s">
        <v>1911</v>
      </c>
      <c r="F146" s="106" t="s">
        <v>1912</v>
      </c>
      <c r="G146" s="128">
        <v>-0.23</v>
      </c>
      <c r="H146" s="106" t="s">
        <v>1923</v>
      </c>
      <c r="I146" s="128"/>
      <c r="J146" s="125">
        <v>45860</v>
      </c>
      <c r="K146" s="126">
        <v>45859</v>
      </c>
      <c r="L146" s="129">
        <v>460.53</v>
      </c>
      <c r="M146" s="126">
        <v>45860</v>
      </c>
      <c r="N146" s="129">
        <v>422.75</v>
      </c>
      <c r="O146" s="132">
        <v>1.0600999999999999E-2</v>
      </c>
      <c r="P146" s="107">
        <v>-8.2035999999999998E-2</v>
      </c>
      <c r="Q146" s="106" t="s">
        <v>545</v>
      </c>
      <c r="R146" s="106" t="s">
        <v>554</v>
      </c>
      <c r="S146" s="105">
        <v>-1</v>
      </c>
      <c r="T146" s="107">
        <v>8.1035999999999997E-2</v>
      </c>
      <c r="U146" s="130" t="s">
        <v>1914</v>
      </c>
      <c r="V146" t="s">
        <v>549</v>
      </c>
      <c r="W146" t="s">
        <v>612</v>
      </c>
      <c r="X146" t="s">
        <v>1037</v>
      </c>
      <c r="Y146" t="s">
        <v>700</v>
      </c>
      <c r="Z146">
        <v>448.435</v>
      </c>
      <c r="AA146" t="s">
        <v>701</v>
      </c>
      <c r="AB146">
        <v>411.64729999999997</v>
      </c>
      <c r="AC146">
        <v>-8.2035901101232878E-2</v>
      </c>
      <c r="AD146" t="s">
        <v>545</v>
      </c>
      <c r="AE146" t="s">
        <v>554</v>
      </c>
      <c r="AF146">
        <v>8.1035999999999997E-2</v>
      </c>
      <c r="AG146" t="str">
        <f>IF($A146="","",IFERROR(INDEX(Company_List!$G$3:$G$207,MATCH($A146,Company_List!$A$3:$A$207,0)),"unassigned"))</f>
        <v>P2</v>
      </c>
      <c r="AH146" t="s">
        <v>1040</v>
      </c>
      <c r="AJ146" t="s">
        <v>593</v>
      </c>
      <c r="AK146" t="str">
        <f>IF($A146="","",IF(COUNTIFS(Human_Data_Entry!$A$3:$A$525,$A146)&gt;0,"YES","NO"))</f>
        <v>YES</v>
      </c>
      <c r="AL146" t="str">
        <f>IF($A146="","",IF(AND($C146&amp;"-"&amp;$D146&gt;=Settings!$B$19,$C146&amp;"-"&amp;$D146&lt;=Settings!$B$20),"IN","OUT"))</f>
        <v>IN</v>
      </c>
      <c r="AM146">
        <f t="shared" si="8"/>
        <v>8.1035999999999997E-2</v>
      </c>
      <c r="AN146">
        <f t="shared" si="9"/>
        <v>8.1035999999999997E-2</v>
      </c>
      <c r="AO146">
        <f>IF(ISNUMBER($AM146),ABS(IF(ISNUMBER($G146),$G146,0)-Settings!$B$25),"")</f>
        <v>0.23</v>
      </c>
      <c r="AP146">
        <f t="shared" si="10"/>
        <v>1.863828E-2</v>
      </c>
      <c r="AQ146">
        <f>IF(ISNUMBER($AN146),ABS(IF(ISNUMBER($G146),$G146,0)-Settings!$B$25),"")</f>
        <v>0.23</v>
      </c>
      <c r="AR146">
        <f t="shared" si="11"/>
        <v>1.863828E-2</v>
      </c>
      <c r="AS146" t="str">
        <f>IF($A146="","",IFERROR(INDEX(Company_List!$H$3:$H$207,MATCH($A146,Company_List!$A$3:$A$207,0)),"unassigned"))</f>
        <v>Industrials</v>
      </c>
      <c r="AT146" t="s">
        <v>1924</v>
      </c>
      <c r="AU146" t="s">
        <v>1925</v>
      </c>
      <c r="AV146">
        <v>4</v>
      </c>
      <c r="AW146" t="s">
        <v>561</v>
      </c>
      <c r="AX146" t="s">
        <v>561</v>
      </c>
      <c r="AY146" t="s">
        <v>550</v>
      </c>
      <c r="AZ146" t="s">
        <v>550</v>
      </c>
      <c r="BA146" t="s">
        <v>554</v>
      </c>
    </row>
    <row r="147" spans="1:53" x14ac:dyDescent="0.2">
      <c r="A147" s="115" t="s">
        <v>1035</v>
      </c>
      <c r="B147" s="117" t="s">
        <v>1037</v>
      </c>
      <c r="C147" s="105">
        <v>2025</v>
      </c>
      <c r="D147" s="106" t="s">
        <v>563</v>
      </c>
      <c r="E147" s="109" t="s">
        <v>1911</v>
      </c>
      <c r="F147" s="106" t="s">
        <v>1912</v>
      </c>
      <c r="G147" s="128">
        <v>0.4375</v>
      </c>
      <c r="H147" s="106" t="s">
        <v>1919</v>
      </c>
      <c r="I147" s="128"/>
      <c r="J147" s="125">
        <v>45951</v>
      </c>
      <c r="K147" s="126">
        <v>45950</v>
      </c>
      <c r="L147" s="129">
        <v>505.9</v>
      </c>
      <c r="M147" s="126">
        <v>45951</v>
      </c>
      <c r="N147" s="129">
        <v>482.71</v>
      </c>
      <c r="O147" s="132">
        <v>9.0889999999999999E-3</v>
      </c>
      <c r="P147" s="107">
        <v>-4.5838999999999998E-2</v>
      </c>
      <c r="Q147" s="106" t="s">
        <v>545</v>
      </c>
      <c r="R147" s="106" t="s">
        <v>546</v>
      </c>
      <c r="S147" s="105">
        <v>1</v>
      </c>
      <c r="T147" s="107">
        <v>-4.6838999999999999E-2</v>
      </c>
      <c r="U147" s="130" t="s">
        <v>1914</v>
      </c>
      <c r="V147" t="s">
        <v>549</v>
      </c>
      <c r="W147" t="s">
        <v>612</v>
      </c>
      <c r="X147" t="s">
        <v>1037</v>
      </c>
      <c r="Y147" t="s">
        <v>1042</v>
      </c>
      <c r="Z147">
        <v>496.20740000000001</v>
      </c>
      <c r="AA147" t="s">
        <v>565</v>
      </c>
      <c r="AB147">
        <v>473.46170000000001</v>
      </c>
      <c r="AC147">
        <v>-4.5839107833779598E-2</v>
      </c>
      <c r="AD147" t="s">
        <v>545</v>
      </c>
      <c r="AE147" t="s">
        <v>546</v>
      </c>
      <c r="AF147">
        <v>-4.6838999999999999E-2</v>
      </c>
      <c r="AG147" t="str">
        <f>IF($A147="","",IFERROR(INDEX(Company_List!$G$3:$G$207,MATCH($A147,Company_List!$A$3:$A$207,0)),"unassigned"))</f>
        <v>P2</v>
      </c>
      <c r="AH147" t="s">
        <v>1043</v>
      </c>
      <c r="AJ147" t="s">
        <v>593</v>
      </c>
      <c r="AK147" t="str">
        <f>IF($A147="","",IF(COUNTIFS(Human_Data_Entry!$A$3:$A$525,$A147)&gt;0,"YES","NO"))</f>
        <v>YES</v>
      </c>
      <c r="AL147" t="str">
        <f>IF($A147="","",IF(AND($C147&amp;"-"&amp;$D147&gt;=Settings!$B$19,$C147&amp;"-"&amp;$D147&lt;=Settings!$B$20),"IN","OUT"))</f>
        <v>IN</v>
      </c>
      <c r="AM147">
        <f t="shared" si="8"/>
        <v>-4.6838999999999999E-2</v>
      </c>
      <c r="AN147">
        <f t="shared" si="9"/>
        <v>-4.6838999999999999E-2</v>
      </c>
      <c r="AO147">
        <f>IF(ISNUMBER($AM147),ABS(IF(ISNUMBER($G147),$G147,0)-Settings!$B$25),"")</f>
        <v>0.4375</v>
      </c>
      <c r="AP147">
        <f t="shared" si="10"/>
        <v>-2.0492062499999998E-2</v>
      </c>
      <c r="AQ147">
        <f>IF(ISNUMBER($AN147),ABS(IF(ISNUMBER($G147),$G147,0)-Settings!$B$25),"")</f>
        <v>0.4375</v>
      </c>
      <c r="AR147">
        <f t="shared" si="11"/>
        <v>-2.0492062499999998E-2</v>
      </c>
      <c r="AS147" t="str">
        <f>IF($A147="","",IFERROR(INDEX(Company_List!$H$3:$H$207,MATCH($A147,Company_List!$A$3:$A$207,0)),"unassigned"))</f>
        <v>Industrials</v>
      </c>
      <c r="AT147" t="s">
        <v>1924</v>
      </c>
      <c r="AU147" t="s">
        <v>1925</v>
      </c>
      <c r="AV147">
        <v>5</v>
      </c>
      <c r="AW147" t="s">
        <v>561</v>
      </c>
      <c r="AX147" t="s">
        <v>561</v>
      </c>
      <c r="AY147" t="s">
        <v>550</v>
      </c>
      <c r="AZ147" t="s">
        <v>550</v>
      </c>
      <c r="BA147" t="s">
        <v>554</v>
      </c>
    </row>
    <row r="148" spans="1:53" x14ac:dyDescent="0.2">
      <c r="A148" s="115" t="s">
        <v>1035</v>
      </c>
      <c r="B148" s="117" t="s">
        <v>1037</v>
      </c>
      <c r="C148" s="105">
        <v>2025</v>
      </c>
      <c r="D148" s="106" t="s">
        <v>569</v>
      </c>
      <c r="E148" s="109" t="s">
        <v>1911</v>
      </c>
      <c r="F148" s="106" t="s">
        <v>1912</v>
      </c>
      <c r="G148" s="128">
        <v>0.41499999999999998</v>
      </c>
      <c r="H148" s="106" t="s">
        <v>1919</v>
      </c>
      <c r="I148" s="128"/>
      <c r="J148" s="125">
        <v>46051</v>
      </c>
      <c r="K148" s="126">
        <v>46050</v>
      </c>
      <c r="L148" s="129">
        <v>597.27</v>
      </c>
      <c r="M148" s="126">
        <v>46051</v>
      </c>
      <c r="N148" s="129">
        <v>609.24</v>
      </c>
      <c r="O148" s="132">
        <v>9.2949999999999994E-3</v>
      </c>
      <c r="P148" s="107">
        <v>2.0041E-2</v>
      </c>
      <c r="Q148" s="106" t="s">
        <v>591</v>
      </c>
      <c r="R148" s="106" t="s">
        <v>554</v>
      </c>
      <c r="S148" s="105">
        <v>1</v>
      </c>
      <c r="T148" s="107">
        <v>1.9040999999999999E-2</v>
      </c>
      <c r="U148" s="130" t="s">
        <v>1914</v>
      </c>
      <c r="V148" t="s">
        <v>549</v>
      </c>
      <c r="W148" t="s">
        <v>636</v>
      </c>
      <c r="X148" t="s">
        <v>1037</v>
      </c>
      <c r="Y148" t="s">
        <v>776</v>
      </c>
      <c r="Z148">
        <v>590.27449999999999</v>
      </c>
      <c r="AA148" t="s">
        <v>694</v>
      </c>
      <c r="AB148">
        <v>602.10429999999997</v>
      </c>
      <c r="AC148">
        <v>2.0041183997907351E-2</v>
      </c>
      <c r="AD148" t="s">
        <v>591</v>
      </c>
      <c r="AE148" t="s">
        <v>554</v>
      </c>
      <c r="AF148">
        <v>1.9040999999999999E-2</v>
      </c>
      <c r="AG148" t="str">
        <f>IF($A148="","",IFERROR(INDEX(Company_List!$G$3:$G$207,MATCH($A148,Company_List!$A$3:$A$207,0)),"unassigned"))</f>
        <v>P2</v>
      </c>
      <c r="AH148" t="s">
        <v>1045</v>
      </c>
      <c r="AJ148" t="s">
        <v>593</v>
      </c>
      <c r="AK148" t="str">
        <f>IF($A148="","",IF(COUNTIFS(Human_Data_Entry!$A$3:$A$525,$A148)&gt;0,"YES","NO"))</f>
        <v>YES</v>
      </c>
      <c r="AL148" t="str">
        <f>IF($A148="","",IF(AND($C148&amp;"-"&amp;$D148&gt;=Settings!$B$19,$C148&amp;"-"&amp;$D148&lt;=Settings!$B$20),"IN","OUT"))</f>
        <v>IN</v>
      </c>
      <c r="AM148">
        <f t="shared" si="8"/>
        <v>1.9040999999999999E-2</v>
      </c>
      <c r="AN148">
        <f t="shared" si="9"/>
        <v>1.9040999999999999E-2</v>
      </c>
      <c r="AO148">
        <f>IF(ISNUMBER($AM148),ABS(IF(ISNUMBER($G148),$G148,0)-Settings!$B$25),"")</f>
        <v>0.41499999999999998</v>
      </c>
      <c r="AP148">
        <f t="shared" si="10"/>
        <v>7.9020149999999983E-3</v>
      </c>
      <c r="AQ148">
        <f>IF(ISNUMBER($AN148),ABS(IF(ISNUMBER($G148),$G148,0)-Settings!$B$25),"")</f>
        <v>0.41499999999999998</v>
      </c>
      <c r="AR148">
        <f t="shared" si="11"/>
        <v>7.9020149999999983E-3</v>
      </c>
      <c r="AS148" t="str">
        <f>IF($A148="","",IFERROR(INDEX(Company_List!$H$3:$H$207,MATCH($A148,Company_List!$A$3:$A$207,0)),"unassigned"))</f>
        <v>Industrials</v>
      </c>
      <c r="AT148" t="s">
        <v>1924</v>
      </c>
      <c r="AU148" t="s">
        <v>1925</v>
      </c>
      <c r="AV148">
        <v>5</v>
      </c>
      <c r="AW148" t="s">
        <v>561</v>
      </c>
      <c r="AX148" t="s">
        <v>561</v>
      </c>
      <c r="AY148" t="s">
        <v>550</v>
      </c>
      <c r="AZ148" t="s">
        <v>550</v>
      </c>
      <c r="BA148" t="s">
        <v>554</v>
      </c>
    </row>
    <row r="149" spans="1:53" x14ac:dyDescent="0.2">
      <c r="A149" s="115" t="s">
        <v>1024</v>
      </c>
      <c r="B149" s="117" t="s">
        <v>1975</v>
      </c>
      <c r="C149" s="105">
        <v>2025</v>
      </c>
      <c r="D149" s="106" t="s">
        <v>537</v>
      </c>
      <c r="E149" s="109" t="s">
        <v>1911</v>
      </c>
      <c r="F149" s="106" t="s">
        <v>1912</v>
      </c>
      <c r="G149" s="128">
        <v>-0.41</v>
      </c>
      <c r="H149" s="106" t="s">
        <v>1923</v>
      </c>
      <c r="I149" s="128"/>
      <c r="J149" s="125">
        <v>45784</v>
      </c>
      <c r="K149" s="126">
        <v>45783</v>
      </c>
      <c r="L149" s="129">
        <v>66.290000000000006</v>
      </c>
      <c r="M149" s="126">
        <v>45784</v>
      </c>
      <c r="N149" s="129">
        <v>69.349999999999994</v>
      </c>
      <c r="O149" s="132">
        <v>1.434E-2</v>
      </c>
      <c r="P149" s="107">
        <v>4.6161000000000001E-2</v>
      </c>
      <c r="Q149" s="106" t="s">
        <v>591</v>
      </c>
      <c r="R149" s="106" t="s">
        <v>546</v>
      </c>
      <c r="S149" s="105">
        <v>-1</v>
      </c>
      <c r="T149" s="107">
        <v>-4.7161000000000002E-2</v>
      </c>
      <c r="U149" s="130" t="s">
        <v>1914</v>
      </c>
      <c r="V149" t="s">
        <v>549</v>
      </c>
      <c r="W149" t="s">
        <v>864</v>
      </c>
      <c r="X149" t="s">
        <v>1026</v>
      </c>
      <c r="Y149" t="s">
        <v>937</v>
      </c>
      <c r="Z149">
        <v>421.41829999999999</v>
      </c>
      <c r="AA149" t="s">
        <v>938</v>
      </c>
      <c r="AB149">
        <v>421.37049999999999</v>
      </c>
      <c r="AC149">
        <v>-1.132916695550904E-4</v>
      </c>
      <c r="AD149" t="s">
        <v>579</v>
      </c>
      <c r="AE149" t="s">
        <v>546</v>
      </c>
      <c r="AF149">
        <v>-8.8699999999999998E-4</v>
      </c>
      <c r="AG149" t="str">
        <f>IF($A149="","",IFERROR(INDEX(Company_List!$G$3:$G$207,MATCH($A149,Company_List!$A$3:$A$207,0)),"unassigned"))</f>
        <v>P2</v>
      </c>
      <c r="AH149" t="s">
        <v>1027</v>
      </c>
      <c r="AJ149" t="s">
        <v>593</v>
      </c>
      <c r="AK149" t="str">
        <f>IF($A149="","",IF(COUNTIFS(Human_Data_Entry!$A$3:$A$525,$A149)&gt;0,"YES","NO"))</f>
        <v>YES</v>
      </c>
      <c r="AL149" t="str">
        <f>IF($A149="","",IF(AND($C149&amp;"-"&amp;$D149&gt;=Settings!$B$19,$C149&amp;"-"&amp;$D149&lt;=Settings!$B$20),"IN","OUT"))</f>
        <v>IN</v>
      </c>
      <c r="AM149">
        <f t="shared" si="8"/>
        <v>-4.7161000000000002E-2</v>
      </c>
      <c r="AN149">
        <f t="shared" si="9"/>
        <v>-8.8699999999999998E-4</v>
      </c>
      <c r="AO149">
        <f>IF(ISNUMBER($AM149),ABS(IF(ISNUMBER($G149),$G149,0)-Settings!$B$25),"")</f>
        <v>0.41</v>
      </c>
      <c r="AP149">
        <f t="shared" si="10"/>
        <v>-1.9336010000000001E-2</v>
      </c>
      <c r="AQ149">
        <f>IF(ISNUMBER($AN149),ABS(IF(ISNUMBER($G149),$G149,0)-Settings!$B$25),"")</f>
        <v>0.41</v>
      </c>
      <c r="AR149">
        <f t="shared" si="11"/>
        <v>-3.6366999999999997E-4</v>
      </c>
      <c r="AS149" t="str">
        <f>IF($A149="","",IFERROR(INDEX(Company_List!$H$3:$H$207,MATCH($A149,Company_List!$A$3:$A$207,0)),"unassigned"))</f>
        <v>Health Care</v>
      </c>
      <c r="AT149" t="s">
        <v>1924</v>
      </c>
      <c r="AU149" t="s">
        <v>1925</v>
      </c>
      <c r="AV149">
        <v>4</v>
      </c>
      <c r="AW149" t="s">
        <v>561</v>
      </c>
      <c r="AX149" t="s">
        <v>561</v>
      </c>
      <c r="AY149" t="s">
        <v>550</v>
      </c>
      <c r="AZ149" t="s">
        <v>550</v>
      </c>
      <c r="BA149" t="s">
        <v>554</v>
      </c>
    </row>
    <row r="150" spans="1:53" x14ac:dyDescent="0.2">
      <c r="A150" s="115" t="s">
        <v>1024</v>
      </c>
      <c r="B150" s="117" t="s">
        <v>1975</v>
      </c>
      <c r="C150" s="105">
        <v>2025</v>
      </c>
      <c r="D150" s="106" t="s">
        <v>555</v>
      </c>
      <c r="E150" s="109" t="s">
        <v>1911</v>
      </c>
      <c r="F150" s="106" t="s">
        <v>1912</v>
      </c>
      <c r="G150" s="128">
        <v>-0.23</v>
      </c>
      <c r="H150" s="106" t="s">
        <v>1923</v>
      </c>
      <c r="I150" s="128"/>
      <c r="J150" s="125">
        <v>45875</v>
      </c>
      <c r="K150" s="126">
        <v>45874</v>
      </c>
      <c r="L150" s="129">
        <v>47.22</v>
      </c>
      <c r="M150" s="126">
        <v>45875</v>
      </c>
      <c r="N150" s="129">
        <v>45.97</v>
      </c>
      <c r="O150" s="132">
        <v>1.6154000000000002E-2</v>
      </c>
      <c r="P150" s="107">
        <v>-2.6471999999999999E-2</v>
      </c>
      <c r="Q150" s="106" t="s">
        <v>545</v>
      </c>
      <c r="R150" s="106" t="s">
        <v>554</v>
      </c>
      <c r="S150" s="105">
        <v>-1</v>
      </c>
      <c r="T150" s="107">
        <v>2.5472000000000002E-2</v>
      </c>
      <c r="U150" s="130" t="s">
        <v>1914</v>
      </c>
      <c r="V150" t="s">
        <v>549</v>
      </c>
      <c r="W150" t="s">
        <v>864</v>
      </c>
      <c r="X150" t="s">
        <v>1026</v>
      </c>
      <c r="Y150" t="s">
        <v>641</v>
      </c>
      <c r="Z150">
        <v>292.28399999999999</v>
      </c>
      <c r="AA150" t="s">
        <v>642</v>
      </c>
      <c r="AB150">
        <v>296.20150000000001</v>
      </c>
      <c r="AC150">
        <v>1.3403073686494019E-2</v>
      </c>
      <c r="AD150" t="s">
        <v>579</v>
      </c>
      <c r="AE150" t="s">
        <v>546</v>
      </c>
      <c r="AF150">
        <v>-1.4402999999999999E-2</v>
      </c>
      <c r="AG150" t="str">
        <f>IF($A150="","",IFERROR(INDEX(Company_List!$G$3:$G$207,MATCH($A150,Company_List!$A$3:$A$207,0)),"unassigned"))</f>
        <v>P2</v>
      </c>
      <c r="AH150" t="s">
        <v>1029</v>
      </c>
      <c r="AJ150" t="s">
        <v>593</v>
      </c>
      <c r="AK150" t="str">
        <f>IF($A150="","",IF(COUNTIFS(Human_Data_Entry!$A$3:$A$525,$A150)&gt;0,"YES","NO"))</f>
        <v>YES</v>
      </c>
      <c r="AL150" t="str">
        <f>IF($A150="","",IF(AND($C150&amp;"-"&amp;$D150&gt;=Settings!$B$19,$C150&amp;"-"&amp;$D150&lt;=Settings!$B$20),"IN","OUT"))</f>
        <v>IN</v>
      </c>
      <c r="AM150">
        <f t="shared" si="8"/>
        <v>2.5472000000000002E-2</v>
      </c>
      <c r="AN150">
        <f t="shared" si="9"/>
        <v>-1.4402999999999999E-2</v>
      </c>
      <c r="AO150">
        <f>IF(ISNUMBER($AM150),ABS(IF(ISNUMBER($G150),$G150,0)-Settings!$B$25),"")</f>
        <v>0.23</v>
      </c>
      <c r="AP150">
        <f t="shared" si="10"/>
        <v>5.8585600000000005E-3</v>
      </c>
      <c r="AQ150">
        <f>IF(ISNUMBER($AN150),ABS(IF(ISNUMBER($G150),$G150,0)-Settings!$B$25),"")</f>
        <v>0.23</v>
      </c>
      <c r="AR150">
        <f t="shared" si="11"/>
        <v>-3.3126900000000001E-3</v>
      </c>
      <c r="AS150" t="str">
        <f>IF($A150="","",IFERROR(INDEX(Company_List!$H$3:$H$207,MATCH($A150,Company_List!$A$3:$A$207,0)),"unassigned"))</f>
        <v>Health Care</v>
      </c>
      <c r="AT150" t="s">
        <v>1924</v>
      </c>
      <c r="AU150" t="s">
        <v>1925</v>
      </c>
      <c r="AV150">
        <v>3</v>
      </c>
      <c r="AW150" t="s">
        <v>561</v>
      </c>
      <c r="AX150" t="s">
        <v>561</v>
      </c>
      <c r="AY150" t="s">
        <v>550</v>
      </c>
      <c r="AZ150" t="s">
        <v>550</v>
      </c>
      <c r="BA150" t="s">
        <v>554</v>
      </c>
    </row>
    <row r="151" spans="1:53" x14ac:dyDescent="0.2">
      <c r="A151" s="115" t="s">
        <v>1024</v>
      </c>
      <c r="B151" s="117" t="s">
        <v>1975</v>
      </c>
      <c r="C151" s="105">
        <v>2025</v>
      </c>
      <c r="D151" s="106" t="s">
        <v>563</v>
      </c>
      <c r="E151" s="109" t="s">
        <v>1911</v>
      </c>
      <c r="F151" s="106" t="s">
        <v>1912</v>
      </c>
      <c r="G151" s="128">
        <v>-0.14000000000000001</v>
      </c>
      <c r="H151" s="106" t="s">
        <v>1923</v>
      </c>
      <c r="I151" s="128"/>
      <c r="J151" s="125">
        <v>45966</v>
      </c>
      <c r="K151" s="126">
        <v>45965</v>
      </c>
      <c r="L151" s="129">
        <v>48.25</v>
      </c>
      <c r="M151" s="126">
        <v>45966</v>
      </c>
      <c r="N151" s="129">
        <v>46.98</v>
      </c>
      <c r="O151" s="132">
        <v>1.6243E-2</v>
      </c>
      <c r="P151" s="107">
        <v>-2.6321000000000001E-2</v>
      </c>
      <c r="Q151" s="106" t="s">
        <v>545</v>
      </c>
      <c r="R151" s="106" t="s">
        <v>554</v>
      </c>
      <c r="S151" s="105">
        <v>-1</v>
      </c>
      <c r="T151" s="107">
        <v>2.5321E-2</v>
      </c>
      <c r="U151" s="130" t="s">
        <v>1914</v>
      </c>
      <c r="V151" t="s">
        <v>549</v>
      </c>
      <c r="W151" t="s">
        <v>864</v>
      </c>
      <c r="X151" t="s">
        <v>1026</v>
      </c>
      <c r="Y151" t="s">
        <v>1031</v>
      </c>
      <c r="Z151">
        <v>304.69110000000001</v>
      </c>
      <c r="AA151" t="s">
        <v>872</v>
      </c>
      <c r="AB151">
        <v>293.18790000000001</v>
      </c>
      <c r="AC151">
        <v>-3.7753871263952042E-2</v>
      </c>
      <c r="AD151" t="s">
        <v>545</v>
      </c>
      <c r="AE151" t="s">
        <v>554</v>
      </c>
      <c r="AF151">
        <v>3.6754000000000002E-2</v>
      </c>
      <c r="AG151" t="str">
        <f>IF($A151="","",IFERROR(INDEX(Company_List!$G$3:$G$207,MATCH($A151,Company_List!$A$3:$A$207,0)),"unassigned"))</f>
        <v>P2</v>
      </c>
      <c r="AH151" t="s">
        <v>1032</v>
      </c>
      <c r="AJ151" t="s">
        <v>593</v>
      </c>
      <c r="AK151" t="str">
        <f>IF($A151="","",IF(COUNTIFS(Human_Data_Entry!$A$3:$A$525,$A151)&gt;0,"YES","NO"))</f>
        <v>YES</v>
      </c>
      <c r="AL151" t="str">
        <f>IF($A151="","",IF(AND($C151&amp;"-"&amp;$D151&gt;=Settings!$B$19,$C151&amp;"-"&amp;$D151&lt;=Settings!$B$20),"IN","OUT"))</f>
        <v>IN</v>
      </c>
      <c r="AM151">
        <f t="shared" si="8"/>
        <v>2.5321E-2</v>
      </c>
      <c r="AN151">
        <f t="shared" si="9"/>
        <v>3.6754000000000002E-2</v>
      </c>
      <c r="AO151">
        <f>IF(ISNUMBER($AM151),ABS(IF(ISNUMBER($G151),$G151,0)-Settings!$B$25),"")</f>
        <v>0.14000000000000001</v>
      </c>
      <c r="AP151">
        <f t="shared" si="10"/>
        <v>3.5449400000000003E-3</v>
      </c>
      <c r="AQ151">
        <f>IF(ISNUMBER($AN151),ABS(IF(ISNUMBER($G151),$G151,0)-Settings!$B$25),"")</f>
        <v>0.14000000000000001</v>
      </c>
      <c r="AR151">
        <f t="shared" si="11"/>
        <v>5.1455600000000004E-3</v>
      </c>
      <c r="AS151" t="str">
        <f>IF($A151="","",IFERROR(INDEX(Company_List!$H$3:$H$207,MATCH($A151,Company_List!$A$3:$A$207,0)),"unassigned"))</f>
        <v>Health Care</v>
      </c>
      <c r="AT151" t="s">
        <v>1924</v>
      </c>
      <c r="AU151" t="s">
        <v>1925</v>
      </c>
      <c r="AV151">
        <v>4</v>
      </c>
      <c r="AW151" t="s">
        <v>595</v>
      </c>
      <c r="AX151" t="s">
        <v>596</v>
      </c>
      <c r="AY151" t="s">
        <v>550</v>
      </c>
      <c r="AZ151" t="s">
        <v>550</v>
      </c>
      <c r="BA151" t="s">
        <v>554</v>
      </c>
    </row>
    <row r="152" spans="1:53" x14ac:dyDescent="0.2">
      <c r="A152" s="115" t="s">
        <v>1024</v>
      </c>
      <c r="B152" s="117" t="s">
        <v>1975</v>
      </c>
      <c r="C152" s="105">
        <v>2025</v>
      </c>
      <c r="D152" s="106" t="s">
        <v>569</v>
      </c>
      <c r="E152" s="109" t="s">
        <v>1911</v>
      </c>
      <c r="F152" s="106" t="s">
        <v>1912</v>
      </c>
      <c r="G152" s="128">
        <v>-0.16250000000000001</v>
      </c>
      <c r="H152" s="106" t="s">
        <v>1923</v>
      </c>
      <c r="I152" s="128"/>
      <c r="J152" s="125">
        <v>46056</v>
      </c>
      <c r="K152" s="126">
        <v>46055</v>
      </c>
      <c r="L152" s="129">
        <v>58.93</v>
      </c>
      <c r="M152" s="126">
        <v>46056</v>
      </c>
      <c r="N152" s="129">
        <v>58.35</v>
      </c>
      <c r="O152" s="132">
        <v>2.6719E-2</v>
      </c>
      <c r="P152" s="107">
        <v>-9.8420000000000001E-3</v>
      </c>
      <c r="Q152" s="106" t="s">
        <v>579</v>
      </c>
      <c r="R152" s="106" t="s">
        <v>546</v>
      </c>
      <c r="S152" s="105">
        <v>-1</v>
      </c>
      <c r="T152" s="107">
        <v>8.8419999999999992E-3</v>
      </c>
      <c r="U152" s="130" t="s">
        <v>1914</v>
      </c>
      <c r="V152" t="s">
        <v>549</v>
      </c>
      <c r="W152" t="s">
        <v>864</v>
      </c>
      <c r="X152" t="s">
        <v>1026</v>
      </c>
      <c r="Y152" t="s">
        <v>736</v>
      </c>
      <c r="Z152">
        <v>355.53739999999999</v>
      </c>
      <c r="AA152" t="s">
        <v>737</v>
      </c>
      <c r="AB152">
        <v>291.93119999999999</v>
      </c>
      <c r="AC152">
        <v>-0.1789015603144252</v>
      </c>
      <c r="AD152" t="s">
        <v>545</v>
      </c>
      <c r="AE152" t="s">
        <v>554</v>
      </c>
      <c r="AF152">
        <v>0.177902</v>
      </c>
      <c r="AG152" t="str">
        <f>IF($A152="","",IFERROR(INDEX(Company_List!$G$3:$G$207,MATCH($A152,Company_List!$A$3:$A$207,0)),"unassigned"))</f>
        <v>P2</v>
      </c>
      <c r="AH152" t="s">
        <v>1034</v>
      </c>
      <c r="AJ152" t="s">
        <v>593</v>
      </c>
      <c r="AK152" t="str">
        <f>IF($A152="","",IF(COUNTIFS(Human_Data_Entry!$A$3:$A$525,$A152)&gt;0,"YES","NO"))</f>
        <v>YES</v>
      </c>
      <c r="AL152" t="str">
        <f>IF($A152="","",IF(AND($C152&amp;"-"&amp;$D152&gt;=Settings!$B$19,$C152&amp;"-"&amp;$D152&lt;=Settings!$B$20),"IN","OUT"))</f>
        <v>IN</v>
      </c>
      <c r="AM152">
        <f t="shared" si="8"/>
        <v>8.8419999999999992E-3</v>
      </c>
      <c r="AN152">
        <f t="shared" si="9"/>
        <v>0.177902</v>
      </c>
      <c r="AO152">
        <f>IF(ISNUMBER($AM152),ABS(IF(ISNUMBER($G152),$G152,0)-Settings!$B$25),"")</f>
        <v>0.16250000000000001</v>
      </c>
      <c r="AP152">
        <f t="shared" si="10"/>
        <v>1.4368249999999999E-3</v>
      </c>
      <c r="AQ152">
        <f>IF(ISNUMBER($AN152),ABS(IF(ISNUMBER($G152),$G152,0)-Settings!$B$25),"")</f>
        <v>0.16250000000000001</v>
      </c>
      <c r="AR152">
        <f t="shared" si="11"/>
        <v>2.8909075000000003E-2</v>
      </c>
      <c r="AS152" t="str">
        <f>IF($A152="","",IFERROR(INDEX(Company_List!$H$3:$H$207,MATCH($A152,Company_List!$A$3:$A$207,0)),"unassigned"))</f>
        <v>Health Care</v>
      </c>
      <c r="AT152" t="s">
        <v>1924</v>
      </c>
      <c r="AU152" t="s">
        <v>1925</v>
      </c>
      <c r="AV152">
        <v>5</v>
      </c>
      <c r="AW152" t="s">
        <v>561</v>
      </c>
      <c r="AX152" t="s">
        <v>561</v>
      </c>
      <c r="AY152" t="s">
        <v>550</v>
      </c>
      <c r="AZ152" t="s">
        <v>550</v>
      </c>
      <c r="BA152" t="s">
        <v>554</v>
      </c>
    </row>
    <row r="153" spans="1:53" x14ac:dyDescent="0.2">
      <c r="A153" s="115" t="s">
        <v>1070</v>
      </c>
      <c r="B153" s="117" t="s">
        <v>1071</v>
      </c>
      <c r="C153" s="105">
        <v>2025</v>
      </c>
      <c r="D153" s="106" t="s">
        <v>537</v>
      </c>
      <c r="E153" s="109" t="s">
        <v>1911</v>
      </c>
      <c r="F153" s="106" t="s">
        <v>1912</v>
      </c>
      <c r="G153" s="128">
        <v>-0.41</v>
      </c>
      <c r="H153" s="106" t="s">
        <v>1923</v>
      </c>
      <c r="I153" s="128"/>
      <c r="J153" s="125">
        <v>45776</v>
      </c>
      <c r="K153" s="126">
        <v>45775</v>
      </c>
      <c r="L153" s="129">
        <v>221.6</v>
      </c>
      <c r="M153" s="126">
        <v>45776</v>
      </c>
      <c r="N153" s="129">
        <v>224.6</v>
      </c>
      <c r="O153" s="132"/>
      <c r="P153" s="107">
        <v>1.3538E-2</v>
      </c>
      <c r="Q153" s="106" t="s">
        <v>579</v>
      </c>
      <c r="R153" s="106" t="s">
        <v>546</v>
      </c>
      <c r="S153" s="105">
        <v>-1</v>
      </c>
      <c r="T153" s="107">
        <v>-1.4538000000000001E-2</v>
      </c>
      <c r="U153" s="130" t="s">
        <v>1951</v>
      </c>
      <c r="V153" t="s">
        <v>549</v>
      </c>
      <c r="W153" t="s">
        <v>612</v>
      </c>
      <c r="X153" t="s">
        <v>1071</v>
      </c>
      <c r="Y153" t="s">
        <v>978</v>
      </c>
      <c r="Z153">
        <v>221.01220000000001</v>
      </c>
      <c r="AA153" t="s">
        <v>979</v>
      </c>
      <c r="AB153">
        <v>224.0043</v>
      </c>
      <c r="AC153">
        <v>1.3537842730143751E-2</v>
      </c>
      <c r="AD153" t="s">
        <v>579</v>
      </c>
      <c r="AE153" t="s">
        <v>546</v>
      </c>
      <c r="AF153">
        <v>-1.4538000000000001E-2</v>
      </c>
      <c r="AG153" t="str">
        <f>IF($A153="","",IFERROR(INDEX(Company_List!$G$3:$G$207,MATCH($A153,Company_List!$A$3:$A$207,0)),"unassigned"))</f>
        <v>P2</v>
      </c>
      <c r="AH153" t="s">
        <v>1072</v>
      </c>
      <c r="AJ153" t="s">
        <v>548</v>
      </c>
      <c r="AK153" t="str">
        <f>IF($A153="","",IF(COUNTIFS(Human_Data_Entry!$A$3:$A$525,$A153)&gt;0,"YES","NO"))</f>
        <v>YES</v>
      </c>
      <c r="AL153" t="str">
        <f>IF($A153="","",IF(AND($C153&amp;"-"&amp;$D153&gt;=Settings!$B$19,$C153&amp;"-"&amp;$D153&lt;=Settings!$B$20),"IN","OUT"))</f>
        <v>IN</v>
      </c>
      <c r="AM153">
        <f t="shared" si="8"/>
        <v>-1.4538000000000001E-2</v>
      </c>
      <c r="AN153">
        <f t="shared" si="9"/>
        <v>-1.4538000000000001E-2</v>
      </c>
      <c r="AO153">
        <f>IF(ISNUMBER($AM153),ABS(IF(ISNUMBER($G153),$G153,0)-Settings!$B$25),"")</f>
        <v>0.41</v>
      </c>
      <c r="AP153">
        <f t="shared" si="10"/>
        <v>-5.96058E-3</v>
      </c>
      <c r="AQ153">
        <f>IF(ISNUMBER($AN153),ABS(IF(ISNUMBER($G153),$G153,0)-Settings!$B$25),"")</f>
        <v>0.41</v>
      </c>
      <c r="AR153">
        <f t="shared" si="11"/>
        <v>-5.96058E-3</v>
      </c>
      <c r="AS153" t="str">
        <f>IF($A153="","",IFERROR(INDEX(Company_List!$H$3:$H$207,MATCH($A153,Company_List!$A$3:$A$207,0)),"unassigned"))</f>
        <v>Consumer Discretionary</v>
      </c>
      <c r="AT153" t="s">
        <v>1924</v>
      </c>
      <c r="AU153" t="s">
        <v>1925</v>
      </c>
      <c r="AV153">
        <v>1</v>
      </c>
      <c r="AW153" t="s">
        <v>552</v>
      </c>
      <c r="AX153" t="s">
        <v>553</v>
      </c>
      <c r="AY153" t="s">
        <v>550</v>
      </c>
      <c r="AZ153" t="s">
        <v>550</v>
      </c>
      <c r="BA153" t="s">
        <v>554</v>
      </c>
    </row>
    <row r="154" spans="1:53" x14ac:dyDescent="0.2">
      <c r="A154" s="115" t="s">
        <v>1070</v>
      </c>
      <c r="B154" s="117" t="s">
        <v>1071</v>
      </c>
      <c r="C154" s="105">
        <v>2026</v>
      </c>
      <c r="D154" s="106" t="s">
        <v>537</v>
      </c>
      <c r="E154" s="109" t="s">
        <v>1911</v>
      </c>
      <c r="F154" s="106" t="s">
        <v>1912</v>
      </c>
      <c r="G154" s="128">
        <v>0.14000000000000001</v>
      </c>
      <c r="H154" s="106" t="s">
        <v>1913</v>
      </c>
      <c r="I154" s="128"/>
      <c r="J154" s="125">
        <v>46140</v>
      </c>
      <c r="K154" s="126">
        <v>46139</v>
      </c>
      <c r="L154" s="129">
        <v>332.45</v>
      </c>
      <c r="M154" s="126">
        <v>46140</v>
      </c>
      <c r="N154" s="129">
        <v>323.42</v>
      </c>
      <c r="O154" s="132">
        <v>9.6190000000000008E-3</v>
      </c>
      <c r="P154" s="107">
        <v>-2.7161999999999999E-2</v>
      </c>
      <c r="Q154" s="106" t="s">
        <v>545</v>
      </c>
      <c r="R154" s="106" t="s">
        <v>546</v>
      </c>
      <c r="S154" s="105">
        <v>0</v>
      </c>
      <c r="T154" s="107">
        <v>0</v>
      </c>
      <c r="U154" s="130" t="s">
        <v>1914</v>
      </c>
      <c r="V154" t="s">
        <v>549</v>
      </c>
      <c r="W154" t="s">
        <v>630</v>
      </c>
      <c r="X154" t="s">
        <v>1071</v>
      </c>
      <c r="Y154" t="s">
        <v>708</v>
      </c>
      <c r="Z154">
        <v>332.2955</v>
      </c>
      <c r="AA154" t="s">
        <v>709</v>
      </c>
      <c r="AB154">
        <v>323.2697</v>
      </c>
      <c r="AC154">
        <v>-2.716192317131351E-2</v>
      </c>
      <c r="AD154" t="s">
        <v>545</v>
      </c>
      <c r="AE154" t="s">
        <v>546</v>
      </c>
      <c r="AF154">
        <v>0</v>
      </c>
      <c r="AG154" t="str">
        <f>IF($A154="","",IFERROR(INDEX(Company_List!$G$3:$G$207,MATCH($A154,Company_List!$A$3:$A$207,0)),"unassigned"))</f>
        <v>P2</v>
      </c>
      <c r="AH154" t="s">
        <v>1077</v>
      </c>
      <c r="AJ154" t="s">
        <v>548</v>
      </c>
      <c r="AK154" t="str">
        <f>IF($A154="","",IF(COUNTIFS(Human_Data_Entry!$A$3:$A$525,$A154)&gt;0,"YES","NO"))</f>
        <v>YES</v>
      </c>
      <c r="AL154" t="str">
        <f>IF($A154="","",IF(AND($C154&amp;"-"&amp;$D154&gt;=Settings!$B$19,$C154&amp;"-"&amp;$D154&lt;=Settings!$B$20),"IN","OUT"))</f>
        <v>IN</v>
      </c>
      <c r="AM154" t="str">
        <f t="shared" si="8"/>
        <v/>
      </c>
      <c r="AN154" t="str">
        <f t="shared" si="9"/>
        <v/>
      </c>
      <c r="AO154" t="str">
        <f>IF(ISNUMBER($AM154),ABS(IF(ISNUMBER($G154),$G154,0)-Settings!$B$25),"")</f>
        <v/>
      </c>
      <c r="AP154" t="str">
        <f t="shared" si="10"/>
        <v/>
      </c>
      <c r="AQ154" t="str">
        <f>IF(ISNUMBER($AN154),ABS(IF(ISNUMBER($G154),$G154,0)-Settings!$B$25),"")</f>
        <v/>
      </c>
      <c r="AR154" t="str">
        <f t="shared" si="11"/>
        <v/>
      </c>
      <c r="AS154" t="str">
        <f>IF($A154="","",IFERROR(INDEX(Company_List!$H$3:$H$207,MATCH($A154,Company_List!$A$3:$A$207,0)),"unassigned"))</f>
        <v>Consumer Discretionary</v>
      </c>
      <c r="AT154" t="s">
        <v>1924</v>
      </c>
      <c r="AU154" t="s">
        <v>1925</v>
      </c>
      <c r="AV154">
        <v>1</v>
      </c>
      <c r="AW154" t="s">
        <v>552</v>
      </c>
      <c r="AX154" t="s">
        <v>553</v>
      </c>
      <c r="AY154" t="s">
        <v>550</v>
      </c>
      <c r="AZ154" t="s">
        <v>550</v>
      </c>
      <c r="BA154" t="s">
        <v>554</v>
      </c>
    </row>
    <row r="155" spans="1:53" x14ac:dyDescent="0.2">
      <c r="A155" s="115" t="s">
        <v>1070</v>
      </c>
      <c r="B155" s="117" t="s">
        <v>1071</v>
      </c>
      <c r="C155" s="105">
        <v>2025</v>
      </c>
      <c r="D155" s="106" t="s">
        <v>555</v>
      </c>
      <c r="E155" s="109" t="s">
        <v>1911</v>
      </c>
      <c r="F155" s="106" t="s">
        <v>1912</v>
      </c>
      <c r="G155" s="128">
        <v>0.1275</v>
      </c>
      <c r="H155" s="106" t="s">
        <v>1913</v>
      </c>
      <c r="I155" s="128"/>
      <c r="J155" s="125">
        <v>45861</v>
      </c>
      <c r="K155" s="126">
        <v>45860</v>
      </c>
      <c r="L155" s="129">
        <v>273.83999999999997</v>
      </c>
      <c r="M155" s="126">
        <v>45861</v>
      </c>
      <c r="N155" s="129">
        <v>264.89999999999998</v>
      </c>
      <c r="O155" s="132"/>
      <c r="P155" s="107">
        <v>-3.2647000000000002E-2</v>
      </c>
      <c r="Q155" s="106" t="s">
        <v>545</v>
      </c>
      <c r="R155" s="106" t="s">
        <v>546</v>
      </c>
      <c r="S155" s="105">
        <v>0</v>
      </c>
      <c r="T155" s="107">
        <v>0</v>
      </c>
      <c r="U155" s="130" t="s">
        <v>1951</v>
      </c>
      <c r="V155" t="s">
        <v>549</v>
      </c>
      <c r="W155" t="s">
        <v>612</v>
      </c>
      <c r="X155" t="s">
        <v>1071</v>
      </c>
      <c r="Y155" t="s">
        <v>701</v>
      </c>
      <c r="Z155">
        <v>273.27980000000002</v>
      </c>
      <c r="AA155" t="s">
        <v>772</v>
      </c>
      <c r="AB155">
        <v>264.35809999999998</v>
      </c>
      <c r="AC155">
        <v>-3.2646867995429263E-2</v>
      </c>
      <c r="AD155" t="s">
        <v>545</v>
      </c>
      <c r="AE155" t="s">
        <v>546</v>
      </c>
      <c r="AF155">
        <v>0</v>
      </c>
      <c r="AG155" t="str">
        <f>IF($A155="","",IFERROR(INDEX(Company_List!$G$3:$G$207,MATCH($A155,Company_List!$A$3:$A$207,0)),"unassigned"))</f>
        <v>P2</v>
      </c>
      <c r="AH155" t="s">
        <v>1073</v>
      </c>
      <c r="AJ155" t="s">
        <v>548</v>
      </c>
      <c r="AK155" t="str">
        <f>IF($A155="","",IF(COUNTIFS(Human_Data_Entry!$A$3:$A$525,$A155)&gt;0,"YES","NO"))</f>
        <v>YES</v>
      </c>
      <c r="AL155" t="str">
        <f>IF($A155="","",IF(AND($C155&amp;"-"&amp;$D155&gt;=Settings!$B$19,$C155&amp;"-"&amp;$D155&lt;=Settings!$B$20),"IN","OUT"))</f>
        <v>IN</v>
      </c>
      <c r="AM155" t="str">
        <f t="shared" si="8"/>
        <v/>
      </c>
      <c r="AN155" t="str">
        <f t="shared" si="9"/>
        <v/>
      </c>
      <c r="AO155" t="str">
        <f>IF(ISNUMBER($AM155),ABS(IF(ISNUMBER($G155),$G155,0)-Settings!$B$25),"")</f>
        <v/>
      </c>
      <c r="AP155" t="str">
        <f t="shared" si="10"/>
        <v/>
      </c>
      <c r="AQ155" t="str">
        <f>IF(ISNUMBER($AN155),ABS(IF(ISNUMBER($G155),$G155,0)-Settings!$B$25),"")</f>
        <v/>
      </c>
      <c r="AR155" t="str">
        <f t="shared" si="11"/>
        <v/>
      </c>
      <c r="AS155" t="str">
        <f>IF($A155="","",IFERROR(INDEX(Company_List!$H$3:$H$207,MATCH($A155,Company_List!$A$3:$A$207,0)),"unassigned"))</f>
        <v>Consumer Discretionary</v>
      </c>
      <c r="AT155" t="s">
        <v>1924</v>
      </c>
      <c r="AU155" t="s">
        <v>1925</v>
      </c>
      <c r="AV155">
        <v>1</v>
      </c>
      <c r="AW155" t="s">
        <v>552</v>
      </c>
      <c r="AX155" t="s">
        <v>553</v>
      </c>
      <c r="AY155" t="s">
        <v>550</v>
      </c>
      <c r="AZ155" t="s">
        <v>550</v>
      </c>
      <c r="BA155" t="s">
        <v>554</v>
      </c>
    </row>
    <row r="156" spans="1:53" x14ac:dyDescent="0.2">
      <c r="A156" s="115" t="s">
        <v>1070</v>
      </c>
      <c r="B156" s="117" t="s">
        <v>1071</v>
      </c>
      <c r="C156" s="105">
        <v>2024</v>
      </c>
      <c r="D156" s="106" t="s">
        <v>563</v>
      </c>
      <c r="E156" s="109" t="s">
        <v>1911</v>
      </c>
      <c r="F156" s="106" t="s">
        <v>1912</v>
      </c>
      <c r="G156" s="128">
        <v>0.2</v>
      </c>
      <c r="H156" s="106" t="s">
        <v>1913</v>
      </c>
      <c r="I156" s="128"/>
      <c r="J156" s="125">
        <v>45588</v>
      </c>
      <c r="K156" s="126">
        <v>45587</v>
      </c>
      <c r="L156" s="129">
        <v>238.13</v>
      </c>
      <c r="M156" s="126">
        <v>45588</v>
      </c>
      <c r="N156" s="129">
        <v>237.5</v>
      </c>
      <c r="O156" s="132">
        <v>9.7949999999999999E-3</v>
      </c>
      <c r="P156" s="107">
        <v>-2.6459999999999999E-3</v>
      </c>
      <c r="Q156" s="106" t="s">
        <v>579</v>
      </c>
      <c r="R156" s="106" t="s">
        <v>554</v>
      </c>
      <c r="S156" s="105">
        <v>0</v>
      </c>
      <c r="T156" s="107">
        <v>0</v>
      </c>
      <c r="U156" s="130" t="s">
        <v>1914</v>
      </c>
      <c r="V156" t="s">
        <v>549</v>
      </c>
      <c r="W156" t="s">
        <v>630</v>
      </c>
      <c r="X156" t="s">
        <v>1071</v>
      </c>
      <c r="Y156" t="s">
        <v>1074</v>
      </c>
      <c r="Z156">
        <v>237.22300000000001</v>
      </c>
      <c r="AA156" t="s">
        <v>1075</v>
      </c>
      <c r="AB156">
        <v>236.59540000000001</v>
      </c>
      <c r="AC156">
        <v>-2.6456197194895991E-3</v>
      </c>
      <c r="AD156" t="s">
        <v>579</v>
      </c>
      <c r="AE156" t="s">
        <v>554</v>
      </c>
      <c r="AF156">
        <v>0</v>
      </c>
      <c r="AG156" t="str">
        <f>IF($A156="","",IFERROR(INDEX(Company_List!$G$3:$G$207,MATCH($A156,Company_List!$A$3:$A$207,0)),"unassigned"))</f>
        <v>P2</v>
      </c>
      <c r="AH156" t="s">
        <v>1076</v>
      </c>
      <c r="AJ156" t="s">
        <v>548</v>
      </c>
      <c r="AK156" t="str">
        <f>IF($A156="","",IF(COUNTIFS(Human_Data_Entry!$A$3:$A$525,$A156)&gt;0,"YES","NO"))</f>
        <v>YES</v>
      </c>
      <c r="AL156" t="str">
        <f>IF($A156="","",IF(AND($C156&amp;"-"&amp;$D156&gt;=Settings!$B$19,$C156&amp;"-"&amp;$D156&lt;=Settings!$B$20),"IN","OUT"))</f>
        <v>IN</v>
      </c>
      <c r="AM156" t="str">
        <f t="shared" si="8"/>
        <v/>
      </c>
      <c r="AN156" t="str">
        <f t="shared" si="9"/>
        <v/>
      </c>
      <c r="AO156" t="str">
        <f>IF(ISNUMBER($AM156),ABS(IF(ISNUMBER($G156),$G156,0)-Settings!$B$25),"")</f>
        <v/>
      </c>
      <c r="AP156" t="str">
        <f t="shared" si="10"/>
        <v/>
      </c>
      <c r="AQ156" t="str">
        <f>IF(ISNUMBER($AN156),ABS(IF(ISNUMBER($G156),$G156,0)-Settings!$B$25),"")</f>
        <v/>
      </c>
      <c r="AR156" t="str">
        <f t="shared" si="11"/>
        <v/>
      </c>
      <c r="AS156" t="str">
        <f>IF($A156="","",IFERROR(INDEX(Company_List!$H$3:$H$207,MATCH($A156,Company_List!$A$3:$A$207,0)),"unassigned"))</f>
        <v>Consumer Discretionary</v>
      </c>
      <c r="AT156" t="s">
        <v>1924</v>
      </c>
      <c r="AU156" t="s">
        <v>1925</v>
      </c>
      <c r="AV156">
        <v>1</v>
      </c>
      <c r="AW156" t="s">
        <v>552</v>
      </c>
      <c r="AX156" t="s">
        <v>553</v>
      </c>
      <c r="AY156" t="s">
        <v>550</v>
      </c>
      <c r="AZ156" t="s">
        <v>550</v>
      </c>
      <c r="BA156" t="s">
        <v>554</v>
      </c>
    </row>
    <row r="157" spans="1:53" x14ac:dyDescent="0.2">
      <c r="A157" s="115" t="s">
        <v>1070</v>
      </c>
      <c r="B157" s="117" t="s">
        <v>1071</v>
      </c>
      <c r="C157" s="105">
        <v>2025</v>
      </c>
      <c r="D157" s="106" t="s">
        <v>569</v>
      </c>
      <c r="E157" s="109" t="s">
        <v>1911</v>
      </c>
      <c r="F157" s="106" t="s">
        <v>1912</v>
      </c>
      <c r="G157" s="128">
        <v>0.27750000000000002</v>
      </c>
      <c r="H157" s="106" t="s">
        <v>1919</v>
      </c>
      <c r="I157" s="128"/>
      <c r="J157" s="125">
        <v>46064</v>
      </c>
      <c r="K157" s="126">
        <v>46063</v>
      </c>
      <c r="L157" s="129">
        <v>323.7</v>
      </c>
      <c r="M157" s="126">
        <v>46064</v>
      </c>
      <c r="N157" s="129">
        <v>321.76</v>
      </c>
      <c r="O157" s="132">
        <v>9.9000000000000008E-3</v>
      </c>
      <c r="P157" s="107">
        <v>-5.9930000000000009E-3</v>
      </c>
      <c r="Q157" s="106" t="s">
        <v>579</v>
      </c>
      <c r="R157" s="106" t="s">
        <v>546</v>
      </c>
      <c r="S157" s="105">
        <v>1</v>
      </c>
      <c r="T157" s="107">
        <v>-6.9930000000000001E-3</v>
      </c>
      <c r="U157" s="130" t="s">
        <v>1914</v>
      </c>
      <c r="V157" t="s">
        <v>549</v>
      </c>
      <c r="W157" t="s">
        <v>612</v>
      </c>
      <c r="X157" t="s">
        <v>1071</v>
      </c>
      <c r="Y157" t="s">
        <v>705</v>
      </c>
      <c r="Z157">
        <v>323.39690000000002</v>
      </c>
      <c r="AA157" t="s">
        <v>676</v>
      </c>
      <c r="AB157">
        <v>321.45870000000002</v>
      </c>
      <c r="AC157">
        <v>-5.9932213938734304E-3</v>
      </c>
      <c r="AD157" t="s">
        <v>579</v>
      </c>
      <c r="AE157" t="s">
        <v>546</v>
      </c>
      <c r="AF157">
        <v>-6.9930000000000001E-3</v>
      </c>
      <c r="AG157" t="str">
        <f>IF($A157="","",IFERROR(INDEX(Company_List!$G$3:$G$207,MATCH($A157,Company_List!$A$3:$A$207,0)),"unassigned"))</f>
        <v>P2</v>
      </c>
      <c r="AH157" t="s">
        <v>1078</v>
      </c>
      <c r="AJ157" t="s">
        <v>548</v>
      </c>
      <c r="AK157" t="str">
        <f>IF($A157="","",IF(COUNTIFS(Human_Data_Entry!$A$3:$A$525,$A157)&gt;0,"YES","NO"))</f>
        <v>YES</v>
      </c>
      <c r="AL157" t="str">
        <f>IF($A157="","",IF(AND($C157&amp;"-"&amp;$D157&gt;=Settings!$B$19,$C157&amp;"-"&amp;$D157&lt;=Settings!$B$20),"IN","OUT"))</f>
        <v>IN</v>
      </c>
      <c r="AM157">
        <f t="shared" si="8"/>
        <v>-6.9930000000000001E-3</v>
      </c>
      <c r="AN157">
        <f t="shared" si="9"/>
        <v>-6.9930000000000001E-3</v>
      </c>
      <c r="AO157">
        <f>IF(ISNUMBER($AM157),ABS(IF(ISNUMBER($G157),$G157,0)-Settings!$B$25),"")</f>
        <v>0.27750000000000002</v>
      </c>
      <c r="AP157">
        <f t="shared" si="10"/>
        <v>-1.9405575000000003E-3</v>
      </c>
      <c r="AQ157">
        <f>IF(ISNUMBER($AN157),ABS(IF(ISNUMBER($G157),$G157,0)-Settings!$B$25),"")</f>
        <v>0.27750000000000002</v>
      </c>
      <c r="AR157">
        <f t="shared" si="11"/>
        <v>-1.9405575000000003E-3</v>
      </c>
      <c r="AS157" t="str">
        <f>IF($A157="","",IFERROR(INDEX(Company_List!$H$3:$H$207,MATCH($A157,Company_List!$A$3:$A$207,0)),"unassigned"))</f>
        <v>Consumer Discretionary</v>
      </c>
      <c r="AT157" t="s">
        <v>1924</v>
      </c>
      <c r="AU157" t="s">
        <v>1925</v>
      </c>
      <c r="AV157">
        <v>1</v>
      </c>
      <c r="AW157" t="s">
        <v>552</v>
      </c>
      <c r="AX157" t="s">
        <v>553</v>
      </c>
      <c r="AY157" t="s">
        <v>550</v>
      </c>
      <c r="AZ157" t="s">
        <v>550</v>
      </c>
      <c r="BA157" t="s">
        <v>554</v>
      </c>
    </row>
    <row r="158" spans="1:53" x14ac:dyDescent="0.2">
      <c r="A158" s="115" t="s">
        <v>1046</v>
      </c>
      <c r="B158" s="117" t="s">
        <v>1048</v>
      </c>
      <c r="C158" s="105">
        <v>2025</v>
      </c>
      <c r="D158" s="106" t="s">
        <v>555</v>
      </c>
      <c r="E158" s="109" t="s">
        <v>1911</v>
      </c>
      <c r="F158" s="106" t="s">
        <v>1912</v>
      </c>
      <c r="G158" s="128">
        <v>-3.7499999999999999E-2</v>
      </c>
      <c r="H158" s="106" t="s">
        <v>1913</v>
      </c>
      <c r="I158" s="128"/>
      <c r="J158" s="125">
        <v>45862</v>
      </c>
      <c r="K158" s="126">
        <v>45862</v>
      </c>
      <c r="L158" s="129">
        <v>470.25</v>
      </c>
      <c r="M158" s="126">
        <v>45863</v>
      </c>
      <c r="N158" s="129">
        <v>464.95</v>
      </c>
      <c r="O158" s="132">
        <v>5.0540000000000003E-3</v>
      </c>
      <c r="P158" s="107">
        <v>-1.1271E-2</v>
      </c>
      <c r="Q158" s="106" t="s">
        <v>579</v>
      </c>
      <c r="R158" s="106" t="s">
        <v>554</v>
      </c>
      <c r="S158" s="105">
        <v>0</v>
      </c>
      <c r="T158" s="107">
        <v>0</v>
      </c>
      <c r="U158" s="130" t="s">
        <v>1914</v>
      </c>
      <c r="V158" t="s">
        <v>549</v>
      </c>
      <c r="W158" t="s">
        <v>624</v>
      </c>
      <c r="X158" t="s">
        <v>1048</v>
      </c>
      <c r="Y158" t="s">
        <v>773</v>
      </c>
      <c r="Z158">
        <v>458.74540000000002</v>
      </c>
      <c r="AA158" t="s">
        <v>1049</v>
      </c>
      <c r="AB158">
        <v>453.57510000000002</v>
      </c>
      <c r="AC158">
        <v>-1.1270591281883419E-2</v>
      </c>
      <c r="AD158" t="s">
        <v>579</v>
      </c>
      <c r="AE158" t="s">
        <v>554</v>
      </c>
      <c r="AF158">
        <v>0</v>
      </c>
      <c r="AG158" t="str">
        <f>IF($A158="","",IFERROR(INDEX(Company_List!$G$3:$G$207,MATCH($A158,Company_List!$A$3:$A$207,0)),"unassigned"))</f>
        <v>P2</v>
      </c>
      <c r="AH158" t="s">
        <v>1050</v>
      </c>
      <c r="AJ158" t="s">
        <v>560</v>
      </c>
      <c r="AK158" t="str">
        <f>IF($A158="","",IF(COUNTIFS(Human_Data_Entry!$A$3:$A$525,$A158)&gt;0,"YES","NO"))</f>
        <v>YES</v>
      </c>
      <c r="AL158" t="str">
        <f>IF($A158="","",IF(AND($C158&amp;"-"&amp;$D158&gt;=Settings!$B$19,$C158&amp;"-"&amp;$D158&lt;=Settings!$B$20),"IN","OUT"))</f>
        <v>IN</v>
      </c>
      <c r="AM158" t="str">
        <f t="shared" si="8"/>
        <v/>
      </c>
      <c r="AN158" t="str">
        <f t="shared" si="9"/>
        <v/>
      </c>
      <c r="AO158" t="str">
        <f>IF(ISNUMBER($AM158),ABS(IF(ISNUMBER($G158),$G158,0)-Settings!$B$25),"")</f>
        <v/>
      </c>
      <c r="AP158" t="str">
        <f t="shared" si="10"/>
        <v/>
      </c>
      <c r="AQ158" t="str">
        <f>IF(ISNUMBER($AN158),ABS(IF(ISNUMBER($G158),$G158,0)-Settings!$B$25),"")</f>
        <v/>
      </c>
      <c r="AR158" t="str">
        <f t="shared" si="11"/>
        <v/>
      </c>
      <c r="AS158" t="str">
        <f>IF($A158="","",IFERROR(INDEX(Company_List!$H$3:$H$207,MATCH($A158,Company_List!$A$3:$A$207,0)),"unassigned"))</f>
        <v>Consumer Discretionary</v>
      </c>
      <c r="AT158" t="s">
        <v>1924</v>
      </c>
      <c r="AU158" t="s">
        <v>1925</v>
      </c>
      <c r="AV158">
        <v>1</v>
      </c>
      <c r="AW158" t="s">
        <v>561</v>
      </c>
      <c r="AX158" t="s">
        <v>561</v>
      </c>
      <c r="AY158" t="s">
        <v>550</v>
      </c>
      <c r="AZ158" t="s">
        <v>562</v>
      </c>
      <c r="BA158" t="s">
        <v>554</v>
      </c>
    </row>
    <row r="159" spans="1:53" x14ac:dyDescent="0.2">
      <c r="A159" s="115" t="s">
        <v>1046</v>
      </c>
      <c r="B159" s="117" t="s">
        <v>1048</v>
      </c>
      <c r="C159" s="105">
        <v>2025</v>
      </c>
      <c r="D159" s="106" t="s">
        <v>569</v>
      </c>
      <c r="E159" s="109" t="s">
        <v>1911</v>
      </c>
      <c r="F159" s="106" t="s">
        <v>1912</v>
      </c>
      <c r="G159" s="128">
        <v>0.1125</v>
      </c>
      <c r="H159" s="106" t="s">
        <v>1913</v>
      </c>
      <c r="I159" s="128"/>
      <c r="J159" s="125">
        <v>46049</v>
      </c>
      <c r="K159" s="126">
        <v>46049</v>
      </c>
      <c r="L159" s="129">
        <v>589.29999999999995</v>
      </c>
      <c r="M159" s="126">
        <v>46050</v>
      </c>
      <c r="N159" s="129">
        <v>556</v>
      </c>
      <c r="O159" s="132">
        <v>6.7320000000000001E-3</v>
      </c>
      <c r="P159" s="107">
        <v>-5.6508000000000003E-2</v>
      </c>
      <c r="Q159" s="106" t="s">
        <v>545</v>
      </c>
      <c r="R159" s="106" t="s">
        <v>546</v>
      </c>
      <c r="S159" s="105">
        <v>0</v>
      </c>
      <c r="T159" s="107">
        <v>0</v>
      </c>
      <c r="U159" s="130" t="s">
        <v>1914</v>
      </c>
      <c r="V159" t="s">
        <v>549</v>
      </c>
      <c r="W159" t="s">
        <v>541</v>
      </c>
      <c r="X159" t="s">
        <v>1048</v>
      </c>
      <c r="Y159" t="s">
        <v>632</v>
      </c>
      <c r="Z159">
        <v>579.84500000000003</v>
      </c>
      <c r="AA159" t="s">
        <v>776</v>
      </c>
      <c r="AB159">
        <v>547.07929999999999</v>
      </c>
      <c r="AC159">
        <v>-5.650765892918979E-2</v>
      </c>
      <c r="AD159" t="s">
        <v>545</v>
      </c>
      <c r="AE159" t="s">
        <v>546</v>
      </c>
      <c r="AF159">
        <v>0</v>
      </c>
      <c r="AG159" t="str">
        <f>IF($A159="","",IFERROR(INDEX(Company_List!$G$3:$G$207,MATCH($A159,Company_List!$A$3:$A$207,0)),"unassigned"))</f>
        <v>P2</v>
      </c>
      <c r="AH159" t="s">
        <v>1052</v>
      </c>
      <c r="AJ159" t="s">
        <v>560</v>
      </c>
      <c r="AK159" t="str">
        <f>IF($A159="","",IF(COUNTIFS(Human_Data_Entry!$A$3:$A$525,$A159)&gt;0,"YES","NO"))</f>
        <v>YES</v>
      </c>
      <c r="AL159" t="str">
        <f>IF($A159="","",IF(AND($C159&amp;"-"&amp;$D159&gt;=Settings!$B$19,$C159&amp;"-"&amp;$D159&lt;=Settings!$B$20),"IN","OUT"))</f>
        <v>IN</v>
      </c>
      <c r="AM159" t="str">
        <f t="shared" si="8"/>
        <v/>
      </c>
      <c r="AN159" t="str">
        <f t="shared" si="9"/>
        <v/>
      </c>
      <c r="AO159" t="str">
        <f>IF(ISNUMBER($AM159),ABS(IF(ISNUMBER($G159),$G159,0)-Settings!$B$25),"")</f>
        <v/>
      </c>
      <c r="AP159" t="str">
        <f t="shared" si="10"/>
        <v/>
      </c>
      <c r="AQ159" t="str">
        <f>IF(ISNUMBER($AN159),ABS(IF(ISNUMBER($G159),$G159,0)-Settings!$B$25),"")</f>
        <v/>
      </c>
      <c r="AR159" t="str">
        <f t="shared" si="11"/>
        <v/>
      </c>
      <c r="AS159" t="str">
        <f>IF($A159="","",IFERROR(INDEX(Company_List!$H$3:$H$207,MATCH($A159,Company_List!$A$3:$A$207,0)),"unassigned"))</f>
        <v>Consumer Discretionary</v>
      </c>
      <c r="AT159" t="s">
        <v>1924</v>
      </c>
      <c r="AU159" t="s">
        <v>1925</v>
      </c>
      <c r="AV159">
        <v>1</v>
      </c>
      <c r="AW159" t="s">
        <v>561</v>
      </c>
      <c r="AX159" t="s">
        <v>561</v>
      </c>
      <c r="AY159" t="s">
        <v>550</v>
      </c>
      <c r="AZ159" t="s">
        <v>562</v>
      </c>
      <c r="BA159" t="s">
        <v>554</v>
      </c>
    </row>
    <row r="160" spans="1:53" x14ac:dyDescent="0.2">
      <c r="A160" s="115" t="s">
        <v>1079</v>
      </c>
      <c r="B160" s="117" t="s">
        <v>1080</v>
      </c>
      <c r="C160" s="105">
        <v>2026</v>
      </c>
      <c r="D160" s="106" t="s">
        <v>537</v>
      </c>
      <c r="E160" s="109" t="s">
        <v>1911</v>
      </c>
      <c r="F160" s="106" t="s">
        <v>1912</v>
      </c>
      <c r="G160" s="128">
        <v>0.16750000000000001</v>
      </c>
      <c r="H160" s="106" t="s">
        <v>1913</v>
      </c>
      <c r="I160" s="128"/>
      <c r="J160" s="125">
        <v>46148</v>
      </c>
      <c r="K160" s="126">
        <v>46147</v>
      </c>
      <c r="L160" s="129">
        <v>354.52</v>
      </c>
      <c r="M160" s="126">
        <v>46148</v>
      </c>
      <c r="N160" s="129">
        <v>363.87</v>
      </c>
      <c r="O160" s="132">
        <v>1.1384E-2</v>
      </c>
      <c r="P160" s="107">
        <v>2.6374000000000002E-2</v>
      </c>
      <c r="Q160" s="106" t="s">
        <v>591</v>
      </c>
      <c r="R160" s="106" t="s">
        <v>546</v>
      </c>
      <c r="S160" s="105">
        <v>0</v>
      </c>
      <c r="T160" s="107">
        <v>0</v>
      </c>
      <c r="U160" s="130" t="s">
        <v>1914</v>
      </c>
      <c r="V160" t="s">
        <v>549</v>
      </c>
      <c r="W160" t="s">
        <v>748</v>
      </c>
      <c r="X160" t="s">
        <v>1080</v>
      </c>
      <c r="Y160" t="s">
        <v>731</v>
      </c>
      <c r="Z160">
        <v>353.82159999999999</v>
      </c>
      <c r="AA160" t="s">
        <v>680</v>
      </c>
      <c r="AB160">
        <v>363.15320000000003</v>
      </c>
      <c r="AC160">
        <v>2.637371097224022E-2</v>
      </c>
      <c r="AD160" t="s">
        <v>591</v>
      </c>
      <c r="AE160" t="s">
        <v>546</v>
      </c>
      <c r="AF160">
        <v>0</v>
      </c>
      <c r="AG160" t="str">
        <f>IF($A160="","",IFERROR(INDEX(Company_List!$G$3:$G$207,MATCH($A160,Company_List!$A$3:$A$207,0)),"unassigned"))</f>
        <v>P2</v>
      </c>
      <c r="AH160" t="s">
        <v>1976</v>
      </c>
      <c r="AI160" t="s">
        <v>1977</v>
      </c>
      <c r="AJ160" t="s">
        <v>560</v>
      </c>
      <c r="AK160" t="str">
        <f>IF($A160="","",IF(COUNTIFS(Human_Data_Entry!$A$3:$A$525,$A160)&gt;0,"YES","NO"))</f>
        <v>YES</v>
      </c>
      <c r="AL160" t="str">
        <f>IF($A160="","",IF(AND($C160&amp;"-"&amp;$D160&gt;=Settings!$B$19,$C160&amp;"-"&amp;$D160&lt;=Settings!$B$20),"IN","OUT"))</f>
        <v>IN</v>
      </c>
      <c r="AM160" t="str">
        <f t="shared" si="8"/>
        <v/>
      </c>
      <c r="AN160" t="str">
        <f t="shared" si="9"/>
        <v/>
      </c>
      <c r="AO160" t="str">
        <f>IF(ISNUMBER($AM160),ABS(IF(ISNUMBER($G160),$G160,0)-Settings!$B$25),"")</f>
        <v/>
      </c>
      <c r="AP160" t="str">
        <f t="shared" si="10"/>
        <v/>
      </c>
      <c r="AQ160" t="str">
        <f>IF(ISNUMBER($AN160),ABS(IF(ISNUMBER($G160),$G160,0)-Settings!$B$25),"")</f>
        <v/>
      </c>
      <c r="AR160" t="str">
        <f t="shared" si="11"/>
        <v/>
      </c>
      <c r="AS160" t="str">
        <f>IF($A160="","",IFERROR(INDEX(Company_List!$H$3:$H$207,MATCH($A160,Company_List!$A$3:$A$207,0)),"unassigned"))</f>
        <v>Consumer Discretionary</v>
      </c>
      <c r="AT160" t="s">
        <v>1924</v>
      </c>
      <c r="AU160" t="s">
        <v>1925</v>
      </c>
      <c r="AV160">
        <v>1</v>
      </c>
      <c r="AW160" t="s">
        <v>561</v>
      </c>
      <c r="AX160" t="s">
        <v>561</v>
      </c>
      <c r="AY160" t="s">
        <v>550</v>
      </c>
      <c r="AZ160" t="s">
        <v>562</v>
      </c>
      <c r="BA160" t="s">
        <v>554</v>
      </c>
    </row>
    <row r="161" spans="1:54" x14ac:dyDescent="0.2">
      <c r="A161" s="115" t="s">
        <v>1079</v>
      </c>
      <c r="B161" s="117" t="s">
        <v>1080</v>
      </c>
      <c r="C161" s="105">
        <v>2025</v>
      </c>
      <c r="D161" s="106" t="s">
        <v>555</v>
      </c>
      <c r="E161" s="109" t="s">
        <v>1911</v>
      </c>
      <c r="F161" s="106" t="s">
        <v>1912</v>
      </c>
      <c r="G161" s="128">
        <v>-0.12</v>
      </c>
      <c r="H161" s="106" t="s">
        <v>1923</v>
      </c>
      <c r="I161" s="128"/>
      <c r="J161" s="125">
        <v>45874</v>
      </c>
      <c r="K161" s="126">
        <v>45873</v>
      </c>
      <c r="L161" s="129">
        <v>259.13</v>
      </c>
      <c r="M161" s="126">
        <v>45874</v>
      </c>
      <c r="N161" s="129">
        <v>259.31</v>
      </c>
      <c r="O161" s="132">
        <v>1.0498E-2</v>
      </c>
      <c r="P161" s="107">
        <v>6.9500000000000009E-4</v>
      </c>
      <c r="Q161" s="106" t="s">
        <v>579</v>
      </c>
      <c r="R161" s="106" t="s">
        <v>546</v>
      </c>
      <c r="S161" s="105">
        <v>-1</v>
      </c>
      <c r="T161" s="107">
        <v>-1.6949999999999999E-3</v>
      </c>
      <c r="U161" s="130" t="s">
        <v>1914</v>
      </c>
      <c r="V161" t="s">
        <v>549</v>
      </c>
      <c r="W161" t="s">
        <v>853</v>
      </c>
      <c r="X161" t="s">
        <v>1080</v>
      </c>
      <c r="Y161" t="s">
        <v>981</v>
      </c>
      <c r="Z161">
        <v>256.85759999999999</v>
      </c>
      <c r="AA161" t="s">
        <v>641</v>
      </c>
      <c r="AB161">
        <v>257.036</v>
      </c>
      <c r="AC161">
        <v>6.9455011619251291E-4</v>
      </c>
      <c r="AD161" t="s">
        <v>579</v>
      </c>
      <c r="AE161" t="s">
        <v>546</v>
      </c>
      <c r="AF161">
        <v>-1.6949999999999999E-3</v>
      </c>
      <c r="AG161" t="str">
        <f>IF($A161="","",IFERROR(INDEX(Company_List!$G$3:$G$207,MATCH($A161,Company_List!$A$3:$A$207,0)),"unassigned"))</f>
        <v>P2</v>
      </c>
      <c r="AH161" t="s">
        <v>1081</v>
      </c>
      <c r="AJ161" t="s">
        <v>548</v>
      </c>
      <c r="AK161" t="str">
        <f>IF($A161="","",IF(COUNTIFS(Human_Data_Entry!$A$3:$A$525,$A161)&gt;0,"YES","NO"))</f>
        <v>YES</v>
      </c>
      <c r="AL161" t="str">
        <f>IF($A161="","",IF(AND($C161&amp;"-"&amp;$D161&gt;=Settings!$B$19,$C161&amp;"-"&amp;$D161&lt;=Settings!$B$20),"IN","OUT"))</f>
        <v>IN</v>
      </c>
      <c r="AM161">
        <f t="shared" si="8"/>
        <v>-1.6949999999999999E-3</v>
      </c>
      <c r="AN161">
        <f t="shared" si="9"/>
        <v>-1.6949999999999999E-3</v>
      </c>
      <c r="AO161">
        <f>IF(ISNUMBER($AM161),ABS(IF(ISNUMBER($G161),$G161,0)-Settings!$B$25),"")</f>
        <v>0.12</v>
      </c>
      <c r="AP161">
        <f t="shared" si="10"/>
        <v>-2.0339999999999998E-4</v>
      </c>
      <c r="AQ161">
        <f>IF(ISNUMBER($AN161),ABS(IF(ISNUMBER($G161),$G161,0)-Settings!$B$25),"")</f>
        <v>0.12</v>
      </c>
      <c r="AR161">
        <f t="shared" si="11"/>
        <v>-2.0339999999999998E-4</v>
      </c>
      <c r="AS161" t="str">
        <f>IF($A161="","",IFERROR(INDEX(Company_List!$H$3:$H$207,MATCH($A161,Company_List!$A$3:$A$207,0)),"unassigned"))</f>
        <v>Consumer Discretionary</v>
      </c>
      <c r="AT161" t="s">
        <v>1924</v>
      </c>
      <c r="AU161" t="s">
        <v>1925</v>
      </c>
      <c r="AV161">
        <v>1</v>
      </c>
      <c r="AW161" t="s">
        <v>561</v>
      </c>
      <c r="AX161" t="s">
        <v>561</v>
      </c>
      <c r="AY161" t="s">
        <v>550</v>
      </c>
      <c r="AZ161" t="s">
        <v>550</v>
      </c>
      <c r="BA161" t="s">
        <v>554</v>
      </c>
    </row>
    <row r="162" spans="1:54" x14ac:dyDescent="0.2">
      <c r="A162" s="115" t="s">
        <v>1079</v>
      </c>
      <c r="B162" s="117" t="s">
        <v>1080</v>
      </c>
      <c r="C162" s="105">
        <v>2025</v>
      </c>
      <c r="D162" s="106" t="s">
        <v>563</v>
      </c>
      <c r="E162" s="109" t="s">
        <v>1911</v>
      </c>
      <c r="F162" s="106" t="s">
        <v>1912</v>
      </c>
      <c r="G162" s="128">
        <v>0.245</v>
      </c>
      <c r="H162" s="106" t="s">
        <v>1913</v>
      </c>
      <c r="I162" s="128"/>
      <c r="J162" s="125">
        <v>45965</v>
      </c>
      <c r="K162" s="126">
        <v>45964</v>
      </c>
      <c r="L162" s="129">
        <v>263.89</v>
      </c>
      <c r="M162" s="126">
        <v>45965</v>
      </c>
      <c r="N162" s="129">
        <v>264.39999999999998</v>
      </c>
      <c r="O162" s="132">
        <v>9.7820000000000008E-3</v>
      </c>
      <c r="P162" s="107">
        <v>1.933E-3</v>
      </c>
      <c r="Q162" s="106" t="s">
        <v>579</v>
      </c>
      <c r="R162" s="106" t="s">
        <v>554</v>
      </c>
      <c r="S162" s="105">
        <v>0</v>
      </c>
      <c r="T162" s="107">
        <v>0</v>
      </c>
      <c r="U162" s="130" t="s">
        <v>1914</v>
      </c>
      <c r="V162" t="s">
        <v>549</v>
      </c>
      <c r="W162" t="s">
        <v>748</v>
      </c>
      <c r="X162" t="s">
        <v>1080</v>
      </c>
      <c r="Y162" t="s">
        <v>1031</v>
      </c>
      <c r="Z162">
        <v>270.54039999999998</v>
      </c>
      <c r="AA162" t="s">
        <v>872</v>
      </c>
      <c r="AB162">
        <v>272.041</v>
      </c>
      <c r="AC162">
        <v>5.5466686346326427E-3</v>
      </c>
      <c r="AD162" t="s">
        <v>579</v>
      </c>
      <c r="AE162" t="s">
        <v>554</v>
      </c>
      <c r="AF162">
        <v>0</v>
      </c>
      <c r="AG162" t="str">
        <f>IF($A162="","",IFERROR(INDEX(Company_List!$G$3:$G$207,MATCH($A162,Company_List!$A$3:$A$207,0)),"unassigned"))</f>
        <v>P2</v>
      </c>
      <c r="AH162" t="s">
        <v>1978</v>
      </c>
      <c r="AI162" t="s">
        <v>1979</v>
      </c>
      <c r="AJ162" t="s">
        <v>560</v>
      </c>
      <c r="AK162" t="str">
        <f>IF($A162="","",IF(COUNTIFS(Human_Data_Entry!$A$3:$A$525,$A162)&gt;0,"YES","NO"))</f>
        <v>YES</v>
      </c>
      <c r="AL162" t="str">
        <f>IF($A162="","",IF(AND($C162&amp;"-"&amp;$D162&gt;=Settings!$B$19,$C162&amp;"-"&amp;$D162&lt;=Settings!$B$20),"IN","OUT"))</f>
        <v>IN</v>
      </c>
      <c r="AM162" t="str">
        <f t="shared" si="8"/>
        <v/>
      </c>
      <c r="AN162" t="str">
        <f t="shared" si="9"/>
        <v/>
      </c>
      <c r="AO162" t="str">
        <f>IF(ISNUMBER($AM162),ABS(IF(ISNUMBER($G162),$G162,0)-Settings!$B$25),"")</f>
        <v/>
      </c>
      <c r="AP162" t="str">
        <f t="shared" si="10"/>
        <v/>
      </c>
      <c r="AQ162" t="str">
        <f>IF(ISNUMBER($AN162),ABS(IF(ISNUMBER($G162),$G162,0)-Settings!$B$25),"")</f>
        <v/>
      </c>
      <c r="AR162" t="str">
        <f t="shared" si="11"/>
        <v/>
      </c>
      <c r="AS162" t="str">
        <f>IF($A162="","",IFERROR(INDEX(Company_List!$H$3:$H$207,MATCH($A162,Company_List!$A$3:$A$207,0)),"unassigned"))</f>
        <v>Consumer Discretionary</v>
      </c>
      <c r="AT162" t="s">
        <v>1924</v>
      </c>
      <c r="AU162" t="s">
        <v>1925</v>
      </c>
      <c r="AV162">
        <v>1</v>
      </c>
      <c r="AW162" t="s">
        <v>561</v>
      </c>
      <c r="AX162" t="s">
        <v>561</v>
      </c>
      <c r="AY162" t="s">
        <v>550</v>
      </c>
      <c r="AZ162" t="s">
        <v>562</v>
      </c>
      <c r="BA162" t="s">
        <v>554</v>
      </c>
    </row>
    <row r="163" spans="1:54" x14ac:dyDescent="0.2">
      <c r="A163" s="115" t="s">
        <v>1079</v>
      </c>
      <c r="B163" s="117" t="s">
        <v>1080</v>
      </c>
      <c r="C163" s="105">
        <v>2025</v>
      </c>
      <c r="D163" s="106" t="s">
        <v>569</v>
      </c>
      <c r="E163" s="109" t="s">
        <v>1911</v>
      </c>
      <c r="F163" s="106" t="s">
        <v>1912</v>
      </c>
      <c r="G163" s="128">
        <v>0.30499999999999999</v>
      </c>
      <c r="H163" s="106" t="s">
        <v>1919</v>
      </c>
      <c r="I163" s="128"/>
      <c r="J163" s="125">
        <v>46063</v>
      </c>
      <c r="K163" s="126">
        <v>46062</v>
      </c>
      <c r="L163" s="129">
        <v>331.21</v>
      </c>
      <c r="M163" s="126">
        <v>46063</v>
      </c>
      <c r="N163" s="129">
        <v>349.91</v>
      </c>
      <c r="O163" s="132">
        <v>1.2218E-2</v>
      </c>
      <c r="P163" s="107">
        <v>5.6460000000000003E-2</v>
      </c>
      <c r="Q163" s="106" t="s">
        <v>591</v>
      </c>
      <c r="R163" s="106" t="s">
        <v>554</v>
      </c>
      <c r="S163" s="105">
        <v>1</v>
      </c>
      <c r="T163" s="107">
        <v>5.5460000000000002E-2</v>
      </c>
      <c r="U163" s="130" t="s">
        <v>1914</v>
      </c>
      <c r="V163" t="s">
        <v>549</v>
      </c>
      <c r="W163" t="s">
        <v>630</v>
      </c>
      <c r="X163" t="s">
        <v>1080</v>
      </c>
      <c r="Y163" t="s">
        <v>704</v>
      </c>
      <c r="Z163">
        <v>329.92009999999999</v>
      </c>
      <c r="AA163" t="s">
        <v>705</v>
      </c>
      <c r="AB163">
        <v>348.54730000000001</v>
      </c>
      <c r="AC163">
        <v>5.6459700433153903E-2</v>
      </c>
      <c r="AD163" t="s">
        <v>591</v>
      </c>
      <c r="AE163" t="s">
        <v>554</v>
      </c>
      <c r="AF163">
        <v>5.5460000000000002E-2</v>
      </c>
      <c r="AG163" t="str">
        <f>IF($A163="","",IFERROR(INDEX(Company_List!$G$3:$G$207,MATCH($A163,Company_List!$A$3:$A$207,0)),"unassigned"))</f>
        <v>P2</v>
      </c>
      <c r="AH163" t="s">
        <v>1980</v>
      </c>
      <c r="AI163" t="s">
        <v>1981</v>
      </c>
      <c r="AJ163" t="s">
        <v>754</v>
      </c>
      <c r="AK163" t="str">
        <f>IF($A163="","",IF(COUNTIFS(Human_Data_Entry!$A$3:$A$525,$A163)&gt;0,"YES","NO"))</f>
        <v>YES</v>
      </c>
      <c r="AL163" t="str">
        <f>IF($A163="","",IF(AND($C163&amp;"-"&amp;$D163&gt;=Settings!$B$19,$C163&amp;"-"&amp;$D163&lt;=Settings!$B$20),"IN","OUT"))</f>
        <v>IN</v>
      </c>
      <c r="AM163">
        <f t="shared" si="8"/>
        <v>5.5460000000000002E-2</v>
      </c>
      <c r="AN163">
        <f t="shared" si="9"/>
        <v>5.5460000000000002E-2</v>
      </c>
      <c r="AO163">
        <f>IF(ISNUMBER($AM163),ABS(IF(ISNUMBER($G163),$G163,0)-Settings!$B$25),"")</f>
        <v>0.30499999999999999</v>
      </c>
      <c r="AP163">
        <f t="shared" si="10"/>
        <v>1.6915300000000001E-2</v>
      </c>
      <c r="AQ163">
        <f>IF(ISNUMBER($AN163),ABS(IF(ISNUMBER($G163),$G163,0)-Settings!$B$25),"")</f>
        <v>0.30499999999999999</v>
      </c>
      <c r="AR163">
        <f t="shared" si="11"/>
        <v>1.6915300000000001E-2</v>
      </c>
      <c r="AS163" t="str">
        <f>IF($A163="","",IFERROR(INDEX(Company_List!$H$3:$H$207,MATCH($A163,Company_List!$A$3:$A$207,0)),"unassigned"))</f>
        <v>Consumer Discretionary</v>
      </c>
      <c r="AT163" t="s">
        <v>1924</v>
      </c>
      <c r="AU163" t="s">
        <v>1925</v>
      </c>
      <c r="AV163">
        <v>2</v>
      </c>
      <c r="AW163" t="s">
        <v>595</v>
      </c>
      <c r="AX163" t="s">
        <v>596</v>
      </c>
      <c r="AY163" t="s">
        <v>550</v>
      </c>
      <c r="AZ163" t="s">
        <v>562</v>
      </c>
      <c r="BA163" t="s">
        <v>554</v>
      </c>
    </row>
    <row r="164" spans="1:54" x14ac:dyDescent="0.2">
      <c r="A164" s="115" t="s">
        <v>1299</v>
      </c>
      <c r="B164" s="117" t="s">
        <v>1982</v>
      </c>
      <c r="C164" s="105">
        <v>2025</v>
      </c>
      <c r="D164" s="106" t="s">
        <v>537</v>
      </c>
      <c r="E164" s="109" t="s">
        <v>1911</v>
      </c>
      <c r="F164" s="106" t="s">
        <v>1912</v>
      </c>
      <c r="G164" s="128">
        <v>-2.5000000000000001E-2</v>
      </c>
      <c r="H164" s="106" t="s">
        <v>1913</v>
      </c>
      <c r="I164" s="128"/>
      <c r="J164" s="125">
        <v>45792</v>
      </c>
      <c r="K164" s="126">
        <v>45792</v>
      </c>
      <c r="L164" s="129">
        <v>348.2</v>
      </c>
      <c r="M164" s="126">
        <v>45793</v>
      </c>
      <c r="N164" s="129">
        <v>348.5</v>
      </c>
      <c r="O164" s="132">
        <v>1.0085E-2</v>
      </c>
      <c r="P164" s="107">
        <v>8.6200000000000003E-4</v>
      </c>
      <c r="Q164" s="106" t="s">
        <v>579</v>
      </c>
      <c r="R164" s="106" t="s">
        <v>554</v>
      </c>
      <c r="S164" s="105">
        <v>0</v>
      </c>
      <c r="T164" s="107">
        <v>0</v>
      </c>
      <c r="U164" s="130" t="s">
        <v>1914</v>
      </c>
      <c r="V164" t="s">
        <v>549</v>
      </c>
      <c r="W164" t="s">
        <v>1247</v>
      </c>
      <c r="X164" t="s">
        <v>1982</v>
      </c>
      <c r="Y164" t="s">
        <v>840</v>
      </c>
      <c r="Z164">
        <v>336.41890000000001</v>
      </c>
      <c r="AA164" t="s">
        <v>841</v>
      </c>
      <c r="AB164">
        <v>327.71929999999998</v>
      </c>
      <c r="AC164">
        <v>-2.5859612424579691E-2</v>
      </c>
      <c r="AD164" t="s">
        <v>545</v>
      </c>
      <c r="AE164" t="s">
        <v>546</v>
      </c>
      <c r="AF164">
        <v>0</v>
      </c>
      <c r="AG164" t="str">
        <f>IF($A164="","",IFERROR(INDEX(Company_List!$G$3:$G$207,MATCH($A164,Company_List!$A$3:$A$207,0)),"unassigned"))</f>
        <v>P3</v>
      </c>
      <c r="AH164" t="s">
        <v>1300</v>
      </c>
      <c r="AJ164" t="s">
        <v>593</v>
      </c>
      <c r="AK164" t="str">
        <f>IF($A164="","",IF(COUNTIFS(Human_Data_Entry!$A$3:$A$525,$A164)&gt;0,"YES","NO"))</f>
        <v>YES</v>
      </c>
      <c r="AL164" t="str">
        <f>IF($A164="","",IF(AND($C164&amp;"-"&amp;$D164&gt;=Settings!$B$19,$C164&amp;"-"&amp;$D164&lt;=Settings!$B$20),"IN","OUT"))</f>
        <v>IN</v>
      </c>
      <c r="AM164" t="str">
        <f t="shared" si="8"/>
        <v/>
      </c>
      <c r="AN164" t="str">
        <f t="shared" si="9"/>
        <v/>
      </c>
      <c r="AO164" t="str">
        <f>IF(ISNUMBER($AM164),ABS(IF(ISNUMBER($G164),$G164,0)-Settings!$B$25),"")</f>
        <v/>
      </c>
      <c r="AP164" t="str">
        <f t="shared" si="10"/>
        <v/>
      </c>
      <c r="AQ164" t="str">
        <f>IF(ISNUMBER($AN164),ABS(IF(ISNUMBER($G164),$G164,0)-Settings!$B$25),"")</f>
        <v/>
      </c>
      <c r="AR164" t="str">
        <f t="shared" si="11"/>
        <v/>
      </c>
      <c r="AS164" t="str">
        <f>IF($A164="","",IFERROR(INDEX(Company_List!$H$3:$H$207,MATCH($A164,Company_List!$A$3:$A$207,0)),"unassigned"))</f>
        <v>Financials</v>
      </c>
      <c r="AT164" t="s">
        <v>1924</v>
      </c>
      <c r="AU164" t="s">
        <v>1925</v>
      </c>
      <c r="AV164">
        <v>6</v>
      </c>
      <c r="AW164" t="s">
        <v>1262</v>
      </c>
      <c r="AX164" t="s">
        <v>553</v>
      </c>
      <c r="AY164" t="s">
        <v>550</v>
      </c>
      <c r="AZ164" t="s">
        <v>550</v>
      </c>
      <c r="BA164" s="160" t="s">
        <v>546</v>
      </c>
      <c r="BB164" s="160" t="s">
        <v>1928</v>
      </c>
    </row>
    <row r="165" spans="1:54" x14ac:dyDescent="0.2">
      <c r="A165" s="115" t="s">
        <v>1429</v>
      </c>
      <c r="B165" s="117" t="s">
        <v>1430</v>
      </c>
      <c r="C165" s="105">
        <v>2026</v>
      </c>
      <c r="D165" s="106" t="s">
        <v>537</v>
      </c>
      <c r="E165" s="109" t="s">
        <v>1911</v>
      </c>
      <c r="F165" s="106" t="s">
        <v>1912</v>
      </c>
      <c r="G165" s="128">
        <v>0.16750000000000001</v>
      </c>
      <c r="H165" s="106" t="s">
        <v>1913</v>
      </c>
      <c r="I165" s="128"/>
      <c r="J165" s="125">
        <v>46141</v>
      </c>
      <c r="K165" s="126">
        <v>46141</v>
      </c>
      <c r="L165" s="129">
        <v>349.94</v>
      </c>
      <c r="M165" s="126">
        <v>46142</v>
      </c>
      <c r="N165" s="129">
        <v>374.07</v>
      </c>
      <c r="O165" s="132">
        <v>8.489E-3</v>
      </c>
      <c r="P165" s="107">
        <v>6.8955000000000002E-2</v>
      </c>
      <c r="Q165" s="106" t="s">
        <v>591</v>
      </c>
      <c r="R165" s="106" t="s">
        <v>546</v>
      </c>
      <c r="S165" s="105">
        <v>0</v>
      </c>
      <c r="T165" s="107">
        <v>0</v>
      </c>
      <c r="U165" s="130" t="s">
        <v>1914</v>
      </c>
      <c r="V165" t="s">
        <v>549</v>
      </c>
      <c r="W165" t="s">
        <v>564</v>
      </c>
      <c r="X165" t="s">
        <v>1430</v>
      </c>
      <c r="Y165" t="s">
        <v>656</v>
      </c>
      <c r="Z165">
        <v>349.73110000000003</v>
      </c>
      <c r="AA165" t="s">
        <v>657</v>
      </c>
      <c r="AB165">
        <v>373.8467</v>
      </c>
      <c r="AC165">
        <v>6.8954678502347766E-2</v>
      </c>
      <c r="AD165" t="s">
        <v>591</v>
      </c>
      <c r="AE165" t="s">
        <v>546</v>
      </c>
      <c r="AF165">
        <v>0</v>
      </c>
      <c r="AG165" t="str">
        <f>IF($A165="","",IFERROR(INDEX(Company_List!$G$3:$G$207,MATCH($A165,Company_List!$A$3:$A$207,0)),"unassigned"))</f>
        <v>P2</v>
      </c>
      <c r="AH165" t="s">
        <v>1983</v>
      </c>
      <c r="AI165" t="s">
        <v>1984</v>
      </c>
      <c r="AJ165" t="s">
        <v>754</v>
      </c>
      <c r="AK165" t="str">
        <f>IF($A165="","",IF(COUNTIFS(Human_Data_Entry!$A$3:$A$525,$A165)&gt;0,"YES","NO"))</f>
        <v>YES</v>
      </c>
      <c r="AL165" t="str">
        <f>IF($A165="","",IF(AND($C165&amp;"-"&amp;$D165&gt;=Settings!$B$19,$C165&amp;"-"&amp;$D165&lt;=Settings!$B$20),"IN","OUT"))</f>
        <v>IN</v>
      </c>
      <c r="AM165" t="str">
        <f t="shared" si="8"/>
        <v/>
      </c>
      <c r="AN165" t="str">
        <f t="shared" si="9"/>
        <v/>
      </c>
      <c r="AO165" t="str">
        <f>IF(ISNUMBER($AM165),ABS(IF(ISNUMBER($G165),$G165,0)-Settings!$B$25),"")</f>
        <v/>
      </c>
      <c r="AP165" t="str">
        <f t="shared" si="10"/>
        <v/>
      </c>
      <c r="AQ165" t="str">
        <f>IF(ISNUMBER($AN165),ABS(IF(ISNUMBER($G165),$G165,0)-Settings!$B$25),"")</f>
        <v/>
      </c>
      <c r="AR165" t="str">
        <f t="shared" si="11"/>
        <v/>
      </c>
      <c r="AS165" t="str">
        <f>IF($A165="","",IFERROR(INDEX(Company_List!$H$3:$H$207,MATCH($A165,Company_List!$A$3:$A$207,0)),"unassigned"))</f>
        <v>Communication Services</v>
      </c>
      <c r="AT165" t="s">
        <v>1924</v>
      </c>
      <c r="AU165" t="s">
        <v>1925</v>
      </c>
      <c r="AV165">
        <v>2</v>
      </c>
      <c r="AW165" t="s">
        <v>595</v>
      </c>
      <c r="AX165" t="s">
        <v>596</v>
      </c>
      <c r="AY165" t="s">
        <v>550</v>
      </c>
      <c r="AZ165" t="s">
        <v>562</v>
      </c>
      <c r="BA165" t="s">
        <v>554</v>
      </c>
    </row>
    <row r="166" spans="1:54" x14ac:dyDescent="0.2">
      <c r="A166" s="115" t="s">
        <v>1429</v>
      </c>
      <c r="B166" s="117" t="s">
        <v>1430</v>
      </c>
      <c r="C166" s="105">
        <v>2025</v>
      </c>
      <c r="D166" s="106" t="s">
        <v>563</v>
      </c>
      <c r="E166" s="109" t="s">
        <v>1911</v>
      </c>
      <c r="F166" s="106" t="s">
        <v>1912</v>
      </c>
      <c r="G166" s="128">
        <v>0.32750000000000001</v>
      </c>
      <c r="H166" s="106" t="s">
        <v>1919</v>
      </c>
      <c r="I166" s="128"/>
      <c r="J166" s="125">
        <v>45959</v>
      </c>
      <c r="K166" s="126">
        <v>45959</v>
      </c>
      <c r="L166" s="129">
        <v>274.57</v>
      </c>
      <c r="M166" s="126">
        <v>45960</v>
      </c>
      <c r="N166" s="129">
        <v>291.58999999999997</v>
      </c>
      <c r="O166" s="132">
        <v>8.6140000000000001E-3</v>
      </c>
      <c r="P166" s="107">
        <v>6.1988000000000001E-2</v>
      </c>
      <c r="Q166" s="106" t="s">
        <v>591</v>
      </c>
      <c r="R166" s="106" t="s">
        <v>554</v>
      </c>
      <c r="S166" s="105">
        <v>1</v>
      </c>
      <c r="T166" s="107">
        <v>6.0988000000000001E-2</v>
      </c>
      <c r="U166" s="130" t="s">
        <v>1914</v>
      </c>
      <c r="V166" t="s">
        <v>549</v>
      </c>
      <c r="W166" t="s">
        <v>564</v>
      </c>
      <c r="X166" t="s">
        <v>1430</v>
      </c>
      <c r="Y166" t="s">
        <v>626</v>
      </c>
      <c r="Z166">
        <v>274.03379999999999</v>
      </c>
      <c r="AA166" t="s">
        <v>660</v>
      </c>
      <c r="AB166">
        <v>291.0206</v>
      </c>
      <c r="AC166">
        <v>6.1987930728150252E-2</v>
      </c>
      <c r="AD166" t="s">
        <v>591</v>
      </c>
      <c r="AE166" t="s">
        <v>554</v>
      </c>
      <c r="AF166">
        <v>6.0988000000000001E-2</v>
      </c>
      <c r="AG166" t="str">
        <f>IF($A166="","",IFERROR(INDEX(Company_List!$G$3:$G$207,MATCH($A166,Company_List!$A$3:$A$207,0)),"unassigned"))</f>
        <v>P2</v>
      </c>
      <c r="AH166" t="s">
        <v>1985</v>
      </c>
      <c r="AI166" t="s">
        <v>1986</v>
      </c>
      <c r="AJ166" t="s">
        <v>754</v>
      </c>
      <c r="AK166" t="str">
        <f>IF($A166="","",IF(COUNTIFS(Human_Data_Entry!$A$3:$A$525,$A166)&gt;0,"YES","NO"))</f>
        <v>YES</v>
      </c>
      <c r="AL166" t="str">
        <f>IF($A166="","",IF(AND($C166&amp;"-"&amp;$D166&gt;=Settings!$B$19,$C166&amp;"-"&amp;$D166&lt;=Settings!$B$20),"IN","OUT"))</f>
        <v>IN</v>
      </c>
      <c r="AM166">
        <f t="shared" si="8"/>
        <v>6.0988000000000001E-2</v>
      </c>
      <c r="AN166">
        <f t="shared" si="9"/>
        <v>6.0988000000000001E-2</v>
      </c>
      <c r="AO166">
        <f>IF(ISNUMBER($AM166),ABS(IF(ISNUMBER($G166),$G166,0)-Settings!$B$25),"")</f>
        <v>0.32750000000000001</v>
      </c>
      <c r="AP166">
        <f t="shared" si="10"/>
        <v>1.997357E-2</v>
      </c>
      <c r="AQ166">
        <f>IF(ISNUMBER($AN166),ABS(IF(ISNUMBER($G166),$G166,0)-Settings!$B$25),"")</f>
        <v>0.32750000000000001</v>
      </c>
      <c r="AR166">
        <f t="shared" si="11"/>
        <v>1.997357E-2</v>
      </c>
      <c r="AS166" t="str">
        <f>IF($A166="","",IFERROR(INDEX(Company_List!$H$3:$H$207,MATCH($A166,Company_List!$A$3:$A$207,0)),"unassigned"))</f>
        <v>Communication Services</v>
      </c>
      <c r="AT166" t="s">
        <v>1924</v>
      </c>
      <c r="AU166" t="s">
        <v>1925</v>
      </c>
      <c r="AV166">
        <v>2</v>
      </c>
      <c r="AW166" t="s">
        <v>595</v>
      </c>
      <c r="AX166" t="s">
        <v>596</v>
      </c>
      <c r="AY166" t="s">
        <v>550</v>
      </c>
      <c r="AZ166" t="s">
        <v>562</v>
      </c>
      <c r="BA166" t="s">
        <v>554</v>
      </c>
    </row>
    <row r="167" spans="1:54" x14ac:dyDescent="0.2">
      <c r="A167" s="115" t="s">
        <v>1429</v>
      </c>
      <c r="B167" s="117" t="s">
        <v>1430</v>
      </c>
      <c r="C167" s="105">
        <v>2025</v>
      </c>
      <c r="D167" s="106" t="s">
        <v>569</v>
      </c>
      <c r="E167" s="109" t="s">
        <v>1911</v>
      </c>
      <c r="F167" s="106" t="s">
        <v>1912</v>
      </c>
      <c r="G167" s="128">
        <v>0.30499999999999999</v>
      </c>
      <c r="H167" s="106" t="s">
        <v>1919</v>
      </c>
      <c r="I167" s="128"/>
      <c r="J167" s="125">
        <v>46057</v>
      </c>
      <c r="K167" s="126">
        <v>46057</v>
      </c>
      <c r="L167" s="129">
        <v>333.04</v>
      </c>
      <c r="M167" s="126">
        <v>46058</v>
      </c>
      <c r="N167" s="129">
        <v>312.22000000000003</v>
      </c>
      <c r="O167" s="132">
        <v>8.4589999999999995E-3</v>
      </c>
      <c r="P167" s="107">
        <v>-6.2515000000000001E-2</v>
      </c>
      <c r="Q167" s="106" t="s">
        <v>545</v>
      </c>
      <c r="R167" s="106" t="s">
        <v>546</v>
      </c>
      <c r="S167" s="105">
        <v>1</v>
      </c>
      <c r="T167" s="107">
        <v>-6.3515000000000002E-2</v>
      </c>
      <c r="U167" s="130" t="s">
        <v>1914</v>
      </c>
      <c r="V167" t="s">
        <v>549</v>
      </c>
      <c r="W167" t="s">
        <v>541</v>
      </c>
      <c r="X167" t="s">
        <v>1430</v>
      </c>
      <c r="Y167" t="s">
        <v>737</v>
      </c>
      <c r="Z167">
        <v>332.6071</v>
      </c>
      <c r="AA167" t="s">
        <v>664</v>
      </c>
      <c r="AB167">
        <v>311.8141</v>
      </c>
      <c r="AC167">
        <v>-6.2515054971436099E-2</v>
      </c>
      <c r="AD167" t="s">
        <v>545</v>
      </c>
      <c r="AE167" t="s">
        <v>546</v>
      </c>
      <c r="AF167">
        <v>-6.3515000000000002E-2</v>
      </c>
      <c r="AG167" t="str">
        <f>IF($A167="","",IFERROR(INDEX(Company_List!$G$3:$G$207,MATCH($A167,Company_List!$A$3:$A$207,0)),"unassigned"))</f>
        <v>P2</v>
      </c>
      <c r="AH167" t="s">
        <v>1435</v>
      </c>
      <c r="AI167" t="s">
        <v>1436</v>
      </c>
      <c r="AJ167" t="s">
        <v>560</v>
      </c>
      <c r="AK167" t="str">
        <f>IF($A167="","",IF(COUNTIFS(Human_Data_Entry!$A$3:$A$525,$A167)&gt;0,"YES","NO"))</f>
        <v>YES</v>
      </c>
      <c r="AL167" t="str">
        <f>IF($A167="","",IF(AND($C167&amp;"-"&amp;$D167&gt;=Settings!$B$19,$C167&amp;"-"&amp;$D167&lt;=Settings!$B$20),"IN","OUT"))</f>
        <v>IN</v>
      </c>
      <c r="AM167">
        <f t="shared" si="8"/>
        <v>-6.3515000000000002E-2</v>
      </c>
      <c r="AN167">
        <f t="shared" si="9"/>
        <v>-6.3515000000000002E-2</v>
      </c>
      <c r="AO167">
        <f>IF(ISNUMBER($AM167),ABS(IF(ISNUMBER($G167),$G167,0)-Settings!$B$25),"")</f>
        <v>0.30499999999999999</v>
      </c>
      <c r="AP167">
        <f t="shared" si="10"/>
        <v>-1.9372074999999999E-2</v>
      </c>
      <c r="AQ167">
        <f>IF(ISNUMBER($AN167),ABS(IF(ISNUMBER($G167),$G167,0)-Settings!$B$25),"")</f>
        <v>0.30499999999999999</v>
      </c>
      <c r="AR167">
        <f t="shared" si="11"/>
        <v>-1.9372074999999999E-2</v>
      </c>
      <c r="AS167" t="str">
        <f>IF($A167="","",IFERROR(INDEX(Company_List!$H$3:$H$207,MATCH($A167,Company_List!$A$3:$A$207,0)),"unassigned"))</f>
        <v>Communication Services</v>
      </c>
      <c r="AT167" t="s">
        <v>1924</v>
      </c>
      <c r="AU167" t="s">
        <v>1925</v>
      </c>
      <c r="AV167">
        <v>1</v>
      </c>
      <c r="AW167" t="s">
        <v>561</v>
      </c>
      <c r="AX167" t="s">
        <v>561</v>
      </c>
      <c r="AY167" t="s">
        <v>550</v>
      </c>
      <c r="AZ167" t="s">
        <v>562</v>
      </c>
      <c r="BA167" t="s">
        <v>554</v>
      </c>
    </row>
    <row r="168" spans="1:54" x14ac:dyDescent="0.2">
      <c r="A168" s="115" t="s">
        <v>1293</v>
      </c>
      <c r="B168" s="117" t="s">
        <v>1294</v>
      </c>
      <c r="C168" s="105">
        <v>2025</v>
      </c>
      <c r="D168" s="106" t="s">
        <v>555</v>
      </c>
      <c r="E168" s="109" t="s">
        <v>1911</v>
      </c>
      <c r="F168" s="106" t="s">
        <v>1912</v>
      </c>
      <c r="G168" s="128">
        <v>0.21</v>
      </c>
      <c r="H168" s="106" t="s">
        <v>1913</v>
      </c>
      <c r="I168" s="128"/>
      <c r="J168" s="125">
        <v>45867</v>
      </c>
      <c r="K168" s="126">
        <v>45867</v>
      </c>
      <c r="L168" s="129">
        <v>223.63079999999999</v>
      </c>
      <c r="M168" s="126">
        <v>45868</v>
      </c>
      <c r="N168" s="129">
        <v>219.6</v>
      </c>
      <c r="O168" s="132">
        <v>6.0530000000000002E-3</v>
      </c>
      <c r="P168" s="107">
        <v>-1.8023999999999998E-2</v>
      </c>
      <c r="Q168" s="106" t="s">
        <v>579</v>
      </c>
      <c r="R168" s="106" t="s">
        <v>554</v>
      </c>
      <c r="S168" s="105">
        <v>0</v>
      </c>
      <c r="T168" s="107">
        <v>0</v>
      </c>
      <c r="U168" s="130" t="s">
        <v>1914</v>
      </c>
      <c r="V168" t="s">
        <v>549</v>
      </c>
      <c r="W168" t="s">
        <v>564</v>
      </c>
      <c r="X168" t="s">
        <v>1294</v>
      </c>
      <c r="Y168" t="s">
        <v>620</v>
      </c>
      <c r="Z168">
        <v>221.75550000000001</v>
      </c>
      <c r="AA168" t="s">
        <v>1001</v>
      </c>
      <c r="AB168">
        <v>217.7585</v>
      </c>
      <c r="AC168">
        <v>-1.8024406487645889E-2</v>
      </c>
      <c r="AD168" t="s">
        <v>579</v>
      </c>
      <c r="AE168" t="s">
        <v>554</v>
      </c>
      <c r="AF168">
        <v>0</v>
      </c>
      <c r="AG168" t="str">
        <f>IF($A168="","",IFERROR(INDEX(Company_List!$G$3:$G$207,MATCH($A168,Company_List!$A$3:$A$207,0)),"unassigned"))</f>
        <v>both</v>
      </c>
      <c r="AH168" t="s">
        <v>1296</v>
      </c>
      <c r="AJ168" t="s">
        <v>548</v>
      </c>
      <c r="AK168" t="str">
        <f>IF($A168="","",IF(COUNTIFS(Human_Data_Entry!$A$3:$A$525,$A168)&gt;0,"YES","NO"))</f>
        <v>YES</v>
      </c>
      <c r="AL168" t="str">
        <f>IF($A168="","",IF(AND($C168&amp;"-"&amp;$D168&gt;=Settings!$B$19,$C168&amp;"-"&amp;$D168&lt;=Settings!$B$20),"IN","OUT"))</f>
        <v>IN</v>
      </c>
      <c r="AM168" t="str">
        <f t="shared" si="8"/>
        <v/>
      </c>
      <c r="AN168" t="str">
        <f t="shared" si="9"/>
        <v/>
      </c>
      <c r="AO168" t="str">
        <f>IF(ISNUMBER($AM168),ABS(IF(ISNUMBER($G168),$G168,0)-Settings!$B$25),"")</f>
        <v/>
      </c>
      <c r="AP168" t="str">
        <f t="shared" si="10"/>
        <v/>
      </c>
      <c r="AQ168" t="str">
        <f>IF(ISNUMBER($AN168),ABS(IF(ISNUMBER($G168),$G168,0)-Settings!$B$25),"")</f>
        <v/>
      </c>
      <c r="AR168" t="str">
        <f t="shared" si="11"/>
        <v/>
      </c>
      <c r="AS168" t="str">
        <f>IF($A168="","",IFERROR(INDEX(Company_List!$H$3:$H$207,MATCH($A168,Company_List!$A$3:$A$207,0)),"unassigned"))</f>
        <v>Consumer Discretionary</v>
      </c>
      <c r="AT168" t="s">
        <v>1924</v>
      </c>
      <c r="AU168" t="s">
        <v>1925</v>
      </c>
      <c r="AV168">
        <v>1</v>
      </c>
      <c r="AW168" t="s">
        <v>617</v>
      </c>
      <c r="AX168" t="s">
        <v>553</v>
      </c>
      <c r="AY168" t="s">
        <v>550</v>
      </c>
      <c r="AZ168" t="s">
        <v>550</v>
      </c>
      <c r="BA168" t="s">
        <v>554</v>
      </c>
    </row>
    <row r="169" spans="1:54" x14ac:dyDescent="0.2">
      <c r="A169" s="115" t="s">
        <v>1293</v>
      </c>
      <c r="B169" s="117" t="s">
        <v>1294</v>
      </c>
      <c r="C169" s="105">
        <v>2025</v>
      </c>
      <c r="D169" s="106" t="s">
        <v>563</v>
      </c>
      <c r="E169" s="109" t="s">
        <v>1911</v>
      </c>
      <c r="F169" s="106" t="s">
        <v>1912</v>
      </c>
      <c r="G169" s="128">
        <v>0.4375</v>
      </c>
      <c r="H169" s="106" t="s">
        <v>1919</v>
      </c>
      <c r="I169" s="128"/>
      <c r="J169" s="125">
        <v>45958</v>
      </c>
      <c r="K169" s="126">
        <v>45958</v>
      </c>
      <c r="L169" s="129">
        <v>204.8228</v>
      </c>
      <c r="M169" s="126">
        <v>45959</v>
      </c>
      <c r="N169" s="129">
        <v>208</v>
      </c>
      <c r="O169" s="132">
        <v>9.3889999999999998E-3</v>
      </c>
      <c r="P169" s="107">
        <v>1.5514E-2</v>
      </c>
      <c r="Q169" s="106" t="s">
        <v>579</v>
      </c>
      <c r="R169" s="106" t="s">
        <v>546</v>
      </c>
      <c r="S169" s="105">
        <v>1</v>
      </c>
      <c r="T169" s="107">
        <v>1.4514000000000001E-2</v>
      </c>
      <c r="U169" s="130" t="s">
        <v>1914</v>
      </c>
      <c r="V169" t="s">
        <v>549</v>
      </c>
      <c r="W169" t="s">
        <v>564</v>
      </c>
      <c r="X169" t="s">
        <v>1294</v>
      </c>
      <c r="Y169" t="s">
        <v>625</v>
      </c>
      <c r="Z169">
        <v>203.45490000000001</v>
      </c>
      <c r="AA169" t="s">
        <v>626</v>
      </c>
      <c r="AB169">
        <v>206.6113</v>
      </c>
      <c r="AC169">
        <v>1.5513979034043911E-2</v>
      </c>
      <c r="AD169" t="s">
        <v>579</v>
      </c>
      <c r="AE169" t="s">
        <v>546</v>
      </c>
      <c r="AF169">
        <v>1.4514000000000001E-2</v>
      </c>
      <c r="AG169" t="str">
        <f>IF($A169="","",IFERROR(INDEX(Company_List!$G$3:$G$207,MATCH($A169,Company_List!$A$3:$A$207,0)),"unassigned"))</f>
        <v>both</v>
      </c>
      <c r="AH169" t="s">
        <v>1297</v>
      </c>
      <c r="AJ169" t="s">
        <v>548</v>
      </c>
      <c r="AK169" t="str">
        <f>IF($A169="","",IF(COUNTIFS(Human_Data_Entry!$A$3:$A$525,$A169)&gt;0,"YES","NO"))</f>
        <v>YES</v>
      </c>
      <c r="AL169" t="str">
        <f>IF($A169="","",IF(AND($C169&amp;"-"&amp;$D169&gt;=Settings!$B$19,$C169&amp;"-"&amp;$D169&lt;=Settings!$B$20),"IN","OUT"))</f>
        <v>IN</v>
      </c>
      <c r="AM169">
        <f t="shared" si="8"/>
        <v>1.4514000000000001E-2</v>
      </c>
      <c r="AN169">
        <f t="shared" si="9"/>
        <v>1.4514000000000001E-2</v>
      </c>
      <c r="AO169">
        <f>IF(ISNUMBER($AM169),ABS(IF(ISNUMBER($G169),$G169,0)-Settings!$B$25),"")</f>
        <v>0.4375</v>
      </c>
      <c r="AP169">
        <f t="shared" si="10"/>
        <v>6.3498750000000005E-3</v>
      </c>
      <c r="AQ169">
        <f>IF(ISNUMBER($AN169),ABS(IF(ISNUMBER($G169),$G169,0)-Settings!$B$25),"")</f>
        <v>0.4375</v>
      </c>
      <c r="AR169">
        <f t="shared" si="11"/>
        <v>6.3498750000000005E-3</v>
      </c>
      <c r="AS169" t="str">
        <f>IF($A169="","",IFERROR(INDEX(Company_List!$H$3:$H$207,MATCH($A169,Company_List!$A$3:$A$207,0)),"unassigned"))</f>
        <v>Consumer Discretionary</v>
      </c>
      <c r="AT169" t="s">
        <v>1924</v>
      </c>
      <c r="AU169" t="s">
        <v>1925</v>
      </c>
      <c r="AV169">
        <v>1</v>
      </c>
      <c r="AW169" t="s">
        <v>617</v>
      </c>
      <c r="AX169" t="s">
        <v>553</v>
      </c>
      <c r="AY169" t="s">
        <v>550</v>
      </c>
      <c r="AZ169" t="s">
        <v>550</v>
      </c>
      <c r="BA169" t="s">
        <v>554</v>
      </c>
    </row>
    <row r="170" spans="1:54" x14ac:dyDescent="0.2">
      <c r="A170" s="115" t="s">
        <v>1293</v>
      </c>
      <c r="B170" s="117" t="s">
        <v>1294</v>
      </c>
      <c r="C170" s="105">
        <v>2025</v>
      </c>
      <c r="D170" s="106" t="s">
        <v>569</v>
      </c>
      <c r="E170" s="109" t="s">
        <v>1911</v>
      </c>
      <c r="F170" s="106" t="s">
        <v>1912</v>
      </c>
      <c r="G170" s="128">
        <v>0.12</v>
      </c>
      <c r="H170" s="106" t="s">
        <v>1913</v>
      </c>
      <c r="I170" s="128"/>
      <c r="J170" s="125">
        <v>46071</v>
      </c>
      <c r="K170" s="126">
        <v>46071</v>
      </c>
      <c r="L170" s="129">
        <v>170.7996</v>
      </c>
      <c r="M170" s="126">
        <v>46072</v>
      </c>
      <c r="N170" s="129">
        <v>163.55000000000001</v>
      </c>
      <c r="O170" s="132">
        <v>9.9970000000000007E-3</v>
      </c>
      <c r="P170" s="107">
        <v>-4.2417000000000003E-2</v>
      </c>
      <c r="Q170" s="106" t="s">
        <v>545</v>
      </c>
      <c r="R170" s="106" t="s">
        <v>546</v>
      </c>
      <c r="S170" s="105">
        <v>0</v>
      </c>
      <c r="T170" s="107">
        <v>0</v>
      </c>
      <c r="U170" s="130" t="s">
        <v>1914</v>
      </c>
      <c r="V170" t="s">
        <v>549</v>
      </c>
      <c r="W170" t="s">
        <v>564</v>
      </c>
      <c r="X170" t="s">
        <v>1294</v>
      </c>
      <c r="Y170" t="s">
        <v>846</v>
      </c>
      <c r="Z170">
        <v>169.98349999999999</v>
      </c>
      <c r="AA170" t="s">
        <v>847</v>
      </c>
      <c r="AB170">
        <v>162.77330000000001</v>
      </c>
      <c r="AC170">
        <v>-4.2417065992395607E-2</v>
      </c>
      <c r="AD170" t="s">
        <v>545</v>
      </c>
      <c r="AE170" t="s">
        <v>546</v>
      </c>
      <c r="AF170">
        <v>0</v>
      </c>
      <c r="AG170" t="str">
        <f>IF($A170="","",IFERROR(INDEX(Company_List!$G$3:$G$207,MATCH($A170,Company_List!$A$3:$A$207,0)),"unassigned"))</f>
        <v>both</v>
      </c>
      <c r="AH170" t="s">
        <v>1298</v>
      </c>
      <c r="AJ170" t="s">
        <v>548</v>
      </c>
      <c r="AK170" t="str">
        <f>IF($A170="","",IF(COUNTIFS(Human_Data_Entry!$A$3:$A$525,$A170)&gt;0,"YES","NO"))</f>
        <v>YES</v>
      </c>
      <c r="AL170" t="str">
        <f>IF($A170="","",IF(AND($C170&amp;"-"&amp;$D170&gt;=Settings!$B$19,$C170&amp;"-"&amp;$D170&lt;=Settings!$B$20),"IN","OUT"))</f>
        <v>IN</v>
      </c>
      <c r="AM170" t="str">
        <f t="shared" si="8"/>
        <v/>
      </c>
      <c r="AN170" t="str">
        <f t="shared" si="9"/>
        <v/>
      </c>
      <c r="AO170" t="str">
        <f>IF(ISNUMBER($AM170),ABS(IF(ISNUMBER($G170),$G170,0)-Settings!$B$25),"")</f>
        <v/>
      </c>
      <c r="AP170" t="str">
        <f t="shared" si="10"/>
        <v/>
      </c>
      <c r="AQ170" t="str">
        <f>IF(ISNUMBER($AN170),ABS(IF(ISNUMBER($G170),$G170,0)-Settings!$B$25),"")</f>
        <v/>
      </c>
      <c r="AR170" t="str">
        <f t="shared" si="11"/>
        <v/>
      </c>
      <c r="AS170" t="str">
        <f>IF($A170="","",IFERROR(INDEX(Company_List!$H$3:$H$207,MATCH($A170,Company_List!$A$3:$A$207,0)),"unassigned"))</f>
        <v>Consumer Discretionary</v>
      </c>
      <c r="AT170" t="s">
        <v>1924</v>
      </c>
      <c r="AU170" t="s">
        <v>1925</v>
      </c>
      <c r="AV170">
        <v>1</v>
      </c>
      <c r="AW170" t="s">
        <v>617</v>
      </c>
      <c r="AX170" t="s">
        <v>553</v>
      </c>
      <c r="AY170" t="s">
        <v>550</v>
      </c>
      <c r="AZ170" t="s">
        <v>550</v>
      </c>
      <c r="BA170" t="s">
        <v>554</v>
      </c>
    </row>
    <row r="171" spans="1:54" x14ac:dyDescent="0.2">
      <c r="A171" s="115" t="s">
        <v>1437</v>
      </c>
      <c r="B171" s="117" t="s">
        <v>1438</v>
      </c>
      <c r="C171" s="105">
        <v>2026</v>
      </c>
      <c r="D171" s="106" t="s">
        <v>537</v>
      </c>
      <c r="E171" s="109" t="s">
        <v>1911</v>
      </c>
      <c r="F171" s="106" t="s">
        <v>1912</v>
      </c>
      <c r="G171" s="128">
        <v>0.42249999999999999</v>
      </c>
      <c r="H171" s="106" t="s">
        <v>1919</v>
      </c>
      <c r="I171" s="128"/>
      <c r="J171" s="125">
        <v>46085</v>
      </c>
      <c r="K171" s="126">
        <v>46085</v>
      </c>
      <c r="L171" s="129">
        <v>317.52999999999997</v>
      </c>
      <c r="M171" s="126">
        <v>46086</v>
      </c>
      <c r="N171" s="129">
        <v>330.18</v>
      </c>
      <c r="O171" s="132">
        <v>9.4820000000000008E-3</v>
      </c>
      <c r="P171" s="107">
        <v>3.9838999999999999E-2</v>
      </c>
      <c r="Q171" s="106" t="s">
        <v>591</v>
      </c>
      <c r="R171" s="106" t="s">
        <v>554</v>
      </c>
      <c r="S171" s="105">
        <v>1</v>
      </c>
      <c r="T171" s="107">
        <v>3.8838999999999999E-2</v>
      </c>
      <c r="U171" s="130" t="s">
        <v>1914</v>
      </c>
      <c r="V171" t="s">
        <v>549</v>
      </c>
      <c r="W171" t="s">
        <v>564</v>
      </c>
      <c r="X171" t="s">
        <v>1438</v>
      </c>
      <c r="Y171" t="s">
        <v>1439</v>
      </c>
      <c r="Z171">
        <v>316.3646</v>
      </c>
      <c r="AA171" t="s">
        <v>1388</v>
      </c>
      <c r="AB171">
        <v>328.96820000000002</v>
      </c>
      <c r="AC171">
        <v>3.9838721312466512E-2</v>
      </c>
      <c r="AD171" t="s">
        <v>591</v>
      </c>
      <c r="AE171" t="s">
        <v>554</v>
      </c>
      <c r="AF171">
        <v>3.8838999999999999E-2</v>
      </c>
      <c r="AG171" t="str">
        <f>IF($A171="","",IFERROR(INDEX(Company_List!$G$3:$G$207,MATCH($A171,Company_List!$A$3:$A$207,0)),"unassigned"))</f>
        <v>P2</v>
      </c>
      <c r="AH171" t="s">
        <v>1987</v>
      </c>
      <c r="AI171" t="s">
        <v>1988</v>
      </c>
      <c r="AJ171" t="s">
        <v>754</v>
      </c>
      <c r="AK171" t="str">
        <f>IF($A171="","",IF(COUNTIFS(Human_Data_Entry!$A$3:$A$525,$A171)&gt;0,"YES","NO"))</f>
        <v>YES</v>
      </c>
      <c r="AL171" t="str">
        <f>IF($A171="","",IF(AND($C171&amp;"-"&amp;$D171&gt;=Settings!$B$19,$C171&amp;"-"&amp;$D171&lt;=Settings!$B$20),"IN","OUT"))</f>
        <v>IN</v>
      </c>
      <c r="AM171">
        <f t="shared" si="8"/>
        <v>3.8838999999999999E-2</v>
      </c>
      <c r="AN171">
        <f t="shared" si="9"/>
        <v>3.8838999999999999E-2</v>
      </c>
      <c r="AO171">
        <f>IF(ISNUMBER($AM171),ABS(IF(ISNUMBER($G171),$G171,0)-Settings!$B$25),"")</f>
        <v>0.42249999999999999</v>
      </c>
      <c r="AP171">
        <f t="shared" si="10"/>
        <v>1.6409477499999998E-2</v>
      </c>
      <c r="AQ171">
        <f>IF(ISNUMBER($AN171),ABS(IF(ISNUMBER($G171),$G171,0)-Settings!$B$25),"")</f>
        <v>0.42249999999999999</v>
      </c>
      <c r="AR171">
        <f t="shared" si="11"/>
        <v>1.6409477499999998E-2</v>
      </c>
      <c r="AS171" t="str">
        <f>IF($A171="","",IFERROR(INDEX(Company_List!$H$3:$H$207,MATCH($A171,Company_List!$A$3:$A$207,0)),"unassigned"))</f>
        <v>Information Technology</v>
      </c>
      <c r="AT171" t="s">
        <v>1924</v>
      </c>
      <c r="AU171" t="s">
        <v>1925</v>
      </c>
      <c r="AV171">
        <v>2</v>
      </c>
      <c r="AW171" t="s">
        <v>595</v>
      </c>
      <c r="AX171" t="s">
        <v>596</v>
      </c>
      <c r="AY171" t="s">
        <v>550</v>
      </c>
      <c r="AZ171" t="s">
        <v>562</v>
      </c>
      <c r="BA171" t="s">
        <v>554</v>
      </c>
    </row>
    <row r="172" spans="1:54" x14ac:dyDescent="0.2">
      <c r="A172" s="115" t="s">
        <v>1437</v>
      </c>
      <c r="B172" s="117" t="s">
        <v>1438</v>
      </c>
      <c r="C172" s="105">
        <v>2025</v>
      </c>
      <c r="D172" s="106" t="s">
        <v>563</v>
      </c>
      <c r="E172" s="109" t="s">
        <v>1911</v>
      </c>
      <c r="F172" s="106" t="s">
        <v>1912</v>
      </c>
      <c r="G172" s="128">
        <v>0.30249999999999999</v>
      </c>
      <c r="H172" s="106" t="s">
        <v>1919</v>
      </c>
      <c r="I172" s="128"/>
      <c r="J172" s="125">
        <v>45904</v>
      </c>
      <c r="K172" s="126">
        <v>45904</v>
      </c>
      <c r="L172" s="129">
        <v>306.10000000000002</v>
      </c>
      <c r="M172" s="126">
        <v>45905</v>
      </c>
      <c r="N172" s="129">
        <v>355.78</v>
      </c>
      <c r="O172" s="132">
        <v>1.0265E-2</v>
      </c>
      <c r="P172" s="107">
        <v>0.1623</v>
      </c>
      <c r="Q172" s="106" t="s">
        <v>591</v>
      </c>
      <c r="R172" s="106" t="s">
        <v>554</v>
      </c>
      <c r="S172" s="105">
        <v>1</v>
      </c>
      <c r="T172" s="107">
        <v>0.1613</v>
      </c>
      <c r="U172" s="130" t="s">
        <v>1914</v>
      </c>
      <c r="V172" t="s">
        <v>549</v>
      </c>
      <c r="W172" t="s">
        <v>541</v>
      </c>
      <c r="X172" t="s">
        <v>1438</v>
      </c>
      <c r="Y172" t="s">
        <v>1442</v>
      </c>
      <c r="Z172">
        <v>303.87349999999998</v>
      </c>
      <c r="AA172" t="s">
        <v>1443</v>
      </c>
      <c r="AB172">
        <v>353.19209999999998</v>
      </c>
      <c r="AC172">
        <v>0.1622998755933408</v>
      </c>
      <c r="AD172" t="s">
        <v>591</v>
      </c>
      <c r="AE172" t="s">
        <v>554</v>
      </c>
      <c r="AF172">
        <v>0.1613</v>
      </c>
      <c r="AG172" t="str">
        <f>IF($A172="","",IFERROR(INDEX(Company_List!$G$3:$G$207,MATCH($A172,Company_List!$A$3:$A$207,0)),"unassigned"))</f>
        <v>P2</v>
      </c>
      <c r="AH172" t="s">
        <v>1444</v>
      </c>
      <c r="AI172" t="s">
        <v>1445</v>
      </c>
      <c r="AJ172" t="s">
        <v>560</v>
      </c>
      <c r="AK172" t="str">
        <f>IF($A172="","",IF(COUNTIFS(Human_Data_Entry!$A$3:$A$525,$A172)&gt;0,"YES","NO"))</f>
        <v>YES</v>
      </c>
      <c r="AL172" t="str">
        <f>IF($A172="","",IF(AND($C172&amp;"-"&amp;$D172&gt;=Settings!$B$19,$C172&amp;"-"&amp;$D172&lt;=Settings!$B$20),"IN","OUT"))</f>
        <v>IN</v>
      </c>
      <c r="AM172">
        <f t="shared" si="8"/>
        <v>0.1613</v>
      </c>
      <c r="AN172">
        <f t="shared" si="9"/>
        <v>0.1613</v>
      </c>
      <c r="AO172">
        <f>IF(ISNUMBER($AM172),ABS(IF(ISNUMBER($G172),$G172,0)-Settings!$B$25),"")</f>
        <v>0.30249999999999999</v>
      </c>
      <c r="AP172">
        <f t="shared" si="10"/>
        <v>4.8793249999999996E-2</v>
      </c>
      <c r="AQ172">
        <f>IF(ISNUMBER($AN172),ABS(IF(ISNUMBER($G172),$G172,0)-Settings!$B$25),"")</f>
        <v>0.30249999999999999</v>
      </c>
      <c r="AR172">
        <f t="shared" si="11"/>
        <v>4.8793249999999996E-2</v>
      </c>
      <c r="AS172" t="str">
        <f>IF($A172="","",IFERROR(INDEX(Company_List!$H$3:$H$207,MATCH($A172,Company_List!$A$3:$A$207,0)),"unassigned"))</f>
        <v>Information Technology</v>
      </c>
      <c r="AT172" t="s">
        <v>1924</v>
      </c>
      <c r="AU172" t="s">
        <v>1925</v>
      </c>
      <c r="AV172">
        <v>1</v>
      </c>
      <c r="AW172" t="s">
        <v>561</v>
      </c>
      <c r="AX172" t="s">
        <v>561</v>
      </c>
      <c r="AY172" t="s">
        <v>550</v>
      </c>
      <c r="AZ172" t="s">
        <v>562</v>
      </c>
      <c r="BA172" t="s">
        <v>554</v>
      </c>
    </row>
    <row r="173" spans="1:54" x14ac:dyDescent="0.2">
      <c r="A173" s="115" t="s">
        <v>1437</v>
      </c>
      <c r="B173" s="117" t="s">
        <v>1438</v>
      </c>
      <c r="C173" s="105">
        <v>2025</v>
      </c>
      <c r="D173" s="106" t="s">
        <v>569</v>
      </c>
      <c r="E173" s="109" t="s">
        <v>1911</v>
      </c>
      <c r="F173" s="106" t="s">
        <v>1912</v>
      </c>
      <c r="G173" s="128">
        <v>0.34749999999999998</v>
      </c>
      <c r="H173" s="106" t="s">
        <v>1919</v>
      </c>
      <c r="I173" s="128"/>
      <c r="J173" s="125">
        <v>46002</v>
      </c>
      <c r="K173" s="126">
        <v>46002</v>
      </c>
      <c r="L173" s="129">
        <v>406.37</v>
      </c>
      <c r="M173" s="126">
        <v>46003</v>
      </c>
      <c r="N173" s="129">
        <v>379.96</v>
      </c>
      <c r="O173" s="132">
        <v>1.0147E-2</v>
      </c>
      <c r="P173" s="107">
        <v>-6.4989999999999992E-2</v>
      </c>
      <c r="Q173" s="106" t="s">
        <v>545</v>
      </c>
      <c r="R173" s="106" t="s">
        <v>546</v>
      </c>
      <c r="S173" s="105">
        <v>1</v>
      </c>
      <c r="T173" s="107">
        <v>-6.5989999999999993E-2</v>
      </c>
      <c r="U173" s="130" t="s">
        <v>1914</v>
      </c>
      <c r="V173" t="s">
        <v>549</v>
      </c>
      <c r="W173" t="s">
        <v>564</v>
      </c>
      <c r="X173" t="s">
        <v>1438</v>
      </c>
      <c r="Y173" t="s">
        <v>818</v>
      </c>
      <c r="Z173">
        <v>404.1053</v>
      </c>
      <c r="AA173" t="s">
        <v>819</v>
      </c>
      <c r="AB173">
        <v>377.84249999999997</v>
      </c>
      <c r="AC173">
        <v>-6.499001492387034E-2</v>
      </c>
      <c r="AD173" t="s">
        <v>545</v>
      </c>
      <c r="AE173" t="s">
        <v>546</v>
      </c>
      <c r="AF173">
        <v>-6.5989999999999993E-2</v>
      </c>
      <c r="AG173" t="str">
        <f>IF($A173="","",IFERROR(INDEX(Company_List!$G$3:$G$207,MATCH($A173,Company_List!$A$3:$A$207,0)),"unassigned"))</f>
        <v>P2</v>
      </c>
      <c r="AH173" t="s">
        <v>1989</v>
      </c>
      <c r="AI173" t="s">
        <v>1990</v>
      </c>
      <c r="AJ173" t="s">
        <v>754</v>
      </c>
      <c r="AK173" t="str">
        <f>IF($A173="","",IF(COUNTIFS(Human_Data_Entry!$A$3:$A$525,$A173)&gt;0,"YES","NO"))</f>
        <v>YES</v>
      </c>
      <c r="AL173" t="str">
        <f>IF($A173="","",IF(AND($C173&amp;"-"&amp;$D173&gt;=Settings!$B$19,$C173&amp;"-"&amp;$D173&lt;=Settings!$B$20),"IN","OUT"))</f>
        <v>IN</v>
      </c>
      <c r="AM173">
        <f t="shared" si="8"/>
        <v>-6.5989999999999993E-2</v>
      </c>
      <c r="AN173">
        <f t="shared" si="9"/>
        <v>-6.5989999999999993E-2</v>
      </c>
      <c r="AO173">
        <f>IF(ISNUMBER($AM173),ABS(IF(ISNUMBER($G173),$G173,0)-Settings!$B$25),"")</f>
        <v>0.34749999999999998</v>
      </c>
      <c r="AP173">
        <f t="shared" si="10"/>
        <v>-2.2931524999999994E-2</v>
      </c>
      <c r="AQ173">
        <f>IF(ISNUMBER($AN173),ABS(IF(ISNUMBER($G173),$G173,0)-Settings!$B$25),"")</f>
        <v>0.34749999999999998</v>
      </c>
      <c r="AR173">
        <f t="shared" si="11"/>
        <v>-2.2931524999999994E-2</v>
      </c>
      <c r="AS173" t="str">
        <f>IF($A173="","",IFERROR(INDEX(Company_List!$H$3:$H$207,MATCH($A173,Company_List!$A$3:$A$207,0)),"unassigned"))</f>
        <v>Information Technology</v>
      </c>
      <c r="AT173" t="s">
        <v>1924</v>
      </c>
      <c r="AU173" t="s">
        <v>1925</v>
      </c>
      <c r="AV173">
        <v>2</v>
      </c>
      <c r="AW173" t="s">
        <v>595</v>
      </c>
      <c r="AX173" t="s">
        <v>596</v>
      </c>
      <c r="AY173" t="s">
        <v>550</v>
      </c>
      <c r="AZ173" t="s">
        <v>562</v>
      </c>
      <c r="BA173" t="s">
        <v>554</v>
      </c>
    </row>
    <row r="174" spans="1:54" x14ac:dyDescent="0.2">
      <c r="A174" s="115" t="s">
        <v>1475</v>
      </c>
      <c r="B174" s="117" t="s">
        <v>1477</v>
      </c>
      <c r="C174" s="105">
        <v>2025</v>
      </c>
      <c r="D174" s="106" t="s">
        <v>555</v>
      </c>
      <c r="E174" s="109" t="s">
        <v>1911</v>
      </c>
      <c r="F174" s="106" t="s">
        <v>1912</v>
      </c>
      <c r="G174" s="128">
        <v>0.1825</v>
      </c>
      <c r="H174" s="106" t="s">
        <v>1913</v>
      </c>
      <c r="I174" s="128"/>
      <c r="J174" s="125">
        <v>45874</v>
      </c>
      <c r="K174" s="126">
        <v>45873</v>
      </c>
      <c r="L174" s="129">
        <v>433.7</v>
      </c>
      <c r="M174" s="126">
        <v>45874</v>
      </c>
      <c r="N174" s="129">
        <v>427.65</v>
      </c>
      <c r="O174" s="132">
        <v>1.1488999999999999E-2</v>
      </c>
      <c r="P174" s="107">
        <v>-1.3950000000000001E-2</v>
      </c>
      <c r="Q174" s="106" t="s">
        <v>579</v>
      </c>
      <c r="R174" s="106" t="s">
        <v>554</v>
      </c>
      <c r="S174" s="105">
        <v>0</v>
      </c>
      <c r="T174" s="107">
        <v>0</v>
      </c>
      <c r="U174" s="130" t="s">
        <v>1914</v>
      </c>
      <c r="V174" t="s">
        <v>549</v>
      </c>
      <c r="W174" t="s">
        <v>564</v>
      </c>
      <c r="X174" t="s">
        <v>1477</v>
      </c>
      <c r="Y174" t="s">
        <v>981</v>
      </c>
      <c r="Z174">
        <v>429.83089999999999</v>
      </c>
      <c r="AA174" t="s">
        <v>641</v>
      </c>
      <c r="AB174">
        <v>423.83479999999997</v>
      </c>
      <c r="AC174">
        <v>-1.3949782267285811E-2</v>
      </c>
      <c r="AD174" t="s">
        <v>579</v>
      </c>
      <c r="AE174" t="s">
        <v>554</v>
      </c>
      <c r="AF174">
        <v>0</v>
      </c>
      <c r="AG174" t="str">
        <f>IF($A174="","",IFERROR(INDEX(Company_List!$G$3:$G$207,MATCH($A174,Company_List!$A$3:$A$207,0)),"unassigned"))</f>
        <v>both</v>
      </c>
      <c r="AH174" t="s">
        <v>1991</v>
      </c>
      <c r="AI174" t="s">
        <v>1992</v>
      </c>
      <c r="AJ174" t="s">
        <v>754</v>
      </c>
      <c r="AK174" t="str">
        <f>IF($A174="","",IF(COUNTIFS(Human_Data_Entry!$A$3:$A$525,$A174)&gt;0,"YES","NO"))</f>
        <v>YES</v>
      </c>
      <c r="AL174" t="str">
        <f>IF($A174="","",IF(AND($C174&amp;"-"&amp;$D174&gt;=Settings!$B$19,$C174&amp;"-"&amp;$D174&lt;=Settings!$B$20),"IN","OUT"))</f>
        <v>IN</v>
      </c>
      <c r="AM174" t="str">
        <f t="shared" si="8"/>
        <v/>
      </c>
      <c r="AN174" t="str">
        <f t="shared" si="9"/>
        <v/>
      </c>
      <c r="AO174" t="str">
        <f>IF(ISNUMBER($AM174),ABS(IF(ISNUMBER($G174),$G174,0)-Settings!$B$25),"")</f>
        <v/>
      </c>
      <c r="AP174" t="str">
        <f t="shared" si="10"/>
        <v/>
      </c>
      <c r="AQ174" t="str">
        <f>IF(ISNUMBER($AN174),ABS(IF(ISNUMBER($G174),$G174,0)-Settings!$B$25),"")</f>
        <v/>
      </c>
      <c r="AR174" t="str">
        <f t="shared" si="11"/>
        <v/>
      </c>
      <c r="AS174" t="str">
        <f>IF($A174="","",IFERROR(INDEX(Company_List!$H$3:$H$207,MATCH($A174,Company_List!$A$3:$A$207,0)),"unassigned"))</f>
        <v>Industrials</v>
      </c>
      <c r="AT174" t="s">
        <v>1924</v>
      </c>
      <c r="AU174" t="s">
        <v>1925</v>
      </c>
      <c r="AV174">
        <v>3</v>
      </c>
      <c r="AW174" t="s">
        <v>561</v>
      </c>
      <c r="AX174" t="s">
        <v>561</v>
      </c>
      <c r="AY174" t="s">
        <v>1023</v>
      </c>
      <c r="AZ174" t="s">
        <v>562</v>
      </c>
      <c r="BA174" t="s">
        <v>554</v>
      </c>
    </row>
    <row r="175" spans="1:54" x14ac:dyDescent="0.2">
      <c r="A175" s="115" t="s">
        <v>1475</v>
      </c>
      <c r="B175" s="117" t="s">
        <v>1477</v>
      </c>
      <c r="C175" s="105">
        <v>2025</v>
      </c>
      <c r="D175" s="106" t="s">
        <v>563</v>
      </c>
      <c r="E175" s="109" t="s">
        <v>1911</v>
      </c>
      <c r="F175" s="106" t="s">
        <v>1912</v>
      </c>
      <c r="G175" s="128">
        <v>0.3</v>
      </c>
      <c r="H175" s="106" t="s">
        <v>1919</v>
      </c>
      <c r="I175" s="128"/>
      <c r="J175" s="125">
        <v>45959</v>
      </c>
      <c r="K175" s="126">
        <v>45958</v>
      </c>
      <c r="L175" s="129">
        <v>524.47</v>
      </c>
      <c r="M175" s="126">
        <v>45959</v>
      </c>
      <c r="N175" s="129">
        <v>558.17999999999995</v>
      </c>
      <c r="O175" s="132">
        <v>1.1062000000000001E-2</v>
      </c>
      <c r="P175" s="107">
        <v>6.4273999999999998E-2</v>
      </c>
      <c r="Q175" s="106" t="s">
        <v>591</v>
      </c>
      <c r="R175" s="106" t="s">
        <v>554</v>
      </c>
      <c r="S175" s="105">
        <v>1</v>
      </c>
      <c r="T175" s="107">
        <v>6.3273999999999997E-2</v>
      </c>
      <c r="U175" s="130" t="s">
        <v>1914</v>
      </c>
      <c r="V175" t="s">
        <v>549</v>
      </c>
      <c r="W175" t="s">
        <v>541</v>
      </c>
      <c r="X175" t="s">
        <v>1477</v>
      </c>
      <c r="Y175" t="s">
        <v>625</v>
      </c>
      <c r="Z175">
        <v>521.28440000000001</v>
      </c>
      <c r="AA175" t="s">
        <v>626</v>
      </c>
      <c r="AB175">
        <v>554.78970000000004</v>
      </c>
      <c r="AC175">
        <v>6.4274382463257951E-2</v>
      </c>
      <c r="AD175" t="s">
        <v>591</v>
      </c>
      <c r="AE175" t="s">
        <v>554</v>
      </c>
      <c r="AF175">
        <v>6.3273999999999997E-2</v>
      </c>
      <c r="AG175" t="str">
        <f>IF($A175="","",IFERROR(INDEX(Company_List!$G$3:$G$207,MATCH($A175,Company_List!$A$3:$A$207,0)),"unassigned"))</f>
        <v>both</v>
      </c>
      <c r="AH175" t="s">
        <v>1993</v>
      </c>
      <c r="AI175" t="s">
        <v>1994</v>
      </c>
      <c r="AJ175" t="s">
        <v>754</v>
      </c>
      <c r="AK175" t="str">
        <f>IF($A175="","",IF(COUNTIFS(Human_Data_Entry!$A$3:$A$525,$A175)&gt;0,"YES","NO"))</f>
        <v>YES</v>
      </c>
      <c r="AL175" t="str">
        <f>IF($A175="","",IF(AND($C175&amp;"-"&amp;$D175&gt;=Settings!$B$19,$C175&amp;"-"&amp;$D175&lt;=Settings!$B$20),"IN","OUT"))</f>
        <v>IN</v>
      </c>
      <c r="AM175">
        <f t="shared" si="8"/>
        <v>6.3273999999999997E-2</v>
      </c>
      <c r="AN175">
        <f t="shared" si="9"/>
        <v>6.3273999999999997E-2</v>
      </c>
      <c r="AO175">
        <f>IF(ISNUMBER($AM175),ABS(IF(ISNUMBER($G175),$G175,0)-Settings!$B$25),"")</f>
        <v>0.3</v>
      </c>
      <c r="AP175">
        <f t="shared" si="10"/>
        <v>1.8982199999999998E-2</v>
      </c>
      <c r="AQ175">
        <f>IF(ISNUMBER($AN175),ABS(IF(ISNUMBER($G175),$G175,0)-Settings!$B$25),"")</f>
        <v>0.3</v>
      </c>
      <c r="AR175">
        <f t="shared" si="11"/>
        <v>1.8982199999999998E-2</v>
      </c>
      <c r="AS175" t="str">
        <f>IF($A175="","",IFERROR(INDEX(Company_List!$H$3:$H$207,MATCH($A175,Company_List!$A$3:$A$207,0)),"unassigned"))</f>
        <v>Industrials</v>
      </c>
      <c r="AT175" t="s">
        <v>1924</v>
      </c>
      <c r="AU175" t="s">
        <v>1925</v>
      </c>
      <c r="AV175">
        <v>2</v>
      </c>
      <c r="AW175" t="s">
        <v>561</v>
      </c>
      <c r="AX175" t="s">
        <v>561</v>
      </c>
      <c r="AY175" t="s">
        <v>550</v>
      </c>
      <c r="AZ175" t="s">
        <v>562</v>
      </c>
      <c r="BA175" t="s">
        <v>554</v>
      </c>
    </row>
    <row r="176" spans="1:54" x14ac:dyDescent="0.2">
      <c r="A176" s="115" t="s">
        <v>1475</v>
      </c>
      <c r="B176" s="117" t="s">
        <v>1477</v>
      </c>
      <c r="C176" s="105">
        <v>2025</v>
      </c>
      <c r="D176" s="106" t="s">
        <v>569</v>
      </c>
      <c r="E176" s="109" t="s">
        <v>1911</v>
      </c>
      <c r="F176" s="106" t="s">
        <v>1912</v>
      </c>
      <c r="G176" s="128">
        <v>0.27750000000000002</v>
      </c>
      <c r="H176" s="106" t="s">
        <v>1919</v>
      </c>
      <c r="I176" s="128"/>
      <c r="J176" s="125">
        <v>46051</v>
      </c>
      <c r="K176" s="126">
        <v>46050</v>
      </c>
      <c r="L176" s="129">
        <v>643.28</v>
      </c>
      <c r="M176" s="126">
        <v>46051</v>
      </c>
      <c r="N176" s="129">
        <v>655.16999999999996</v>
      </c>
      <c r="O176" s="132">
        <v>9.6950000000000005E-3</v>
      </c>
      <c r="P176" s="107">
        <v>1.8482999999999999E-2</v>
      </c>
      <c r="Q176" s="106" t="s">
        <v>579</v>
      </c>
      <c r="R176" s="106" t="s">
        <v>546</v>
      </c>
      <c r="S176" s="105">
        <v>1</v>
      </c>
      <c r="T176" s="107">
        <v>1.7482999999999999E-2</v>
      </c>
      <c r="U176" s="130" t="s">
        <v>1914</v>
      </c>
      <c r="V176" t="s">
        <v>549</v>
      </c>
      <c r="W176" t="s">
        <v>807</v>
      </c>
      <c r="X176" t="s">
        <v>1477</v>
      </c>
      <c r="Y176" t="s">
        <v>776</v>
      </c>
      <c r="Z176">
        <v>640.86879999999996</v>
      </c>
      <c r="AA176" t="s">
        <v>694</v>
      </c>
      <c r="AB176">
        <v>652.71420000000001</v>
      </c>
      <c r="AC176">
        <v>1.8483385450332641E-2</v>
      </c>
      <c r="AD176" t="s">
        <v>579</v>
      </c>
      <c r="AE176" t="s">
        <v>546</v>
      </c>
      <c r="AF176">
        <v>1.7482999999999999E-2</v>
      </c>
      <c r="AG176" t="str">
        <f>IF($A176="","",IFERROR(INDEX(Company_List!$G$3:$G$207,MATCH($A176,Company_List!$A$3:$A$207,0)),"unassigned"))</f>
        <v>both</v>
      </c>
      <c r="AH176" t="s">
        <v>1995</v>
      </c>
      <c r="AI176" t="s">
        <v>1996</v>
      </c>
      <c r="AJ176" t="s">
        <v>754</v>
      </c>
      <c r="AK176" t="str">
        <f>IF($A176="","",IF(COUNTIFS(Human_Data_Entry!$A$3:$A$525,$A176)&gt;0,"YES","NO"))</f>
        <v>YES</v>
      </c>
      <c r="AL176" t="str">
        <f>IF($A176="","",IF(AND($C176&amp;"-"&amp;$D176&gt;=Settings!$B$19,$C176&amp;"-"&amp;$D176&lt;=Settings!$B$20),"IN","OUT"))</f>
        <v>IN</v>
      </c>
      <c r="AM176">
        <f t="shared" si="8"/>
        <v>1.7482999999999999E-2</v>
      </c>
      <c r="AN176">
        <f t="shared" si="9"/>
        <v>1.7482999999999999E-2</v>
      </c>
      <c r="AO176">
        <f>IF(ISNUMBER($AM176),ABS(IF(ISNUMBER($G176),$G176,0)-Settings!$B$25),"")</f>
        <v>0.27750000000000002</v>
      </c>
      <c r="AP176">
        <f t="shared" si="10"/>
        <v>4.8515325000000002E-3</v>
      </c>
      <c r="AQ176">
        <f>IF(ISNUMBER($AN176),ABS(IF(ISNUMBER($G176),$G176,0)-Settings!$B$25),"")</f>
        <v>0.27750000000000002</v>
      </c>
      <c r="AR176">
        <f t="shared" si="11"/>
        <v>4.8515325000000002E-3</v>
      </c>
      <c r="AS176" t="str">
        <f>IF($A176="","",IFERROR(INDEX(Company_List!$H$3:$H$207,MATCH($A176,Company_List!$A$3:$A$207,0)),"unassigned"))</f>
        <v>Industrials</v>
      </c>
      <c r="AT176" t="s">
        <v>1924</v>
      </c>
      <c r="AU176" t="s">
        <v>1925</v>
      </c>
      <c r="AV176">
        <v>2</v>
      </c>
      <c r="AW176" t="s">
        <v>595</v>
      </c>
      <c r="AX176" t="s">
        <v>596</v>
      </c>
      <c r="AY176" t="s">
        <v>550</v>
      </c>
      <c r="AZ176" t="s">
        <v>562</v>
      </c>
      <c r="BA176" t="s">
        <v>554</v>
      </c>
    </row>
    <row r="177" spans="1:53" x14ac:dyDescent="0.2">
      <c r="A177" s="115" t="s">
        <v>1207</v>
      </c>
      <c r="B177" s="117" t="s">
        <v>1208</v>
      </c>
      <c r="C177" s="105">
        <v>2025</v>
      </c>
      <c r="D177" s="106" t="s">
        <v>537</v>
      </c>
      <c r="E177" s="109" t="s">
        <v>1911</v>
      </c>
      <c r="F177" s="106" t="s">
        <v>1912</v>
      </c>
      <c r="G177" s="128">
        <v>-0.32750000000000001</v>
      </c>
      <c r="H177" s="106" t="s">
        <v>1923</v>
      </c>
      <c r="I177" s="128"/>
      <c r="J177" s="125">
        <v>45770</v>
      </c>
      <c r="K177" s="126">
        <v>45770</v>
      </c>
      <c r="L177" s="129">
        <v>48.76</v>
      </c>
      <c r="M177" s="126">
        <v>45771</v>
      </c>
      <c r="N177" s="129">
        <v>49.2</v>
      </c>
      <c r="O177" s="132">
        <v>8.1630000000000001E-3</v>
      </c>
      <c r="P177" s="107">
        <v>9.023999999999999E-3</v>
      </c>
      <c r="Q177" s="106" t="s">
        <v>579</v>
      </c>
      <c r="R177" s="106" t="s">
        <v>546</v>
      </c>
      <c r="S177" s="105">
        <v>-1</v>
      </c>
      <c r="T177" s="107">
        <v>-1.0024E-2</v>
      </c>
      <c r="U177" s="130" t="s">
        <v>1914</v>
      </c>
      <c r="V177" t="s">
        <v>549</v>
      </c>
      <c r="W177" t="s">
        <v>612</v>
      </c>
      <c r="X177" t="s">
        <v>1208</v>
      </c>
      <c r="Y177" t="s">
        <v>614</v>
      </c>
      <c r="Z177">
        <v>47.1</v>
      </c>
      <c r="AA177" t="s">
        <v>615</v>
      </c>
      <c r="AB177">
        <v>48.87</v>
      </c>
      <c r="AC177">
        <v>3.7579640661555877E-2</v>
      </c>
      <c r="AD177" t="s">
        <v>591</v>
      </c>
      <c r="AE177" t="s">
        <v>546</v>
      </c>
      <c r="AF177">
        <v>-3.8580000000000003E-2</v>
      </c>
      <c r="AG177" t="str">
        <f>IF($A177="","",IFERROR(INDEX(Company_List!$G$3:$G$207,MATCH($A177,Company_List!$A$3:$A$207,0)),"unassigned"))</f>
        <v>P3</v>
      </c>
      <c r="AH177" t="s">
        <v>1214</v>
      </c>
      <c r="AI177" t="s">
        <v>1215</v>
      </c>
      <c r="AJ177" t="s">
        <v>560</v>
      </c>
      <c r="AK177" t="str">
        <f>IF($A177="","",IF(COUNTIFS(Human_Data_Entry!$A$3:$A$525,$A177)&gt;0,"YES","NO"))</f>
        <v>YES</v>
      </c>
      <c r="AL177" t="str">
        <f>IF($A177="","",IF(AND($C177&amp;"-"&amp;$D177&gt;=Settings!$B$19,$C177&amp;"-"&amp;$D177&lt;=Settings!$B$20),"IN","OUT"))</f>
        <v>IN</v>
      </c>
      <c r="AM177">
        <f t="shared" si="8"/>
        <v>-1.0024E-2</v>
      </c>
      <c r="AN177">
        <f t="shared" si="9"/>
        <v>-3.8580000000000003E-2</v>
      </c>
      <c r="AO177">
        <f>IF(ISNUMBER($AM177),ABS(IF(ISNUMBER($G177),$G177,0)-Settings!$B$25),"")</f>
        <v>0.32750000000000001</v>
      </c>
      <c r="AP177">
        <f t="shared" si="10"/>
        <v>-3.2828600000000003E-3</v>
      </c>
      <c r="AQ177">
        <f>IF(ISNUMBER($AN177),ABS(IF(ISNUMBER($G177),$G177,0)-Settings!$B$25),"")</f>
        <v>0.32750000000000001</v>
      </c>
      <c r="AR177">
        <f t="shared" si="11"/>
        <v>-1.2634950000000001E-2</v>
      </c>
      <c r="AS177" t="str">
        <f>IF($A177="","",IFERROR(INDEX(Company_List!$H$3:$H$207,MATCH($A177,Company_List!$A$3:$A$207,0)),"unassigned"))</f>
        <v>Consumer Discretionary</v>
      </c>
      <c r="AT177" t="s">
        <v>1924</v>
      </c>
      <c r="AU177" t="s">
        <v>1925</v>
      </c>
      <c r="AV177">
        <v>1</v>
      </c>
      <c r="AW177" t="s">
        <v>561</v>
      </c>
      <c r="AX177" t="s">
        <v>561</v>
      </c>
      <c r="AY177" t="s">
        <v>550</v>
      </c>
      <c r="AZ177" t="s">
        <v>562</v>
      </c>
      <c r="BA177" t="s">
        <v>554</v>
      </c>
    </row>
    <row r="178" spans="1:53" x14ac:dyDescent="0.2">
      <c r="A178" s="115" t="s">
        <v>1207</v>
      </c>
      <c r="B178" s="117" t="s">
        <v>1208</v>
      </c>
      <c r="C178" s="105">
        <v>2025</v>
      </c>
      <c r="D178" s="106" t="s">
        <v>555</v>
      </c>
      <c r="E178" s="109" t="s">
        <v>1911</v>
      </c>
      <c r="F178" s="106" t="s">
        <v>1912</v>
      </c>
      <c r="G178" s="128">
        <v>-0.14749999999999999</v>
      </c>
      <c r="H178" s="106" t="s">
        <v>1923</v>
      </c>
      <c r="I178" s="128"/>
      <c r="J178" s="125">
        <v>45861</v>
      </c>
      <c r="K178" s="126">
        <v>45861</v>
      </c>
      <c r="L178" s="129">
        <v>52.78</v>
      </c>
      <c r="M178" s="126">
        <v>45862</v>
      </c>
      <c r="N178" s="129">
        <v>46.2</v>
      </c>
      <c r="O178" s="132">
        <v>8.9809999999999994E-3</v>
      </c>
      <c r="P178" s="107">
        <v>-0.124668</v>
      </c>
      <c r="Q178" s="106" t="s">
        <v>545</v>
      </c>
      <c r="R178" s="106" t="s">
        <v>554</v>
      </c>
      <c r="S178" s="105">
        <v>-1</v>
      </c>
      <c r="T178" s="107">
        <v>0.123668</v>
      </c>
      <c r="U178" s="130" t="s">
        <v>1914</v>
      </c>
      <c r="V178" t="s">
        <v>549</v>
      </c>
      <c r="W178" t="s">
        <v>541</v>
      </c>
      <c r="X178" t="s">
        <v>1208</v>
      </c>
      <c r="Y178" t="s">
        <v>772</v>
      </c>
      <c r="Z178">
        <v>52.78</v>
      </c>
      <c r="AA178" t="s">
        <v>773</v>
      </c>
      <c r="AB178">
        <v>46.2</v>
      </c>
      <c r="AC178">
        <v>-0.12466839948216001</v>
      </c>
      <c r="AD178" t="s">
        <v>545</v>
      </c>
      <c r="AE178" t="s">
        <v>554</v>
      </c>
      <c r="AF178">
        <v>0.123668</v>
      </c>
      <c r="AG178" t="str">
        <f>IF($A178="","",IFERROR(INDEX(Company_List!$G$3:$G$207,MATCH($A178,Company_List!$A$3:$A$207,0)),"unassigned"))</f>
        <v>P3</v>
      </c>
      <c r="AH178" t="s">
        <v>1212</v>
      </c>
      <c r="AI178" t="s">
        <v>1213</v>
      </c>
      <c r="AJ178" t="s">
        <v>560</v>
      </c>
      <c r="AK178" t="str">
        <f>IF($A178="","",IF(COUNTIFS(Human_Data_Entry!$A$3:$A$525,$A178)&gt;0,"YES","NO"))</f>
        <v>YES</v>
      </c>
      <c r="AL178" t="str">
        <f>IF($A178="","",IF(AND($C178&amp;"-"&amp;$D178&gt;=Settings!$B$19,$C178&amp;"-"&amp;$D178&lt;=Settings!$B$20),"IN","OUT"))</f>
        <v>IN</v>
      </c>
      <c r="AM178">
        <f t="shared" si="8"/>
        <v>0.123668</v>
      </c>
      <c r="AN178">
        <f t="shared" si="9"/>
        <v>0.123668</v>
      </c>
      <c r="AO178">
        <f>IF(ISNUMBER($AM178),ABS(IF(ISNUMBER($G178),$G178,0)-Settings!$B$25),"")</f>
        <v>0.14749999999999999</v>
      </c>
      <c r="AP178">
        <f t="shared" si="10"/>
        <v>1.8241029999999998E-2</v>
      </c>
      <c r="AQ178">
        <f>IF(ISNUMBER($AN178),ABS(IF(ISNUMBER($G178),$G178,0)-Settings!$B$25),"")</f>
        <v>0.14749999999999999</v>
      </c>
      <c r="AR178">
        <f t="shared" si="11"/>
        <v>1.8241029999999998E-2</v>
      </c>
      <c r="AS178" t="str">
        <f>IF($A178="","",IFERROR(INDEX(Company_List!$H$3:$H$207,MATCH($A178,Company_List!$A$3:$A$207,0)),"unassigned"))</f>
        <v>Consumer Discretionary</v>
      </c>
      <c r="AT178" t="s">
        <v>1924</v>
      </c>
      <c r="AU178" t="s">
        <v>1925</v>
      </c>
      <c r="AV178">
        <v>1</v>
      </c>
      <c r="AW178" t="s">
        <v>561</v>
      </c>
      <c r="AX178" t="s">
        <v>561</v>
      </c>
      <c r="AY178" t="s">
        <v>550</v>
      </c>
      <c r="AZ178" t="s">
        <v>562</v>
      </c>
      <c r="BA178" t="s">
        <v>554</v>
      </c>
    </row>
    <row r="179" spans="1:53" x14ac:dyDescent="0.2">
      <c r="A179" s="115" t="s">
        <v>1207</v>
      </c>
      <c r="B179" s="117" t="s">
        <v>1208</v>
      </c>
      <c r="C179" s="105">
        <v>2025</v>
      </c>
      <c r="D179" s="106" t="s">
        <v>563</v>
      </c>
      <c r="E179" s="109" t="s">
        <v>1911</v>
      </c>
      <c r="F179" s="106" t="s">
        <v>1912</v>
      </c>
      <c r="G179" s="128">
        <v>-0.14000000000000001</v>
      </c>
      <c r="H179" s="106" t="s">
        <v>1923</v>
      </c>
      <c r="I179" s="128"/>
      <c r="J179" s="125">
        <v>45959</v>
      </c>
      <c r="K179" s="126">
        <v>45959</v>
      </c>
      <c r="L179" s="129">
        <v>39.76</v>
      </c>
      <c r="M179" s="126">
        <v>45960</v>
      </c>
      <c r="N179" s="129">
        <v>31.27</v>
      </c>
      <c r="O179" s="132">
        <v>6.659E-3</v>
      </c>
      <c r="P179" s="107">
        <v>-0.213531</v>
      </c>
      <c r="Q179" s="106" t="s">
        <v>545</v>
      </c>
      <c r="R179" s="106" t="s">
        <v>554</v>
      </c>
      <c r="S179" s="105">
        <v>-1</v>
      </c>
      <c r="T179" s="107">
        <v>0.212531</v>
      </c>
      <c r="U179" s="130" t="s">
        <v>1914</v>
      </c>
      <c r="V179" t="s">
        <v>549</v>
      </c>
      <c r="W179" t="s">
        <v>685</v>
      </c>
      <c r="X179" t="s">
        <v>1208</v>
      </c>
      <c r="Y179" t="s">
        <v>626</v>
      </c>
      <c r="Z179">
        <v>39.76</v>
      </c>
      <c r="AA179" t="s">
        <v>660</v>
      </c>
      <c r="AB179">
        <v>31.27</v>
      </c>
      <c r="AC179">
        <v>-0.21353114756192901</v>
      </c>
      <c r="AD179" t="s">
        <v>545</v>
      </c>
      <c r="AE179" t="s">
        <v>554</v>
      </c>
      <c r="AF179">
        <v>0.212531</v>
      </c>
      <c r="AG179" t="str">
        <f>IF($A179="","",IFERROR(INDEX(Company_List!$G$3:$G$207,MATCH($A179,Company_List!$A$3:$A$207,0)),"unassigned"))</f>
        <v>P3</v>
      </c>
      <c r="AH179" t="s">
        <v>1210</v>
      </c>
      <c r="AI179" t="s">
        <v>1211</v>
      </c>
      <c r="AJ179" t="s">
        <v>560</v>
      </c>
      <c r="AK179" t="str">
        <f>IF($A179="","",IF(COUNTIFS(Human_Data_Entry!$A$3:$A$525,$A179)&gt;0,"YES","NO"))</f>
        <v>YES</v>
      </c>
      <c r="AL179" t="str">
        <f>IF($A179="","",IF(AND($C179&amp;"-"&amp;$D179&gt;=Settings!$B$19,$C179&amp;"-"&amp;$D179&lt;=Settings!$B$20),"IN","OUT"))</f>
        <v>IN</v>
      </c>
      <c r="AM179">
        <f t="shared" si="8"/>
        <v>0.212531</v>
      </c>
      <c r="AN179">
        <f t="shared" si="9"/>
        <v>0.212531</v>
      </c>
      <c r="AO179">
        <f>IF(ISNUMBER($AM179),ABS(IF(ISNUMBER($G179),$G179,0)-Settings!$B$25),"")</f>
        <v>0.14000000000000001</v>
      </c>
      <c r="AP179">
        <f t="shared" si="10"/>
        <v>2.9754340000000004E-2</v>
      </c>
      <c r="AQ179">
        <f>IF(ISNUMBER($AN179),ABS(IF(ISNUMBER($G179),$G179,0)-Settings!$B$25),"")</f>
        <v>0.14000000000000001</v>
      </c>
      <c r="AR179">
        <f t="shared" si="11"/>
        <v>2.9754340000000004E-2</v>
      </c>
      <c r="AS179" t="str">
        <f>IF($A179="","",IFERROR(INDEX(Company_List!$H$3:$H$207,MATCH($A179,Company_List!$A$3:$A$207,0)),"unassigned"))</f>
        <v>Consumer Discretionary</v>
      </c>
      <c r="AT179" t="s">
        <v>1924</v>
      </c>
      <c r="AU179" t="s">
        <v>1925</v>
      </c>
      <c r="AV179">
        <v>1</v>
      </c>
      <c r="AW179" t="s">
        <v>561</v>
      </c>
      <c r="AX179" t="s">
        <v>561</v>
      </c>
      <c r="AY179" t="s">
        <v>550</v>
      </c>
      <c r="AZ179" t="s">
        <v>562</v>
      </c>
      <c r="BA179" t="s">
        <v>554</v>
      </c>
    </row>
    <row r="180" spans="1:53" x14ac:dyDescent="0.2">
      <c r="A180" s="115" t="s">
        <v>1207</v>
      </c>
      <c r="B180" s="117" t="s">
        <v>1208</v>
      </c>
      <c r="C180" s="105">
        <v>2025</v>
      </c>
      <c r="D180" s="106" t="s">
        <v>569</v>
      </c>
      <c r="E180" s="109" t="s">
        <v>1911</v>
      </c>
      <c r="F180" s="106" t="s">
        <v>1912</v>
      </c>
      <c r="G180" s="128">
        <v>2.5000000000000001E-3</v>
      </c>
      <c r="H180" s="106" t="s">
        <v>1913</v>
      </c>
      <c r="I180" s="128"/>
      <c r="J180" s="125">
        <v>46056</v>
      </c>
      <c r="K180" s="126">
        <v>46056</v>
      </c>
      <c r="L180" s="129">
        <v>39.17</v>
      </c>
      <c r="M180" s="126">
        <v>46057</v>
      </c>
      <c r="N180" s="129">
        <v>37.72</v>
      </c>
      <c r="O180" s="132">
        <v>9.3080000000000003E-3</v>
      </c>
      <c r="P180" s="107">
        <v>-3.7018000000000002E-2</v>
      </c>
      <c r="Q180" s="106" t="s">
        <v>545</v>
      </c>
      <c r="R180" s="106" t="s">
        <v>546</v>
      </c>
      <c r="S180" s="105">
        <v>0</v>
      </c>
      <c r="T180" s="107">
        <v>0</v>
      </c>
      <c r="U180" s="130" t="s">
        <v>1914</v>
      </c>
      <c r="V180" t="s">
        <v>549</v>
      </c>
      <c r="W180" t="s">
        <v>541</v>
      </c>
      <c r="X180" t="s">
        <v>1208</v>
      </c>
      <c r="Y180" t="s">
        <v>736</v>
      </c>
      <c r="Z180">
        <v>39.17</v>
      </c>
      <c r="AA180" t="s">
        <v>737</v>
      </c>
      <c r="AB180">
        <v>37.72</v>
      </c>
      <c r="AC180">
        <v>-3.7018051417822287E-2</v>
      </c>
      <c r="AD180" t="s">
        <v>545</v>
      </c>
      <c r="AE180" t="s">
        <v>546</v>
      </c>
      <c r="AF180">
        <v>0</v>
      </c>
      <c r="AG180" t="str">
        <f>IF($A180="","",IFERROR(INDEX(Company_List!$G$3:$G$207,MATCH($A180,Company_List!$A$3:$A$207,0)),"unassigned"))</f>
        <v>P3</v>
      </c>
      <c r="AH180" t="s">
        <v>1209</v>
      </c>
      <c r="AJ180" t="s">
        <v>548</v>
      </c>
      <c r="AK180" t="str">
        <f>IF($A180="","",IF(COUNTIFS(Human_Data_Entry!$A$3:$A$525,$A180)&gt;0,"YES","NO"))</f>
        <v>YES</v>
      </c>
      <c r="AL180" t="str">
        <f>IF($A180="","",IF(AND($C180&amp;"-"&amp;$D180&gt;=Settings!$B$19,$C180&amp;"-"&amp;$D180&lt;=Settings!$B$20),"IN","OUT"))</f>
        <v>IN</v>
      </c>
      <c r="AM180" t="str">
        <f t="shared" si="8"/>
        <v/>
      </c>
      <c r="AN180" t="str">
        <f t="shared" si="9"/>
        <v/>
      </c>
      <c r="AO180" t="str">
        <f>IF(ISNUMBER($AM180),ABS(IF(ISNUMBER($G180),$G180,0)-Settings!$B$25),"")</f>
        <v/>
      </c>
      <c r="AP180" t="str">
        <f t="shared" si="10"/>
        <v/>
      </c>
      <c r="AQ180" t="str">
        <f>IF(ISNUMBER($AN180),ABS(IF(ISNUMBER($G180),$G180,0)-Settings!$B$25),"")</f>
        <v/>
      </c>
      <c r="AR180" t="str">
        <f t="shared" si="11"/>
        <v/>
      </c>
      <c r="AS180" t="str">
        <f>IF($A180="","",IFERROR(INDEX(Company_List!$H$3:$H$207,MATCH($A180,Company_List!$A$3:$A$207,0)),"unassigned"))</f>
        <v>Consumer Discretionary</v>
      </c>
      <c r="AT180" t="s">
        <v>1924</v>
      </c>
      <c r="AU180" t="s">
        <v>1925</v>
      </c>
      <c r="AV180">
        <v>1</v>
      </c>
      <c r="AW180" t="s">
        <v>561</v>
      </c>
      <c r="AX180" t="s">
        <v>561</v>
      </c>
      <c r="AY180" t="s">
        <v>550</v>
      </c>
      <c r="AZ180" t="s">
        <v>550</v>
      </c>
      <c r="BA180" t="s">
        <v>554</v>
      </c>
    </row>
    <row r="181" spans="1:53" x14ac:dyDescent="0.2">
      <c r="A181" s="115" t="s">
        <v>1129</v>
      </c>
      <c r="B181" s="117" t="s">
        <v>1130</v>
      </c>
      <c r="C181" s="105">
        <v>2025</v>
      </c>
      <c r="D181" s="106" t="s">
        <v>537</v>
      </c>
      <c r="E181" s="109" t="s">
        <v>1911</v>
      </c>
      <c r="F181" s="106" t="s">
        <v>1912</v>
      </c>
      <c r="G181" s="128">
        <v>-0.245</v>
      </c>
      <c r="H181" s="106" t="s">
        <v>1923</v>
      </c>
      <c r="I181" s="128"/>
      <c r="J181" s="125">
        <v>45771</v>
      </c>
      <c r="K181" s="126">
        <v>45770</v>
      </c>
      <c r="L181" s="129">
        <v>32.305500000000002</v>
      </c>
      <c r="M181" s="126">
        <v>45771</v>
      </c>
      <c r="N181" s="129">
        <v>29.97</v>
      </c>
      <c r="O181" s="132">
        <v>1.0085E-2</v>
      </c>
      <c r="P181" s="107">
        <v>-7.2236999999999996E-2</v>
      </c>
      <c r="Q181" s="106" t="s">
        <v>545</v>
      </c>
      <c r="R181" s="106" t="s">
        <v>554</v>
      </c>
      <c r="S181" s="105">
        <v>-1</v>
      </c>
      <c r="T181" s="107">
        <v>7.1236999999999995E-2</v>
      </c>
      <c r="U181" s="130" t="s">
        <v>1914</v>
      </c>
      <c r="V181" t="s">
        <v>549</v>
      </c>
      <c r="W181" t="s">
        <v>835</v>
      </c>
      <c r="X181" t="s">
        <v>1130</v>
      </c>
      <c r="Y181" t="s">
        <v>615</v>
      </c>
      <c r="Z181">
        <v>30.532900000000001</v>
      </c>
      <c r="AA181" t="s">
        <v>1131</v>
      </c>
      <c r="AB181">
        <v>28.327300000000001</v>
      </c>
      <c r="AC181">
        <v>-7.2236817020277663E-2</v>
      </c>
      <c r="AD181" t="s">
        <v>545</v>
      </c>
      <c r="AE181" t="s">
        <v>554</v>
      </c>
      <c r="AF181">
        <v>7.1236999999999995E-2</v>
      </c>
      <c r="AG181" t="str">
        <f>IF($A181="","",IFERROR(INDEX(Company_List!$G$3:$G$207,MATCH($A181,Company_List!$A$3:$A$207,0)),"unassigned"))</f>
        <v>P3</v>
      </c>
      <c r="AH181" t="s">
        <v>1132</v>
      </c>
      <c r="AJ181" t="s">
        <v>548</v>
      </c>
      <c r="AK181" t="str">
        <f>IF($A181="","",IF(COUNTIFS(Human_Data_Entry!$A$3:$A$525,$A181)&gt;0,"YES","NO"))</f>
        <v>YES</v>
      </c>
      <c r="AL181" t="str">
        <f>IF($A181="","",IF(AND($C181&amp;"-"&amp;$D181&gt;=Settings!$B$19,$C181&amp;"-"&amp;$D181&lt;=Settings!$B$20),"IN","OUT"))</f>
        <v>IN</v>
      </c>
      <c r="AM181">
        <f t="shared" si="8"/>
        <v>7.1236999999999995E-2</v>
      </c>
      <c r="AN181">
        <f t="shared" si="9"/>
        <v>7.1236999999999995E-2</v>
      </c>
      <c r="AO181">
        <f>IF(ISNUMBER($AM181),ABS(IF(ISNUMBER($G181),$G181,0)-Settings!$B$25),"")</f>
        <v>0.245</v>
      </c>
      <c r="AP181">
        <f t="shared" si="10"/>
        <v>1.7453064999999997E-2</v>
      </c>
      <c r="AQ181">
        <f>IF(ISNUMBER($AN181),ABS(IF(ISNUMBER($G181),$G181,0)-Settings!$B$25),"")</f>
        <v>0.245</v>
      </c>
      <c r="AR181">
        <f t="shared" si="11"/>
        <v>1.7453064999999997E-2</v>
      </c>
      <c r="AS181" t="str">
        <f>IF($A181="","",IFERROR(INDEX(Company_List!$H$3:$H$207,MATCH($A181,Company_List!$A$3:$A$207,0)),"unassigned"))</f>
        <v>Communication Services</v>
      </c>
      <c r="AT181" t="s">
        <v>1924</v>
      </c>
      <c r="AU181" t="s">
        <v>1925</v>
      </c>
      <c r="AV181">
        <v>1</v>
      </c>
      <c r="AW181" t="s">
        <v>788</v>
      </c>
      <c r="AX181" t="s">
        <v>553</v>
      </c>
      <c r="AY181" t="s">
        <v>550</v>
      </c>
      <c r="AZ181" t="s">
        <v>550</v>
      </c>
      <c r="BA181" t="s">
        <v>554</v>
      </c>
    </row>
    <row r="182" spans="1:53" x14ac:dyDescent="0.2">
      <c r="A182" s="115" t="s">
        <v>1129</v>
      </c>
      <c r="B182" s="117" t="s">
        <v>1130</v>
      </c>
      <c r="C182" s="105">
        <v>2026</v>
      </c>
      <c r="D182" s="106" t="s">
        <v>537</v>
      </c>
      <c r="E182" s="109" t="s">
        <v>1911</v>
      </c>
      <c r="F182" s="106" t="s">
        <v>1912</v>
      </c>
      <c r="G182" s="128">
        <v>2.5000000000000001E-3</v>
      </c>
      <c r="H182" s="106" t="s">
        <v>1913</v>
      </c>
      <c r="I182" s="128"/>
      <c r="J182" s="125">
        <v>46135</v>
      </c>
      <c r="K182" s="126">
        <v>46134</v>
      </c>
      <c r="L182" s="129">
        <v>29.37</v>
      </c>
      <c r="M182" s="126">
        <v>46135</v>
      </c>
      <c r="N182" s="129">
        <v>30.5</v>
      </c>
      <c r="O182" s="132">
        <v>1.0047E-2</v>
      </c>
      <c r="P182" s="107">
        <v>3.8475000000000002E-2</v>
      </c>
      <c r="Q182" s="106" t="s">
        <v>591</v>
      </c>
      <c r="R182" s="106" t="s">
        <v>546</v>
      </c>
      <c r="S182" s="105">
        <v>0</v>
      </c>
      <c r="T182" s="107">
        <v>0</v>
      </c>
      <c r="U182" s="130" t="s">
        <v>1914</v>
      </c>
      <c r="V182" t="s">
        <v>549</v>
      </c>
      <c r="W182" t="s">
        <v>835</v>
      </c>
      <c r="X182" t="s">
        <v>1130</v>
      </c>
      <c r="Y182" t="s">
        <v>779</v>
      </c>
      <c r="Z182">
        <v>28.975200000000001</v>
      </c>
      <c r="AA182" t="s">
        <v>780</v>
      </c>
      <c r="AB182">
        <v>30.09</v>
      </c>
      <c r="AC182">
        <v>3.8474607615808322E-2</v>
      </c>
      <c r="AD182" t="s">
        <v>591</v>
      </c>
      <c r="AE182" t="s">
        <v>546</v>
      </c>
      <c r="AF182">
        <v>0</v>
      </c>
      <c r="AG182" t="str">
        <f>IF($A182="","",IFERROR(INDEX(Company_List!$G$3:$G$207,MATCH($A182,Company_List!$A$3:$A$207,0)),"unassigned"))</f>
        <v>P3</v>
      </c>
      <c r="AH182" t="s">
        <v>1136</v>
      </c>
      <c r="AJ182" t="s">
        <v>548</v>
      </c>
      <c r="AK182" t="str">
        <f>IF($A182="","",IF(COUNTIFS(Human_Data_Entry!$A$3:$A$525,$A182)&gt;0,"YES","NO"))</f>
        <v>YES</v>
      </c>
      <c r="AL182" t="str">
        <f>IF($A182="","",IF(AND($C182&amp;"-"&amp;$D182&gt;=Settings!$B$19,$C182&amp;"-"&amp;$D182&lt;=Settings!$B$20),"IN","OUT"))</f>
        <v>IN</v>
      </c>
      <c r="AM182" t="str">
        <f t="shared" si="8"/>
        <v/>
      </c>
      <c r="AN182" t="str">
        <f t="shared" si="9"/>
        <v/>
      </c>
      <c r="AO182" t="str">
        <f>IF(ISNUMBER($AM182),ABS(IF(ISNUMBER($G182),$G182,0)-Settings!$B$25),"")</f>
        <v/>
      </c>
      <c r="AP182" t="str">
        <f t="shared" si="10"/>
        <v/>
      </c>
      <c r="AQ182" t="str">
        <f>IF(ISNUMBER($AN182),ABS(IF(ISNUMBER($G182),$G182,0)-Settings!$B$25),"")</f>
        <v/>
      </c>
      <c r="AR182" t="str">
        <f t="shared" si="11"/>
        <v/>
      </c>
      <c r="AS182" t="str">
        <f>IF($A182="","",IFERROR(INDEX(Company_List!$H$3:$H$207,MATCH($A182,Company_List!$A$3:$A$207,0)),"unassigned"))</f>
        <v>Communication Services</v>
      </c>
      <c r="AT182" t="s">
        <v>1924</v>
      </c>
      <c r="AU182" t="s">
        <v>1925</v>
      </c>
      <c r="AV182">
        <v>1</v>
      </c>
      <c r="AW182" t="s">
        <v>788</v>
      </c>
      <c r="AX182" t="s">
        <v>553</v>
      </c>
      <c r="AY182" t="s">
        <v>550</v>
      </c>
      <c r="AZ182" t="s">
        <v>550</v>
      </c>
      <c r="BA182" t="s">
        <v>554</v>
      </c>
    </row>
    <row r="183" spans="1:53" x14ac:dyDescent="0.2">
      <c r="A183" s="115" t="s">
        <v>1129</v>
      </c>
      <c r="B183" s="117" t="s">
        <v>1130</v>
      </c>
      <c r="C183" s="105">
        <v>2025</v>
      </c>
      <c r="D183" s="106" t="s">
        <v>555</v>
      </c>
      <c r="E183" s="109" t="s">
        <v>1911</v>
      </c>
      <c r="F183" s="106" t="s">
        <v>1912</v>
      </c>
      <c r="G183" s="128">
        <v>0.1</v>
      </c>
      <c r="H183" s="106" t="s">
        <v>1913</v>
      </c>
      <c r="I183" s="128"/>
      <c r="J183" s="125">
        <v>45869</v>
      </c>
      <c r="K183" s="126">
        <v>45868</v>
      </c>
      <c r="L183" s="129">
        <v>30.459199999999999</v>
      </c>
      <c r="M183" s="126">
        <v>45869</v>
      </c>
      <c r="N183" s="129">
        <v>31.86</v>
      </c>
      <c r="O183" s="132">
        <v>1.0375000000000001E-2</v>
      </c>
      <c r="P183" s="107">
        <v>4.5845999999999998E-2</v>
      </c>
      <c r="Q183" s="106" t="s">
        <v>591</v>
      </c>
      <c r="R183" s="106" t="s">
        <v>546</v>
      </c>
      <c r="S183" s="105">
        <v>0</v>
      </c>
      <c r="T183" s="107">
        <v>0</v>
      </c>
      <c r="U183" s="130" t="s">
        <v>1914</v>
      </c>
      <c r="V183" t="s">
        <v>549</v>
      </c>
      <c r="W183" t="s">
        <v>835</v>
      </c>
      <c r="X183" t="s">
        <v>1130</v>
      </c>
      <c r="Y183" t="s">
        <v>1001</v>
      </c>
      <c r="Z183">
        <v>29.0518</v>
      </c>
      <c r="AA183" t="s">
        <v>687</v>
      </c>
      <c r="AB183">
        <v>30.383800000000001</v>
      </c>
      <c r="AC183">
        <v>4.5846239370015217E-2</v>
      </c>
      <c r="AD183" t="s">
        <v>591</v>
      </c>
      <c r="AE183" t="s">
        <v>546</v>
      </c>
      <c r="AF183">
        <v>0</v>
      </c>
      <c r="AG183" t="str">
        <f>IF($A183="","",IFERROR(INDEX(Company_List!$G$3:$G$207,MATCH($A183,Company_List!$A$3:$A$207,0)),"unassigned"))</f>
        <v>P3</v>
      </c>
      <c r="AH183" t="s">
        <v>1133</v>
      </c>
      <c r="AJ183" t="s">
        <v>548</v>
      </c>
      <c r="AK183" t="str">
        <f>IF($A183="","",IF(COUNTIFS(Human_Data_Entry!$A$3:$A$525,$A183)&gt;0,"YES","NO"))</f>
        <v>YES</v>
      </c>
      <c r="AL183" t="str">
        <f>IF($A183="","",IF(AND($C183&amp;"-"&amp;$D183&gt;=Settings!$B$19,$C183&amp;"-"&amp;$D183&lt;=Settings!$B$20),"IN","OUT"))</f>
        <v>IN</v>
      </c>
      <c r="AM183" t="str">
        <f t="shared" si="8"/>
        <v/>
      </c>
      <c r="AN183" t="str">
        <f t="shared" si="9"/>
        <v/>
      </c>
      <c r="AO183" t="str">
        <f>IF(ISNUMBER($AM183),ABS(IF(ISNUMBER($G183),$G183,0)-Settings!$B$25),"")</f>
        <v/>
      </c>
      <c r="AP183" t="str">
        <f t="shared" si="10"/>
        <v/>
      </c>
      <c r="AQ183" t="str">
        <f>IF(ISNUMBER($AN183),ABS(IF(ISNUMBER($G183),$G183,0)-Settings!$B$25),"")</f>
        <v/>
      </c>
      <c r="AR183" t="str">
        <f t="shared" si="11"/>
        <v/>
      </c>
      <c r="AS183" t="str">
        <f>IF($A183="","",IFERROR(INDEX(Company_List!$H$3:$H$207,MATCH($A183,Company_List!$A$3:$A$207,0)),"unassigned"))</f>
        <v>Communication Services</v>
      </c>
      <c r="AT183" t="s">
        <v>1924</v>
      </c>
      <c r="AU183" t="s">
        <v>1925</v>
      </c>
      <c r="AV183">
        <v>1</v>
      </c>
      <c r="AW183" t="s">
        <v>788</v>
      </c>
      <c r="AX183" t="s">
        <v>553</v>
      </c>
      <c r="AY183" t="s">
        <v>550</v>
      </c>
      <c r="AZ183" t="s">
        <v>550</v>
      </c>
      <c r="BA183" t="s">
        <v>554</v>
      </c>
    </row>
    <row r="184" spans="1:53" x14ac:dyDescent="0.2">
      <c r="A184" s="115" t="s">
        <v>1129</v>
      </c>
      <c r="B184" s="117" t="s">
        <v>1130</v>
      </c>
      <c r="C184" s="105">
        <v>2025</v>
      </c>
      <c r="D184" s="106" t="s">
        <v>569</v>
      </c>
      <c r="E184" s="109" t="s">
        <v>1911</v>
      </c>
      <c r="F184" s="106" t="s">
        <v>1912</v>
      </c>
      <c r="G184" s="128">
        <v>-5.2499999999999998E-2</v>
      </c>
      <c r="H184" s="106" t="s">
        <v>1923</v>
      </c>
      <c r="I184" s="128"/>
      <c r="J184" s="125">
        <v>46051</v>
      </c>
      <c r="K184" s="126">
        <v>46050</v>
      </c>
      <c r="L184" s="129">
        <v>28.41</v>
      </c>
      <c r="M184" s="126">
        <v>46051</v>
      </c>
      <c r="N184" s="129">
        <v>27.63</v>
      </c>
      <c r="O184" s="132">
        <v>1.0751E-2</v>
      </c>
      <c r="P184" s="107">
        <v>-2.7455E-2</v>
      </c>
      <c r="Q184" s="106" t="s">
        <v>545</v>
      </c>
      <c r="R184" s="106" t="s">
        <v>554</v>
      </c>
      <c r="S184" s="105">
        <v>-1</v>
      </c>
      <c r="T184" s="107">
        <v>2.6454999999999999E-2</v>
      </c>
      <c r="U184" s="130" t="s">
        <v>1914</v>
      </c>
      <c r="V184" t="s">
        <v>549</v>
      </c>
      <c r="W184" t="s">
        <v>807</v>
      </c>
      <c r="X184" t="s">
        <v>1130</v>
      </c>
      <c r="Y184" t="s">
        <v>776</v>
      </c>
      <c r="Z184">
        <v>27.706</v>
      </c>
      <c r="AA184" t="s">
        <v>694</v>
      </c>
      <c r="AB184">
        <v>26.9453</v>
      </c>
      <c r="AC184">
        <v>-2.7455092972904091E-2</v>
      </c>
      <c r="AD184" t="s">
        <v>545</v>
      </c>
      <c r="AE184" t="s">
        <v>554</v>
      </c>
      <c r="AF184">
        <v>2.6454999999999999E-2</v>
      </c>
      <c r="AG184" t="str">
        <f>IF($A184="","",IFERROR(INDEX(Company_List!$G$3:$G$207,MATCH($A184,Company_List!$A$3:$A$207,0)),"unassigned"))</f>
        <v>P3</v>
      </c>
      <c r="AH184" t="s">
        <v>1997</v>
      </c>
      <c r="AI184" t="s">
        <v>1998</v>
      </c>
      <c r="AJ184" t="s">
        <v>754</v>
      </c>
      <c r="AK184" t="str">
        <f>IF($A184="","",IF(COUNTIFS(Human_Data_Entry!$A$3:$A$525,$A184)&gt;0,"YES","NO"))</f>
        <v>YES</v>
      </c>
      <c r="AL184" t="str">
        <f>IF($A184="","",IF(AND($C184&amp;"-"&amp;$D184&gt;=Settings!$B$19,$C184&amp;"-"&amp;$D184&lt;=Settings!$B$20),"IN","OUT"))</f>
        <v>IN</v>
      </c>
      <c r="AM184">
        <f t="shared" si="8"/>
        <v>2.6454999999999999E-2</v>
      </c>
      <c r="AN184">
        <f t="shared" si="9"/>
        <v>2.6454999999999999E-2</v>
      </c>
      <c r="AO184">
        <f>IF(ISNUMBER($AM184),ABS(IF(ISNUMBER($G184),$G184,0)-Settings!$B$25),"")</f>
        <v>5.2499999999999998E-2</v>
      </c>
      <c r="AP184">
        <f t="shared" si="10"/>
        <v>1.3888874999999998E-3</v>
      </c>
      <c r="AQ184">
        <f>IF(ISNUMBER($AN184),ABS(IF(ISNUMBER($G184),$G184,0)-Settings!$B$25),"")</f>
        <v>5.2499999999999998E-2</v>
      </c>
      <c r="AR184">
        <f t="shared" si="11"/>
        <v>1.3888874999999998E-3</v>
      </c>
      <c r="AS184" t="str">
        <f>IF($A184="","",IFERROR(INDEX(Company_List!$H$3:$H$207,MATCH($A184,Company_List!$A$3:$A$207,0)),"unassigned"))</f>
        <v>Communication Services</v>
      </c>
      <c r="AT184" t="s">
        <v>1924</v>
      </c>
      <c r="AU184" t="s">
        <v>1925</v>
      </c>
      <c r="AV184">
        <v>2</v>
      </c>
      <c r="AW184" t="s">
        <v>595</v>
      </c>
      <c r="AX184" t="s">
        <v>596</v>
      </c>
      <c r="AY184" t="s">
        <v>550</v>
      </c>
      <c r="AZ184" t="s">
        <v>562</v>
      </c>
      <c r="BA184" t="s">
        <v>554</v>
      </c>
    </row>
    <row r="185" spans="1:53" x14ac:dyDescent="0.2">
      <c r="A185" s="115" t="s">
        <v>1304</v>
      </c>
      <c r="B185" s="117" t="s">
        <v>1999</v>
      </c>
      <c r="C185" s="105">
        <v>2025</v>
      </c>
      <c r="D185" s="106" t="s">
        <v>537</v>
      </c>
      <c r="E185" s="109" t="s">
        <v>1911</v>
      </c>
      <c r="F185" s="106" t="s">
        <v>1912</v>
      </c>
      <c r="G185" s="128">
        <v>-0.06</v>
      </c>
      <c r="H185" s="106" t="s">
        <v>1923</v>
      </c>
      <c r="I185" s="128"/>
      <c r="J185" s="125">
        <v>45806</v>
      </c>
      <c r="K185" s="126">
        <v>45806</v>
      </c>
      <c r="L185" s="129">
        <v>113.63</v>
      </c>
      <c r="M185" s="126">
        <v>45807</v>
      </c>
      <c r="N185" s="129">
        <v>112.48</v>
      </c>
      <c r="O185" s="132">
        <v>8.0549999999999997E-3</v>
      </c>
      <c r="P185" s="107">
        <v>-1.0121E-2</v>
      </c>
      <c r="Q185" s="106" t="s">
        <v>579</v>
      </c>
      <c r="R185" s="106" t="s">
        <v>546</v>
      </c>
      <c r="S185" s="105">
        <v>-1</v>
      </c>
      <c r="T185" s="107">
        <v>9.1210000000000006E-3</v>
      </c>
      <c r="U185" s="130" t="s">
        <v>1914</v>
      </c>
      <c r="V185" t="s">
        <v>549</v>
      </c>
      <c r="W185" t="s">
        <v>675</v>
      </c>
      <c r="X185" t="s">
        <v>1999</v>
      </c>
      <c r="Y185" t="s">
        <v>599</v>
      </c>
      <c r="Z185">
        <v>111.7435</v>
      </c>
      <c r="AA185" t="s">
        <v>2000</v>
      </c>
      <c r="AB185">
        <v>110.6126</v>
      </c>
      <c r="AC185">
        <v>-1.012049540171797E-2</v>
      </c>
      <c r="AD185" t="s">
        <v>579</v>
      </c>
      <c r="AE185" t="s">
        <v>546</v>
      </c>
      <c r="AF185">
        <v>9.1199999999999996E-3</v>
      </c>
      <c r="AG185" t="str">
        <f>IF($A185="","",IFERROR(INDEX(Company_List!$G$3:$G$207,MATCH($A185,Company_List!$A$3:$A$207,0)),"unassigned"))</f>
        <v>P3</v>
      </c>
      <c r="AH185" t="s">
        <v>1305</v>
      </c>
      <c r="AJ185" t="s">
        <v>593</v>
      </c>
      <c r="AK185" t="str">
        <f>IF($A185="","",IF(COUNTIFS(Human_Data_Entry!$A$3:$A$525,$A185)&gt;0,"YES","NO"))</f>
        <v>YES</v>
      </c>
      <c r="AL185" t="str">
        <f>IF($A185="","",IF(AND($C185&amp;"-"&amp;$D185&gt;=Settings!$B$19,$C185&amp;"-"&amp;$D185&lt;=Settings!$B$20),"IN","OUT"))</f>
        <v>IN</v>
      </c>
      <c r="AM185">
        <f t="shared" si="8"/>
        <v>9.1210000000000006E-3</v>
      </c>
      <c r="AN185">
        <f t="shared" si="9"/>
        <v>9.1199999999999996E-3</v>
      </c>
      <c r="AO185">
        <f>IF(ISNUMBER($AM185),ABS(IF(ISNUMBER($G185),$G185,0)-Settings!$B$25),"")</f>
        <v>0.06</v>
      </c>
      <c r="AP185">
        <f t="shared" si="10"/>
        <v>5.4726000000000004E-4</v>
      </c>
      <c r="AQ185">
        <f>IF(ISNUMBER($AN185),ABS(IF(ISNUMBER($G185),$G185,0)-Settings!$B$25),"")</f>
        <v>0.06</v>
      </c>
      <c r="AR185">
        <f t="shared" si="11"/>
        <v>5.4719999999999997E-4</v>
      </c>
      <c r="AS185" t="str">
        <f>IF($A185="","",IFERROR(INDEX(Company_List!$H$3:$H$207,MATCH($A185,Company_List!$A$3:$A$207,0)),"unassigned"))</f>
        <v>Information Technology</v>
      </c>
      <c r="AT185" t="s">
        <v>1924</v>
      </c>
      <c r="AU185" t="s">
        <v>1925</v>
      </c>
      <c r="AV185">
        <v>4</v>
      </c>
      <c r="AW185" t="s">
        <v>561</v>
      </c>
      <c r="AX185" t="s">
        <v>561</v>
      </c>
      <c r="AY185" t="s">
        <v>550</v>
      </c>
      <c r="AZ185" t="s">
        <v>550</v>
      </c>
      <c r="BA185" t="s">
        <v>554</v>
      </c>
    </row>
    <row r="186" spans="1:53" x14ac:dyDescent="0.2">
      <c r="A186" s="115" t="s">
        <v>1304</v>
      </c>
      <c r="B186" s="117" t="s">
        <v>1999</v>
      </c>
      <c r="C186" s="105">
        <v>2025</v>
      </c>
      <c r="D186" s="106" t="s">
        <v>563</v>
      </c>
      <c r="E186" s="109" t="s">
        <v>1911</v>
      </c>
      <c r="F186" s="106" t="s">
        <v>1912</v>
      </c>
      <c r="G186" s="128">
        <v>0.34749999999999998</v>
      </c>
      <c r="H186" s="106" t="s">
        <v>1919</v>
      </c>
      <c r="I186" s="128"/>
      <c r="J186" s="125">
        <v>45986</v>
      </c>
      <c r="K186" s="126">
        <v>45986</v>
      </c>
      <c r="L186" s="129">
        <v>125.92</v>
      </c>
      <c r="M186" s="126">
        <v>45987</v>
      </c>
      <c r="N186" s="129">
        <v>133.58000000000001</v>
      </c>
      <c r="O186" s="132">
        <v>8.8120000000000004E-3</v>
      </c>
      <c r="P186" s="107">
        <v>6.0831999999999997E-2</v>
      </c>
      <c r="Q186" s="106" t="s">
        <v>591</v>
      </c>
      <c r="R186" s="106" t="s">
        <v>554</v>
      </c>
      <c r="S186" s="105">
        <v>1</v>
      </c>
      <c r="T186" s="107">
        <v>5.9832000000000003E-2</v>
      </c>
      <c r="U186" s="130" t="s">
        <v>1914</v>
      </c>
      <c r="V186" t="s">
        <v>549</v>
      </c>
      <c r="W186" t="s">
        <v>675</v>
      </c>
      <c r="X186" t="s">
        <v>1999</v>
      </c>
      <c r="Y186" t="s">
        <v>1553</v>
      </c>
      <c r="Z186">
        <v>124.7786</v>
      </c>
      <c r="AA186" t="s">
        <v>1382</v>
      </c>
      <c r="AB186">
        <v>132.36920000000001</v>
      </c>
      <c r="AC186">
        <v>6.0832275100019893E-2</v>
      </c>
      <c r="AD186" t="s">
        <v>591</v>
      </c>
      <c r="AE186" t="s">
        <v>554</v>
      </c>
      <c r="AF186">
        <v>5.9832000000000003E-2</v>
      </c>
      <c r="AG186" t="str">
        <f>IF($A186="","",IFERROR(INDEX(Company_List!$G$3:$G$207,MATCH($A186,Company_List!$A$3:$A$207,0)),"unassigned"))</f>
        <v>P3</v>
      </c>
      <c r="AH186" t="s">
        <v>1307</v>
      </c>
      <c r="AJ186" t="s">
        <v>593</v>
      </c>
      <c r="AK186" t="str">
        <f>IF($A186="","",IF(COUNTIFS(Human_Data_Entry!$A$3:$A$525,$A186)&gt;0,"YES","NO"))</f>
        <v>YES</v>
      </c>
      <c r="AL186" t="str">
        <f>IF($A186="","",IF(AND($C186&amp;"-"&amp;$D186&gt;=Settings!$B$19,$C186&amp;"-"&amp;$D186&lt;=Settings!$B$20),"IN","OUT"))</f>
        <v>IN</v>
      </c>
      <c r="AM186">
        <f t="shared" si="8"/>
        <v>5.9832000000000003E-2</v>
      </c>
      <c r="AN186">
        <f t="shared" si="9"/>
        <v>5.9832000000000003E-2</v>
      </c>
      <c r="AO186">
        <f>IF(ISNUMBER($AM186),ABS(IF(ISNUMBER($G186),$G186,0)-Settings!$B$25),"")</f>
        <v>0.34749999999999998</v>
      </c>
      <c r="AP186">
        <f t="shared" si="10"/>
        <v>2.079162E-2</v>
      </c>
      <c r="AQ186">
        <f>IF(ISNUMBER($AN186),ABS(IF(ISNUMBER($G186),$G186,0)-Settings!$B$25),"")</f>
        <v>0.34749999999999998</v>
      </c>
      <c r="AR186">
        <f t="shared" si="11"/>
        <v>2.079162E-2</v>
      </c>
      <c r="AS186" t="str">
        <f>IF($A186="","",IFERROR(INDEX(Company_List!$H$3:$H$207,MATCH($A186,Company_List!$A$3:$A$207,0)),"unassigned"))</f>
        <v>Information Technology</v>
      </c>
      <c r="AT186" t="s">
        <v>1924</v>
      </c>
      <c r="AU186" t="s">
        <v>1925</v>
      </c>
      <c r="AV186">
        <v>4</v>
      </c>
      <c r="AW186" t="s">
        <v>561</v>
      </c>
      <c r="AX186" t="s">
        <v>561</v>
      </c>
      <c r="AY186" t="s">
        <v>550</v>
      </c>
      <c r="AZ186" t="s">
        <v>550</v>
      </c>
      <c r="BA186" t="s">
        <v>554</v>
      </c>
    </row>
    <row r="187" spans="1:53" x14ac:dyDescent="0.2">
      <c r="A187" s="115" t="s">
        <v>1304</v>
      </c>
      <c r="B187" s="117" t="s">
        <v>1999</v>
      </c>
      <c r="C187" s="105">
        <v>2025</v>
      </c>
      <c r="D187" s="106" t="s">
        <v>569</v>
      </c>
      <c r="E187" s="109" t="s">
        <v>1911</v>
      </c>
      <c r="F187" s="106" t="s">
        <v>1912</v>
      </c>
      <c r="G187" s="128">
        <v>0.25750000000000001</v>
      </c>
      <c r="H187" s="106" t="s">
        <v>1919</v>
      </c>
      <c r="I187" s="128"/>
      <c r="J187" s="125">
        <v>46079</v>
      </c>
      <c r="K187" s="126">
        <v>46079</v>
      </c>
      <c r="L187" s="129">
        <v>121.45</v>
      </c>
      <c r="M187" s="126">
        <v>46080</v>
      </c>
      <c r="N187" s="129">
        <v>137.37</v>
      </c>
      <c r="O187" s="132">
        <v>9.3970000000000008E-3</v>
      </c>
      <c r="P187" s="107">
        <v>0.13108300000000001</v>
      </c>
      <c r="Q187" s="106" t="s">
        <v>591</v>
      </c>
      <c r="R187" s="106" t="s">
        <v>554</v>
      </c>
      <c r="S187" s="105">
        <v>1</v>
      </c>
      <c r="T187" s="107">
        <v>0.130083</v>
      </c>
      <c r="U187" s="130" t="s">
        <v>1914</v>
      </c>
      <c r="V187" t="s">
        <v>549</v>
      </c>
      <c r="W187" t="s">
        <v>1247</v>
      </c>
      <c r="X187" t="s">
        <v>1999</v>
      </c>
      <c r="Y187" t="s">
        <v>1174</v>
      </c>
      <c r="Z187">
        <v>120.87560000000001</v>
      </c>
      <c r="AA187" t="s">
        <v>2001</v>
      </c>
      <c r="AB187">
        <v>136.72030000000001</v>
      </c>
      <c r="AC187">
        <v>0.13108281163069879</v>
      </c>
      <c r="AD187" t="s">
        <v>591</v>
      </c>
      <c r="AE187" t="s">
        <v>554</v>
      </c>
      <c r="AF187">
        <v>0.130083</v>
      </c>
      <c r="AG187" t="str">
        <f>IF($A187="","",IFERROR(INDEX(Company_List!$G$3:$G$207,MATCH($A187,Company_List!$A$3:$A$207,0)),"unassigned"))</f>
        <v>P3</v>
      </c>
      <c r="AH187" t="s">
        <v>1308</v>
      </c>
      <c r="AJ187" t="s">
        <v>593</v>
      </c>
      <c r="AK187" t="str">
        <f>IF($A187="","",IF(COUNTIFS(Human_Data_Entry!$A$3:$A$525,$A187)&gt;0,"YES","NO"))</f>
        <v>YES</v>
      </c>
      <c r="AL187" t="str">
        <f>IF($A187="","",IF(AND($C187&amp;"-"&amp;$D187&gt;=Settings!$B$19,$C187&amp;"-"&amp;$D187&lt;=Settings!$B$20),"IN","OUT"))</f>
        <v>IN</v>
      </c>
      <c r="AM187">
        <f t="shared" si="8"/>
        <v>0.130083</v>
      </c>
      <c r="AN187">
        <f t="shared" si="9"/>
        <v>0.130083</v>
      </c>
      <c r="AO187">
        <f>IF(ISNUMBER($AM187),ABS(IF(ISNUMBER($G187),$G187,0)-Settings!$B$25),"")</f>
        <v>0.25750000000000001</v>
      </c>
      <c r="AP187">
        <f t="shared" si="10"/>
        <v>3.3496372500000003E-2</v>
      </c>
      <c r="AQ187">
        <f>IF(ISNUMBER($AN187),ABS(IF(ISNUMBER($G187),$G187,0)-Settings!$B$25),"")</f>
        <v>0.25750000000000001</v>
      </c>
      <c r="AR187">
        <f t="shared" si="11"/>
        <v>3.3496372500000003E-2</v>
      </c>
      <c r="AS187" t="str">
        <f>IF($A187="","",IFERROR(INDEX(Company_List!$H$3:$H$207,MATCH($A187,Company_List!$A$3:$A$207,0)),"unassigned"))</f>
        <v>Information Technology</v>
      </c>
      <c r="AT187" t="s">
        <v>1924</v>
      </c>
      <c r="AU187" t="s">
        <v>1925</v>
      </c>
      <c r="AV187">
        <v>3</v>
      </c>
      <c r="AW187" t="s">
        <v>561</v>
      </c>
      <c r="AX187" t="s">
        <v>561</v>
      </c>
      <c r="AY187" t="s">
        <v>550</v>
      </c>
      <c r="AZ187" t="s">
        <v>550</v>
      </c>
      <c r="BA187" t="s">
        <v>554</v>
      </c>
    </row>
    <row r="188" spans="1:53" x14ac:dyDescent="0.2">
      <c r="A188" s="115" t="s">
        <v>1270</v>
      </c>
      <c r="B188" s="117" t="s">
        <v>1272</v>
      </c>
      <c r="C188" s="105">
        <v>2025</v>
      </c>
      <c r="D188" s="106" t="s">
        <v>537</v>
      </c>
      <c r="E188" s="109" t="s">
        <v>1911</v>
      </c>
      <c r="F188" s="106" t="s">
        <v>1912</v>
      </c>
      <c r="G188" s="128">
        <v>-0.41</v>
      </c>
      <c r="H188" s="106" t="s">
        <v>1923</v>
      </c>
      <c r="I188" s="128"/>
      <c r="J188" s="125">
        <v>45756</v>
      </c>
      <c r="K188" s="126">
        <v>45755</v>
      </c>
      <c r="L188" s="129">
        <v>35.880000000000003</v>
      </c>
      <c r="M188" s="126">
        <v>45756</v>
      </c>
      <c r="N188" s="129">
        <v>36.909999999999997</v>
      </c>
      <c r="O188" s="132">
        <v>1.2116999999999999E-2</v>
      </c>
      <c r="P188" s="107">
        <v>2.8707E-2</v>
      </c>
      <c r="Q188" s="106" t="s">
        <v>591</v>
      </c>
      <c r="R188" s="106" t="s">
        <v>546</v>
      </c>
      <c r="S188" s="105">
        <v>-1</v>
      </c>
      <c r="T188" s="107">
        <v>-2.9707000000000001E-2</v>
      </c>
      <c r="U188" s="130" t="s">
        <v>1914</v>
      </c>
      <c r="V188" t="s">
        <v>549</v>
      </c>
      <c r="W188" t="s">
        <v>1249</v>
      </c>
      <c r="X188" t="s">
        <v>1272</v>
      </c>
      <c r="Y188" t="s">
        <v>1273</v>
      </c>
      <c r="Z188">
        <v>35.263500000000001</v>
      </c>
      <c r="AA188" t="s">
        <v>1274</v>
      </c>
      <c r="AB188">
        <v>36.275799999999997</v>
      </c>
      <c r="AC188">
        <v>2.870683073156623E-2</v>
      </c>
      <c r="AD188" t="s">
        <v>591</v>
      </c>
      <c r="AE188" t="s">
        <v>546</v>
      </c>
      <c r="AF188">
        <v>-2.9707000000000001E-2</v>
      </c>
      <c r="AG188" t="str">
        <f>IF($A188="","",IFERROR(INDEX(Company_List!$G$3:$G$207,MATCH($A188,Company_List!$A$3:$A$207,0)),"unassigned"))</f>
        <v>P3</v>
      </c>
      <c r="AH188" t="s">
        <v>1275</v>
      </c>
      <c r="AI188" t="s">
        <v>1276</v>
      </c>
      <c r="AJ188" t="s">
        <v>560</v>
      </c>
      <c r="AK188" t="str">
        <f>IF($A188="","",IF(COUNTIFS(Human_Data_Entry!$A$3:$A$525,$A188)&gt;0,"YES","NO"))</f>
        <v>YES</v>
      </c>
      <c r="AL188" t="str">
        <f>IF($A188="","",IF(AND($C188&amp;"-"&amp;$D188&gt;=Settings!$B$19,$C188&amp;"-"&amp;$D188&lt;=Settings!$B$20),"IN","OUT"))</f>
        <v>IN</v>
      </c>
      <c r="AM188">
        <f t="shared" si="8"/>
        <v>-2.9707000000000001E-2</v>
      </c>
      <c r="AN188">
        <f t="shared" si="9"/>
        <v>-2.9707000000000001E-2</v>
      </c>
      <c r="AO188">
        <f>IF(ISNUMBER($AM188),ABS(IF(ISNUMBER($G188),$G188,0)-Settings!$B$25),"")</f>
        <v>0.41</v>
      </c>
      <c r="AP188">
        <f t="shared" si="10"/>
        <v>-1.2179869999999999E-2</v>
      </c>
      <c r="AQ188">
        <f>IF(ISNUMBER($AN188),ABS(IF(ISNUMBER($G188),$G188,0)-Settings!$B$25),"")</f>
        <v>0.41</v>
      </c>
      <c r="AR188">
        <f t="shared" si="11"/>
        <v>-1.2179869999999999E-2</v>
      </c>
      <c r="AS188" t="str">
        <f>IF($A188="","",IFERROR(INDEX(Company_List!$H$3:$H$207,MATCH($A188,Company_List!$A$3:$A$207,0)),"unassigned"))</f>
        <v>Industrials</v>
      </c>
      <c r="AT188" t="s">
        <v>1924</v>
      </c>
      <c r="AU188" t="s">
        <v>1925</v>
      </c>
      <c r="AV188">
        <v>1</v>
      </c>
      <c r="AW188" t="s">
        <v>561</v>
      </c>
      <c r="AX188" t="s">
        <v>561</v>
      </c>
      <c r="AY188" t="s">
        <v>550</v>
      </c>
      <c r="AZ188" t="s">
        <v>562</v>
      </c>
      <c r="BA188" t="s">
        <v>554</v>
      </c>
    </row>
    <row r="189" spans="1:53" x14ac:dyDescent="0.2">
      <c r="A189" s="115" t="s">
        <v>1270</v>
      </c>
      <c r="B189" s="117" t="s">
        <v>1272</v>
      </c>
      <c r="C189" s="105">
        <v>2025</v>
      </c>
      <c r="D189" s="106" t="s">
        <v>555</v>
      </c>
      <c r="E189" s="109" t="s">
        <v>1911</v>
      </c>
      <c r="F189" s="106" t="s">
        <v>1912</v>
      </c>
      <c r="G189" s="128">
        <v>0.1825</v>
      </c>
      <c r="H189" s="106" t="s">
        <v>1913</v>
      </c>
      <c r="I189" s="128"/>
      <c r="J189" s="125">
        <v>45848</v>
      </c>
      <c r="K189" s="126">
        <v>45847</v>
      </c>
      <c r="L189" s="129">
        <v>50.7</v>
      </c>
      <c r="M189" s="126">
        <v>45848</v>
      </c>
      <c r="N189" s="129">
        <v>56.2</v>
      </c>
      <c r="O189" s="132">
        <v>1.3468000000000001E-2</v>
      </c>
      <c r="P189" s="107">
        <v>0.10848099999999999</v>
      </c>
      <c r="Q189" s="106" t="s">
        <v>591</v>
      </c>
      <c r="R189" s="106" t="s">
        <v>546</v>
      </c>
      <c r="S189" s="105">
        <v>0</v>
      </c>
      <c r="T189" s="107">
        <v>0</v>
      </c>
      <c r="U189" s="130" t="s">
        <v>1914</v>
      </c>
      <c r="V189" t="s">
        <v>549</v>
      </c>
      <c r="W189" t="s">
        <v>1247</v>
      </c>
      <c r="X189" t="s">
        <v>1272</v>
      </c>
      <c r="Y189" t="s">
        <v>1278</v>
      </c>
      <c r="Z189">
        <v>49.9754</v>
      </c>
      <c r="AA189" t="s">
        <v>1279</v>
      </c>
      <c r="AB189">
        <v>55.396799999999999</v>
      </c>
      <c r="AC189">
        <v>0.1084811517633692</v>
      </c>
      <c r="AD189" t="s">
        <v>591</v>
      </c>
      <c r="AE189" t="s">
        <v>546</v>
      </c>
      <c r="AF189">
        <v>0</v>
      </c>
      <c r="AG189" t="str">
        <f>IF($A189="","",IFERROR(INDEX(Company_List!$G$3:$G$207,MATCH($A189,Company_List!$A$3:$A$207,0)),"unassigned"))</f>
        <v>P3</v>
      </c>
      <c r="AH189" t="s">
        <v>2002</v>
      </c>
      <c r="AJ189" t="s">
        <v>593</v>
      </c>
      <c r="AK189" t="str">
        <f>IF($A189="","",IF(COUNTIFS(Human_Data_Entry!$A$3:$A$525,$A189)&gt;0,"YES","NO"))</f>
        <v>YES</v>
      </c>
      <c r="AL189" t="str">
        <f>IF($A189="","",IF(AND($C189&amp;"-"&amp;$D189&gt;=Settings!$B$19,$C189&amp;"-"&amp;$D189&lt;=Settings!$B$20),"IN","OUT"))</f>
        <v>IN</v>
      </c>
      <c r="AM189" t="str">
        <f t="shared" si="8"/>
        <v/>
      </c>
      <c r="AN189" t="str">
        <f t="shared" si="9"/>
        <v/>
      </c>
      <c r="AO189" t="str">
        <f>IF(ISNUMBER($AM189),ABS(IF(ISNUMBER($G189),$G189,0)-Settings!$B$25),"")</f>
        <v/>
      </c>
      <c r="AP189" t="str">
        <f t="shared" si="10"/>
        <v/>
      </c>
      <c r="AQ189" t="str">
        <f>IF(ISNUMBER($AN189),ABS(IF(ISNUMBER($G189),$G189,0)-Settings!$B$25),"")</f>
        <v/>
      </c>
      <c r="AR189" t="str">
        <f t="shared" si="11"/>
        <v/>
      </c>
      <c r="AS189" t="str">
        <f>IF($A189="","",IFERROR(INDEX(Company_List!$H$3:$H$207,MATCH($A189,Company_List!$A$3:$A$207,0)),"unassigned"))</f>
        <v>Industrials</v>
      </c>
      <c r="AT189" t="s">
        <v>1924</v>
      </c>
      <c r="AU189" t="s">
        <v>1925</v>
      </c>
      <c r="AV189">
        <v>2</v>
      </c>
      <c r="AW189" t="s">
        <v>617</v>
      </c>
      <c r="AX189" t="s">
        <v>553</v>
      </c>
      <c r="AY189" t="s">
        <v>550</v>
      </c>
      <c r="AZ189" t="s">
        <v>550</v>
      </c>
      <c r="BA189" t="s">
        <v>554</v>
      </c>
    </row>
    <row r="190" spans="1:53" x14ac:dyDescent="0.2">
      <c r="A190" s="115" t="s">
        <v>1270</v>
      </c>
      <c r="B190" s="117" t="s">
        <v>1272</v>
      </c>
      <c r="C190" s="105">
        <v>2025</v>
      </c>
      <c r="D190" s="106" t="s">
        <v>563</v>
      </c>
      <c r="E190" s="109" t="s">
        <v>1911</v>
      </c>
      <c r="F190" s="106" t="s">
        <v>1912</v>
      </c>
      <c r="G190" s="128">
        <v>0.32750000000000001</v>
      </c>
      <c r="H190" s="106" t="s">
        <v>1919</v>
      </c>
      <c r="I190" s="128"/>
      <c r="J190" s="125">
        <v>45939</v>
      </c>
      <c r="K190" s="126">
        <v>45938</v>
      </c>
      <c r="L190" s="129">
        <v>57.12</v>
      </c>
      <c r="M190" s="126">
        <v>45939</v>
      </c>
      <c r="N190" s="129">
        <v>61.9</v>
      </c>
      <c r="O190" s="132">
        <v>1.336E-2</v>
      </c>
      <c r="P190" s="107">
        <v>8.3683999999999995E-2</v>
      </c>
      <c r="Q190" s="106" t="s">
        <v>591</v>
      </c>
      <c r="R190" s="106" t="s">
        <v>554</v>
      </c>
      <c r="S190" s="105">
        <v>1</v>
      </c>
      <c r="T190" s="107">
        <v>8.2683999999999994E-2</v>
      </c>
      <c r="U190" s="130" t="s">
        <v>1914</v>
      </c>
      <c r="V190" t="s">
        <v>549</v>
      </c>
      <c r="W190" t="s">
        <v>1247</v>
      </c>
      <c r="X190" t="s">
        <v>1272</v>
      </c>
      <c r="Y190" t="s">
        <v>1282</v>
      </c>
      <c r="Z190">
        <v>56.501899999999999</v>
      </c>
      <c r="AA190" t="s">
        <v>1283</v>
      </c>
      <c r="AB190">
        <v>61.2301</v>
      </c>
      <c r="AC190">
        <v>8.3683547821846463E-2</v>
      </c>
      <c r="AD190" t="s">
        <v>591</v>
      </c>
      <c r="AE190" t="s">
        <v>554</v>
      </c>
      <c r="AF190">
        <v>8.2683999999999994E-2</v>
      </c>
      <c r="AG190" t="str">
        <f>IF($A190="","",IFERROR(INDEX(Company_List!$G$3:$G$207,MATCH($A190,Company_List!$A$3:$A$207,0)),"unassigned"))</f>
        <v>P3</v>
      </c>
      <c r="AH190" t="s">
        <v>2003</v>
      </c>
      <c r="AJ190" t="s">
        <v>593</v>
      </c>
      <c r="AK190" t="str">
        <f>IF($A190="","",IF(COUNTIFS(Human_Data_Entry!$A$3:$A$525,$A190)&gt;0,"YES","NO"))</f>
        <v>YES</v>
      </c>
      <c r="AL190" t="str">
        <f>IF($A190="","",IF(AND($C190&amp;"-"&amp;$D190&gt;=Settings!$B$19,$C190&amp;"-"&amp;$D190&lt;=Settings!$B$20),"IN","OUT"))</f>
        <v>IN</v>
      </c>
      <c r="AM190">
        <f t="shared" si="8"/>
        <v>8.2683999999999994E-2</v>
      </c>
      <c r="AN190">
        <f t="shared" si="9"/>
        <v>8.2683999999999994E-2</v>
      </c>
      <c r="AO190">
        <f>IF(ISNUMBER($AM190),ABS(IF(ISNUMBER($G190),$G190,0)-Settings!$B$25),"")</f>
        <v>0.32750000000000001</v>
      </c>
      <c r="AP190">
        <f t="shared" si="10"/>
        <v>2.7079010000000001E-2</v>
      </c>
      <c r="AQ190">
        <f>IF(ISNUMBER($AN190),ABS(IF(ISNUMBER($G190),$G190,0)-Settings!$B$25),"")</f>
        <v>0.32750000000000001</v>
      </c>
      <c r="AR190">
        <f t="shared" si="11"/>
        <v>2.7079010000000001E-2</v>
      </c>
      <c r="AS190" t="str">
        <f>IF($A190="","",IFERROR(INDEX(Company_List!$H$3:$H$207,MATCH($A190,Company_List!$A$3:$A$207,0)),"unassigned"))</f>
        <v>Industrials</v>
      </c>
      <c r="AT190" t="s">
        <v>1924</v>
      </c>
      <c r="AU190" t="s">
        <v>1925</v>
      </c>
      <c r="AV190">
        <v>2</v>
      </c>
      <c r="AW190" t="s">
        <v>617</v>
      </c>
      <c r="AX190" t="s">
        <v>553</v>
      </c>
      <c r="AY190" t="s">
        <v>550</v>
      </c>
      <c r="AZ190" t="s">
        <v>550</v>
      </c>
      <c r="BA190" t="s">
        <v>554</v>
      </c>
    </row>
    <row r="191" spans="1:53" x14ac:dyDescent="0.2">
      <c r="A191" s="115" t="s">
        <v>1270</v>
      </c>
      <c r="B191" s="117" t="s">
        <v>1272</v>
      </c>
      <c r="C191" s="105">
        <v>2025</v>
      </c>
      <c r="D191" s="106" t="s">
        <v>569</v>
      </c>
      <c r="E191" s="109" t="s">
        <v>1911</v>
      </c>
      <c r="F191" s="106" t="s">
        <v>1912</v>
      </c>
      <c r="G191" s="128">
        <v>0.41499999999999998</v>
      </c>
      <c r="H191" s="106" t="s">
        <v>1919</v>
      </c>
      <c r="I191" s="128"/>
      <c r="J191" s="125">
        <v>46035</v>
      </c>
      <c r="K191" s="126">
        <v>46034</v>
      </c>
      <c r="L191" s="129">
        <v>71.03</v>
      </c>
      <c r="M191" s="126">
        <v>46035</v>
      </c>
      <c r="N191" s="129">
        <v>68.099999999999994</v>
      </c>
      <c r="O191" s="132">
        <v>1.5639E-2</v>
      </c>
      <c r="P191" s="107">
        <v>-4.1250000000000002E-2</v>
      </c>
      <c r="Q191" s="106" t="s">
        <v>545</v>
      </c>
      <c r="R191" s="106" t="s">
        <v>546</v>
      </c>
      <c r="S191" s="105">
        <v>1</v>
      </c>
      <c r="T191" s="107">
        <v>-4.2250000000000003E-2</v>
      </c>
      <c r="U191" s="130" t="s">
        <v>1914</v>
      </c>
      <c r="V191" t="s">
        <v>549</v>
      </c>
      <c r="W191" t="s">
        <v>1247</v>
      </c>
      <c r="X191" t="s">
        <v>1272</v>
      </c>
      <c r="Y191" t="s">
        <v>760</v>
      </c>
      <c r="Z191">
        <v>70.476100000000002</v>
      </c>
      <c r="AA191" t="s">
        <v>726</v>
      </c>
      <c r="AB191">
        <v>67.568899999999999</v>
      </c>
      <c r="AC191">
        <v>-4.1250153958318943E-2</v>
      </c>
      <c r="AD191" t="s">
        <v>545</v>
      </c>
      <c r="AE191" t="s">
        <v>546</v>
      </c>
      <c r="AF191">
        <v>-4.2250000000000003E-2</v>
      </c>
      <c r="AG191" t="str">
        <f>IF($A191="","",IFERROR(INDEX(Company_List!$G$3:$G$207,MATCH($A191,Company_List!$A$3:$A$207,0)),"unassigned"))</f>
        <v>P3</v>
      </c>
      <c r="AH191" t="s">
        <v>1286</v>
      </c>
      <c r="AJ191" t="s">
        <v>593</v>
      </c>
      <c r="AK191" t="str">
        <f>IF($A191="","",IF(COUNTIFS(Human_Data_Entry!$A$3:$A$525,$A191)&gt;0,"YES","NO"))</f>
        <v>YES</v>
      </c>
      <c r="AL191" t="str">
        <f>IF($A191="","",IF(AND($C191&amp;"-"&amp;$D191&gt;=Settings!$B$19,$C191&amp;"-"&amp;$D191&lt;=Settings!$B$20),"IN","OUT"))</f>
        <v>IN</v>
      </c>
      <c r="AM191">
        <f t="shared" si="8"/>
        <v>-4.2250000000000003E-2</v>
      </c>
      <c r="AN191">
        <f t="shared" si="9"/>
        <v>-4.2250000000000003E-2</v>
      </c>
      <c r="AO191">
        <f>IF(ISNUMBER($AM191),ABS(IF(ISNUMBER($G191),$G191,0)-Settings!$B$25),"")</f>
        <v>0.41499999999999998</v>
      </c>
      <c r="AP191">
        <f t="shared" si="10"/>
        <v>-1.7533750000000001E-2</v>
      </c>
      <c r="AQ191">
        <f>IF(ISNUMBER($AN191),ABS(IF(ISNUMBER($G191),$G191,0)-Settings!$B$25),"")</f>
        <v>0.41499999999999998</v>
      </c>
      <c r="AR191">
        <f t="shared" si="11"/>
        <v>-1.7533750000000001E-2</v>
      </c>
      <c r="AS191" t="str">
        <f>IF($A191="","",IFERROR(INDEX(Company_List!$H$3:$H$207,MATCH($A191,Company_List!$A$3:$A$207,0)),"unassigned"))</f>
        <v>Industrials</v>
      </c>
      <c r="AT191" t="s">
        <v>1924</v>
      </c>
      <c r="AU191" t="s">
        <v>1925</v>
      </c>
      <c r="AV191">
        <v>3</v>
      </c>
      <c r="AW191" t="s">
        <v>617</v>
      </c>
      <c r="AX191" t="s">
        <v>553</v>
      </c>
      <c r="AY191" t="s">
        <v>1023</v>
      </c>
      <c r="AZ191" t="s">
        <v>550</v>
      </c>
      <c r="BA191" t="s">
        <v>554</v>
      </c>
    </row>
    <row r="192" spans="1:53" x14ac:dyDescent="0.2">
      <c r="A192" s="115" t="s">
        <v>1111</v>
      </c>
      <c r="B192" s="117" t="s">
        <v>1112</v>
      </c>
      <c r="C192" s="105">
        <v>2025</v>
      </c>
      <c r="D192" s="106" t="s">
        <v>537</v>
      </c>
      <c r="E192" s="109" t="s">
        <v>1911</v>
      </c>
      <c r="F192" s="106" t="s">
        <v>1912</v>
      </c>
      <c r="G192" s="128">
        <v>-0.41</v>
      </c>
      <c r="H192" s="106" t="s">
        <v>1923</v>
      </c>
      <c r="I192" s="128"/>
      <c r="J192" s="125">
        <v>45785</v>
      </c>
      <c r="K192" s="126">
        <v>45785</v>
      </c>
      <c r="L192" s="129">
        <v>168.99</v>
      </c>
      <c r="M192" s="126">
        <v>45786</v>
      </c>
      <c r="N192" s="129">
        <v>152.59</v>
      </c>
      <c r="O192" s="132">
        <v>1.0104999999999999E-2</v>
      </c>
      <c r="P192" s="107">
        <v>-9.7047000000000008E-2</v>
      </c>
      <c r="Q192" s="106" t="s">
        <v>545</v>
      </c>
      <c r="R192" s="106" t="s">
        <v>554</v>
      </c>
      <c r="S192" s="105">
        <v>-1</v>
      </c>
      <c r="T192" s="107">
        <v>9.6046999999999993E-2</v>
      </c>
      <c r="U192" s="130" t="s">
        <v>1914</v>
      </c>
      <c r="V192" t="s">
        <v>549</v>
      </c>
      <c r="W192" t="s">
        <v>748</v>
      </c>
      <c r="X192" t="s">
        <v>1112</v>
      </c>
      <c r="Y192" t="s">
        <v>1113</v>
      </c>
      <c r="Z192">
        <v>167.26990000000001</v>
      </c>
      <c r="AA192" t="s">
        <v>1114</v>
      </c>
      <c r="AB192">
        <v>151.0368</v>
      </c>
      <c r="AC192">
        <v>-9.7047231914891813E-2</v>
      </c>
      <c r="AD192" t="s">
        <v>545</v>
      </c>
      <c r="AE192" t="s">
        <v>554</v>
      </c>
      <c r="AF192">
        <v>9.6046999999999993E-2</v>
      </c>
      <c r="AG192" t="str">
        <f>IF($A192="","",IFERROR(INDEX(Company_List!$G$3:$G$207,MATCH($A192,Company_List!$A$3:$A$207,0)),"unassigned"))</f>
        <v>P3</v>
      </c>
      <c r="AH192" t="s">
        <v>1115</v>
      </c>
      <c r="AJ192" t="s">
        <v>548</v>
      </c>
      <c r="AK192" t="str">
        <f>IF($A192="","",IF(COUNTIFS(Human_Data_Entry!$A$3:$A$525,$A192)&gt;0,"YES","NO"))</f>
        <v>YES</v>
      </c>
      <c r="AL192" t="str">
        <f>IF($A192="","",IF(AND($C192&amp;"-"&amp;$D192&gt;=Settings!$B$19,$C192&amp;"-"&amp;$D192&lt;=Settings!$B$20),"IN","OUT"))</f>
        <v>IN</v>
      </c>
      <c r="AM192">
        <f t="shared" si="8"/>
        <v>9.6046999999999993E-2</v>
      </c>
      <c r="AN192">
        <f t="shared" si="9"/>
        <v>9.6046999999999993E-2</v>
      </c>
      <c r="AO192">
        <f>IF(ISNUMBER($AM192),ABS(IF(ISNUMBER($G192),$G192,0)-Settings!$B$25),"")</f>
        <v>0.41</v>
      </c>
      <c r="AP192">
        <f t="shared" si="10"/>
        <v>3.9379269999999994E-2</v>
      </c>
      <c r="AQ192">
        <f>IF(ISNUMBER($AN192),ABS(IF(ISNUMBER($G192),$G192,0)-Settings!$B$25),"")</f>
        <v>0.41</v>
      </c>
      <c r="AR192">
        <f t="shared" si="11"/>
        <v>3.9379269999999994E-2</v>
      </c>
      <c r="AS192" t="str">
        <f>IF($A192="","",IFERROR(INDEX(Company_List!$H$3:$H$207,MATCH($A192,Company_List!$A$3:$A$207,0)),"unassigned"))</f>
        <v>Consumer Discretionary</v>
      </c>
      <c r="AT192" t="s">
        <v>1924</v>
      </c>
      <c r="AU192" t="s">
        <v>1925</v>
      </c>
      <c r="AV192">
        <v>1</v>
      </c>
      <c r="AW192" t="s">
        <v>788</v>
      </c>
      <c r="AX192" t="s">
        <v>553</v>
      </c>
      <c r="AY192" t="s">
        <v>550</v>
      </c>
      <c r="AZ192" t="s">
        <v>550</v>
      </c>
      <c r="BA192" t="s">
        <v>554</v>
      </c>
    </row>
    <row r="193" spans="1:54" x14ac:dyDescent="0.2">
      <c r="A193" s="115" t="s">
        <v>1111</v>
      </c>
      <c r="B193" s="117" t="s">
        <v>1112</v>
      </c>
      <c r="C193" s="105">
        <v>2026</v>
      </c>
      <c r="D193" s="106" t="s">
        <v>537</v>
      </c>
      <c r="E193" s="109" t="s">
        <v>1911</v>
      </c>
      <c r="F193" s="106" t="s">
        <v>1912</v>
      </c>
      <c r="G193" s="128">
        <v>2.5000000000000001E-3</v>
      </c>
      <c r="H193" s="106" t="s">
        <v>1913</v>
      </c>
      <c r="I193" s="128"/>
      <c r="J193" s="125">
        <v>46149</v>
      </c>
      <c r="K193" s="126">
        <v>46149</v>
      </c>
      <c r="L193" s="129">
        <v>252.79</v>
      </c>
      <c r="M193" s="126">
        <v>46150</v>
      </c>
      <c r="N193" s="129">
        <v>232.51</v>
      </c>
      <c r="O193" s="132">
        <v>1.0421E-2</v>
      </c>
      <c r="P193" s="107">
        <v>-8.0225000000000005E-2</v>
      </c>
      <c r="Q193" s="106" t="s">
        <v>545</v>
      </c>
      <c r="R193" s="106" t="s">
        <v>546</v>
      </c>
      <c r="S193" s="105">
        <v>0</v>
      </c>
      <c r="T193" s="107">
        <v>0</v>
      </c>
      <c r="U193" s="130" t="s">
        <v>1914</v>
      </c>
      <c r="V193" t="s">
        <v>549</v>
      </c>
      <c r="W193" t="s">
        <v>541</v>
      </c>
      <c r="X193" t="s">
        <v>1112</v>
      </c>
      <c r="Y193" t="s">
        <v>681</v>
      </c>
      <c r="Z193">
        <v>252.2544</v>
      </c>
      <c r="AA193" t="s">
        <v>830</v>
      </c>
      <c r="AB193">
        <v>232.01740000000001</v>
      </c>
      <c r="AC193">
        <v>-8.0224694365914881E-2</v>
      </c>
      <c r="AD193" t="s">
        <v>545</v>
      </c>
      <c r="AE193" t="s">
        <v>546</v>
      </c>
      <c r="AF193">
        <v>0</v>
      </c>
      <c r="AG193" t="str">
        <f>IF($A193="","",IFERROR(INDEX(Company_List!$G$3:$G$207,MATCH($A193,Company_List!$A$3:$A$207,0)),"unassigned"))</f>
        <v>P3</v>
      </c>
      <c r="AH193" t="s">
        <v>1119</v>
      </c>
      <c r="AJ193" t="s">
        <v>548</v>
      </c>
      <c r="AK193" t="str">
        <f>IF($A193="","",IF(COUNTIFS(Human_Data_Entry!$A$3:$A$525,$A193)&gt;0,"YES","NO"))</f>
        <v>YES</v>
      </c>
      <c r="AL193" t="str">
        <f>IF($A193="","",IF(AND($C193&amp;"-"&amp;$D193&gt;=Settings!$B$19,$C193&amp;"-"&amp;$D193&lt;=Settings!$B$20),"IN","OUT"))</f>
        <v>IN</v>
      </c>
      <c r="AM193" t="str">
        <f t="shared" si="8"/>
        <v/>
      </c>
      <c r="AN193" t="str">
        <f t="shared" si="9"/>
        <v/>
      </c>
      <c r="AO193" t="str">
        <f>IF(ISNUMBER($AM193),ABS(IF(ISNUMBER($G193),$G193,0)-Settings!$B$25),"")</f>
        <v/>
      </c>
      <c r="AP193" t="str">
        <f t="shared" si="10"/>
        <v/>
      </c>
      <c r="AQ193" t="str">
        <f>IF(ISNUMBER($AN193),ABS(IF(ISNUMBER($G193),$G193,0)-Settings!$B$25),"")</f>
        <v/>
      </c>
      <c r="AR193" t="str">
        <f t="shared" si="11"/>
        <v/>
      </c>
      <c r="AS193" t="str">
        <f>IF($A193="","",IFERROR(INDEX(Company_List!$H$3:$H$207,MATCH($A193,Company_List!$A$3:$A$207,0)),"unassigned"))</f>
        <v>Consumer Discretionary</v>
      </c>
      <c r="AT193" t="s">
        <v>1924</v>
      </c>
      <c r="AU193" t="s">
        <v>1925</v>
      </c>
      <c r="AV193">
        <v>1</v>
      </c>
      <c r="AW193" t="s">
        <v>788</v>
      </c>
      <c r="AX193" t="s">
        <v>553</v>
      </c>
      <c r="AY193" t="s">
        <v>550</v>
      </c>
      <c r="AZ193" t="s">
        <v>550</v>
      </c>
      <c r="BA193" t="s">
        <v>554</v>
      </c>
    </row>
    <row r="194" spans="1:54" x14ac:dyDescent="0.2">
      <c r="A194" s="115" t="s">
        <v>1111</v>
      </c>
      <c r="B194" s="117" t="s">
        <v>1112</v>
      </c>
      <c r="C194" s="105">
        <v>2025</v>
      </c>
      <c r="D194" s="106" t="s">
        <v>555</v>
      </c>
      <c r="E194" s="109" t="s">
        <v>1911</v>
      </c>
      <c r="F194" s="106" t="s">
        <v>1912</v>
      </c>
      <c r="G194" s="128">
        <v>0.29249999999999998</v>
      </c>
      <c r="H194" s="106" t="s">
        <v>1919</v>
      </c>
      <c r="I194" s="128"/>
      <c r="J194" s="125">
        <v>45876</v>
      </c>
      <c r="K194" s="126">
        <v>45876</v>
      </c>
      <c r="L194" s="129">
        <v>187.61</v>
      </c>
      <c r="M194" s="126">
        <v>45877</v>
      </c>
      <c r="N194" s="129">
        <v>211.6</v>
      </c>
      <c r="O194" s="132">
        <v>1.0357E-2</v>
      </c>
      <c r="P194" s="107">
        <v>0.12787200000000001</v>
      </c>
      <c r="Q194" s="106" t="s">
        <v>591</v>
      </c>
      <c r="R194" s="106" t="s">
        <v>554</v>
      </c>
      <c r="S194" s="105">
        <v>1</v>
      </c>
      <c r="T194" s="107">
        <v>0.12687200000000001</v>
      </c>
      <c r="U194" s="130" t="s">
        <v>1914</v>
      </c>
      <c r="V194" t="s">
        <v>549</v>
      </c>
      <c r="W194" t="s">
        <v>541</v>
      </c>
      <c r="X194" t="s">
        <v>1112</v>
      </c>
      <c r="Y194" t="s">
        <v>742</v>
      </c>
      <c r="Z194">
        <v>186.14439999999999</v>
      </c>
      <c r="AA194" t="s">
        <v>1116</v>
      </c>
      <c r="AB194">
        <v>209.947</v>
      </c>
      <c r="AC194">
        <v>0.1278717323670675</v>
      </c>
      <c r="AD194" t="s">
        <v>591</v>
      </c>
      <c r="AE194" t="s">
        <v>554</v>
      </c>
      <c r="AF194">
        <v>0.12687200000000001</v>
      </c>
      <c r="AG194" t="str">
        <f>IF($A194="","",IFERROR(INDEX(Company_List!$G$3:$G$207,MATCH($A194,Company_List!$A$3:$A$207,0)),"unassigned"))</f>
        <v>P3</v>
      </c>
      <c r="AH194" t="s">
        <v>1117</v>
      </c>
      <c r="AJ194" t="s">
        <v>548</v>
      </c>
      <c r="AK194" t="str">
        <f>IF($A194="","",IF(COUNTIFS(Human_Data_Entry!$A$3:$A$525,$A194)&gt;0,"YES","NO"))</f>
        <v>YES</v>
      </c>
      <c r="AL194" t="str">
        <f>IF($A194="","",IF(AND($C194&amp;"-"&amp;$D194&gt;=Settings!$B$19,$C194&amp;"-"&amp;$D194&lt;=Settings!$B$20),"IN","OUT"))</f>
        <v>IN</v>
      </c>
      <c r="AM194">
        <f t="shared" si="8"/>
        <v>0.12687200000000001</v>
      </c>
      <c r="AN194">
        <f t="shared" si="9"/>
        <v>0.12687200000000001</v>
      </c>
      <c r="AO194">
        <f>IF(ISNUMBER($AM194),ABS(IF(ISNUMBER($G194),$G194,0)-Settings!$B$25),"")</f>
        <v>0.29249999999999998</v>
      </c>
      <c r="AP194">
        <f t="shared" si="10"/>
        <v>3.711006E-2</v>
      </c>
      <c r="AQ194">
        <f>IF(ISNUMBER($AN194),ABS(IF(ISNUMBER($G194),$G194,0)-Settings!$B$25),"")</f>
        <v>0.29249999999999998</v>
      </c>
      <c r="AR194">
        <f t="shared" si="11"/>
        <v>3.711006E-2</v>
      </c>
      <c r="AS194" t="str">
        <f>IF($A194="","",IFERROR(INDEX(Company_List!$H$3:$H$207,MATCH($A194,Company_List!$A$3:$A$207,0)),"unassigned"))</f>
        <v>Consumer Discretionary</v>
      </c>
      <c r="AT194" t="s">
        <v>1924</v>
      </c>
      <c r="AU194" t="s">
        <v>1925</v>
      </c>
      <c r="AV194">
        <v>1</v>
      </c>
      <c r="AW194" t="s">
        <v>788</v>
      </c>
      <c r="AX194" t="s">
        <v>553</v>
      </c>
      <c r="AY194" t="s">
        <v>550</v>
      </c>
      <c r="AZ194" t="s">
        <v>550</v>
      </c>
      <c r="BA194" t="s">
        <v>554</v>
      </c>
    </row>
    <row r="195" spans="1:54" x14ac:dyDescent="0.2">
      <c r="A195" s="115" t="s">
        <v>1111</v>
      </c>
      <c r="B195" s="117" t="s">
        <v>1112</v>
      </c>
      <c r="C195" s="105">
        <v>2025</v>
      </c>
      <c r="D195" s="106" t="s">
        <v>569</v>
      </c>
      <c r="E195" s="109" t="s">
        <v>1911</v>
      </c>
      <c r="F195" s="106" t="s">
        <v>1912</v>
      </c>
      <c r="G195" s="128">
        <v>0.27750000000000002</v>
      </c>
      <c r="H195" s="106" t="s">
        <v>1919</v>
      </c>
      <c r="I195" s="128"/>
      <c r="J195" s="125">
        <v>46065</v>
      </c>
      <c r="K195" s="126">
        <v>46065</v>
      </c>
      <c r="L195" s="129">
        <v>227.24</v>
      </c>
      <c r="M195" s="126">
        <v>46066</v>
      </c>
      <c r="N195" s="129">
        <v>212</v>
      </c>
      <c r="O195" s="132">
        <v>1.1037999999999999E-2</v>
      </c>
      <c r="P195" s="107">
        <v>-6.7066000000000001E-2</v>
      </c>
      <c r="Q195" s="106" t="s">
        <v>545</v>
      </c>
      <c r="R195" s="106" t="s">
        <v>546</v>
      </c>
      <c r="S195" s="105">
        <v>1</v>
      </c>
      <c r="T195" s="107">
        <v>-6.8066000000000002E-2</v>
      </c>
      <c r="U195" s="130" t="s">
        <v>1914</v>
      </c>
      <c r="V195" t="s">
        <v>549</v>
      </c>
      <c r="W195" t="s">
        <v>685</v>
      </c>
      <c r="X195" t="s">
        <v>1112</v>
      </c>
      <c r="Y195" t="s">
        <v>677</v>
      </c>
      <c r="Z195">
        <v>226.26769999999999</v>
      </c>
      <c r="AA195" t="s">
        <v>923</v>
      </c>
      <c r="AB195">
        <v>211.09289999999999</v>
      </c>
      <c r="AC195">
        <v>-6.7065724225585349E-2</v>
      </c>
      <c r="AD195" t="s">
        <v>545</v>
      </c>
      <c r="AE195" t="s">
        <v>546</v>
      </c>
      <c r="AF195">
        <v>-6.8066000000000002E-2</v>
      </c>
      <c r="AG195" t="str">
        <f>IF($A195="","",IFERROR(INDEX(Company_List!$G$3:$G$207,MATCH($A195,Company_List!$A$3:$A$207,0)),"unassigned"))</f>
        <v>P3</v>
      </c>
      <c r="AH195" t="s">
        <v>1118</v>
      </c>
      <c r="AJ195" t="s">
        <v>548</v>
      </c>
      <c r="AK195" t="str">
        <f>IF($A195="","",IF(COUNTIFS(Human_Data_Entry!$A$3:$A$525,$A195)&gt;0,"YES","NO"))</f>
        <v>YES</v>
      </c>
      <c r="AL195" t="str">
        <f>IF($A195="","",IF(AND($C195&amp;"-"&amp;$D195&gt;=Settings!$B$19,$C195&amp;"-"&amp;$D195&lt;=Settings!$B$20),"IN","OUT"))</f>
        <v>IN</v>
      </c>
      <c r="AM195">
        <f t="shared" ref="AM195:AM258" si="12">IF(AND(OR($H195="BUY",$H195="SELL"),ISNUMBER($T195)),$T195,"")</f>
        <v>-6.8066000000000002E-2</v>
      </c>
      <c r="AN195">
        <f t="shared" ref="AN195:AN258" si="13">IF(AND(OR($H195="BUY",$H195="SELL"),ISNUMBER($AF195)),$AF195,"")</f>
        <v>-6.8066000000000002E-2</v>
      </c>
      <c r="AO195">
        <f>IF(ISNUMBER($AM195),ABS(IF(ISNUMBER($G195),$G195,0)-Settings!$B$25),"")</f>
        <v>0.27750000000000002</v>
      </c>
      <c r="AP195">
        <f t="shared" ref="AP195:AP258" si="14">IF(ISNUMBER($AO195),$AO195*$AM195,"")</f>
        <v>-1.8888315000000003E-2</v>
      </c>
      <c r="AQ195">
        <f>IF(ISNUMBER($AN195),ABS(IF(ISNUMBER($G195),$G195,0)-Settings!$B$25),"")</f>
        <v>0.27750000000000002</v>
      </c>
      <c r="AR195">
        <f t="shared" ref="AR195:AR258" si="15">IF(ISNUMBER($AQ195),$AQ195*$AN195,"")</f>
        <v>-1.8888315000000003E-2</v>
      </c>
      <c r="AS195" t="str">
        <f>IF($A195="","",IFERROR(INDEX(Company_List!$H$3:$H$207,MATCH($A195,Company_List!$A$3:$A$207,0)),"unassigned"))</f>
        <v>Consumer Discretionary</v>
      </c>
      <c r="AT195" t="s">
        <v>1924</v>
      </c>
      <c r="AU195" t="s">
        <v>1925</v>
      </c>
      <c r="AV195">
        <v>1</v>
      </c>
      <c r="AW195" t="s">
        <v>788</v>
      </c>
      <c r="AX195" t="s">
        <v>553</v>
      </c>
      <c r="AY195" t="s">
        <v>550</v>
      </c>
      <c r="AZ195" t="s">
        <v>550</v>
      </c>
      <c r="BA195" t="s">
        <v>554</v>
      </c>
    </row>
    <row r="196" spans="1:54" x14ac:dyDescent="0.2">
      <c r="A196" s="115" t="s">
        <v>1359</v>
      </c>
      <c r="B196" s="117" t="s">
        <v>1361</v>
      </c>
      <c r="C196" s="105">
        <v>2026</v>
      </c>
      <c r="D196" s="106" t="s">
        <v>555</v>
      </c>
      <c r="E196" s="109" t="s">
        <v>1911</v>
      </c>
      <c r="F196" s="106" t="s">
        <v>1912</v>
      </c>
      <c r="G196" s="128">
        <v>0.1</v>
      </c>
      <c r="H196" s="106" t="s">
        <v>1913</v>
      </c>
      <c r="I196" s="128"/>
      <c r="J196" s="125">
        <v>46008</v>
      </c>
      <c r="K196" s="126">
        <v>46007</v>
      </c>
      <c r="L196" s="129">
        <v>47.02</v>
      </c>
      <c r="M196" s="126">
        <v>46008</v>
      </c>
      <c r="N196" s="129">
        <v>48</v>
      </c>
      <c r="O196" s="132">
        <v>1.0246E-2</v>
      </c>
      <c r="P196" s="107">
        <v>2.0841999999999999E-2</v>
      </c>
      <c r="Q196" s="106" t="s">
        <v>591</v>
      </c>
      <c r="R196" s="106" t="s">
        <v>546</v>
      </c>
      <c r="S196" s="105">
        <v>0</v>
      </c>
      <c r="T196" s="107">
        <v>0</v>
      </c>
      <c r="U196" s="130" t="s">
        <v>1914</v>
      </c>
      <c r="V196" t="s">
        <v>549</v>
      </c>
      <c r="W196" t="s">
        <v>636</v>
      </c>
      <c r="X196" t="s">
        <v>1361</v>
      </c>
      <c r="Y196" t="s">
        <v>1362</v>
      </c>
      <c r="Z196">
        <v>44.8215</v>
      </c>
      <c r="AA196" t="s">
        <v>1363</v>
      </c>
      <c r="AB196">
        <v>45.755600000000001</v>
      </c>
      <c r="AC196">
        <v>2.0842071045116709E-2</v>
      </c>
      <c r="AD196" t="s">
        <v>591</v>
      </c>
      <c r="AE196" t="s">
        <v>546</v>
      </c>
      <c r="AF196">
        <v>0</v>
      </c>
      <c r="AG196" t="str">
        <f>IF($A196="","",IFERROR(INDEX(Company_List!$G$3:$G$207,MATCH($A196,Company_List!$A$3:$A$207,0)),"unassigned"))</f>
        <v>P3</v>
      </c>
      <c r="AH196" t="s">
        <v>1364</v>
      </c>
      <c r="AJ196" t="s">
        <v>548</v>
      </c>
      <c r="AK196" t="str">
        <f>IF($A196="","",IF(COUNTIFS(Human_Data_Entry!$A$3:$A$525,$A196)&gt;0,"YES","NO"))</f>
        <v>YES</v>
      </c>
      <c r="AL196" t="str">
        <f>IF($A196="","",IF(AND($C196&amp;"-"&amp;$D196&gt;=Settings!$B$19,$C196&amp;"-"&amp;$D196&lt;=Settings!$B$20),"IN","OUT"))</f>
        <v>IN</v>
      </c>
      <c r="AM196" t="str">
        <f t="shared" si="12"/>
        <v/>
      </c>
      <c r="AN196" t="str">
        <f t="shared" si="13"/>
        <v/>
      </c>
      <c r="AO196" t="str">
        <f>IF(ISNUMBER($AM196),ABS(IF(ISNUMBER($G196),$G196,0)-Settings!$B$25),"")</f>
        <v/>
      </c>
      <c r="AP196" t="str">
        <f t="shared" si="14"/>
        <v/>
      </c>
      <c r="AQ196" t="str">
        <f>IF(ISNUMBER($AN196),ABS(IF(ISNUMBER($G196),$G196,0)-Settings!$B$25),"")</f>
        <v/>
      </c>
      <c r="AR196" t="str">
        <f t="shared" si="15"/>
        <v/>
      </c>
      <c r="AS196" t="str">
        <f>IF($A196="","",IFERROR(INDEX(Company_List!$H$3:$H$207,MATCH($A196,Company_List!$A$3:$A$207,0)),"unassigned"))</f>
        <v>Consumer Staples</v>
      </c>
      <c r="AT196" t="s">
        <v>1924</v>
      </c>
      <c r="AU196" t="s">
        <v>1925</v>
      </c>
      <c r="AV196">
        <v>1</v>
      </c>
      <c r="AW196" t="s">
        <v>595</v>
      </c>
      <c r="AX196" t="s">
        <v>596</v>
      </c>
      <c r="AY196" t="s">
        <v>550</v>
      </c>
      <c r="AZ196" t="s">
        <v>550</v>
      </c>
      <c r="BA196" t="s">
        <v>554</v>
      </c>
    </row>
    <row r="197" spans="1:54" x14ac:dyDescent="0.2">
      <c r="A197" s="115" t="s">
        <v>1359</v>
      </c>
      <c r="B197" s="117" t="s">
        <v>1361</v>
      </c>
      <c r="C197" s="105">
        <v>2026</v>
      </c>
      <c r="D197" s="106" t="s">
        <v>563</v>
      </c>
      <c r="E197" s="109" t="s">
        <v>1911</v>
      </c>
      <c r="F197" s="106" t="s">
        <v>1912</v>
      </c>
      <c r="G197" s="128">
        <v>-0.21</v>
      </c>
      <c r="H197" s="106" t="s">
        <v>1923</v>
      </c>
      <c r="I197" s="128"/>
      <c r="J197" s="125">
        <v>46099</v>
      </c>
      <c r="K197" s="126">
        <v>46098</v>
      </c>
      <c r="L197" s="129">
        <v>38.74</v>
      </c>
      <c r="M197" s="126">
        <v>46099</v>
      </c>
      <c r="N197" s="129">
        <v>38.65</v>
      </c>
      <c r="O197" s="132">
        <v>9.9539999999999993E-3</v>
      </c>
      <c r="P197" s="107">
        <v>-2.323E-3</v>
      </c>
      <c r="Q197" s="106" t="s">
        <v>579</v>
      </c>
      <c r="R197" s="106" t="s">
        <v>546</v>
      </c>
      <c r="S197" s="105">
        <v>-1</v>
      </c>
      <c r="T197" s="107">
        <v>1.323E-3</v>
      </c>
      <c r="U197" s="130" t="s">
        <v>1914</v>
      </c>
      <c r="V197" t="s">
        <v>549</v>
      </c>
      <c r="W197" t="s">
        <v>636</v>
      </c>
      <c r="X197" t="s">
        <v>1361</v>
      </c>
      <c r="Y197" t="s">
        <v>822</v>
      </c>
      <c r="Z197">
        <v>37.448700000000002</v>
      </c>
      <c r="AA197" t="s">
        <v>823</v>
      </c>
      <c r="AB197">
        <v>37.361699999999999</v>
      </c>
      <c r="AC197">
        <v>-2.3231893866268202E-3</v>
      </c>
      <c r="AD197" t="s">
        <v>579</v>
      </c>
      <c r="AE197" t="s">
        <v>546</v>
      </c>
      <c r="AF197">
        <v>1.323E-3</v>
      </c>
      <c r="AG197" t="str">
        <f>IF($A197="","",IFERROR(INDEX(Company_List!$G$3:$G$207,MATCH($A197,Company_List!$A$3:$A$207,0)),"unassigned"))</f>
        <v>P3</v>
      </c>
      <c r="AH197" t="s">
        <v>1366</v>
      </c>
      <c r="AJ197" t="s">
        <v>548</v>
      </c>
      <c r="AK197" t="str">
        <f>IF($A197="","",IF(COUNTIFS(Human_Data_Entry!$A$3:$A$525,$A197)&gt;0,"YES","NO"))</f>
        <v>YES</v>
      </c>
      <c r="AL197" t="str">
        <f>IF($A197="","",IF(AND($C197&amp;"-"&amp;$D197&gt;=Settings!$B$19,$C197&amp;"-"&amp;$D197&lt;=Settings!$B$20),"IN","OUT"))</f>
        <v>IN</v>
      </c>
      <c r="AM197">
        <f t="shared" si="12"/>
        <v>1.323E-3</v>
      </c>
      <c r="AN197">
        <f t="shared" si="13"/>
        <v>1.323E-3</v>
      </c>
      <c r="AO197">
        <f>IF(ISNUMBER($AM197),ABS(IF(ISNUMBER($G197),$G197,0)-Settings!$B$25),"")</f>
        <v>0.21</v>
      </c>
      <c r="AP197">
        <f t="shared" si="14"/>
        <v>2.7782999999999996E-4</v>
      </c>
      <c r="AQ197">
        <f>IF(ISNUMBER($AN197),ABS(IF(ISNUMBER($G197),$G197,0)-Settings!$B$25),"")</f>
        <v>0.21</v>
      </c>
      <c r="AR197">
        <f t="shared" si="15"/>
        <v>2.7782999999999996E-4</v>
      </c>
      <c r="AS197" t="str">
        <f>IF($A197="","",IFERROR(INDEX(Company_List!$H$3:$H$207,MATCH($A197,Company_List!$A$3:$A$207,0)),"unassigned"))</f>
        <v>Consumer Staples</v>
      </c>
      <c r="AT197" t="s">
        <v>1924</v>
      </c>
      <c r="AU197" t="s">
        <v>1925</v>
      </c>
      <c r="AV197">
        <v>1</v>
      </c>
      <c r="AW197" t="s">
        <v>561</v>
      </c>
      <c r="AX197" t="s">
        <v>561</v>
      </c>
      <c r="AY197" t="s">
        <v>550</v>
      </c>
      <c r="AZ197" t="s">
        <v>550</v>
      </c>
      <c r="BA197" t="s">
        <v>554</v>
      </c>
    </row>
    <row r="198" spans="1:54" x14ac:dyDescent="0.2">
      <c r="A198" s="115" t="s">
        <v>1359</v>
      </c>
      <c r="B198" s="117" t="s">
        <v>1361</v>
      </c>
      <c r="C198" s="105">
        <v>2026</v>
      </c>
      <c r="D198" s="106" t="s">
        <v>569</v>
      </c>
      <c r="E198" s="109" t="s">
        <v>1911</v>
      </c>
      <c r="F198" s="106" t="s">
        <v>1912</v>
      </c>
      <c r="G198" s="128">
        <v>-0.3</v>
      </c>
      <c r="H198" s="106" t="s">
        <v>1923</v>
      </c>
      <c r="I198" s="128"/>
      <c r="J198" s="125">
        <v>46204</v>
      </c>
      <c r="K198" s="126">
        <v>46203</v>
      </c>
      <c r="L198" s="129">
        <v>34.799999999999997</v>
      </c>
      <c r="M198" s="126">
        <v>46204</v>
      </c>
      <c r="N198" s="129">
        <v>37.72</v>
      </c>
      <c r="O198" s="132">
        <v>9.7179999999999992E-3</v>
      </c>
      <c r="P198" s="107">
        <v>8.390800000000001E-2</v>
      </c>
      <c r="Q198" s="106" t="s">
        <v>591</v>
      </c>
      <c r="R198" s="106" t="s">
        <v>546</v>
      </c>
      <c r="S198" s="105">
        <v>-1</v>
      </c>
      <c r="T198" s="107">
        <v>-8.4907999999999997E-2</v>
      </c>
      <c r="U198" s="130" t="s">
        <v>1914</v>
      </c>
      <c r="V198" t="s">
        <v>549</v>
      </c>
      <c r="W198" t="s">
        <v>636</v>
      </c>
      <c r="X198" t="s">
        <v>1361</v>
      </c>
      <c r="Y198" t="s">
        <v>1368</v>
      </c>
      <c r="Z198">
        <v>34.207900000000002</v>
      </c>
      <c r="AA198" t="s">
        <v>1369</v>
      </c>
      <c r="AB198">
        <v>37.078200000000002</v>
      </c>
      <c r="AC198">
        <v>8.3908059788293785E-2</v>
      </c>
      <c r="AD198" t="s">
        <v>591</v>
      </c>
      <c r="AE198" t="s">
        <v>546</v>
      </c>
      <c r="AF198">
        <v>-8.4907999999999997E-2</v>
      </c>
      <c r="AG198" t="str">
        <f>IF($A198="","",IFERROR(INDEX(Company_List!$G$3:$G$207,MATCH($A198,Company_List!$A$3:$A$207,0)),"unassigned"))</f>
        <v>P3</v>
      </c>
      <c r="AH198" t="s">
        <v>1370</v>
      </c>
      <c r="AJ198" t="s">
        <v>548</v>
      </c>
      <c r="AK198" t="str">
        <f>IF($A198="","",IF(COUNTIFS(Human_Data_Entry!$A$3:$A$525,$A198)&gt;0,"YES","NO"))</f>
        <v>YES</v>
      </c>
      <c r="AL198" t="str">
        <f>IF($A198="","",IF(AND($C198&amp;"-"&amp;$D198&gt;=Settings!$B$19,$C198&amp;"-"&amp;$D198&lt;=Settings!$B$20),"IN","OUT"))</f>
        <v>IN</v>
      </c>
      <c r="AM198">
        <f t="shared" si="12"/>
        <v>-8.4907999999999997E-2</v>
      </c>
      <c r="AN198">
        <f t="shared" si="13"/>
        <v>-8.4907999999999997E-2</v>
      </c>
      <c r="AO198">
        <f>IF(ISNUMBER($AM198),ABS(IF(ISNUMBER($G198),$G198,0)-Settings!$B$25),"")</f>
        <v>0.3</v>
      </c>
      <c r="AP198">
        <f t="shared" si="14"/>
        <v>-2.5472399999999999E-2</v>
      </c>
      <c r="AQ198">
        <f>IF(ISNUMBER($AN198),ABS(IF(ISNUMBER($G198),$G198,0)-Settings!$B$25),"")</f>
        <v>0.3</v>
      </c>
      <c r="AR198">
        <f t="shared" si="15"/>
        <v>-2.5472399999999999E-2</v>
      </c>
      <c r="AS198" t="str">
        <f>IF($A198="","",IFERROR(INDEX(Company_List!$H$3:$H$207,MATCH($A198,Company_List!$A$3:$A$207,0)),"unassigned"))</f>
        <v>Consumer Staples</v>
      </c>
      <c r="AT198" t="s">
        <v>1924</v>
      </c>
      <c r="AU198" t="s">
        <v>1925</v>
      </c>
      <c r="AV198">
        <v>1</v>
      </c>
      <c r="AW198" t="s">
        <v>595</v>
      </c>
      <c r="AX198" t="s">
        <v>596</v>
      </c>
      <c r="AY198" t="s">
        <v>550</v>
      </c>
      <c r="AZ198" t="s">
        <v>550</v>
      </c>
      <c r="BA198" t="s">
        <v>554</v>
      </c>
    </row>
    <row r="199" spans="1:54" x14ac:dyDescent="0.2">
      <c r="A199" s="115" t="s">
        <v>1104</v>
      </c>
      <c r="B199" s="117" t="s">
        <v>1105</v>
      </c>
      <c r="C199" s="105">
        <v>2025</v>
      </c>
      <c r="D199" s="106" t="s">
        <v>537</v>
      </c>
      <c r="E199" s="109" t="s">
        <v>1911</v>
      </c>
      <c r="F199" s="106" t="s">
        <v>1912</v>
      </c>
      <c r="G199" s="128">
        <v>2.5000000000000001E-3</v>
      </c>
      <c r="H199" s="106" t="s">
        <v>1913</v>
      </c>
      <c r="I199" s="128"/>
      <c r="J199" s="125">
        <v>45762</v>
      </c>
      <c r="K199" s="126">
        <v>45761</v>
      </c>
      <c r="L199" s="129">
        <v>154.36000000000001</v>
      </c>
      <c r="M199" s="126">
        <v>45762</v>
      </c>
      <c r="N199" s="129">
        <v>155.69999999999999</v>
      </c>
      <c r="O199" s="132">
        <v>1.1317000000000001E-2</v>
      </c>
      <c r="P199" s="107">
        <v>8.6809999999999995E-3</v>
      </c>
      <c r="Q199" s="106" t="s">
        <v>579</v>
      </c>
      <c r="R199" s="106" t="s">
        <v>554</v>
      </c>
      <c r="S199" s="105">
        <v>0</v>
      </c>
      <c r="T199" s="107">
        <v>0</v>
      </c>
      <c r="U199" s="130" t="s">
        <v>1914</v>
      </c>
      <c r="V199" t="s">
        <v>549</v>
      </c>
      <c r="W199" t="s">
        <v>636</v>
      </c>
      <c r="X199" t="s">
        <v>1105</v>
      </c>
      <c r="Y199" t="s">
        <v>714</v>
      </c>
      <c r="Z199">
        <v>149.31710000000001</v>
      </c>
      <c r="AA199" t="s">
        <v>715</v>
      </c>
      <c r="AB199">
        <v>150.61330000000001</v>
      </c>
      <c r="AC199">
        <v>8.6809398535638189E-3</v>
      </c>
      <c r="AD199" t="s">
        <v>579</v>
      </c>
      <c r="AE199" t="s">
        <v>554</v>
      </c>
      <c r="AF199">
        <v>0</v>
      </c>
      <c r="AG199" t="str">
        <f>IF($A199="","",IFERROR(INDEX(Company_List!$G$3:$G$207,MATCH($A199,Company_List!$A$3:$A$207,0)),"unassigned"))</f>
        <v>P3</v>
      </c>
      <c r="AH199" t="s">
        <v>1106</v>
      </c>
      <c r="AJ199" t="s">
        <v>548</v>
      </c>
      <c r="AK199" t="str">
        <f>IF($A199="","",IF(COUNTIFS(Human_Data_Entry!$A$3:$A$525,$A199)&gt;0,"YES","NO"))</f>
        <v>YES</v>
      </c>
      <c r="AL199" t="str">
        <f>IF($A199="","",IF(AND($C199&amp;"-"&amp;$D199&gt;=Settings!$B$19,$C199&amp;"-"&amp;$D199&lt;=Settings!$B$20),"IN","OUT"))</f>
        <v>IN</v>
      </c>
      <c r="AM199" t="str">
        <f t="shared" si="12"/>
        <v/>
      </c>
      <c r="AN199" t="str">
        <f t="shared" si="13"/>
        <v/>
      </c>
      <c r="AO199" t="str">
        <f>IF(ISNUMBER($AM199),ABS(IF(ISNUMBER($G199),$G199,0)-Settings!$B$25),"")</f>
        <v/>
      </c>
      <c r="AP199" t="str">
        <f t="shared" si="14"/>
        <v/>
      </c>
      <c r="AQ199" t="str">
        <f>IF(ISNUMBER($AN199),ABS(IF(ISNUMBER($G199),$G199,0)-Settings!$B$25),"")</f>
        <v/>
      </c>
      <c r="AR199" t="str">
        <f t="shared" si="15"/>
        <v/>
      </c>
      <c r="AS199" t="str">
        <f>IF($A199="","",IFERROR(INDEX(Company_List!$H$3:$H$207,MATCH($A199,Company_List!$A$3:$A$207,0)),"unassigned"))</f>
        <v>Health Care</v>
      </c>
      <c r="AT199" t="s">
        <v>1924</v>
      </c>
      <c r="AU199" t="s">
        <v>1925</v>
      </c>
      <c r="AV199">
        <v>1</v>
      </c>
      <c r="AW199" t="s">
        <v>788</v>
      </c>
      <c r="AX199" t="s">
        <v>553</v>
      </c>
      <c r="AY199" t="s">
        <v>550</v>
      </c>
      <c r="AZ199" t="s">
        <v>550</v>
      </c>
      <c r="BA199" t="s">
        <v>554</v>
      </c>
    </row>
    <row r="200" spans="1:54" x14ac:dyDescent="0.2">
      <c r="A200" s="115" t="s">
        <v>1104</v>
      </c>
      <c r="B200" s="117" t="s">
        <v>1105</v>
      </c>
      <c r="C200" s="105">
        <v>2025</v>
      </c>
      <c r="D200" s="106" t="s">
        <v>555</v>
      </c>
      <c r="E200" s="109" t="s">
        <v>1911</v>
      </c>
      <c r="F200" s="106" t="s">
        <v>1912</v>
      </c>
      <c r="G200" s="128">
        <v>0.34749999999999998</v>
      </c>
      <c r="H200" s="106" t="s">
        <v>1919</v>
      </c>
      <c r="I200" s="128"/>
      <c r="J200" s="125">
        <v>45854</v>
      </c>
      <c r="K200" s="126">
        <v>45853</v>
      </c>
      <c r="L200" s="129">
        <v>155.16999999999999</v>
      </c>
      <c r="M200" s="126">
        <v>45854</v>
      </c>
      <c r="N200" s="129">
        <v>160.30000000000001</v>
      </c>
      <c r="O200" s="132">
        <v>1.1801000000000001E-2</v>
      </c>
      <c r="P200" s="107">
        <v>3.3061E-2</v>
      </c>
      <c r="Q200" s="106" t="s">
        <v>591</v>
      </c>
      <c r="R200" s="106" t="s">
        <v>554</v>
      </c>
      <c r="S200" s="105">
        <v>1</v>
      </c>
      <c r="T200" s="107">
        <v>3.2060999999999999E-2</v>
      </c>
      <c r="U200" s="130" t="s">
        <v>1914</v>
      </c>
      <c r="V200" t="s">
        <v>549</v>
      </c>
      <c r="W200" t="s">
        <v>835</v>
      </c>
      <c r="X200" t="s">
        <v>1105</v>
      </c>
      <c r="Y200" t="s">
        <v>719</v>
      </c>
      <c r="Z200">
        <v>151.38740000000001</v>
      </c>
      <c r="AA200" t="s">
        <v>884</v>
      </c>
      <c r="AB200">
        <v>156.39240000000001</v>
      </c>
      <c r="AC200">
        <v>3.3060507519144973E-2</v>
      </c>
      <c r="AD200" t="s">
        <v>591</v>
      </c>
      <c r="AE200" t="s">
        <v>554</v>
      </c>
      <c r="AF200">
        <v>3.2060999999999999E-2</v>
      </c>
      <c r="AG200" t="str">
        <f>IF($A200="","",IFERROR(INDEX(Company_List!$G$3:$G$207,MATCH($A200,Company_List!$A$3:$A$207,0)),"unassigned"))</f>
        <v>P3</v>
      </c>
      <c r="AH200" t="s">
        <v>1107</v>
      </c>
      <c r="AJ200" t="s">
        <v>548</v>
      </c>
      <c r="AK200" t="str">
        <f>IF($A200="","",IF(COUNTIFS(Human_Data_Entry!$A$3:$A$525,$A200)&gt;0,"YES","NO"))</f>
        <v>YES</v>
      </c>
      <c r="AL200" t="str">
        <f>IF($A200="","",IF(AND($C200&amp;"-"&amp;$D200&gt;=Settings!$B$19,$C200&amp;"-"&amp;$D200&lt;=Settings!$B$20),"IN","OUT"))</f>
        <v>IN</v>
      </c>
      <c r="AM200">
        <f t="shared" si="12"/>
        <v>3.2060999999999999E-2</v>
      </c>
      <c r="AN200">
        <f t="shared" si="13"/>
        <v>3.2060999999999999E-2</v>
      </c>
      <c r="AO200">
        <f>IF(ISNUMBER($AM200),ABS(IF(ISNUMBER($G200),$G200,0)-Settings!$B$25),"")</f>
        <v>0.34749999999999998</v>
      </c>
      <c r="AP200">
        <f t="shared" si="14"/>
        <v>1.1141197499999998E-2</v>
      </c>
      <c r="AQ200">
        <f>IF(ISNUMBER($AN200),ABS(IF(ISNUMBER($G200),$G200,0)-Settings!$B$25),"")</f>
        <v>0.34749999999999998</v>
      </c>
      <c r="AR200">
        <f t="shared" si="15"/>
        <v>1.1141197499999998E-2</v>
      </c>
      <c r="AS200" t="str">
        <f>IF($A200="","",IFERROR(INDEX(Company_List!$H$3:$H$207,MATCH($A200,Company_List!$A$3:$A$207,0)),"unassigned"))</f>
        <v>Health Care</v>
      </c>
      <c r="AT200" t="s">
        <v>1924</v>
      </c>
      <c r="AU200" t="s">
        <v>1925</v>
      </c>
      <c r="AV200">
        <v>1</v>
      </c>
      <c r="AW200" t="s">
        <v>788</v>
      </c>
      <c r="AX200" t="s">
        <v>553</v>
      </c>
      <c r="AY200" t="s">
        <v>550</v>
      </c>
      <c r="AZ200" t="s">
        <v>550</v>
      </c>
      <c r="BA200" t="s">
        <v>554</v>
      </c>
    </row>
    <row r="201" spans="1:54" x14ac:dyDescent="0.2">
      <c r="A201" s="115" t="s">
        <v>1104</v>
      </c>
      <c r="B201" s="117" t="s">
        <v>1105</v>
      </c>
      <c r="C201" s="105">
        <v>2025</v>
      </c>
      <c r="D201" s="106" t="s">
        <v>563</v>
      </c>
      <c r="E201" s="109" t="s">
        <v>1911</v>
      </c>
      <c r="F201" s="106" t="s">
        <v>1912</v>
      </c>
      <c r="G201" s="128">
        <v>0.4375</v>
      </c>
      <c r="H201" s="106" t="s">
        <v>1919</v>
      </c>
      <c r="I201" s="128"/>
      <c r="J201" s="125">
        <v>45944</v>
      </c>
      <c r="K201" s="126">
        <v>45943</v>
      </c>
      <c r="L201" s="129">
        <v>190.9</v>
      </c>
      <c r="M201" s="126">
        <v>45944</v>
      </c>
      <c r="N201" s="129">
        <v>192.92</v>
      </c>
      <c r="O201" s="132">
        <v>1.1861999999999999E-2</v>
      </c>
      <c r="P201" s="107">
        <v>1.0581E-2</v>
      </c>
      <c r="Q201" s="106" t="s">
        <v>579</v>
      </c>
      <c r="R201" s="106" t="s">
        <v>546</v>
      </c>
      <c r="S201" s="105">
        <v>1</v>
      </c>
      <c r="T201" s="107">
        <v>9.5809999999999992E-3</v>
      </c>
      <c r="U201" s="130" t="s">
        <v>1914</v>
      </c>
      <c r="V201" t="s">
        <v>549</v>
      </c>
      <c r="W201" t="s">
        <v>835</v>
      </c>
      <c r="X201" t="s">
        <v>1105</v>
      </c>
      <c r="Y201" t="s">
        <v>757</v>
      </c>
      <c r="Z201">
        <v>187.61349999999999</v>
      </c>
      <c r="AA201" t="s">
        <v>722</v>
      </c>
      <c r="AB201">
        <v>189.59870000000001</v>
      </c>
      <c r="AC201">
        <v>1.0581528256365351E-2</v>
      </c>
      <c r="AD201" t="s">
        <v>579</v>
      </c>
      <c r="AE201" t="s">
        <v>546</v>
      </c>
      <c r="AF201">
        <v>9.5820000000000002E-3</v>
      </c>
      <c r="AG201" t="str">
        <f>IF($A201="","",IFERROR(INDEX(Company_List!$G$3:$G$207,MATCH($A201,Company_List!$A$3:$A$207,0)),"unassigned"))</f>
        <v>P3</v>
      </c>
      <c r="AH201" t="s">
        <v>1108</v>
      </c>
      <c r="AJ201" t="s">
        <v>548</v>
      </c>
      <c r="AK201" t="str">
        <f>IF($A201="","",IF(COUNTIFS(Human_Data_Entry!$A$3:$A$525,$A201)&gt;0,"YES","NO"))</f>
        <v>YES</v>
      </c>
      <c r="AL201" t="str">
        <f>IF($A201="","",IF(AND($C201&amp;"-"&amp;$D201&gt;=Settings!$B$19,$C201&amp;"-"&amp;$D201&lt;=Settings!$B$20),"IN","OUT"))</f>
        <v>IN</v>
      </c>
      <c r="AM201">
        <f t="shared" si="12"/>
        <v>9.5809999999999992E-3</v>
      </c>
      <c r="AN201">
        <f t="shared" si="13"/>
        <v>9.5820000000000002E-3</v>
      </c>
      <c r="AO201">
        <f>IF(ISNUMBER($AM201),ABS(IF(ISNUMBER($G201),$G201,0)-Settings!$B$25),"")</f>
        <v>0.4375</v>
      </c>
      <c r="AP201">
        <f t="shared" si="14"/>
        <v>4.1916874999999992E-3</v>
      </c>
      <c r="AQ201">
        <f>IF(ISNUMBER($AN201),ABS(IF(ISNUMBER($G201),$G201,0)-Settings!$B$25),"")</f>
        <v>0.4375</v>
      </c>
      <c r="AR201">
        <f t="shared" si="15"/>
        <v>4.1921249999999997E-3</v>
      </c>
      <c r="AS201" t="str">
        <f>IF($A201="","",IFERROR(INDEX(Company_List!$H$3:$H$207,MATCH($A201,Company_List!$A$3:$A$207,0)),"unassigned"))</f>
        <v>Health Care</v>
      </c>
      <c r="AT201" t="s">
        <v>1924</v>
      </c>
      <c r="AU201" t="s">
        <v>1925</v>
      </c>
      <c r="AV201">
        <v>1</v>
      </c>
      <c r="AW201" t="s">
        <v>788</v>
      </c>
      <c r="AX201" t="s">
        <v>553</v>
      </c>
      <c r="AY201" t="s">
        <v>550</v>
      </c>
      <c r="AZ201" t="s">
        <v>550</v>
      </c>
      <c r="BA201" t="s">
        <v>554</v>
      </c>
    </row>
    <row r="202" spans="1:54" x14ac:dyDescent="0.2">
      <c r="A202" s="115" t="s">
        <v>1145</v>
      </c>
      <c r="B202" s="117" t="s">
        <v>1147</v>
      </c>
      <c r="C202" s="105">
        <v>2025</v>
      </c>
      <c r="D202" s="106" t="s">
        <v>569</v>
      </c>
      <c r="E202" s="109" t="s">
        <v>1911</v>
      </c>
      <c r="F202" s="106" t="s">
        <v>1912</v>
      </c>
      <c r="G202" s="128">
        <v>-0.08</v>
      </c>
      <c r="H202" s="106" t="s">
        <v>1923</v>
      </c>
      <c r="I202" s="128"/>
      <c r="J202" s="125">
        <v>46063</v>
      </c>
      <c r="K202" s="126">
        <v>46062</v>
      </c>
      <c r="L202" s="129">
        <v>24.9</v>
      </c>
      <c r="M202" s="126">
        <v>46063</v>
      </c>
      <c r="N202" s="129">
        <v>23.8</v>
      </c>
      <c r="O202" s="132"/>
      <c r="P202" s="107">
        <v>-4.4177</v>
      </c>
      <c r="Q202" s="106" t="s">
        <v>545</v>
      </c>
      <c r="R202" s="106" t="s">
        <v>554</v>
      </c>
      <c r="S202" s="105">
        <v>-1</v>
      </c>
      <c r="T202" s="107">
        <v>4.3177E-2</v>
      </c>
      <c r="U202" s="130" t="s">
        <v>1914</v>
      </c>
      <c r="V202" t="s">
        <v>549</v>
      </c>
      <c r="W202" t="s">
        <v>636</v>
      </c>
      <c r="X202" t="s">
        <v>1147</v>
      </c>
      <c r="Y202" t="s">
        <v>705</v>
      </c>
      <c r="Z202">
        <v>24.053000000000001</v>
      </c>
      <c r="AA202" t="s">
        <v>676</v>
      </c>
      <c r="AB202">
        <v>22.990400000000001</v>
      </c>
      <c r="AC202">
        <v>-4.4176768645995561E-2</v>
      </c>
      <c r="AD202" t="s">
        <v>545</v>
      </c>
      <c r="AE202" t="s">
        <v>554</v>
      </c>
      <c r="AF202">
        <v>4.3177E-2</v>
      </c>
      <c r="AG202" t="str">
        <f>IF($A202="","",IFERROR(INDEX(Company_List!$G$3:$G$207,MATCH($A202,Company_List!$A$3:$A$207,0)),"unassigned"))</f>
        <v>P3</v>
      </c>
      <c r="AH202" t="s">
        <v>2004</v>
      </c>
      <c r="AI202" t="s">
        <v>2005</v>
      </c>
      <c r="AJ202" t="s">
        <v>560</v>
      </c>
      <c r="AK202" t="str">
        <f>IF($A202="","",IF(COUNTIFS(Human_Data_Entry!$A$3:$A$525,$A202)&gt;0,"YES","NO"))</f>
        <v>YES</v>
      </c>
      <c r="AL202" t="str">
        <f>IF($A202="","",IF(AND($C202&amp;"-"&amp;$D202&gt;=Settings!$B$19,$C202&amp;"-"&amp;$D202&lt;=Settings!$B$20),"IN","OUT"))</f>
        <v>IN</v>
      </c>
      <c r="AM202">
        <f t="shared" si="12"/>
        <v>4.3177E-2</v>
      </c>
      <c r="AN202">
        <f t="shared" si="13"/>
        <v>4.3177E-2</v>
      </c>
      <c r="AO202">
        <f>IF(ISNUMBER($AM202),ABS(IF(ISNUMBER($G202),$G202,0)-Settings!$B$25),"")</f>
        <v>0.08</v>
      </c>
      <c r="AP202">
        <f t="shared" si="14"/>
        <v>3.45416E-3</v>
      </c>
      <c r="AQ202">
        <f>IF(ISNUMBER($AN202),ABS(IF(ISNUMBER($G202),$G202,0)-Settings!$B$25),"")</f>
        <v>0.08</v>
      </c>
      <c r="AR202">
        <f t="shared" si="15"/>
        <v>3.45416E-3</v>
      </c>
      <c r="AS202" t="str">
        <f>IF($A202="","",IFERROR(INDEX(Company_List!$H$3:$H$207,MATCH($A202,Company_List!$A$3:$A$207,0)),"unassigned"))</f>
        <v>Consumer Staples</v>
      </c>
      <c r="AT202" t="s">
        <v>1924</v>
      </c>
      <c r="AU202" t="s">
        <v>1925</v>
      </c>
      <c r="AV202">
        <v>1</v>
      </c>
      <c r="AW202" t="s">
        <v>561</v>
      </c>
      <c r="AX202" t="s">
        <v>561</v>
      </c>
      <c r="AY202" t="s">
        <v>550</v>
      </c>
      <c r="AZ202" t="s">
        <v>562</v>
      </c>
      <c r="BA202" t="s">
        <v>554</v>
      </c>
    </row>
    <row r="203" spans="1:54" x14ac:dyDescent="0.2">
      <c r="A203" s="115" t="s">
        <v>1145</v>
      </c>
      <c r="B203" s="117" t="s">
        <v>1147</v>
      </c>
      <c r="C203" s="105">
        <v>2026</v>
      </c>
      <c r="D203" s="106" t="s">
        <v>537</v>
      </c>
      <c r="E203" s="109" t="s">
        <v>1911</v>
      </c>
      <c r="F203" s="106" t="s">
        <v>1912</v>
      </c>
      <c r="G203" s="128">
        <v>-0.245</v>
      </c>
      <c r="H203" s="106" t="s">
        <v>1923</v>
      </c>
      <c r="I203" s="128"/>
      <c r="J203" s="125">
        <v>46148</v>
      </c>
      <c r="K203" s="126">
        <v>46147</v>
      </c>
      <c r="L203" s="129">
        <v>22.54</v>
      </c>
      <c r="M203" s="126">
        <v>46148</v>
      </c>
      <c r="N203" s="129">
        <v>23.17</v>
      </c>
      <c r="O203" s="132">
        <v>5.6249999999999998E-3</v>
      </c>
      <c r="P203" s="107">
        <v>2.7949999999999999E-2</v>
      </c>
      <c r="Q203" s="106" t="s">
        <v>591</v>
      </c>
      <c r="R203" s="106" t="s">
        <v>546</v>
      </c>
      <c r="S203" s="105">
        <v>-1</v>
      </c>
      <c r="T203" s="107">
        <v>-2.895E-2</v>
      </c>
      <c r="U203" s="130" t="s">
        <v>1914</v>
      </c>
      <c r="V203" t="s">
        <v>549</v>
      </c>
      <c r="W203" t="s">
        <v>636</v>
      </c>
      <c r="X203" t="s">
        <v>1147</v>
      </c>
      <c r="Y203" t="s">
        <v>731</v>
      </c>
      <c r="Z203">
        <v>22.1388</v>
      </c>
      <c r="AA203" t="s">
        <v>680</v>
      </c>
      <c r="AB203">
        <v>22.7575</v>
      </c>
      <c r="AC203">
        <v>2.7950301461763399E-2</v>
      </c>
      <c r="AD203" t="s">
        <v>591</v>
      </c>
      <c r="AE203" t="s">
        <v>546</v>
      </c>
      <c r="AF203">
        <v>-2.895E-2</v>
      </c>
      <c r="AG203" t="str">
        <f>IF($A203="","",IFERROR(INDEX(Company_List!$G$3:$G$207,MATCH($A203,Company_List!$A$3:$A$207,0)),"unassigned"))</f>
        <v>P3</v>
      </c>
      <c r="AH203" t="s">
        <v>1154</v>
      </c>
      <c r="AJ203" t="s">
        <v>548</v>
      </c>
      <c r="AK203" t="str">
        <f>IF($A203="","",IF(COUNTIFS(Human_Data_Entry!$A$3:$A$525,$A203)&gt;0,"YES","NO"))</f>
        <v>YES</v>
      </c>
      <c r="AL203" t="str">
        <f>IF($A203="","",IF(AND($C203&amp;"-"&amp;$D203&gt;=Settings!$B$19,$C203&amp;"-"&amp;$D203&lt;=Settings!$B$20),"IN","OUT"))</f>
        <v>IN</v>
      </c>
      <c r="AM203">
        <f t="shared" si="12"/>
        <v>-2.895E-2</v>
      </c>
      <c r="AN203">
        <f t="shared" si="13"/>
        <v>-2.895E-2</v>
      </c>
      <c r="AO203">
        <f>IF(ISNUMBER($AM203),ABS(IF(ISNUMBER($G203),$G203,0)-Settings!$B$25),"")</f>
        <v>0.245</v>
      </c>
      <c r="AP203">
        <f t="shared" si="14"/>
        <v>-7.0927500000000001E-3</v>
      </c>
      <c r="AQ203">
        <f>IF(ISNUMBER($AN203),ABS(IF(ISNUMBER($G203),$G203,0)-Settings!$B$25),"")</f>
        <v>0.245</v>
      </c>
      <c r="AR203">
        <f t="shared" si="15"/>
        <v>-7.0927500000000001E-3</v>
      </c>
      <c r="AS203" t="str">
        <f>IF($A203="","",IFERROR(INDEX(Company_List!$H$3:$H$207,MATCH($A203,Company_List!$A$3:$A$207,0)),"unassigned"))</f>
        <v>Consumer Staples</v>
      </c>
      <c r="AT203" t="s">
        <v>1924</v>
      </c>
      <c r="AU203" t="s">
        <v>1925</v>
      </c>
      <c r="AV203">
        <v>1</v>
      </c>
      <c r="AW203" t="s">
        <v>595</v>
      </c>
      <c r="AX203" t="s">
        <v>596</v>
      </c>
      <c r="AY203" t="s">
        <v>550</v>
      </c>
      <c r="AZ203" t="s">
        <v>550</v>
      </c>
      <c r="BA203" t="s">
        <v>554</v>
      </c>
    </row>
    <row r="204" spans="1:54" x14ac:dyDescent="0.2">
      <c r="A204" s="115" t="s">
        <v>1145</v>
      </c>
      <c r="B204" s="117" t="s">
        <v>1147</v>
      </c>
      <c r="C204" s="105">
        <v>2024</v>
      </c>
      <c r="D204" s="106" t="s">
        <v>569</v>
      </c>
      <c r="E204" s="109" t="s">
        <v>1911</v>
      </c>
      <c r="F204" s="106" t="s">
        <v>1912</v>
      </c>
      <c r="G204" s="128">
        <v>-0.3</v>
      </c>
      <c r="H204" s="106" t="s">
        <v>1923</v>
      </c>
      <c r="I204" s="128"/>
      <c r="J204" s="125">
        <v>45700</v>
      </c>
      <c r="K204" s="126">
        <v>45699</v>
      </c>
      <c r="L204" s="129">
        <v>29.58</v>
      </c>
      <c r="M204" s="126">
        <v>45700</v>
      </c>
      <c r="N204" s="129">
        <v>27.53</v>
      </c>
      <c r="O204" s="132">
        <v>7.2389999999999998E-3</v>
      </c>
      <c r="P204" s="107">
        <v>-6.9303999999999991E-2</v>
      </c>
      <c r="Q204" s="106" t="s">
        <v>545</v>
      </c>
      <c r="R204" s="106" t="s">
        <v>554</v>
      </c>
      <c r="S204" s="105">
        <v>-1</v>
      </c>
      <c r="T204" s="107">
        <v>6.8304000000000004E-2</v>
      </c>
      <c r="U204" s="130" t="s">
        <v>1914</v>
      </c>
      <c r="V204" t="s">
        <v>549</v>
      </c>
      <c r="W204" t="s">
        <v>636</v>
      </c>
      <c r="X204" t="s">
        <v>1147</v>
      </c>
      <c r="Y204" t="s">
        <v>1148</v>
      </c>
      <c r="Z204">
        <v>26.960699999999999</v>
      </c>
      <c r="AA204" t="s">
        <v>1149</v>
      </c>
      <c r="AB204">
        <v>25.092199999999998</v>
      </c>
      <c r="AC204">
        <v>-6.9303621367013429E-2</v>
      </c>
      <c r="AD204" t="s">
        <v>545</v>
      </c>
      <c r="AE204" t="s">
        <v>554</v>
      </c>
      <c r="AF204">
        <v>6.8304000000000004E-2</v>
      </c>
      <c r="AG204" t="str">
        <f>IF($A204="","",IFERROR(INDEX(Company_List!$G$3:$G$207,MATCH($A204,Company_List!$A$3:$A$207,0)),"unassigned"))</f>
        <v>P3</v>
      </c>
      <c r="AH204" t="s">
        <v>1150</v>
      </c>
      <c r="AJ204" t="s">
        <v>548</v>
      </c>
      <c r="AK204" t="str">
        <f>IF($A204="","",IF(COUNTIFS(Human_Data_Entry!$A$3:$A$525,$A204)&gt;0,"YES","NO"))</f>
        <v>YES</v>
      </c>
      <c r="AL204" t="str">
        <f>IF($A204="","",IF(AND($C204&amp;"-"&amp;$D204&gt;=Settings!$B$19,$C204&amp;"-"&amp;$D204&lt;=Settings!$B$20),"IN","OUT"))</f>
        <v>IN</v>
      </c>
      <c r="AM204">
        <f t="shared" si="12"/>
        <v>6.8304000000000004E-2</v>
      </c>
      <c r="AN204">
        <f t="shared" si="13"/>
        <v>6.8304000000000004E-2</v>
      </c>
      <c r="AO204">
        <f>IF(ISNUMBER($AM204),ABS(IF(ISNUMBER($G204),$G204,0)-Settings!$B$25),"")</f>
        <v>0.3</v>
      </c>
      <c r="AP204">
        <f t="shared" si="14"/>
        <v>2.0491200000000001E-2</v>
      </c>
      <c r="AQ204">
        <f>IF(ISNUMBER($AN204),ABS(IF(ISNUMBER($G204),$G204,0)-Settings!$B$25),"")</f>
        <v>0.3</v>
      </c>
      <c r="AR204">
        <f t="shared" si="15"/>
        <v>2.0491200000000001E-2</v>
      </c>
      <c r="AS204" t="str">
        <f>IF($A204="","",IFERROR(INDEX(Company_List!$H$3:$H$207,MATCH($A204,Company_List!$A$3:$A$207,0)),"unassigned"))</f>
        <v>Consumer Staples</v>
      </c>
      <c r="AT204" t="s">
        <v>1924</v>
      </c>
      <c r="AU204" t="s">
        <v>1925</v>
      </c>
      <c r="AV204">
        <v>1</v>
      </c>
      <c r="AW204" t="s">
        <v>561</v>
      </c>
      <c r="AX204" t="s">
        <v>561</v>
      </c>
      <c r="AY204" t="s">
        <v>550</v>
      </c>
      <c r="AZ204" t="s">
        <v>550</v>
      </c>
      <c r="BA204" t="s">
        <v>554</v>
      </c>
    </row>
    <row r="205" spans="1:54" x14ac:dyDescent="0.2">
      <c r="A205" s="115" t="s">
        <v>1190</v>
      </c>
      <c r="B205" s="117" t="s">
        <v>2006</v>
      </c>
      <c r="C205" s="105">
        <v>2026</v>
      </c>
      <c r="D205" s="106" t="s">
        <v>537</v>
      </c>
      <c r="E205" s="109" t="s">
        <v>1911</v>
      </c>
      <c r="F205" s="106" t="s">
        <v>1912</v>
      </c>
      <c r="G205" s="128">
        <v>0.1825</v>
      </c>
      <c r="H205" s="106" t="s">
        <v>1913</v>
      </c>
      <c r="I205" s="128"/>
      <c r="J205" s="125">
        <v>45883</v>
      </c>
      <c r="K205" s="126">
        <v>45883</v>
      </c>
      <c r="L205" s="129">
        <v>27.4</v>
      </c>
      <c r="M205" s="126">
        <v>45884</v>
      </c>
      <c r="N205" s="129">
        <v>28.75</v>
      </c>
      <c r="O205" s="132">
        <v>4.6990000000000001E-3</v>
      </c>
      <c r="P205" s="107">
        <v>4.9269999999999987E-2</v>
      </c>
      <c r="Q205" s="106" t="s">
        <v>591</v>
      </c>
      <c r="R205" s="106" t="s">
        <v>546</v>
      </c>
      <c r="S205" s="105">
        <v>0</v>
      </c>
      <c r="T205" s="107">
        <v>0</v>
      </c>
      <c r="U205" s="130" t="s">
        <v>1914</v>
      </c>
      <c r="V205" t="s">
        <v>549</v>
      </c>
      <c r="W205" t="s">
        <v>864</v>
      </c>
      <c r="X205" t="s">
        <v>1191</v>
      </c>
      <c r="Y205" t="s">
        <v>1197</v>
      </c>
      <c r="Z205">
        <v>11.267099999999999</v>
      </c>
      <c r="AA205" t="s">
        <v>1198</v>
      </c>
      <c r="AB205">
        <v>11.267099999999999</v>
      </c>
      <c r="AC205">
        <v>-5.4579924396651327E-8</v>
      </c>
      <c r="AD205" t="s">
        <v>579</v>
      </c>
      <c r="AE205" t="s">
        <v>554</v>
      </c>
      <c r="AF205">
        <v>0</v>
      </c>
      <c r="AG205" t="str">
        <f>IF($A205="","",IFERROR(INDEX(Company_List!$G$3:$G$207,MATCH($A205,Company_List!$A$3:$A$207,0)),"unassigned"))</f>
        <v>P3</v>
      </c>
      <c r="AH205" t="s">
        <v>2007</v>
      </c>
      <c r="AJ205" t="s">
        <v>560</v>
      </c>
      <c r="AK205" t="str">
        <f>IF($A205="","",IF(COUNTIFS(Human_Data_Entry!$A$3:$A$525,$A205)&gt;0,"YES","NO"))</f>
        <v>YES</v>
      </c>
      <c r="AL205" t="str">
        <f>IF($A205="","",IF(AND($C205&amp;"-"&amp;$D205&gt;=Settings!$B$19,$C205&amp;"-"&amp;$D205&lt;=Settings!$B$20),"IN","OUT"))</f>
        <v>IN</v>
      </c>
      <c r="AM205" t="str">
        <f t="shared" si="12"/>
        <v/>
      </c>
      <c r="AN205" t="str">
        <f t="shared" si="13"/>
        <v/>
      </c>
      <c r="AO205" t="str">
        <f>IF(ISNUMBER($AM205),ABS(IF(ISNUMBER($G205),$G205,0)-Settings!$B$25),"")</f>
        <v/>
      </c>
      <c r="AP205" t="str">
        <f t="shared" si="14"/>
        <v/>
      </c>
      <c r="AQ205" t="str">
        <f>IF(ISNUMBER($AN205),ABS(IF(ISNUMBER($G205),$G205,0)-Settings!$B$25),"")</f>
        <v/>
      </c>
      <c r="AR205" t="str">
        <f t="shared" si="15"/>
        <v/>
      </c>
      <c r="AS205" t="str">
        <f>IF($A205="","",IFERROR(INDEX(Company_List!$H$3:$H$207,MATCH($A205,Company_List!$A$3:$A$207,0)),"unassigned"))</f>
        <v>Information Technology</v>
      </c>
      <c r="AT205" t="s">
        <v>1924</v>
      </c>
      <c r="AU205" t="s">
        <v>1925</v>
      </c>
      <c r="AV205">
        <v>1</v>
      </c>
      <c r="AW205" t="s">
        <v>561</v>
      </c>
      <c r="AX205" t="s">
        <v>561</v>
      </c>
      <c r="AY205" t="s">
        <v>550</v>
      </c>
      <c r="AZ205" t="s">
        <v>562</v>
      </c>
      <c r="BA205" s="160" t="s">
        <v>546</v>
      </c>
      <c r="BB205" s="160" t="s">
        <v>1928</v>
      </c>
    </row>
    <row r="206" spans="1:54" x14ac:dyDescent="0.2">
      <c r="A206" s="115" t="s">
        <v>1190</v>
      </c>
      <c r="B206" s="117" t="s">
        <v>2006</v>
      </c>
      <c r="C206" s="105">
        <v>2026</v>
      </c>
      <c r="D206" s="106" t="s">
        <v>555</v>
      </c>
      <c r="E206" s="109" t="s">
        <v>1911</v>
      </c>
      <c r="F206" s="106" t="s">
        <v>1912</v>
      </c>
      <c r="G206" s="128">
        <v>0.25</v>
      </c>
      <c r="H206" s="106" t="s">
        <v>1913</v>
      </c>
      <c r="I206" s="128"/>
      <c r="J206" s="125">
        <v>46052</v>
      </c>
      <c r="K206" s="126">
        <v>46052</v>
      </c>
      <c r="L206" s="129">
        <v>22.61</v>
      </c>
      <c r="M206" s="126">
        <v>46055</v>
      </c>
      <c r="N206" s="129">
        <v>22.41</v>
      </c>
      <c r="O206" s="132">
        <v>4.326E-3</v>
      </c>
      <c r="P206" s="107">
        <v>-8.8459999999999997E-3</v>
      </c>
      <c r="Q206" s="106" t="s">
        <v>579</v>
      </c>
      <c r="R206" s="106" t="s">
        <v>554</v>
      </c>
      <c r="S206" s="105">
        <v>0</v>
      </c>
      <c r="T206" s="107">
        <v>0</v>
      </c>
      <c r="U206" s="130" t="s">
        <v>1944</v>
      </c>
      <c r="V206" t="s">
        <v>549</v>
      </c>
      <c r="W206" t="s">
        <v>864</v>
      </c>
      <c r="X206" t="s">
        <v>1191</v>
      </c>
      <c r="Y206" t="s">
        <v>606</v>
      </c>
      <c r="Z206">
        <v>9.4185999999999996</v>
      </c>
      <c r="AA206" t="s">
        <v>607</v>
      </c>
      <c r="AB206">
        <v>9.6532999999999998</v>
      </c>
      <c r="AC206">
        <v>2.4922080091938852E-2</v>
      </c>
      <c r="AD206" t="s">
        <v>591</v>
      </c>
      <c r="AE206" t="s">
        <v>546</v>
      </c>
      <c r="AF206">
        <v>0</v>
      </c>
      <c r="AG206" t="str">
        <f>IF($A206="","",IFERROR(INDEX(Company_List!$G$3:$G$207,MATCH($A206,Company_List!$A$3:$A$207,0)),"unassigned"))</f>
        <v>P3</v>
      </c>
      <c r="AH206" t="s">
        <v>2008</v>
      </c>
      <c r="AJ206" t="s">
        <v>560</v>
      </c>
      <c r="AK206" t="str">
        <f>IF($A206="","",IF(COUNTIFS(Human_Data_Entry!$A$3:$A$525,$A206)&gt;0,"YES","NO"))</f>
        <v>YES</v>
      </c>
      <c r="AL206" t="str">
        <f>IF($A206="","",IF(AND($C206&amp;"-"&amp;$D206&gt;=Settings!$B$19,$C206&amp;"-"&amp;$D206&lt;=Settings!$B$20),"IN","OUT"))</f>
        <v>IN</v>
      </c>
      <c r="AM206" t="str">
        <f t="shared" si="12"/>
        <v/>
      </c>
      <c r="AN206" t="str">
        <f t="shared" si="13"/>
        <v/>
      </c>
      <c r="AO206" t="str">
        <f>IF(ISNUMBER($AM206),ABS(IF(ISNUMBER($G206),$G206,0)-Settings!$B$25),"")</f>
        <v/>
      </c>
      <c r="AP206" t="str">
        <f t="shared" si="14"/>
        <v/>
      </c>
      <c r="AQ206" t="str">
        <f>IF(ISNUMBER($AN206),ABS(IF(ISNUMBER($G206),$G206,0)-Settings!$B$25),"")</f>
        <v/>
      </c>
      <c r="AR206" t="str">
        <f t="shared" si="15"/>
        <v/>
      </c>
      <c r="AS206" t="str">
        <f>IF($A206="","",IFERROR(INDEX(Company_List!$H$3:$H$207,MATCH($A206,Company_List!$A$3:$A$207,0)),"unassigned"))</f>
        <v>Information Technology</v>
      </c>
      <c r="AT206" t="s">
        <v>1924</v>
      </c>
      <c r="AU206" t="s">
        <v>1925</v>
      </c>
      <c r="AV206">
        <v>1</v>
      </c>
      <c r="AW206" t="s">
        <v>561</v>
      </c>
      <c r="AX206" t="s">
        <v>561</v>
      </c>
      <c r="AY206" t="s">
        <v>550</v>
      </c>
      <c r="AZ206" t="s">
        <v>562</v>
      </c>
      <c r="BA206" s="160" t="s">
        <v>546</v>
      </c>
      <c r="BB206" s="160" t="s">
        <v>1928</v>
      </c>
    </row>
    <row r="207" spans="1:54" x14ac:dyDescent="0.2">
      <c r="A207" s="115" t="s">
        <v>1190</v>
      </c>
      <c r="B207" s="117" t="s">
        <v>2006</v>
      </c>
      <c r="C207" s="105">
        <v>2026</v>
      </c>
      <c r="D207" s="106" t="s">
        <v>563</v>
      </c>
      <c r="E207" s="109" t="s">
        <v>1911</v>
      </c>
      <c r="F207" s="106" t="s">
        <v>1912</v>
      </c>
      <c r="G207" s="128">
        <v>0.27750000000000002</v>
      </c>
      <c r="H207" s="106" t="s">
        <v>1919</v>
      </c>
      <c r="I207" s="128"/>
      <c r="J207" s="125">
        <v>46065</v>
      </c>
      <c r="K207" s="126">
        <v>46065</v>
      </c>
      <c r="L207" s="129">
        <v>22.96</v>
      </c>
      <c r="M207" s="126">
        <v>46066</v>
      </c>
      <c r="N207" s="129">
        <v>23.55</v>
      </c>
      <c r="O207" s="132">
        <v>5.0850000000000001E-3</v>
      </c>
      <c r="P207" s="107">
        <v>2.5697000000000001E-2</v>
      </c>
      <c r="Q207" s="106" t="s">
        <v>591</v>
      </c>
      <c r="R207" s="106" t="s">
        <v>554</v>
      </c>
      <c r="S207" s="105">
        <v>1</v>
      </c>
      <c r="T207" s="107">
        <v>2.4697E-2</v>
      </c>
      <c r="U207" s="130" t="s">
        <v>1914</v>
      </c>
      <c r="V207" t="s">
        <v>549</v>
      </c>
      <c r="W207" t="s">
        <v>1194</v>
      </c>
      <c r="X207" t="s">
        <v>1191</v>
      </c>
      <c r="Y207" t="s">
        <v>676</v>
      </c>
      <c r="Z207">
        <v>9.3036999999999992</v>
      </c>
      <c r="AA207" t="s">
        <v>677</v>
      </c>
      <c r="AB207">
        <v>9.2741000000000007</v>
      </c>
      <c r="AC207">
        <v>-3.1812842567109948E-3</v>
      </c>
      <c r="AD207" t="s">
        <v>579</v>
      </c>
      <c r="AE207" t="s">
        <v>546</v>
      </c>
      <c r="AF207">
        <v>-4.1809999999999998E-3</v>
      </c>
      <c r="AG207" t="str">
        <f>IF($A207="","",IFERROR(INDEX(Company_List!$G$3:$G$207,MATCH($A207,Company_List!$A$3:$A$207,0)),"unassigned"))</f>
        <v>P3</v>
      </c>
      <c r="AH207" t="s">
        <v>2009</v>
      </c>
      <c r="AJ207" t="s">
        <v>560</v>
      </c>
      <c r="AK207" t="str">
        <f>IF($A207="","",IF(COUNTIFS(Human_Data_Entry!$A$3:$A$525,$A207)&gt;0,"YES","NO"))</f>
        <v>YES</v>
      </c>
      <c r="AL207" t="str">
        <f>IF($A207="","",IF(AND($C207&amp;"-"&amp;$D207&gt;=Settings!$B$19,$C207&amp;"-"&amp;$D207&lt;=Settings!$B$20),"IN","OUT"))</f>
        <v>IN</v>
      </c>
      <c r="AM207">
        <f t="shared" si="12"/>
        <v>2.4697E-2</v>
      </c>
      <c r="AN207">
        <f t="shared" si="13"/>
        <v>-4.1809999999999998E-3</v>
      </c>
      <c r="AO207">
        <f>IF(ISNUMBER($AM207),ABS(IF(ISNUMBER($G207),$G207,0)-Settings!$B$25),"")</f>
        <v>0.27750000000000002</v>
      </c>
      <c r="AP207">
        <f t="shared" si="14"/>
        <v>6.8534175000000003E-3</v>
      </c>
      <c r="AQ207">
        <f>IF(ISNUMBER($AN207),ABS(IF(ISNUMBER($G207),$G207,0)-Settings!$B$25),"")</f>
        <v>0.27750000000000002</v>
      </c>
      <c r="AR207">
        <f t="shared" si="15"/>
        <v>-1.1602275E-3</v>
      </c>
      <c r="AS207" t="str">
        <f>IF($A207="","",IFERROR(INDEX(Company_List!$H$3:$H$207,MATCH($A207,Company_List!$A$3:$A$207,0)),"unassigned"))</f>
        <v>Information Technology</v>
      </c>
      <c r="AT207" t="s">
        <v>1924</v>
      </c>
      <c r="AU207" t="s">
        <v>1925</v>
      </c>
      <c r="AV207">
        <v>1</v>
      </c>
      <c r="AW207" t="s">
        <v>561</v>
      </c>
      <c r="AX207" t="s">
        <v>561</v>
      </c>
      <c r="AY207" t="s">
        <v>550</v>
      </c>
      <c r="AZ207" t="s">
        <v>562</v>
      </c>
      <c r="BA207" s="160" t="s">
        <v>546</v>
      </c>
      <c r="BB207" s="160" t="s">
        <v>1928</v>
      </c>
    </row>
    <row r="208" spans="1:54" x14ac:dyDescent="0.2">
      <c r="A208" s="115" t="s">
        <v>1190</v>
      </c>
      <c r="B208" s="117" t="s">
        <v>2006</v>
      </c>
      <c r="C208" s="105">
        <v>2026</v>
      </c>
      <c r="D208" s="106" t="s">
        <v>569</v>
      </c>
      <c r="E208" s="109" t="s">
        <v>1911</v>
      </c>
      <c r="F208" s="106" t="s">
        <v>1912</v>
      </c>
      <c r="G208" s="128">
        <v>0.03</v>
      </c>
      <c r="H208" s="106" t="s">
        <v>1913</v>
      </c>
      <c r="I208" s="128"/>
      <c r="J208" s="125">
        <v>46164</v>
      </c>
      <c r="K208" s="126">
        <v>46164</v>
      </c>
      <c r="L208" s="129">
        <v>40.17</v>
      </c>
      <c r="M208" s="126">
        <v>46167</v>
      </c>
      <c r="N208" s="129">
        <v>47.01</v>
      </c>
      <c r="O208" s="132">
        <v>5.5050000000000003E-3</v>
      </c>
      <c r="P208" s="107">
        <v>0.17027600000000001</v>
      </c>
      <c r="Q208" s="106" t="s">
        <v>591</v>
      </c>
      <c r="R208" s="106" t="s">
        <v>546</v>
      </c>
      <c r="S208" s="105">
        <v>0</v>
      </c>
      <c r="T208" s="107">
        <v>0</v>
      </c>
      <c r="U208" s="130" t="s">
        <v>1914</v>
      </c>
      <c r="V208" t="s">
        <v>549</v>
      </c>
      <c r="W208" t="s">
        <v>864</v>
      </c>
      <c r="X208" t="s">
        <v>1191</v>
      </c>
      <c r="Y208" t="s">
        <v>849</v>
      </c>
      <c r="Z208">
        <v>12.9739</v>
      </c>
      <c r="AA208" t="s">
        <v>1192</v>
      </c>
      <c r="AB208">
        <v>13.6053</v>
      </c>
      <c r="AC208">
        <v>4.8669213067963867E-2</v>
      </c>
      <c r="AD208" t="s">
        <v>591</v>
      </c>
      <c r="AE208" t="s">
        <v>546</v>
      </c>
      <c r="AF208">
        <v>0</v>
      </c>
      <c r="AG208" t="str">
        <f>IF($A208="","",IFERROR(INDEX(Company_List!$G$3:$G$207,MATCH($A208,Company_List!$A$3:$A$207,0)),"unassigned"))</f>
        <v>P3</v>
      </c>
      <c r="AH208" t="s">
        <v>2010</v>
      </c>
      <c r="AJ208" t="s">
        <v>560</v>
      </c>
      <c r="AK208" t="str">
        <f>IF($A208="","",IF(COUNTIFS(Human_Data_Entry!$A$3:$A$525,$A208)&gt;0,"YES","NO"))</f>
        <v>YES</v>
      </c>
      <c r="AL208" t="str">
        <f>IF($A208="","",IF(AND($C208&amp;"-"&amp;$D208&gt;=Settings!$B$19,$C208&amp;"-"&amp;$D208&lt;=Settings!$B$20),"IN","OUT"))</f>
        <v>IN</v>
      </c>
      <c r="AM208" t="str">
        <f t="shared" si="12"/>
        <v/>
      </c>
      <c r="AN208" t="str">
        <f t="shared" si="13"/>
        <v/>
      </c>
      <c r="AO208" t="str">
        <f>IF(ISNUMBER($AM208),ABS(IF(ISNUMBER($G208),$G208,0)-Settings!$B$25),"")</f>
        <v/>
      </c>
      <c r="AP208" t="str">
        <f t="shared" si="14"/>
        <v/>
      </c>
      <c r="AQ208" t="str">
        <f>IF(ISNUMBER($AN208),ABS(IF(ISNUMBER($G208),$G208,0)-Settings!$B$25),"")</f>
        <v/>
      </c>
      <c r="AR208" t="str">
        <f t="shared" si="15"/>
        <v/>
      </c>
      <c r="AS208" t="str">
        <f>IF($A208="","",IFERROR(INDEX(Company_List!$H$3:$H$207,MATCH($A208,Company_List!$A$3:$A$207,0)),"unassigned"))</f>
        <v>Information Technology</v>
      </c>
      <c r="AT208" t="s">
        <v>1924</v>
      </c>
      <c r="AU208" t="s">
        <v>1925</v>
      </c>
      <c r="AV208">
        <v>1</v>
      </c>
      <c r="AW208" t="s">
        <v>561</v>
      </c>
      <c r="AX208" t="s">
        <v>561</v>
      </c>
      <c r="AY208" t="s">
        <v>550</v>
      </c>
      <c r="AZ208" t="s">
        <v>562</v>
      </c>
      <c r="BA208" s="160" t="s">
        <v>546</v>
      </c>
      <c r="BB208" s="160" t="s">
        <v>1928</v>
      </c>
    </row>
    <row r="209" spans="1:53" x14ac:dyDescent="0.2">
      <c r="A209" s="115" t="s">
        <v>1155</v>
      </c>
      <c r="B209" s="117" t="s">
        <v>1157</v>
      </c>
      <c r="C209" s="105">
        <v>2026</v>
      </c>
      <c r="D209" s="106" t="s">
        <v>537</v>
      </c>
      <c r="E209" s="109" t="s">
        <v>1911</v>
      </c>
      <c r="F209" s="106" t="s">
        <v>1912</v>
      </c>
      <c r="G209" s="128">
        <v>-0.08</v>
      </c>
      <c r="H209" s="106" t="s">
        <v>1923</v>
      </c>
      <c r="I209" s="128"/>
      <c r="J209" s="125">
        <v>46143</v>
      </c>
      <c r="K209" s="126">
        <v>46142</v>
      </c>
      <c r="L209" s="129">
        <v>501.14</v>
      </c>
      <c r="M209" s="126">
        <v>46143</v>
      </c>
      <c r="N209" s="129">
        <v>503.36</v>
      </c>
      <c r="O209" s="132">
        <v>4.8430000000000001E-3</v>
      </c>
      <c r="P209" s="107">
        <v>4.4299999999999999E-3</v>
      </c>
      <c r="Q209" s="106" t="s">
        <v>579</v>
      </c>
      <c r="R209" s="106" t="s">
        <v>546</v>
      </c>
      <c r="S209" s="105">
        <v>-1</v>
      </c>
      <c r="T209" s="107">
        <v>-5.4299999999999999E-3</v>
      </c>
      <c r="U209" s="130" t="s">
        <v>1914</v>
      </c>
      <c r="V209" t="s">
        <v>549</v>
      </c>
      <c r="W209" t="s">
        <v>624</v>
      </c>
      <c r="X209" t="s">
        <v>1157</v>
      </c>
      <c r="Y209" t="s">
        <v>657</v>
      </c>
      <c r="Z209">
        <v>499.56029999999998</v>
      </c>
      <c r="AA209" t="s">
        <v>1163</v>
      </c>
      <c r="AB209">
        <v>501.77330000000001</v>
      </c>
      <c r="AC209">
        <v>4.4298004724029434E-3</v>
      </c>
      <c r="AD209" t="s">
        <v>579</v>
      </c>
      <c r="AE209" t="s">
        <v>546</v>
      </c>
      <c r="AF209">
        <v>-5.4299999999999999E-3</v>
      </c>
      <c r="AG209" t="str">
        <f>IF($A209="","",IFERROR(INDEX(Company_List!$G$3:$G$207,MATCH($A209,Company_List!$A$3:$A$207,0)),"unassigned"))</f>
        <v>P3</v>
      </c>
      <c r="AH209" t="s">
        <v>1164</v>
      </c>
      <c r="AJ209" t="s">
        <v>548</v>
      </c>
      <c r="AK209" t="str">
        <f>IF($A209="","",IF(COUNTIFS(Human_Data_Entry!$A$3:$A$525,$A209)&gt;0,"YES","NO"))</f>
        <v>YES</v>
      </c>
      <c r="AL209" t="str">
        <f>IF($A209="","",IF(AND($C209&amp;"-"&amp;$D209&gt;=Settings!$B$19,$C209&amp;"-"&amp;$D209&lt;=Settings!$B$20),"IN","OUT"))</f>
        <v>IN</v>
      </c>
      <c r="AM209">
        <f t="shared" si="12"/>
        <v>-5.4299999999999999E-3</v>
      </c>
      <c r="AN209">
        <f t="shared" si="13"/>
        <v>-5.4299999999999999E-3</v>
      </c>
      <c r="AO209">
        <f>IF(ISNUMBER($AM209),ABS(IF(ISNUMBER($G209),$G209,0)-Settings!$B$25),"")</f>
        <v>0.08</v>
      </c>
      <c r="AP209">
        <f t="shared" si="14"/>
        <v>-4.3439999999999999E-4</v>
      </c>
      <c r="AQ209">
        <f>IF(ISNUMBER($AN209),ABS(IF(ISNUMBER($G209),$G209,0)-Settings!$B$25),"")</f>
        <v>0.08</v>
      </c>
      <c r="AR209">
        <f t="shared" si="15"/>
        <v>-4.3439999999999999E-4</v>
      </c>
      <c r="AS209" t="str">
        <f>IF($A209="","",IFERROR(INDEX(Company_List!$H$3:$H$207,MATCH($A209,Company_List!$A$3:$A$207,0)),"unassigned"))</f>
        <v>Materials</v>
      </c>
      <c r="AT209" t="s">
        <v>1924</v>
      </c>
      <c r="AU209" t="s">
        <v>1925</v>
      </c>
      <c r="AV209">
        <v>1</v>
      </c>
      <c r="AW209" t="s">
        <v>561</v>
      </c>
      <c r="AX209" t="s">
        <v>561</v>
      </c>
      <c r="AY209" t="s">
        <v>550</v>
      </c>
      <c r="AZ209" t="s">
        <v>550</v>
      </c>
      <c r="BA209" t="s">
        <v>554</v>
      </c>
    </row>
    <row r="210" spans="1:53" x14ac:dyDescent="0.2">
      <c r="A210" s="115" t="s">
        <v>1155</v>
      </c>
      <c r="B210" s="117" t="s">
        <v>1157</v>
      </c>
      <c r="C210" s="105">
        <v>2025</v>
      </c>
      <c r="D210" s="106" t="s">
        <v>555</v>
      </c>
      <c r="E210" s="109" t="s">
        <v>1911</v>
      </c>
      <c r="F210" s="106" t="s">
        <v>1912</v>
      </c>
      <c r="G210" s="128">
        <v>-0.23</v>
      </c>
      <c r="H210" s="106" t="s">
        <v>1923</v>
      </c>
      <c r="I210" s="128"/>
      <c r="J210" s="125">
        <v>45870</v>
      </c>
      <c r="K210" s="126">
        <v>45869</v>
      </c>
      <c r="L210" s="129">
        <v>460.26</v>
      </c>
      <c r="M210" s="126">
        <v>45870</v>
      </c>
      <c r="N210" s="129">
        <v>458.33</v>
      </c>
      <c r="O210" s="132">
        <v>8.1569999999999993E-3</v>
      </c>
      <c r="P210" s="107">
        <v>-4.1929999999999997E-3</v>
      </c>
      <c r="Q210" s="106" t="s">
        <v>579</v>
      </c>
      <c r="R210" s="106" t="s">
        <v>546</v>
      </c>
      <c r="S210" s="105">
        <v>-1</v>
      </c>
      <c r="T210" s="107">
        <v>3.1930000000000001E-3</v>
      </c>
      <c r="U210" s="130" t="s">
        <v>1914</v>
      </c>
      <c r="V210" t="s">
        <v>549</v>
      </c>
      <c r="W210" t="s">
        <v>624</v>
      </c>
      <c r="X210" t="s">
        <v>1157</v>
      </c>
      <c r="Y210" t="s">
        <v>687</v>
      </c>
      <c r="Z210">
        <v>454.14670000000001</v>
      </c>
      <c r="AA210" t="s">
        <v>688</v>
      </c>
      <c r="AB210">
        <v>452.24239999999998</v>
      </c>
      <c r="AC210">
        <v>-4.1932637915594014E-3</v>
      </c>
      <c r="AD210" t="s">
        <v>579</v>
      </c>
      <c r="AE210" t="s">
        <v>546</v>
      </c>
      <c r="AF210">
        <v>3.1930000000000001E-3</v>
      </c>
      <c r="AG210" t="str">
        <f>IF($A210="","",IFERROR(INDEX(Company_List!$G$3:$G$207,MATCH($A210,Company_List!$A$3:$A$207,0)),"unassigned"))</f>
        <v>P3</v>
      </c>
      <c r="AH210" t="s">
        <v>2011</v>
      </c>
      <c r="AI210" t="s">
        <v>2012</v>
      </c>
      <c r="AJ210" t="s">
        <v>754</v>
      </c>
      <c r="AK210" t="str">
        <f>IF($A210="","",IF(COUNTIFS(Human_Data_Entry!$A$3:$A$525,$A210)&gt;0,"YES","NO"))</f>
        <v>YES</v>
      </c>
      <c r="AL210" t="str">
        <f>IF($A210="","",IF(AND($C210&amp;"-"&amp;$D210&gt;=Settings!$B$19,$C210&amp;"-"&amp;$D210&lt;=Settings!$B$20),"IN","OUT"))</f>
        <v>IN</v>
      </c>
      <c r="AM210">
        <f t="shared" si="12"/>
        <v>3.1930000000000001E-3</v>
      </c>
      <c r="AN210">
        <f t="shared" si="13"/>
        <v>3.1930000000000001E-3</v>
      </c>
      <c r="AO210">
        <f>IF(ISNUMBER($AM210),ABS(IF(ISNUMBER($G210),$G210,0)-Settings!$B$25),"")</f>
        <v>0.23</v>
      </c>
      <c r="AP210">
        <f t="shared" si="14"/>
        <v>7.3439000000000002E-4</v>
      </c>
      <c r="AQ210">
        <f>IF(ISNUMBER($AN210),ABS(IF(ISNUMBER($G210),$G210,0)-Settings!$B$25),"")</f>
        <v>0.23</v>
      </c>
      <c r="AR210">
        <f t="shared" si="15"/>
        <v>7.3439000000000002E-4</v>
      </c>
      <c r="AS210" t="str">
        <f>IF($A210="","",IFERROR(INDEX(Company_List!$H$3:$H$207,MATCH($A210,Company_List!$A$3:$A$207,0)),"unassigned"))</f>
        <v>Materials</v>
      </c>
      <c r="AT210" t="s">
        <v>1924</v>
      </c>
      <c r="AU210" t="s">
        <v>1925</v>
      </c>
      <c r="AV210">
        <v>2</v>
      </c>
      <c r="AW210" t="s">
        <v>561</v>
      </c>
      <c r="AX210" t="s">
        <v>561</v>
      </c>
      <c r="AY210" t="s">
        <v>550</v>
      </c>
      <c r="AZ210" t="s">
        <v>562</v>
      </c>
      <c r="BA210" t="s">
        <v>554</v>
      </c>
    </row>
    <row r="211" spans="1:53" x14ac:dyDescent="0.2">
      <c r="A211" s="115" t="s">
        <v>1155</v>
      </c>
      <c r="B211" s="117" t="s">
        <v>1157</v>
      </c>
      <c r="C211" s="105">
        <v>2025</v>
      </c>
      <c r="D211" s="106" t="s">
        <v>563</v>
      </c>
      <c r="E211" s="109" t="s">
        <v>1911</v>
      </c>
      <c r="F211" s="106" t="s">
        <v>1912</v>
      </c>
      <c r="G211" s="128">
        <v>0.08</v>
      </c>
      <c r="H211" s="106" t="s">
        <v>1913</v>
      </c>
      <c r="I211" s="128"/>
      <c r="J211" s="125">
        <v>45961</v>
      </c>
      <c r="K211" s="126">
        <v>45960</v>
      </c>
      <c r="L211" s="129">
        <v>429.91</v>
      </c>
      <c r="M211" s="126">
        <v>45961</v>
      </c>
      <c r="N211" s="129">
        <v>425</v>
      </c>
      <c r="O211" s="132">
        <v>8.1499999999999993E-3</v>
      </c>
      <c r="P211" s="107">
        <v>-1.1421000000000001E-2</v>
      </c>
      <c r="Q211" s="106" t="s">
        <v>579</v>
      </c>
      <c r="R211" s="106" t="s">
        <v>554</v>
      </c>
      <c r="S211" s="105">
        <v>0</v>
      </c>
      <c r="T211" s="107">
        <v>0</v>
      </c>
      <c r="U211" s="130" t="s">
        <v>1914</v>
      </c>
      <c r="V211" t="s">
        <v>549</v>
      </c>
      <c r="W211" t="s">
        <v>748</v>
      </c>
      <c r="X211" t="s">
        <v>1157</v>
      </c>
      <c r="Y211" t="s">
        <v>660</v>
      </c>
      <c r="Z211">
        <v>425.55290000000002</v>
      </c>
      <c r="AA211" t="s">
        <v>661</v>
      </c>
      <c r="AB211">
        <v>420.69260000000003</v>
      </c>
      <c r="AC211">
        <v>-1.1420984676916081E-2</v>
      </c>
      <c r="AD211" t="s">
        <v>579</v>
      </c>
      <c r="AE211" t="s">
        <v>554</v>
      </c>
      <c r="AF211">
        <v>0</v>
      </c>
      <c r="AG211" t="str">
        <f>IF($A211="","",IFERROR(INDEX(Company_List!$G$3:$G$207,MATCH($A211,Company_List!$A$3:$A$207,0)),"unassigned"))</f>
        <v>P3</v>
      </c>
      <c r="AH211" t="s">
        <v>1161</v>
      </c>
      <c r="AJ211" t="s">
        <v>548</v>
      </c>
      <c r="AK211" t="str">
        <f>IF($A211="","",IF(COUNTIFS(Human_Data_Entry!$A$3:$A$525,$A211)&gt;0,"YES","NO"))</f>
        <v>YES</v>
      </c>
      <c r="AL211" t="str">
        <f>IF($A211="","",IF(AND($C211&amp;"-"&amp;$D211&gt;=Settings!$B$19,$C211&amp;"-"&amp;$D211&lt;=Settings!$B$20),"IN","OUT"))</f>
        <v>IN</v>
      </c>
      <c r="AM211" t="str">
        <f t="shared" si="12"/>
        <v/>
      </c>
      <c r="AN211" t="str">
        <f t="shared" si="13"/>
        <v/>
      </c>
      <c r="AO211" t="str">
        <f>IF(ISNUMBER($AM211),ABS(IF(ISNUMBER($G211),$G211,0)-Settings!$B$25),"")</f>
        <v/>
      </c>
      <c r="AP211" t="str">
        <f t="shared" si="14"/>
        <v/>
      </c>
      <c r="AQ211" t="str">
        <f>IF(ISNUMBER($AN211),ABS(IF(ISNUMBER($G211),$G211,0)-Settings!$B$25),"")</f>
        <v/>
      </c>
      <c r="AR211" t="str">
        <f t="shared" si="15"/>
        <v/>
      </c>
      <c r="AS211" t="str">
        <f>IF($A211="","",IFERROR(INDEX(Company_List!$H$3:$H$207,MATCH($A211,Company_List!$A$3:$A$207,0)),"unassigned"))</f>
        <v>Materials</v>
      </c>
      <c r="AT211" t="s">
        <v>1924</v>
      </c>
      <c r="AU211" t="s">
        <v>1925</v>
      </c>
      <c r="AV211">
        <v>1</v>
      </c>
      <c r="AW211" t="s">
        <v>561</v>
      </c>
      <c r="AX211" t="s">
        <v>561</v>
      </c>
      <c r="AY211" t="s">
        <v>550</v>
      </c>
      <c r="AZ211" t="s">
        <v>550</v>
      </c>
      <c r="BA211" t="s">
        <v>554</v>
      </c>
    </row>
    <row r="212" spans="1:53" x14ac:dyDescent="0.2">
      <c r="A212" s="115" t="s">
        <v>1319</v>
      </c>
      <c r="B212" s="117" t="s">
        <v>1320</v>
      </c>
      <c r="C212" s="105">
        <v>2026</v>
      </c>
      <c r="D212" s="106" t="s">
        <v>537</v>
      </c>
      <c r="E212" s="109" t="s">
        <v>1911</v>
      </c>
      <c r="F212" s="106" t="s">
        <v>1912</v>
      </c>
      <c r="G212" s="128">
        <v>2.5000000000000001E-3</v>
      </c>
      <c r="H212" s="106" t="s">
        <v>1913</v>
      </c>
      <c r="I212" s="128"/>
      <c r="J212" s="125">
        <v>46148</v>
      </c>
      <c r="K212" s="126">
        <v>46148</v>
      </c>
      <c r="L212" s="129">
        <v>80.16</v>
      </c>
      <c r="M212" s="126">
        <v>46149</v>
      </c>
      <c r="N212" s="129">
        <v>80.56</v>
      </c>
      <c r="O212" s="132">
        <v>1.2708000000000001E-2</v>
      </c>
      <c r="P212" s="107">
        <v>4.9899999999999996E-3</v>
      </c>
      <c r="Q212" s="106" t="s">
        <v>579</v>
      </c>
      <c r="R212" s="106" t="s">
        <v>554</v>
      </c>
      <c r="S212" s="105">
        <v>0</v>
      </c>
      <c r="T212" s="107">
        <v>0</v>
      </c>
      <c r="U212" s="130" t="s">
        <v>1914</v>
      </c>
      <c r="V212" t="s">
        <v>549</v>
      </c>
      <c r="W212" t="s">
        <v>636</v>
      </c>
      <c r="X212" t="s">
        <v>1320</v>
      </c>
      <c r="Y212" t="s">
        <v>680</v>
      </c>
      <c r="Z212">
        <v>79.060599999999994</v>
      </c>
      <c r="AA212" t="s">
        <v>681</v>
      </c>
      <c r="AB212">
        <v>79.455100000000002</v>
      </c>
      <c r="AC212">
        <v>4.9899571814848147E-3</v>
      </c>
      <c r="AD212" t="s">
        <v>579</v>
      </c>
      <c r="AE212" t="s">
        <v>554</v>
      </c>
      <c r="AF212">
        <v>0</v>
      </c>
      <c r="AG212" t="str">
        <f>IF($A212="","",IFERROR(INDEX(Company_List!$G$3:$G$207,MATCH($A212,Company_List!$A$3:$A$207,0)),"unassigned"))</f>
        <v>P2</v>
      </c>
      <c r="AH212" t="s">
        <v>1329</v>
      </c>
      <c r="AI212" t="s">
        <v>1330</v>
      </c>
      <c r="AJ212" t="s">
        <v>754</v>
      </c>
      <c r="AK212" t="str">
        <f>IF($A212="","",IF(COUNTIFS(Human_Data_Entry!$A$3:$A$525,$A212)&gt;0,"YES","NO"))</f>
        <v>YES</v>
      </c>
      <c r="AL212" t="str">
        <f>IF($A212="","",IF(AND($C212&amp;"-"&amp;$D212&gt;=Settings!$B$19,$C212&amp;"-"&amp;$D212&lt;=Settings!$B$20),"IN","OUT"))</f>
        <v>IN</v>
      </c>
      <c r="AM212" t="str">
        <f t="shared" si="12"/>
        <v/>
      </c>
      <c r="AN212" t="str">
        <f t="shared" si="13"/>
        <v/>
      </c>
      <c r="AO212" t="str">
        <f>IF(ISNUMBER($AM212),ABS(IF(ISNUMBER($G212),$G212,0)-Settings!$B$25),"")</f>
        <v/>
      </c>
      <c r="AP212" t="str">
        <f t="shared" si="14"/>
        <v/>
      </c>
      <c r="AQ212" t="str">
        <f>IF(ISNUMBER($AN212),ABS(IF(ISNUMBER($G212),$G212,0)-Settings!$B$25),"")</f>
        <v/>
      </c>
      <c r="AR212" t="str">
        <f t="shared" si="15"/>
        <v/>
      </c>
      <c r="AS212" t="str">
        <f>IF($A212="","",IFERROR(INDEX(Company_List!$H$3:$H$207,MATCH($A212,Company_List!$A$3:$A$207,0)),"unassigned"))</f>
        <v>Financials</v>
      </c>
      <c r="AT212" t="s">
        <v>1924</v>
      </c>
      <c r="AU212" t="s">
        <v>1925</v>
      </c>
      <c r="AV212">
        <v>3</v>
      </c>
      <c r="AW212" t="s">
        <v>882</v>
      </c>
      <c r="AX212" t="s">
        <v>596</v>
      </c>
      <c r="AY212" t="s">
        <v>550</v>
      </c>
      <c r="AZ212" t="s">
        <v>562</v>
      </c>
      <c r="BA212" t="s">
        <v>554</v>
      </c>
    </row>
    <row r="213" spans="1:53" x14ac:dyDescent="0.2">
      <c r="A213" s="115" t="s">
        <v>1319</v>
      </c>
      <c r="B213" s="117" t="s">
        <v>1320</v>
      </c>
      <c r="C213" s="105">
        <v>2024</v>
      </c>
      <c r="D213" s="106" t="s">
        <v>555</v>
      </c>
      <c r="E213" s="109" t="s">
        <v>1911</v>
      </c>
      <c r="F213" s="106" t="s">
        <v>1912</v>
      </c>
      <c r="G213" s="128">
        <v>0.15</v>
      </c>
      <c r="H213" s="106" t="s">
        <v>1913</v>
      </c>
      <c r="I213" s="128"/>
      <c r="J213" s="125">
        <v>45504</v>
      </c>
      <c r="K213" s="126">
        <v>45504</v>
      </c>
      <c r="L213" s="129">
        <v>76.849999999999994</v>
      </c>
      <c r="M213" s="126">
        <v>45505</v>
      </c>
      <c r="N213" s="129">
        <v>78.61</v>
      </c>
      <c r="O213" s="132">
        <v>1.0685E-2</v>
      </c>
      <c r="P213" s="107">
        <v>2.2901999999999999E-2</v>
      </c>
      <c r="Q213" s="106" t="s">
        <v>591</v>
      </c>
      <c r="R213" s="106" t="s">
        <v>546</v>
      </c>
      <c r="S213" s="105">
        <v>0</v>
      </c>
      <c r="T213" s="107">
        <v>0</v>
      </c>
      <c r="U213" s="130" t="s">
        <v>1914</v>
      </c>
      <c r="V213" t="s">
        <v>549</v>
      </c>
      <c r="W213" t="s">
        <v>835</v>
      </c>
      <c r="X213" t="s">
        <v>1320</v>
      </c>
      <c r="Y213" t="s">
        <v>1351</v>
      </c>
      <c r="Z213">
        <v>72.046800000000005</v>
      </c>
      <c r="AA213" t="s">
        <v>1352</v>
      </c>
      <c r="AB213">
        <v>73.696799999999996</v>
      </c>
      <c r="AC213">
        <v>2.2901934507853151E-2</v>
      </c>
      <c r="AD213" t="s">
        <v>591</v>
      </c>
      <c r="AE213" t="s">
        <v>546</v>
      </c>
      <c r="AF213">
        <v>0</v>
      </c>
      <c r="AG213" t="str">
        <f>IF($A213="","",IFERROR(INDEX(Company_List!$G$3:$G$207,MATCH($A213,Company_List!$A$3:$A$207,0)),"unassigned"))</f>
        <v>P2</v>
      </c>
      <c r="AH213" t="s">
        <v>1353</v>
      </c>
      <c r="AI213" t="s">
        <v>1354</v>
      </c>
      <c r="AJ213" t="s">
        <v>754</v>
      </c>
      <c r="AK213" t="str">
        <f>IF($A213="","",IF(COUNTIFS(Human_Data_Entry!$A$3:$A$525,$A213)&gt;0,"YES","NO"))</f>
        <v>YES</v>
      </c>
      <c r="AL213" t="str">
        <f>IF($A213="","",IF(AND($C213&amp;"-"&amp;$D213&gt;=Settings!$B$19,$C213&amp;"-"&amp;$D213&lt;=Settings!$B$20),"IN","OUT"))</f>
        <v>IN</v>
      </c>
      <c r="AM213" t="str">
        <f t="shared" si="12"/>
        <v/>
      </c>
      <c r="AN213" t="str">
        <f t="shared" si="13"/>
        <v/>
      </c>
      <c r="AO213" t="str">
        <f>IF(ISNUMBER($AM213),ABS(IF(ISNUMBER($G213),$G213,0)-Settings!$B$25),"")</f>
        <v/>
      </c>
      <c r="AP213" t="str">
        <f t="shared" si="14"/>
        <v/>
      </c>
      <c r="AQ213" t="str">
        <f>IF(ISNUMBER($AN213),ABS(IF(ISNUMBER($G213),$G213,0)-Settings!$B$25),"")</f>
        <v/>
      </c>
      <c r="AR213" t="str">
        <f t="shared" si="15"/>
        <v/>
      </c>
      <c r="AS213" t="str">
        <f>IF($A213="","",IFERROR(INDEX(Company_List!$H$3:$H$207,MATCH($A213,Company_List!$A$3:$A$207,0)),"unassigned"))</f>
        <v>Financials</v>
      </c>
      <c r="AT213" t="s">
        <v>1924</v>
      </c>
      <c r="AU213" t="s">
        <v>1925</v>
      </c>
      <c r="AV213">
        <v>3</v>
      </c>
      <c r="AW213" t="s">
        <v>561</v>
      </c>
      <c r="AX213" t="s">
        <v>561</v>
      </c>
      <c r="AY213" t="s">
        <v>550</v>
      </c>
      <c r="AZ213" t="s">
        <v>562</v>
      </c>
      <c r="BA213" t="s">
        <v>554</v>
      </c>
    </row>
    <row r="214" spans="1:53" x14ac:dyDescent="0.2">
      <c r="A214" s="115" t="s">
        <v>1319</v>
      </c>
      <c r="B214" s="117" t="s">
        <v>1320</v>
      </c>
      <c r="C214" s="105">
        <v>2025</v>
      </c>
      <c r="D214" s="106" t="s">
        <v>555</v>
      </c>
      <c r="E214" s="109" t="s">
        <v>1911</v>
      </c>
      <c r="F214" s="106" t="s">
        <v>1912</v>
      </c>
      <c r="G214" s="128">
        <v>-6.5000000000000002E-2</v>
      </c>
      <c r="H214" s="106" t="s">
        <v>1923</v>
      </c>
      <c r="I214" s="128"/>
      <c r="J214" s="125">
        <v>45875</v>
      </c>
      <c r="K214" s="126">
        <v>45875</v>
      </c>
      <c r="L214" s="129">
        <v>75.95</v>
      </c>
      <c r="M214" s="126">
        <v>45876</v>
      </c>
      <c r="N214" s="129">
        <v>72.099999999999994</v>
      </c>
      <c r="O214" s="132">
        <v>1.4171E-2</v>
      </c>
      <c r="P214" s="107">
        <v>-5.0691E-2</v>
      </c>
      <c r="Q214" s="106" t="s">
        <v>545</v>
      </c>
      <c r="R214" s="106" t="s">
        <v>554</v>
      </c>
      <c r="S214" s="105">
        <v>-1</v>
      </c>
      <c r="T214" s="107">
        <v>4.9690999999999999E-2</v>
      </c>
      <c r="U214" s="130" t="s">
        <v>1914</v>
      </c>
      <c r="V214" t="s">
        <v>549</v>
      </c>
      <c r="W214" t="s">
        <v>835</v>
      </c>
      <c r="X214" t="s">
        <v>1320</v>
      </c>
      <c r="Y214" t="s">
        <v>642</v>
      </c>
      <c r="Z214">
        <v>73.841999999999999</v>
      </c>
      <c r="AA214" t="s">
        <v>742</v>
      </c>
      <c r="AB214">
        <v>70.0989</v>
      </c>
      <c r="AC214">
        <v>-5.0691395459266098E-2</v>
      </c>
      <c r="AD214" t="s">
        <v>545</v>
      </c>
      <c r="AE214" t="s">
        <v>554</v>
      </c>
      <c r="AF214">
        <v>4.9690999999999999E-2</v>
      </c>
      <c r="AG214" t="str">
        <f>IF($A214="","",IFERROR(INDEX(Company_List!$G$3:$G$207,MATCH($A214,Company_List!$A$3:$A$207,0)),"unassigned"))</f>
        <v>P2</v>
      </c>
      <c r="AH214" t="s">
        <v>1323</v>
      </c>
      <c r="AI214" t="s">
        <v>1324</v>
      </c>
      <c r="AJ214" t="s">
        <v>754</v>
      </c>
      <c r="AK214" t="str">
        <f>IF($A214="","",IF(COUNTIFS(Human_Data_Entry!$A$3:$A$525,$A214)&gt;0,"YES","NO"))</f>
        <v>YES</v>
      </c>
      <c r="AL214" t="str">
        <f>IF($A214="","",IF(AND($C214&amp;"-"&amp;$D214&gt;=Settings!$B$19,$C214&amp;"-"&amp;$D214&lt;=Settings!$B$20),"IN","OUT"))</f>
        <v>IN</v>
      </c>
      <c r="AM214">
        <f t="shared" si="12"/>
        <v>4.9690999999999999E-2</v>
      </c>
      <c r="AN214">
        <f t="shared" si="13"/>
        <v>4.9690999999999999E-2</v>
      </c>
      <c r="AO214">
        <f>IF(ISNUMBER($AM214),ABS(IF(ISNUMBER($G214),$G214,0)-Settings!$B$25),"")</f>
        <v>6.5000000000000002E-2</v>
      </c>
      <c r="AP214">
        <f t="shared" si="14"/>
        <v>3.2299149999999999E-3</v>
      </c>
      <c r="AQ214">
        <f>IF(ISNUMBER($AN214),ABS(IF(ISNUMBER($G214),$G214,0)-Settings!$B$25),"")</f>
        <v>6.5000000000000002E-2</v>
      </c>
      <c r="AR214">
        <f t="shared" si="15"/>
        <v>3.2299149999999999E-3</v>
      </c>
      <c r="AS214" t="str">
        <f>IF($A214="","",IFERROR(INDEX(Company_List!$H$3:$H$207,MATCH($A214,Company_List!$A$3:$A$207,0)),"unassigned"))</f>
        <v>Financials</v>
      </c>
      <c r="AT214" t="s">
        <v>1924</v>
      </c>
      <c r="AU214" t="s">
        <v>1925</v>
      </c>
      <c r="AV214">
        <v>3</v>
      </c>
      <c r="AW214" t="s">
        <v>882</v>
      </c>
      <c r="AX214" t="s">
        <v>596</v>
      </c>
      <c r="AY214" t="s">
        <v>550</v>
      </c>
      <c r="AZ214" t="s">
        <v>562</v>
      </c>
      <c r="BA214" t="s">
        <v>554</v>
      </c>
    </row>
    <row r="215" spans="1:53" x14ac:dyDescent="0.2">
      <c r="A215" s="115" t="s">
        <v>1319</v>
      </c>
      <c r="B215" s="117" t="s">
        <v>1320</v>
      </c>
      <c r="C215" s="105">
        <v>2024</v>
      </c>
      <c r="D215" s="106" t="s">
        <v>563</v>
      </c>
      <c r="E215" s="109" t="s">
        <v>1911</v>
      </c>
      <c r="F215" s="106" t="s">
        <v>1912</v>
      </c>
      <c r="G215" s="128">
        <v>-0.1</v>
      </c>
      <c r="H215" s="106" t="s">
        <v>1923</v>
      </c>
      <c r="I215" s="128"/>
      <c r="J215" s="125">
        <v>45595</v>
      </c>
      <c r="K215" s="126">
        <v>45595</v>
      </c>
      <c r="L215" s="129">
        <v>83.18</v>
      </c>
      <c r="M215" s="126">
        <v>45596</v>
      </c>
      <c r="N215" s="129">
        <v>76.569999999999993</v>
      </c>
      <c r="O215" s="132">
        <v>1.0600999999999999E-2</v>
      </c>
      <c r="P215" s="107">
        <v>-7.9465999999999995E-2</v>
      </c>
      <c r="Q215" s="106" t="s">
        <v>545</v>
      </c>
      <c r="R215" s="106" t="s">
        <v>554</v>
      </c>
      <c r="S215" s="105">
        <v>-1</v>
      </c>
      <c r="T215" s="107">
        <v>7.8465999999999994E-2</v>
      </c>
      <c r="U215" s="130" t="s">
        <v>1914</v>
      </c>
      <c r="V215" t="s">
        <v>549</v>
      </c>
      <c r="W215" t="s">
        <v>835</v>
      </c>
      <c r="X215" t="s">
        <v>1320</v>
      </c>
      <c r="Y215" t="s">
        <v>989</v>
      </c>
      <c r="Z215">
        <v>78.611599999999996</v>
      </c>
      <c r="AA215" t="s">
        <v>990</v>
      </c>
      <c r="AB215">
        <v>72.364599999999996</v>
      </c>
      <c r="AC215">
        <v>-7.9466244524365071E-2</v>
      </c>
      <c r="AD215" t="s">
        <v>545</v>
      </c>
      <c r="AE215" t="s">
        <v>554</v>
      </c>
      <c r="AF215">
        <v>7.8465999999999994E-2</v>
      </c>
      <c r="AG215" t="str">
        <f>IF($A215="","",IFERROR(INDEX(Company_List!$G$3:$G$207,MATCH($A215,Company_List!$A$3:$A$207,0)),"unassigned"))</f>
        <v>P2</v>
      </c>
      <c r="AH215" t="s">
        <v>1355</v>
      </c>
      <c r="AI215" t="s">
        <v>1356</v>
      </c>
      <c r="AJ215" t="s">
        <v>754</v>
      </c>
      <c r="AK215" t="str">
        <f>IF($A215="","",IF(COUNTIFS(Human_Data_Entry!$A$3:$A$525,$A215)&gt;0,"YES","NO"))</f>
        <v>YES</v>
      </c>
      <c r="AL215" t="str">
        <f>IF($A215="","",IF(AND($C215&amp;"-"&amp;$D215&gt;=Settings!$B$19,$C215&amp;"-"&amp;$D215&lt;=Settings!$B$20),"IN","OUT"))</f>
        <v>IN</v>
      </c>
      <c r="AM215">
        <f t="shared" si="12"/>
        <v>7.8465999999999994E-2</v>
      </c>
      <c r="AN215">
        <f t="shared" si="13"/>
        <v>7.8465999999999994E-2</v>
      </c>
      <c r="AO215">
        <f>IF(ISNUMBER($AM215),ABS(IF(ISNUMBER($G215),$G215,0)-Settings!$B$25),"")</f>
        <v>0.1</v>
      </c>
      <c r="AP215">
        <f t="shared" si="14"/>
        <v>7.8466000000000004E-3</v>
      </c>
      <c r="AQ215">
        <f>IF(ISNUMBER($AN215),ABS(IF(ISNUMBER($G215),$G215,0)-Settings!$B$25),"")</f>
        <v>0.1</v>
      </c>
      <c r="AR215">
        <f t="shared" si="15"/>
        <v>7.8466000000000004E-3</v>
      </c>
      <c r="AS215" t="str">
        <f>IF($A215="","",IFERROR(INDEX(Company_List!$H$3:$H$207,MATCH($A215,Company_List!$A$3:$A$207,0)),"unassigned"))</f>
        <v>Financials</v>
      </c>
      <c r="AT215" t="s">
        <v>1924</v>
      </c>
      <c r="AU215" t="s">
        <v>1925</v>
      </c>
      <c r="AV215">
        <v>3</v>
      </c>
      <c r="AW215" t="s">
        <v>882</v>
      </c>
      <c r="AX215" t="s">
        <v>596</v>
      </c>
      <c r="AY215" t="s">
        <v>550</v>
      </c>
      <c r="AZ215" t="s">
        <v>562</v>
      </c>
      <c r="BA215" t="s">
        <v>554</v>
      </c>
    </row>
    <row r="216" spans="1:53" x14ac:dyDescent="0.2">
      <c r="A216" s="115" t="s">
        <v>1319</v>
      </c>
      <c r="B216" s="117" t="s">
        <v>1320</v>
      </c>
      <c r="C216" s="105">
        <v>2025</v>
      </c>
      <c r="D216" s="106" t="s">
        <v>563</v>
      </c>
      <c r="E216" s="109" t="s">
        <v>1911</v>
      </c>
      <c r="F216" s="106" t="s">
        <v>1912</v>
      </c>
      <c r="G216" s="128">
        <v>0.27250000000000002</v>
      </c>
      <c r="H216" s="106" t="s">
        <v>1919</v>
      </c>
      <c r="I216" s="128"/>
      <c r="J216" s="125">
        <v>45966</v>
      </c>
      <c r="K216" s="126">
        <v>45966</v>
      </c>
      <c r="L216" s="129">
        <v>78.680000000000007</v>
      </c>
      <c r="M216" s="126">
        <v>45967</v>
      </c>
      <c r="N216" s="129">
        <v>79.5</v>
      </c>
      <c r="O216" s="132">
        <v>1.0544E-2</v>
      </c>
      <c r="P216" s="107">
        <v>1.0422000000000001E-2</v>
      </c>
      <c r="Q216" s="106" t="s">
        <v>579</v>
      </c>
      <c r="R216" s="106" t="s">
        <v>546</v>
      </c>
      <c r="S216" s="105">
        <v>1</v>
      </c>
      <c r="T216" s="107">
        <v>9.4219999999999998E-3</v>
      </c>
      <c r="U216" s="130" t="s">
        <v>1914</v>
      </c>
      <c r="V216" t="s">
        <v>549</v>
      </c>
      <c r="W216" t="s">
        <v>835</v>
      </c>
      <c r="X216" t="s">
        <v>1320</v>
      </c>
      <c r="Y216" t="s">
        <v>872</v>
      </c>
      <c r="Z216">
        <v>77.0488</v>
      </c>
      <c r="AA216" t="s">
        <v>744</v>
      </c>
      <c r="AB216">
        <v>77.851799999999997</v>
      </c>
      <c r="AC216">
        <v>1.042193452526113E-2</v>
      </c>
      <c r="AD216" t="s">
        <v>579</v>
      </c>
      <c r="AE216" t="s">
        <v>546</v>
      </c>
      <c r="AF216">
        <v>9.4219999999999998E-3</v>
      </c>
      <c r="AG216" t="str">
        <f>IF($A216="","",IFERROR(INDEX(Company_List!$G$3:$G$207,MATCH($A216,Company_List!$A$3:$A$207,0)),"unassigned"))</f>
        <v>P2</v>
      </c>
      <c r="AH216" t="s">
        <v>1325</v>
      </c>
      <c r="AI216" t="s">
        <v>1326</v>
      </c>
      <c r="AJ216" t="s">
        <v>754</v>
      </c>
      <c r="AK216" t="str">
        <f>IF($A216="","",IF(COUNTIFS(Human_Data_Entry!$A$3:$A$525,$A216)&gt;0,"YES","NO"))</f>
        <v>YES</v>
      </c>
      <c r="AL216" t="str">
        <f>IF($A216="","",IF(AND($C216&amp;"-"&amp;$D216&gt;=Settings!$B$19,$C216&amp;"-"&amp;$D216&lt;=Settings!$B$20),"IN","OUT"))</f>
        <v>IN</v>
      </c>
      <c r="AM216">
        <f t="shared" si="12"/>
        <v>9.4219999999999998E-3</v>
      </c>
      <c r="AN216">
        <f t="shared" si="13"/>
        <v>9.4219999999999998E-3</v>
      </c>
      <c r="AO216">
        <f>IF(ISNUMBER($AM216),ABS(IF(ISNUMBER($G216),$G216,0)-Settings!$B$25),"")</f>
        <v>0.27250000000000002</v>
      </c>
      <c r="AP216">
        <f t="shared" si="14"/>
        <v>2.5674949999999999E-3</v>
      </c>
      <c r="AQ216">
        <f>IF(ISNUMBER($AN216),ABS(IF(ISNUMBER($G216),$G216,0)-Settings!$B$25),"")</f>
        <v>0.27250000000000002</v>
      </c>
      <c r="AR216">
        <f t="shared" si="15"/>
        <v>2.5674949999999999E-3</v>
      </c>
      <c r="AS216" t="str">
        <f>IF($A216="","",IFERROR(INDEX(Company_List!$H$3:$H$207,MATCH($A216,Company_List!$A$3:$A$207,0)),"unassigned"))</f>
        <v>Financials</v>
      </c>
      <c r="AT216" t="s">
        <v>1924</v>
      </c>
      <c r="AU216" t="s">
        <v>1925</v>
      </c>
      <c r="AV216">
        <v>3</v>
      </c>
      <c r="AW216" t="s">
        <v>561</v>
      </c>
      <c r="AX216" t="s">
        <v>561</v>
      </c>
      <c r="AY216" t="s">
        <v>550</v>
      </c>
      <c r="AZ216" t="s">
        <v>562</v>
      </c>
      <c r="BA216" t="s">
        <v>554</v>
      </c>
    </row>
    <row r="217" spans="1:53" x14ac:dyDescent="0.2">
      <c r="A217" s="115" t="s">
        <v>1319</v>
      </c>
      <c r="B217" s="117" t="s">
        <v>1320</v>
      </c>
      <c r="C217" s="105">
        <v>2025</v>
      </c>
      <c r="D217" s="106" t="s">
        <v>569</v>
      </c>
      <c r="E217" s="109" t="s">
        <v>1911</v>
      </c>
      <c r="F217" s="106" t="s">
        <v>1912</v>
      </c>
      <c r="G217" s="128">
        <v>0.27750000000000002</v>
      </c>
      <c r="H217" s="106" t="s">
        <v>1919</v>
      </c>
      <c r="I217" s="128"/>
      <c r="J217" s="125">
        <v>46057</v>
      </c>
      <c r="K217" s="126">
        <v>46057</v>
      </c>
      <c r="L217" s="129">
        <v>78.010000000000005</v>
      </c>
      <c r="M217" s="126">
        <v>46058</v>
      </c>
      <c r="N217" s="129">
        <v>79.5</v>
      </c>
      <c r="O217" s="132">
        <v>1.3736999999999999E-2</v>
      </c>
      <c r="P217" s="107">
        <v>1.9099999999999999E-2</v>
      </c>
      <c r="Q217" s="106" t="s">
        <v>579</v>
      </c>
      <c r="R217" s="106" t="s">
        <v>546</v>
      </c>
      <c r="S217" s="105">
        <v>1</v>
      </c>
      <c r="T217" s="107">
        <v>1.8100000000000002E-2</v>
      </c>
      <c r="U217" s="130" t="s">
        <v>1914</v>
      </c>
      <c r="V217" t="s">
        <v>549</v>
      </c>
      <c r="W217" t="s">
        <v>835</v>
      </c>
      <c r="X217" t="s">
        <v>1320</v>
      </c>
      <c r="Y217" t="s">
        <v>737</v>
      </c>
      <c r="Z217">
        <v>76.940100000000001</v>
      </c>
      <c r="AA217" t="s">
        <v>664</v>
      </c>
      <c r="AB217">
        <v>78.409700000000001</v>
      </c>
      <c r="AC217">
        <v>1.9100114896775652E-2</v>
      </c>
      <c r="AD217" t="s">
        <v>579</v>
      </c>
      <c r="AE217" t="s">
        <v>546</v>
      </c>
      <c r="AF217">
        <v>1.8100000000000002E-2</v>
      </c>
      <c r="AG217" t="str">
        <f>IF($A217="","",IFERROR(INDEX(Company_List!$G$3:$G$207,MATCH($A217,Company_List!$A$3:$A$207,0)),"unassigned"))</f>
        <v>P2</v>
      </c>
      <c r="AH217" t="s">
        <v>1327</v>
      </c>
      <c r="AI217" t="s">
        <v>1328</v>
      </c>
      <c r="AJ217" t="s">
        <v>754</v>
      </c>
      <c r="AK217" t="str">
        <f>IF($A217="","",IF(COUNTIFS(Human_Data_Entry!$A$3:$A$525,$A217)&gt;0,"YES","NO"))</f>
        <v>YES</v>
      </c>
      <c r="AL217" t="str">
        <f>IF($A217="","",IF(AND($C217&amp;"-"&amp;$D217&gt;=Settings!$B$19,$C217&amp;"-"&amp;$D217&lt;=Settings!$B$20),"IN","OUT"))</f>
        <v>IN</v>
      </c>
      <c r="AM217">
        <f t="shared" si="12"/>
        <v>1.8100000000000002E-2</v>
      </c>
      <c r="AN217">
        <f t="shared" si="13"/>
        <v>1.8100000000000002E-2</v>
      </c>
      <c r="AO217">
        <f>IF(ISNUMBER($AM217),ABS(IF(ISNUMBER($G217),$G217,0)-Settings!$B$25),"")</f>
        <v>0.27750000000000002</v>
      </c>
      <c r="AP217">
        <f t="shared" si="14"/>
        <v>5.0227500000000012E-3</v>
      </c>
      <c r="AQ217">
        <f>IF(ISNUMBER($AN217),ABS(IF(ISNUMBER($G217),$G217,0)-Settings!$B$25),"")</f>
        <v>0.27750000000000002</v>
      </c>
      <c r="AR217">
        <f t="shared" si="15"/>
        <v>5.0227500000000012E-3</v>
      </c>
      <c r="AS217" t="str">
        <f>IF($A217="","",IFERROR(INDEX(Company_List!$H$3:$H$207,MATCH($A217,Company_List!$A$3:$A$207,0)),"unassigned"))</f>
        <v>Financials</v>
      </c>
      <c r="AT217" t="s">
        <v>1924</v>
      </c>
      <c r="AU217" t="s">
        <v>1925</v>
      </c>
      <c r="AV217">
        <v>3</v>
      </c>
      <c r="AW217" t="s">
        <v>882</v>
      </c>
      <c r="AX217" t="s">
        <v>596</v>
      </c>
      <c r="AY217" t="s">
        <v>550</v>
      </c>
      <c r="AZ217" t="s">
        <v>562</v>
      </c>
      <c r="BA217" t="s">
        <v>554</v>
      </c>
    </row>
    <row r="218" spans="1:53" x14ac:dyDescent="0.2">
      <c r="A218" s="115" t="s">
        <v>1484</v>
      </c>
      <c r="B218" s="117" t="s">
        <v>1485</v>
      </c>
      <c r="C218" s="105">
        <v>2026</v>
      </c>
      <c r="D218" s="106" t="s">
        <v>537</v>
      </c>
      <c r="E218" s="109" t="s">
        <v>1911</v>
      </c>
      <c r="F218" s="106" t="s">
        <v>1912</v>
      </c>
      <c r="G218" s="128">
        <v>0.51249999999999996</v>
      </c>
      <c r="H218" s="106" t="s">
        <v>1919</v>
      </c>
      <c r="I218" s="128"/>
      <c r="J218" s="125">
        <v>46008</v>
      </c>
      <c r="K218" s="126">
        <v>46008</v>
      </c>
      <c r="L218" s="129">
        <v>225.52</v>
      </c>
      <c r="M218" s="126">
        <v>46009</v>
      </c>
      <c r="N218" s="129">
        <v>256.52999999999997</v>
      </c>
      <c r="O218" s="132">
        <v>8.4510000000000002E-3</v>
      </c>
      <c r="P218" s="107">
        <v>0.13750399999999999</v>
      </c>
      <c r="Q218" s="106" t="s">
        <v>591</v>
      </c>
      <c r="R218" s="106" t="s">
        <v>554</v>
      </c>
      <c r="S218" s="105">
        <v>1</v>
      </c>
      <c r="T218" s="107">
        <v>0.13650399999999999</v>
      </c>
      <c r="U218" s="130" t="s">
        <v>1914</v>
      </c>
      <c r="V218" t="s">
        <v>549</v>
      </c>
      <c r="W218" t="s">
        <v>564</v>
      </c>
      <c r="X218" t="s">
        <v>1485</v>
      </c>
      <c r="Y218" t="s">
        <v>1363</v>
      </c>
      <c r="Z218">
        <v>225.2996</v>
      </c>
      <c r="AA218" t="s">
        <v>1058</v>
      </c>
      <c r="AB218">
        <v>256.27929999999998</v>
      </c>
      <c r="AC218">
        <v>0.13750440183735449</v>
      </c>
      <c r="AD218" t="s">
        <v>591</v>
      </c>
      <c r="AE218" t="s">
        <v>554</v>
      </c>
      <c r="AF218">
        <v>0.13650399999999999</v>
      </c>
      <c r="AG218" t="str">
        <f>IF($A218="","",IFERROR(INDEX(Company_List!$G$3:$G$207,MATCH($A218,Company_List!$A$3:$A$207,0)),"unassigned"))</f>
        <v>P2</v>
      </c>
      <c r="AH218" t="s">
        <v>1486</v>
      </c>
      <c r="AI218" t="s">
        <v>1487</v>
      </c>
      <c r="AJ218" t="s">
        <v>560</v>
      </c>
      <c r="AK218" t="str">
        <f>IF($A218="","",IF(COUNTIFS(Human_Data_Entry!$A$3:$A$525,$A218)&gt;0,"YES","NO"))</f>
        <v>YES</v>
      </c>
      <c r="AL218" t="str">
        <f>IF($A218="","",IF(AND($C218&amp;"-"&amp;$D218&gt;=Settings!$B$19,$C218&amp;"-"&amp;$D218&lt;=Settings!$B$20),"IN","OUT"))</f>
        <v>IN</v>
      </c>
      <c r="AM218">
        <f t="shared" si="12"/>
        <v>0.13650399999999999</v>
      </c>
      <c r="AN218">
        <f t="shared" si="13"/>
        <v>0.13650399999999999</v>
      </c>
      <c r="AO218">
        <f>IF(ISNUMBER($AM218),ABS(IF(ISNUMBER($G218),$G218,0)-Settings!$B$25),"")</f>
        <v>0.51249999999999996</v>
      </c>
      <c r="AP218">
        <f t="shared" si="14"/>
        <v>6.9958299999999987E-2</v>
      </c>
      <c r="AQ218">
        <f>IF(ISNUMBER($AN218),ABS(IF(ISNUMBER($G218),$G218,0)-Settings!$B$25),"")</f>
        <v>0.51249999999999996</v>
      </c>
      <c r="AR218">
        <f t="shared" si="15"/>
        <v>6.9958299999999987E-2</v>
      </c>
      <c r="AS218" t="str">
        <f>IF($A218="","",IFERROR(INDEX(Company_List!$H$3:$H$207,MATCH($A218,Company_List!$A$3:$A$207,0)),"unassigned"))</f>
        <v>Information Technology</v>
      </c>
      <c r="AT218" t="s">
        <v>1924</v>
      </c>
      <c r="AU218" t="s">
        <v>1925</v>
      </c>
      <c r="AV218">
        <v>1</v>
      </c>
      <c r="AW218" t="s">
        <v>561</v>
      </c>
      <c r="AX218" t="s">
        <v>561</v>
      </c>
      <c r="AY218" t="s">
        <v>550</v>
      </c>
      <c r="AZ218" t="s">
        <v>562</v>
      </c>
      <c r="BA218" t="s">
        <v>554</v>
      </c>
    </row>
    <row r="219" spans="1:53" x14ac:dyDescent="0.2">
      <c r="A219" s="115" t="s">
        <v>1484</v>
      </c>
      <c r="B219" s="117" t="s">
        <v>1485</v>
      </c>
      <c r="C219" s="105">
        <v>2026</v>
      </c>
      <c r="D219" s="106" t="s">
        <v>555</v>
      </c>
      <c r="E219" s="109" t="s">
        <v>1911</v>
      </c>
      <c r="F219" s="106" t="s">
        <v>1912</v>
      </c>
      <c r="G219" s="128">
        <v>0.42249999999999999</v>
      </c>
      <c r="H219" s="106" t="s">
        <v>1919</v>
      </c>
      <c r="I219" s="128"/>
      <c r="J219" s="125">
        <v>46099</v>
      </c>
      <c r="K219" s="126">
        <v>46099</v>
      </c>
      <c r="L219" s="129">
        <v>461.73</v>
      </c>
      <c r="M219" s="126">
        <v>46100</v>
      </c>
      <c r="N219" s="129">
        <v>424.97</v>
      </c>
      <c r="O219" s="132">
        <v>8.6949999999999996E-3</v>
      </c>
      <c r="P219" s="107">
        <v>-7.9614000000000004E-2</v>
      </c>
      <c r="Q219" s="106" t="s">
        <v>545</v>
      </c>
      <c r="R219" s="106" t="s">
        <v>546</v>
      </c>
      <c r="S219" s="105">
        <v>1</v>
      </c>
      <c r="T219" s="107">
        <v>-8.0614000000000005E-2</v>
      </c>
      <c r="U219" s="130" t="s">
        <v>1914</v>
      </c>
      <c r="V219" t="s">
        <v>549</v>
      </c>
      <c r="W219" t="s">
        <v>564</v>
      </c>
      <c r="X219" t="s">
        <v>1485</v>
      </c>
      <c r="Y219" t="s">
        <v>823</v>
      </c>
      <c r="Z219">
        <v>461.46510000000001</v>
      </c>
      <c r="AA219" t="s">
        <v>1061</v>
      </c>
      <c r="AB219">
        <v>424.72620000000001</v>
      </c>
      <c r="AC219">
        <v>-7.9613658350236191E-2</v>
      </c>
      <c r="AD219" t="s">
        <v>545</v>
      </c>
      <c r="AE219" t="s">
        <v>546</v>
      </c>
      <c r="AF219">
        <v>-8.0614000000000005E-2</v>
      </c>
      <c r="AG219" t="str">
        <f>IF($A219="","",IFERROR(INDEX(Company_List!$G$3:$G$207,MATCH($A219,Company_List!$A$3:$A$207,0)),"unassigned"))</f>
        <v>P2</v>
      </c>
      <c r="AH219" t="s">
        <v>2013</v>
      </c>
      <c r="AI219" t="s">
        <v>2014</v>
      </c>
      <c r="AJ219" t="s">
        <v>754</v>
      </c>
      <c r="AK219" t="str">
        <f>IF($A219="","",IF(COUNTIFS(Human_Data_Entry!$A$3:$A$525,$A219)&gt;0,"YES","NO"))</f>
        <v>YES</v>
      </c>
      <c r="AL219" t="str">
        <f>IF($A219="","",IF(AND($C219&amp;"-"&amp;$D219&gt;=Settings!$B$19,$C219&amp;"-"&amp;$D219&lt;=Settings!$B$20),"IN","OUT"))</f>
        <v>IN</v>
      </c>
      <c r="AM219">
        <f t="shared" si="12"/>
        <v>-8.0614000000000005E-2</v>
      </c>
      <c r="AN219">
        <f t="shared" si="13"/>
        <v>-8.0614000000000005E-2</v>
      </c>
      <c r="AO219">
        <f>IF(ISNUMBER($AM219),ABS(IF(ISNUMBER($G219),$G219,0)-Settings!$B$25),"")</f>
        <v>0.42249999999999999</v>
      </c>
      <c r="AP219">
        <f t="shared" si="14"/>
        <v>-3.4059415000000003E-2</v>
      </c>
      <c r="AQ219">
        <f>IF(ISNUMBER($AN219),ABS(IF(ISNUMBER($G219),$G219,0)-Settings!$B$25),"")</f>
        <v>0.42249999999999999</v>
      </c>
      <c r="AR219">
        <f t="shared" si="15"/>
        <v>-3.4059415000000003E-2</v>
      </c>
      <c r="AS219" t="str">
        <f>IF($A219="","",IFERROR(INDEX(Company_List!$H$3:$H$207,MATCH($A219,Company_List!$A$3:$A$207,0)),"unassigned"))</f>
        <v>Information Technology</v>
      </c>
      <c r="AT219" t="s">
        <v>1924</v>
      </c>
      <c r="AU219" t="s">
        <v>1925</v>
      </c>
      <c r="AV219">
        <v>2</v>
      </c>
      <c r="AW219" t="s">
        <v>561</v>
      </c>
      <c r="AX219" t="s">
        <v>561</v>
      </c>
      <c r="AY219" t="s">
        <v>1023</v>
      </c>
      <c r="AZ219" t="s">
        <v>562</v>
      </c>
      <c r="BA219" t="s">
        <v>554</v>
      </c>
    </row>
    <row r="220" spans="1:53" x14ac:dyDescent="0.2">
      <c r="A220" s="115" t="s">
        <v>1484</v>
      </c>
      <c r="B220" s="117" t="s">
        <v>1485</v>
      </c>
      <c r="C220" s="105">
        <v>2025</v>
      </c>
      <c r="D220" s="106" t="s">
        <v>569</v>
      </c>
      <c r="E220" s="109" t="s">
        <v>1911</v>
      </c>
      <c r="F220" s="106" t="s">
        <v>1912</v>
      </c>
      <c r="G220" s="128">
        <v>0.30249999999999999</v>
      </c>
      <c r="H220" s="106" t="s">
        <v>1919</v>
      </c>
      <c r="I220" s="128"/>
      <c r="J220" s="125">
        <v>45923</v>
      </c>
      <c r="K220" s="126">
        <v>45923</v>
      </c>
      <c r="L220" s="129">
        <v>166.41</v>
      </c>
      <c r="M220" s="126">
        <v>45924</v>
      </c>
      <c r="N220" s="129">
        <v>165.08</v>
      </c>
      <c r="O220" s="132">
        <v>9.2379999999999997E-3</v>
      </c>
      <c r="P220" s="107">
        <v>-7.9920000000000008E-3</v>
      </c>
      <c r="Q220" s="106" t="s">
        <v>579</v>
      </c>
      <c r="R220" s="106" t="s">
        <v>546</v>
      </c>
      <c r="S220" s="105">
        <v>1</v>
      </c>
      <c r="T220" s="107">
        <v>-8.992E-3</v>
      </c>
      <c r="U220" s="130" t="s">
        <v>1914</v>
      </c>
      <c r="V220" t="s">
        <v>549</v>
      </c>
      <c r="W220" t="s">
        <v>564</v>
      </c>
      <c r="X220" t="s">
        <v>1485</v>
      </c>
      <c r="Y220" t="s">
        <v>1490</v>
      </c>
      <c r="Z220">
        <v>166.14330000000001</v>
      </c>
      <c r="AA220" t="s">
        <v>1491</v>
      </c>
      <c r="AB220">
        <v>164.81549999999999</v>
      </c>
      <c r="AC220">
        <v>-7.9923721470293065E-3</v>
      </c>
      <c r="AD220" t="s">
        <v>579</v>
      </c>
      <c r="AE220" t="s">
        <v>546</v>
      </c>
      <c r="AF220">
        <v>-8.992E-3</v>
      </c>
      <c r="AG220" t="str">
        <f>IF($A220="","",IFERROR(INDEX(Company_List!$G$3:$G$207,MATCH($A220,Company_List!$A$3:$A$207,0)),"unassigned"))</f>
        <v>P2</v>
      </c>
      <c r="AH220" t="s">
        <v>1492</v>
      </c>
      <c r="AI220" t="s">
        <v>1493</v>
      </c>
      <c r="AJ220" t="s">
        <v>560</v>
      </c>
      <c r="AK220" t="str">
        <f>IF($A220="","",IF(COUNTIFS(Human_Data_Entry!$A$3:$A$525,$A220)&gt;0,"YES","NO"))</f>
        <v>YES</v>
      </c>
      <c r="AL220" t="str">
        <f>IF($A220="","",IF(AND($C220&amp;"-"&amp;$D220&gt;=Settings!$B$19,$C220&amp;"-"&amp;$D220&lt;=Settings!$B$20),"IN","OUT"))</f>
        <v>IN</v>
      </c>
      <c r="AM220">
        <f t="shared" si="12"/>
        <v>-8.992E-3</v>
      </c>
      <c r="AN220">
        <f t="shared" si="13"/>
        <v>-8.992E-3</v>
      </c>
      <c r="AO220">
        <f>IF(ISNUMBER($AM220),ABS(IF(ISNUMBER($G220),$G220,0)-Settings!$B$25),"")</f>
        <v>0.30249999999999999</v>
      </c>
      <c r="AP220">
        <f t="shared" si="14"/>
        <v>-2.7200799999999997E-3</v>
      </c>
      <c r="AQ220">
        <f>IF(ISNUMBER($AN220),ABS(IF(ISNUMBER($G220),$G220,0)-Settings!$B$25),"")</f>
        <v>0.30249999999999999</v>
      </c>
      <c r="AR220">
        <f t="shared" si="15"/>
        <v>-2.7200799999999997E-3</v>
      </c>
      <c r="AS220" t="str">
        <f>IF($A220="","",IFERROR(INDEX(Company_List!$H$3:$H$207,MATCH($A220,Company_List!$A$3:$A$207,0)),"unassigned"))</f>
        <v>Information Technology</v>
      </c>
      <c r="AT220" t="s">
        <v>1924</v>
      </c>
      <c r="AU220" t="s">
        <v>1925</v>
      </c>
      <c r="AV220">
        <v>1</v>
      </c>
      <c r="AW220" t="s">
        <v>561</v>
      </c>
      <c r="AX220" t="s">
        <v>561</v>
      </c>
      <c r="AY220" t="s">
        <v>550</v>
      </c>
      <c r="AZ220" t="s">
        <v>562</v>
      </c>
      <c r="BA220" t="s">
        <v>554</v>
      </c>
    </row>
    <row r="221" spans="1:53" x14ac:dyDescent="0.2">
      <c r="A221" s="115" t="s">
        <v>1455</v>
      </c>
      <c r="B221" s="117" t="s">
        <v>1456</v>
      </c>
      <c r="C221" s="105">
        <v>2026</v>
      </c>
      <c r="D221" s="106" t="s">
        <v>537</v>
      </c>
      <c r="E221" s="109" t="s">
        <v>1911</v>
      </c>
      <c r="F221" s="106" t="s">
        <v>1912</v>
      </c>
      <c r="G221" s="128">
        <v>0.46750000000000003</v>
      </c>
      <c r="H221" s="106" t="s">
        <v>1919</v>
      </c>
      <c r="I221" s="128"/>
      <c r="J221" s="125">
        <v>45909</v>
      </c>
      <c r="K221" s="126">
        <v>45909</v>
      </c>
      <c r="L221" s="129">
        <v>241.51</v>
      </c>
      <c r="M221" s="126">
        <v>45910</v>
      </c>
      <c r="N221" s="129">
        <v>319.19</v>
      </c>
      <c r="O221" s="132">
        <v>7.8399999999999997E-3</v>
      </c>
      <c r="P221" s="107">
        <v>0.32164300000000001</v>
      </c>
      <c r="Q221" s="106" t="s">
        <v>591</v>
      </c>
      <c r="R221" s="106" t="s">
        <v>554</v>
      </c>
      <c r="S221" s="105">
        <v>1</v>
      </c>
      <c r="T221" s="107">
        <v>0.32064300000000001</v>
      </c>
      <c r="U221" s="130" t="s">
        <v>1914</v>
      </c>
      <c r="V221" t="s">
        <v>549</v>
      </c>
      <c r="W221" t="s">
        <v>564</v>
      </c>
      <c r="X221" t="s">
        <v>1456</v>
      </c>
      <c r="Y221" t="s">
        <v>1457</v>
      </c>
      <c r="Z221">
        <v>238.7884</v>
      </c>
      <c r="AA221" t="s">
        <v>1449</v>
      </c>
      <c r="AB221">
        <v>315.59300000000002</v>
      </c>
      <c r="AC221">
        <v>0.32164322432958808</v>
      </c>
      <c r="AD221" t="s">
        <v>591</v>
      </c>
      <c r="AE221" t="s">
        <v>554</v>
      </c>
      <c r="AF221">
        <v>0.32064300000000001</v>
      </c>
      <c r="AG221" t="str">
        <f>IF($A221="","",IFERROR(INDEX(Company_List!$G$3:$G$207,MATCH($A221,Company_List!$A$3:$A$207,0)),"unassigned"))</f>
        <v>P2</v>
      </c>
      <c r="AH221" t="s">
        <v>2015</v>
      </c>
      <c r="AI221" t="s">
        <v>2016</v>
      </c>
      <c r="AJ221" t="s">
        <v>754</v>
      </c>
      <c r="AK221" t="str">
        <f>IF($A221="","",IF(COUNTIFS(Human_Data_Entry!$A$3:$A$525,$A221)&gt;0,"YES","NO"))</f>
        <v>YES</v>
      </c>
      <c r="AL221" t="str">
        <f>IF($A221="","",IF(AND($C221&amp;"-"&amp;$D221&gt;=Settings!$B$19,$C221&amp;"-"&amp;$D221&lt;=Settings!$B$20),"IN","OUT"))</f>
        <v>IN</v>
      </c>
      <c r="AM221">
        <f t="shared" si="12"/>
        <v>0.32064300000000001</v>
      </c>
      <c r="AN221">
        <f t="shared" si="13"/>
        <v>0.32064300000000001</v>
      </c>
      <c r="AO221">
        <f>IF(ISNUMBER($AM221),ABS(IF(ISNUMBER($G221),$G221,0)-Settings!$B$25),"")</f>
        <v>0.46750000000000003</v>
      </c>
      <c r="AP221">
        <f t="shared" si="14"/>
        <v>0.14990060250000001</v>
      </c>
      <c r="AQ221">
        <f>IF(ISNUMBER($AN221),ABS(IF(ISNUMBER($G221),$G221,0)-Settings!$B$25),"")</f>
        <v>0.46750000000000003</v>
      </c>
      <c r="AR221">
        <f t="shared" si="15"/>
        <v>0.14990060250000001</v>
      </c>
      <c r="AS221" t="str">
        <f>IF($A221="","",IFERROR(INDEX(Company_List!$H$3:$H$207,MATCH($A221,Company_List!$A$3:$A$207,0)),"unassigned"))</f>
        <v>Information Technology</v>
      </c>
      <c r="AT221" t="s">
        <v>1924</v>
      </c>
      <c r="AU221" t="s">
        <v>1925</v>
      </c>
      <c r="AV221">
        <v>2</v>
      </c>
      <c r="AW221" t="s">
        <v>561</v>
      </c>
      <c r="AX221" t="s">
        <v>561</v>
      </c>
      <c r="AY221" t="s">
        <v>550</v>
      </c>
      <c r="AZ221" t="s">
        <v>562</v>
      </c>
      <c r="BA221" t="s">
        <v>554</v>
      </c>
    </row>
    <row r="222" spans="1:53" x14ac:dyDescent="0.2">
      <c r="A222" s="115" t="s">
        <v>1455</v>
      </c>
      <c r="B222" s="117" t="s">
        <v>1456</v>
      </c>
      <c r="C222" s="105">
        <v>2026</v>
      </c>
      <c r="D222" s="106" t="s">
        <v>555</v>
      </c>
      <c r="E222" s="109" t="s">
        <v>1911</v>
      </c>
      <c r="F222" s="106" t="s">
        <v>1912</v>
      </c>
      <c r="G222" s="128">
        <v>0.34749999999999998</v>
      </c>
      <c r="H222" s="106" t="s">
        <v>1919</v>
      </c>
      <c r="I222" s="128"/>
      <c r="J222" s="125">
        <v>46001</v>
      </c>
      <c r="K222" s="126">
        <v>46001</v>
      </c>
      <c r="L222" s="129">
        <v>223.01</v>
      </c>
      <c r="M222" s="126">
        <v>46002</v>
      </c>
      <c r="N222" s="129">
        <v>190.62</v>
      </c>
      <c r="O222" s="132">
        <v>8.3049999999999999E-3</v>
      </c>
      <c r="P222" s="107">
        <v>-0.14524000000000001</v>
      </c>
      <c r="Q222" s="106" t="s">
        <v>545</v>
      </c>
      <c r="R222" s="106" t="s">
        <v>546</v>
      </c>
      <c r="S222" s="105">
        <v>1</v>
      </c>
      <c r="T222" s="107">
        <v>-0.14624000000000001</v>
      </c>
      <c r="U222" s="130" t="s">
        <v>1914</v>
      </c>
      <c r="V222" t="s">
        <v>549</v>
      </c>
      <c r="W222" t="s">
        <v>541</v>
      </c>
      <c r="X222" t="s">
        <v>1456</v>
      </c>
      <c r="Y222" t="s">
        <v>1460</v>
      </c>
      <c r="Z222">
        <v>220.87950000000001</v>
      </c>
      <c r="AA222" t="s">
        <v>818</v>
      </c>
      <c r="AB222">
        <v>188.7989</v>
      </c>
      <c r="AC222">
        <v>-0.1452401443321627</v>
      </c>
      <c r="AD222" t="s">
        <v>545</v>
      </c>
      <c r="AE222" t="s">
        <v>546</v>
      </c>
      <c r="AF222">
        <v>-0.14624000000000001</v>
      </c>
      <c r="AG222" t="str">
        <f>IF($A222="","",IFERROR(INDEX(Company_List!$G$3:$G$207,MATCH($A222,Company_List!$A$3:$A$207,0)),"unassigned"))</f>
        <v>P2</v>
      </c>
      <c r="AH222" t="s">
        <v>1461</v>
      </c>
      <c r="AI222" t="s">
        <v>1462</v>
      </c>
      <c r="AJ222" t="s">
        <v>560</v>
      </c>
      <c r="AK222" t="str">
        <f>IF($A222="","",IF(COUNTIFS(Human_Data_Entry!$A$3:$A$525,$A222)&gt;0,"YES","NO"))</f>
        <v>YES</v>
      </c>
      <c r="AL222" t="str">
        <f>IF($A222="","",IF(AND($C222&amp;"-"&amp;$D222&gt;=Settings!$B$19,$C222&amp;"-"&amp;$D222&lt;=Settings!$B$20),"IN","OUT"))</f>
        <v>IN</v>
      </c>
      <c r="AM222">
        <f t="shared" si="12"/>
        <v>-0.14624000000000001</v>
      </c>
      <c r="AN222">
        <f t="shared" si="13"/>
        <v>-0.14624000000000001</v>
      </c>
      <c r="AO222">
        <f>IF(ISNUMBER($AM222),ABS(IF(ISNUMBER($G222),$G222,0)-Settings!$B$25),"")</f>
        <v>0.34749999999999998</v>
      </c>
      <c r="AP222">
        <f t="shared" si="14"/>
        <v>-5.08184E-2</v>
      </c>
      <c r="AQ222">
        <f>IF(ISNUMBER($AN222),ABS(IF(ISNUMBER($G222),$G222,0)-Settings!$B$25),"")</f>
        <v>0.34749999999999998</v>
      </c>
      <c r="AR222">
        <f t="shared" si="15"/>
        <v>-5.08184E-2</v>
      </c>
      <c r="AS222" t="str">
        <f>IF($A222="","",IFERROR(INDEX(Company_List!$H$3:$H$207,MATCH($A222,Company_List!$A$3:$A$207,0)),"unassigned"))</f>
        <v>Information Technology</v>
      </c>
      <c r="AT222" t="s">
        <v>1924</v>
      </c>
      <c r="AU222" t="s">
        <v>1925</v>
      </c>
      <c r="AV222">
        <v>1</v>
      </c>
      <c r="AW222" t="s">
        <v>561</v>
      </c>
      <c r="AX222" t="s">
        <v>561</v>
      </c>
      <c r="AY222" t="s">
        <v>550</v>
      </c>
      <c r="AZ222" t="s">
        <v>562</v>
      </c>
      <c r="BA222" t="s">
        <v>554</v>
      </c>
    </row>
    <row r="223" spans="1:53" x14ac:dyDescent="0.2">
      <c r="A223" s="115" t="s">
        <v>1455</v>
      </c>
      <c r="B223" s="117" t="s">
        <v>1456</v>
      </c>
      <c r="C223" s="105">
        <v>2026</v>
      </c>
      <c r="D223" s="106" t="s">
        <v>563</v>
      </c>
      <c r="E223" s="109" t="s">
        <v>1911</v>
      </c>
      <c r="F223" s="106" t="s">
        <v>1912</v>
      </c>
      <c r="G223" s="128">
        <v>0.25750000000000001</v>
      </c>
      <c r="H223" s="106" t="s">
        <v>1919</v>
      </c>
      <c r="I223" s="128"/>
      <c r="J223" s="125">
        <v>46091</v>
      </c>
      <c r="K223" s="126">
        <v>46091</v>
      </c>
      <c r="L223" s="129">
        <v>149.4</v>
      </c>
      <c r="M223" s="126">
        <v>46092</v>
      </c>
      <c r="N223" s="129">
        <v>166.38</v>
      </c>
      <c r="O223" s="132">
        <v>8.5900000000000004E-3</v>
      </c>
      <c r="P223" s="107">
        <v>0.11365500000000001</v>
      </c>
      <c r="Q223" s="106" t="s">
        <v>591</v>
      </c>
      <c r="R223" s="106" t="s">
        <v>554</v>
      </c>
      <c r="S223" s="105">
        <v>1</v>
      </c>
      <c r="T223" s="107">
        <v>0.11265500000000001</v>
      </c>
      <c r="U223" s="130" t="s">
        <v>1914</v>
      </c>
      <c r="V223" t="s">
        <v>549</v>
      </c>
      <c r="W223" t="s">
        <v>564</v>
      </c>
      <c r="X223" t="s">
        <v>1456</v>
      </c>
      <c r="Y223" t="s">
        <v>1463</v>
      </c>
      <c r="Z223">
        <v>148.3639</v>
      </c>
      <c r="AA223" t="s">
        <v>1464</v>
      </c>
      <c r="AB223">
        <v>165.2261</v>
      </c>
      <c r="AC223">
        <v>0.1136546846451149</v>
      </c>
      <c r="AD223" t="s">
        <v>591</v>
      </c>
      <c r="AE223" t="s">
        <v>554</v>
      </c>
      <c r="AF223">
        <v>0.11265500000000001</v>
      </c>
      <c r="AG223" t="str">
        <f>IF($A223="","",IFERROR(INDEX(Company_List!$G$3:$G$207,MATCH($A223,Company_List!$A$3:$A$207,0)),"unassigned"))</f>
        <v>P2</v>
      </c>
      <c r="AH223" t="s">
        <v>2017</v>
      </c>
      <c r="AI223" t="s">
        <v>2018</v>
      </c>
      <c r="AJ223" t="s">
        <v>754</v>
      </c>
      <c r="AK223" t="str">
        <f>IF($A223="","",IF(COUNTIFS(Human_Data_Entry!$A$3:$A$525,$A223)&gt;0,"YES","NO"))</f>
        <v>YES</v>
      </c>
      <c r="AL223" t="str">
        <f>IF($A223="","",IF(AND($C223&amp;"-"&amp;$D223&gt;=Settings!$B$19,$C223&amp;"-"&amp;$D223&lt;=Settings!$B$20),"IN","OUT"))</f>
        <v>IN</v>
      </c>
      <c r="AM223">
        <f t="shared" si="12"/>
        <v>0.11265500000000001</v>
      </c>
      <c r="AN223">
        <f t="shared" si="13"/>
        <v>0.11265500000000001</v>
      </c>
      <c r="AO223">
        <f>IF(ISNUMBER($AM223),ABS(IF(ISNUMBER($G223),$G223,0)-Settings!$B$25),"")</f>
        <v>0.25750000000000001</v>
      </c>
      <c r="AP223">
        <f t="shared" si="14"/>
        <v>2.9008662500000001E-2</v>
      </c>
      <c r="AQ223">
        <f>IF(ISNUMBER($AN223),ABS(IF(ISNUMBER($G223),$G223,0)-Settings!$B$25),"")</f>
        <v>0.25750000000000001</v>
      </c>
      <c r="AR223">
        <f t="shared" si="15"/>
        <v>2.9008662500000001E-2</v>
      </c>
      <c r="AS223" t="str">
        <f>IF($A223="","",IFERROR(INDEX(Company_List!$H$3:$H$207,MATCH($A223,Company_List!$A$3:$A$207,0)),"unassigned"))</f>
        <v>Information Technology</v>
      </c>
      <c r="AT223" t="s">
        <v>1924</v>
      </c>
      <c r="AU223" t="s">
        <v>1925</v>
      </c>
      <c r="AV223">
        <v>2</v>
      </c>
      <c r="AW223" t="s">
        <v>595</v>
      </c>
      <c r="AX223" t="s">
        <v>596</v>
      </c>
      <c r="AY223" t="s">
        <v>550</v>
      </c>
      <c r="AZ223" t="s">
        <v>562</v>
      </c>
      <c r="BA223" t="s">
        <v>554</v>
      </c>
    </row>
    <row r="224" spans="1:53" x14ac:dyDescent="0.2">
      <c r="A224" s="115" t="s">
        <v>1314</v>
      </c>
      <c r="B224" s="117" t="s">
        <v>2019</v>
      </c>
      <c r="C224" s="105">
        <v>2025</v>
      </c>
      <c r="D224" s="106" t="s">
        <v>537</v>
      </c>
      <c r="E224" s="109" t="s">
        <v>1911</v>
      </c>
      <c r="F224" s="106" t="s">
        <v>1912</v>
      </c>
      <c r="G224" s="128">
        <v>0.16750000000000001</v>
      </c>
      <c r="H224" s="106" t="s">
        <v>1913</v>
      </c>
      <c r="I224" s="128"/>
      <c r="J224" s="125">
        <v>45782</v>
      </c>
      <c r="K224" s="126">
        <v>45782</v>
      </c>
      <c r="L224" s="129">
        <v>123.77</v>
      </c>
      <c r="M224" s="126">
        <v>45783</v>
      </c>
      <c r="N224" s="129">
        <v>112.71</v>
      </c>
      <c r="O224" s="132">
        <v>6.6639999999999998E-3</v>
      </c>
      <c r="P224" s="107">
        <v>-8.9359000000000008E-2</v>
      </c>
      <c r="Q224" s="106" t="s">
        <v>545</v>
      </c>
      <c r="R224" s="106" t="s">
        <v>546</v>
      </c>
      <c r="S224" s="105">
        <v>0</v>
      </c>
      <c r="T224" s="107">
        <v>0</v>
      </c>
      <c r="U224" s="130" t="s">
        <v>1914</v>
      </c>
      <c r="V224" t="s">
        <v>549</v>
      </c>
      <c r="W224" t="s">
        <v>1247</v>
      </c>
      <c r="X224" t="s">
        <v>2019</v>
      </c>
      <c r="Y224" t="s">
        <v>1709</v>
      </c>
      <c r="Z224">
        <v>123.77</v>
      </c>
      <c r="AA224" t="s">
        <v>937</v>
      </c>
      <c r="AB224">
        <v>112.71</v>
      </c>
      <c r="AC224">
        <v>-8.9359281474330227E-2</v>
      </c>
      <c r="AD224" t="s">
        <v>545</v>
      </c>
      <c r="AE224" t="s">
        <v>546</v>
      </c>
      <c r="AF224">
        <v>0</v>
      </c>
      <c r="AG224" t="str">
        <f>IF($A224="","",IFERROR(INDEX(Company_List!$G$3:$G$207,MATCH($A224,Company_List!$A$3:$A$207,0)),"unassigned"))</f>
        <v>P3</v>
      </c>
      <c r="AH224" t="s">
        <v>1315</v>
      </c>
      <c r="AJ224" t="s">
        <v>593</v>
      </c>
      <c r="AK224" t="str">
        <f>IF($A224="","",IF(COUNTIFS(Human_Data_Entry!$A$3:$A$525,$A224)&gt;0,"YES","NO"))</f>
        <v>YES</v>
      </c>
      <c r="AL224" t="str">
        <f>IF($A224="","",IF(AND($C224&amp;"-"&amp;$D224&gt;=Settings!$B$19,$C224&amp;"-"&amp;$D224&lt;=Settings!$B$20),"IN","OUT"))</f>
        <v>IN</v>
      </c>
      <c r="AM224" t="str">
        <f t="shared" si="12"/>
        <v/>
      </c>
      <c r="AN224" t="str">
        <f t="shared" si="13"/>
        <v/>
      </c>
      <c r="AO224" t="str">
        <f>IF(ISNUMBER($AM224),ABS(IF(ISNUMBER($G224),$G224,0)-Settings!$B$25),"")</f>
        <v/>
      </c>
      <c r="AP224" t="str">
        <f t="shared" si="14"/>
        <v/>
      </c>
      <c r="AQ224" t="str">
        <f>IF(ISNUMBER($AN224),ABS(IF(ISNUMBER($G224),$G224,0)-Settings!$B$25),"")</f>
        <v/>
      </c>
      <c r="AR224" t="str">
        <f t="shared" si="15"/>
        <v/>
      </c>
      <c r="AS224" t="str">
        <f>IF($A224="","",IFERROR(INDEX(Company_List!$H$3:$H$207,MATCH($A224,Company_List!$A$3:$A$207,0)),"unassigned"))</f>
        <v>Information Technology</v>
      </c>
      <c r="AT224" t="s">
        <v>1924</v>
      </c>
      <c r="AU224" t="s">
        <v>1925</v>
      </c>
      <c r="AV224">
        <v>3</v>
      </c>
      <c r="AW224" t="s">
        <v>1262</v>
      </c>
      <c r="AX224" t="s">
        <v>553</v>
      </c>
      <c r="AY224" t="s">
        <v>550</v>
      </c>
      <c r="AZ224" t="s">
        <v>550</v>
      </c>
      <c r="BA224" t="s">
        <v>554</v>
      </c>
    </row>
    <row r="225" spans="1:53" x14ac:dyDescent="0.2">
      <c r="A225" s="115" t="s">
        <v>1314</v>
      </c>
      <c r="B225" s="117" t="s">
        <v>2019</v>
      </c>
      <c r="C225" s="105">
        <v>2025</v>
      </c>
      <c r="D225" s="106" t="s">
        <v>555</v>
      </c>
      <c r="E225" s="109" t="s">
        <v>1911</v>
      </c>
      <c r="F225" s="106" t="s">
        <v>1912</v>
      </c>
      <c r="G225" s="128">
        <v>0.51249999999999996</v>
      </c>
      <c r="H225" s="106" t="s">
        <v>1919</v>
      </c>
      <c r="I225" s="128"/>
      <c r="J225" s="125">
        <v>45873</v>
      </c>
      <c r="K225" s="126">
        <v>45873</v>
      </c>
      <c r="L225" s="129">
        <v>160.66</v>
      </c>
      <c r="M225" s="126">
        <v>45874</v>
      </c>
      <c r="N225" s="129">
        <v>171.81</v>
      </c>
      <c r="O225" s="132">
        <v>7.4650000000000003E-3</v>
      </c>
      <c r="P225" s="107">
        <v>6.9401000000000004E-2</v>
      </c>
      <c r="Q225" s="106" t="s">
        <v>591</v>
      </c>
      <c r="R225" s="106" t="s">
        <v>554</v>
      </c>
      <c r="S225" s="105">
        <v>1</v>
      </c>
      <c r="T225" s="107">
        <v>6.8401000000000003E-2</v>
      </c>
      <c r="U225" s="130" t="s">
        <v>1914</v>
      </c>
      <c r="V225" t="s">
        <v>549</v>
      </c>
      <c r="W225" t="s">
        <v>1249</v>
      </c>
      <c r="X225" t="s">
        <v>2019</v>
      </c>
      <c r="Y225" t="s">
        <v>981</v>
      </c>
      <c r="Z225">
        <v>160.66</v>
      </c>
      <c r="AA225" t="s">
        <v>641</v>
      </c>
      <c r="AB225">
        <v>171.81</v>
      </c>
      <c r="AC225">
        <v>6.9401180893783762E-2</v>
      </c>
      <c r="AD225" t="s">
        <v>591</v>
      </c>
      <c r="AE225" t="s">
        <v>554</v>
      </c>
      <c r="AF225">
        <v>6.8401000000000003E-2</v>
      </c>
      <c r="AG225" t="str">
        <f>IF($A225="","",IFERROR(INDEX(Company_List!$G$3:$G$207,MATCH($A225,Company_List!$A$3:$A$207,0)),"unassigned"))</f>
        <v>P3</v>
      </c>
      <c r="AH225" t="s">
        <v>1316</v>
      </c>
      <c r="AJ225" t="s">
        <v>593</v>
      </c>
      <c r="AK225" t="str">
        <f>IF($A225="","",IF(COUNTIFS(Human_Data_Entry!$A$3:$A$525,$A225)&gt;0,"YES","NO"))</f>
        <v>YES</v>
      </c>
      <c r="AL225" t="str">
        <f>IF($A225="","",IF(AND($C225&amp;"-"&amp;$D225&gt;=Settings!$B$19,$C225&amp;"-"&amp;$D225&lt;=Settings!$B$20),"IN","OUT"))</f>
        <v>IN</v>
      </c>
      <c r="AM225">
        <f t="shared" si="12"/>
        <v>6.8401000000000003E-2</v>
      </c>
      <c r="AN225">
        <f t="shared" si="13"/>
        <v>6.8401000000000003E-2</v>
      </c>
      <c r="AO225">
        <f>IF(ISNUMBER($AM225),ABS(IF(ISNUMBER($G225),$G225,0)-Settings!$B$25),"")</f>
        <v>0.51249999999999996</v>
      </c>
      <c r="AP225">
        <f t="shared" si="14"/>
        <v>3.5055512499999997E-2</v>
      </c>
      <c r="AQ225">
        <f>IF(ISNUMBER($AN225),ABS(IF(ISNUMBER($G225),$G225,0)-Settings!$B$25),"")</f>
        <v>0.51249999999999996</v>
      </c>
      <c r="AR225">
        <f t="shared" si="15"/>
        <v>3.5055512499999997E-2</v>
      </c>
      <c r="AS225" t="str">
        <f>IF($A225="","",IFERROR(INDEX(Company_List!$H$3:$H$207,MATCH($A225,Company_List!$A$3:$A$207,0)),"unassigned"))</f>
        <v>Information Technology</v>
      </c>
      <c r="AT225" t="s">
        <v>1924</v>
      </c>
      <c r="AU225" t="s">
        <v>1925</v>
      </c>
      <c r="AV225">
        <v>3</v>
      </c>
      <c r="AW225" t="s">
        <v>1262</v>
      </c>
      <c r="AX225" t="s">
        <v>553</v>
      </c>
      <c r="AY225" t="s">
        <v>550</v>
      </c>
      <c r="AZ225" t="s">
        <v>550</v>
      </c>
      <c r="BA225" t="s">
        <v>554</v>
      </c>
    </row>
    <row r="226" spans="1:53" x14ac:dyDescent="0.2">
      <c r="A226" s="115" t="s">
        <v>1314</v>
      </c>
      <c r="B226" s="117" t="s">
        <v>2019</v>
      </c>
      <c r="C226" s="105">
        <v>2025</v>
      </c>
      <c r="D226" s="106" t="s">
        <v>563</v>
      </c>
      <c r="E226" s="109" t="s">
        <v>1911</v>
      </c>
      <c r="F226" s="106" t="s">
        <v>1912</v>
      </c>
      <c r="G226" s="128">
        <v>0.60250000000000004</v>
      </c>
      <c r="H226" s="106" t="s">
        <v>1919</v>
      </c>
      <c r="I226" s="128"/>
      <c r="J226" s="125">
        <v>45964</v>
      </c>
      <c r="K226" s="126">
        <v>45964</v>
      </c>
      <c r="L226" s="129">
        <v>207.18</v>
      </c>
      <c r="M226" s="126">
        <v>45965</v>
      </c>
      <c r="N226" s="129">
        <v>192.07</v>
      </c>
      <c r="O226" s="132">
        <v>6.9680000000000002E-3</v>
      </c>
      <c r="P226" s="107">
        <v>-7.2931999999999997E-2</v>
      </c>
      <c r="Q226" s="106" t="s">
        <v>545</v>
      </c>
      <c r="R226" s="106" t="s">
        <v>546</v>
      </c>
      <c r="S226" s="105">
        <v>1</v>
      </c>
      <c r="T226" s="107">
        <v>-7.3931999999999998E-2</v>
      </c>
      <c r="U226" s="130" t="s">
        <v>1914</v>
      </c>
      <c r="V226" t="s">
        <v>549</v>
      </c>
      <c r="W226" t="s">
        <v>1247</v>
      </c>
      <c r="X226" t="s">
        <v>2019</v>
      </c>
      <c r="Y226" t="s">
        <v>1204</v>
      </c>
      <c r="Z226">
        <v>207.18</v>
      </c>
      <c r="AA226" t="s">
        <v>1031</v>
      </c>
      <c r="AB226">
        <v>192.07</v>
      </c>
      <c r="AC226">
        <v>-7.2931685058991155E-2</v>
      </c>
      <c r="AD226" t="s">
        <v>545</v>
      </c>
      <c r="AE226" t="s">
        <v>546</v>
      </c>
      <c r="AF226">
        <v>-7.3931999999999998E-2</v>
      </c>
      <c r="AG226" t="str">
        <f>IF($A226="","",IFERROR(INDEX(Company_List!$G$3:$G$207,MATCH($A226,Company_List!$A$3:$A$207,0)),"unassigned"))</f>
        <v>P3</v>
      </c>
      <c r="AH226" t="s">
        <v>1317</v>
      </c>
      <c r="AJ226" t="s">
        <v>593</v>
      </c>
      <c r="AK226" t="str">
        <f>IF($A226="","",IF(COUNTIFS(Human_Data_Entry!$A$3:$A$525,$A226)&gt;0,"YES","NO"))</f>
        <v>YES</v>
      </c>
      <c r="AL226" t="str">
        <f>IF($A226="","",IF(AND($C226&amp;"-"&amp;$D226&gt;=Settings!$B$19,$C226&amp;"-"&amp;$D226&lt;=Settings!$B$20),"IN","OUT"))</f>
        <v>IN</v>
      </c>
      <c r="AM226">
        <f t="shared" si="12"/>
        <v>-7.3931999999999998E-2</v>
      </c>
      <c r="AN226">
        <f t="shared" si="13"/>
        <v>-7.3931999999999998E-2</v>
      </c>
      <c r="AO226">
        <f>IF(ISNUMBER($AM226),ABS(IF(ISNUMBER($G226),$G226,0)-Settings!$B$25),"")</f>
        <v>0.60250000000000004</v>
      </c>
      <c r="AP226">
        <f t="shared" si="14"/>
        <v>-4.4544029999999998E-2</v>
      </c>
      <c r="AQ226">
        <f>IF(ISNUMBER($AN226),ABS(IF(ISNUMBER($G226),$G226,0)-Settings!$B$25),"")</f>
        <v>0.60250000000000004</v>
      </c>
      <c r="AR226">
        <f t="shared" si="15"/>
        <v>-4.4544029999999998E-2</v>
      </c>
      <c r="AS226" t="str">
        <f>IF($A226="","",IFERROR(INDEX(Company_List!$H$3:$H$207,MATCH($A226,Company_List!$A$3:$A$207,0)),"unassigned"))</f>
        <v>Information Technology</v>
      </c>
      <c r="AT226" t="s">
        <v>1924</v>
      </c>
      <c r="AU226" t="s">
        <v>1925</v>
      </c>
      <c r="AV226">
        <v>3</v>
      </c>
      <c r="AW226" t="s">
        <v>1262</v>
      </c>
      <c r="AX226" t="s">
        <v>553</v>
      </c>
      <c r="AY226" t="s">
        <v>550</v>
      </c>
      <c r="AZ226" t="s">
        <v>550</v>
      </c>
      <c r="BA226" t="s">
        <v>554</v>
      </c>
    </row>
    <row r="227" spans="1:53" x14ac:dyDescent="0.2">
      <c r="A227" s="115" t="s">
        <v>1314</v>
      </c>
      <c r="B227" s="117" t="s">
        <v>2019</v>
      </c>
      <c r="C227" s="105">
        <v>2025</v>
      </c>
      <c r="D227" s="106" t="s">
        <v>569</v>
      </c>
      <c r="E227" s="109" t="s">
        <v>1911</v>
      </c>
      <c r="F227" s="106" t="s">
        <v>1912</v>
      </c>
      <c r="G227" s="128">
        <v>0.41499999999999998</v>
      </c>
      <c r="H227" s="106" t="s">
        <v>1919</v>
      </c>
      <c r="I227" s="128"/>
      <c r="J227" s="125">
        <v>46055</v>
      </c>
      <c r="K227" s="126">
        <v>46055</v>
      </c>
      <c r="L227" s="129">
        <v>147.76</v>
      </c>
      <c r="M227" s="126">
        <v>46056</v>
      </c>
      <c r="N227" s="129">
        <v>165.05</v>
      </c>
      <c r="O227" s="132">
        <v>7.5570000000000003E-3</v>
      </c>
      <c r="P227" s="107">
        <v>0.11701400000000001</v>
      </c>
      <c r="Q227" s="106" t="s">
        <v>591</v>
      </c>
      <c r="R227" s="106" t="s">
        <v>554</v>
      </c>
      <c r="S227" s="105">
        <v>1</v>
      </c>
      <c r="T227" s="107">
        <v>0.11601400000000001</v>
      </c>
      <c r="U227" s="130" t="s">
        <v>1914</v>
      </c>
      <c r="V227" t="s">
        <v>549</v>
      </c>
      <c r="W227" t="s">
        <v>1249</v>
      </c>
      <c r="X227" t="s">
        <v>2019</v>
      </c>
      <c r="Y227" t="s">
        <v>983</v>
      </c>
      <c r="Z227">
        <v>147.76</v>
      </c>
      <c r="AA227" t="s">
        <v>736</v>
      </c>
      <c r="AB227">
        <v>165.05</v>
      </c>
      <c r="AC227">
        <v>0.1170141349828822</v>
      </c>
      <c r="AD227" t="s">
        <v>591</v>
      </c>
      <c r="AE227" t="s">
        <v>554</v>
      </c>
      <c r="AF227">
        <v>0.11601400000000001</v>
      </c>
      <c r="AG227" t="str">
        <f>IF($A227="","",IFERROR(INDEX(Company_List!$G$3:$G$207,MATCH($A227,Company_List!$A$3:$A$207,0)),"unassigned"))</f>
        <v>P3</v>
      </c>
      <c r="AH227" t="s">
        <v>1318</v>
      </c>
      <c r="AJ227" t="s">
        <v>593</v>
      </c>
      <c r="AK227" t="str">
        <f>IF($A227="","",IF(COUNTIFS(Human_Data_Entry!$A$3:$A$525,$A227)&gt;0,"YES","NO"))</f>
        <v>YES</v>
      </c>
      <c r="AL227" t="str">
        <f>IF($A227="","",IF(AND($C227&amp;"-"&amp;$D227&gt;=Settings!$B$19,$C227&amp;"-"&amp;$D227&lt;=Settings!$B$20),"IN","OUT"))</f>
        <v>IN</v>
      </c>
      <c r="AM227">
        <f t="shared" si="12"/>
        <v>0.11601400000000001</v>
      </c>
      <c r="AN227">
        <f t="shared" si="13"/>
        <v>0.11601400000000001</v>
      </c>
      <c r="AO227">
        <f>IF(ISNUMBER($AM227),ABS(IF(ISNUMBER($G227),$G227,0)-Settings!$B$25),"")</f>
        <v>0.41499999999999998</v>
      </c>
      <c r="AP227">
        <f t="shared" si="14"/>
        <v>4.8145809999999997E-2</v>
      </c>
      <c r="AQ227">
        <f>IF(ISNUMBER($AN227),ABS(IF(ISNUMBER($G227),$G227,0)-Settings!$B$25),"")</f>
        <v>0.41499999999999998</v>
      </c>
      <c r="AR227">
        <f t="shared" si="15"/>
        <v>4.8145809999999997E-2</v>
      </c>
      <c r="AS227" t="str">
        <f>IF($A227="","",IFERROR(INDEX(Company_List!$H$3:$H$207,MATCH($A227,Company_List!$A$3:$A$207,0)),"unassigned"))</f>
        <v>Information Technology</v>
      </c>
      <c r="AT227" t="s">
        <v>1924</v>
      </c>
      <c r="AU227" t="s">
        <v>1925</v>
      </c>
      <c r="AV227">
        <v>4</v>
      </c>
      <c r="AW227" t="s">
        <v>1262</v>
      </c>
      <c r="AX227" t="s">
        <v>553</v>
      </c>
      <c r="AY227" t="s">
        <v>1023</v>
      </c>
      <c r="AZ227" t="s">
        <v>550</v>
      </c>
      <c r="BA227" t="s">
        <v>554</v>
      </c>
    </row>
    <row r="228" spans="1:53" x14ac:dyDescent="0.2">
      <c r="A228" s="115" t="s">
        <v>1087</v>
      </c>
      <c r="B228" s="117" t="s">
        <v>1088</v>
      </c>
      <c r="C228" s="105">
        <v>2025</v>
      </c>
      <c r="D228" s="106" t="s">
        <v>537</v>
      </c>
      <c r="E228" s="109" t="s">
        <v>1911</v>
      </c>
      <c r="F228" s="106" t="s">
        <v>1912</v>
      </c>
      <c r="G228" s="128">
        <v>-5.2499999999999998E-2</v>
      </c>
      <c r="H228" s="106" t="s">
        <v>1923</v>
      </c>
      <c r="I228" s="128"/>
      <c r="J228" s="125">
        <v>45776</v>
      </c>
      <c r="K228" s="126">
        <v>45775</v>
      </c>
      <c r="L228" s="129">
        <v>64.930000000000007</v>
      </c>
      <c r="M228" s="126">
        <v>45776</v>
      </c>
      <c r="N228" s="129">
        <v>66.37</v>
      </c>
      <c r="O228" s="132">
        <v>1.2515999999999999E-2</v>
      </c>
      <c r="P228" s="107">
        <v>2.2178E-2</v>
      </c>
      <c r="Q228" s="106" t="s">
        <v>591</v>
      </c>
      <c r="R228" s="106" t="s">
        <v>546</v>
      </c>
      <c r="S228" s="105">
        <v>-1</v>
      </c>
      <c r="T228" s="107">
        <v>-2.3178000000000001E-2</v>
      </c>
      <c r="U228" s="130" t="s">
        <v>1914</v>
      </c>
      <c r="V228" t="s">
        <v>549</v>
      </c>
      <c r="W228" t="s">
        <v>541</v>
      </c>
      <c r="X228" t="s">
        <v>1088</v>
      </c>
      <c r="Y228" t="s">
        <v>978</v>
      </c>
      <c r="Z228">
        <v>64.372500000000002</v>
      </c>
      <c r="AA228" t="s">
        <v>979</v>
      </c>
      <c r="AB228">
        <v>65.8001</v>
      </c>
      <c r="AC228">
        <v>2.217769318727723E-2</v>
      </c>
      <c r="AD228" t="s">
        <v>591</v>
      </c>
      <c r="AE228" t="s">
        <v>546</v>
      </c>
      <c r="AF228">
        <v>-2.3178000000000001E-2</v>
      </c>
      <c r="AG228" t="str">
        <f>IF($A228="","",IFERROR(INDEX(Company_List!$G$3:$G$207,MATCH($A228,Company_List!$A$3:$A$207,0)),"unassigned"))</f>
        <v>P3</v>
      </c>
      <c r="AH228" t="s">
        <v>1089</v>
      </c>
      <c r="AJ228" t="s">
        <v>548</v>
      </c>
      <c r="AK228" t="str">
        <f>IF($A228="","",IF(COUNTIFS(Human_Data_Entry!$A$3:$A$525,$A228)&gt;0,"YES","NO"))</f>
        <v>YES</v>
      </c>
      <c r="AL228" t="str">
        <f>IF($A228="","",IF(AND($C228&amp;"-"&amp;$D228&gt;=Settings!$B$19,$C228&amp;"-"&amp;$D228&lt;=Settings!$B$20),"IN","OUT"))</f>
        <v>IN</v>
      </c>
      <c r="AM228">
        <f t="shared" si="12"/>
        <v>-2.3178000000000001E-2</v>
      </c>
      <c r="AN228">
        <f t="shared" si="13"/>
        <v>-2.3178000000000001E-2</v>
      </c>
      <c r="AO228">
        <f>IF(ISNUMBER($AM228),ABS(IF(ISNUMBER($G228),$G228,0)-Settings!$B$25),"")</f>
        <v>5.2499999999999998E-2</v>
      </c>
      <c r="AP228">
        <f t="shared" si="14"/>
        <v>-1.216845E-3</v>
      </c>
      <c r="AQ228">
        <f>IF(ISNUMBER($AN228),ABS(IF(ISNUMBER($G228),$G228,0)-Settings!$B$25),"")</f>
        <v>5.2499999999999998E-2</v>
      </c>
      <c r="AR228">
        <f t="shared" si="15"/>
        <v>-1.216845E-3</v>
      </c>
      <c r="AS228" t="str">
        <f>IF($A228="","",IFERROR(INDEX(Company_List!$H$3:$H$207,MATCH($A228,Company_List!$A$3:$A$207,0)),"unassigned"))</f>
        <v>Financials</v>
      </c>
      <c r="AT228" t="s">
        <v>1924</v>
      </c>
      <c r="AU228" t="s">
        <v>1925</v>
      </c>
      <c r="AV228">
        <v>1</v>
      </c>
      <c r="AW228" t="s">
        <v>617</v>
      </c>
      <c r="AX228" t="s">
        <v>553</v>
      </c>
      <c r="AY228" t="s">
        <v>550</v>
      </c>
      <c r="AZ228" t="s">
        <v>550</v>
      </c>
      <c r="BA228" t="s">
        <v>554</v>
      </c>
    </row>
    <row r="229" spans="1:53" x14ac:dyDescent="0.2">
      <c r="A229" s="115" t="s">
        <v>1087</v>
      </c>
      <c r="B229" s="117" t="s">
        <v>1088</v>
      </c>
      <c r="C229" s="105">
        <v>2026</v>
      </c>
      <c r="D229" s="106" t="s">
        <v>537</v>
      </c>
      <c r="E229" s="109" t="s">
        <v>1911</v>
      </c>
      <c r="F229" s="106" t="s">
        <v>1912</v>
      </c>
      <c r="G229" s="128">
        <v>-0.19</v>
      </c>
      <c r="H229" s="106" t="s">
        <v>1923</v>
      </c>
      <c r="I229" s="128"/>
      <c r="J229" s="125">
        <v>46147</v>
      </c>
      <c r="K229" s="126">
        <v>46146</v>
      </c>
      <c r="L229" s="129">
        <v>50.39</v>
      </c>
      <c r="M229" s="126">
        <v>46147</v>
      </c>
      <c r="N229" s="129">
        <v>45.37</v>
      </c>
      <c r="O229" s="132">
        <v>1.1983000000000001E-2</v>
      </c>
      <c r="P229" s="107">
        <v>-9.9623000000000003E-2</v>
      </c>
      <c r="Q229" s="106" t="s">
        <v>545</v>
      </c>
      <c r="R229" s="106" t="s">
        <v>554</v>
      </c>
      <c r="S229" s="105">
        <v>-1</v>
      </c>
      <c r="T229" s="107">
        <v>9.8623000000000002E-2</v>
      </c>
      <c r="U229" s="130" t="s">
        <v>1914</v>
      </c>
      <c r="V229" t="s">
        <v>549</v>
      </c>
      <c r="W229" t="s">
        <v>541</v>
      </c>
      <c r="X229" t="s">
        <v>1088</v>
      </c>
      <c r="Y229" t="s">
        <v>985</v>
      </c>
      <c r="Z229">
        <v>50.224400000000003</v>
      </c>
      <c r="AA229" t="s">
        <v>731</v>
      </c>
      <c r="AB229">
        <v>45.2209</v>
      </c>
      <c r="AC229">
        <v>-9.9622958594696276E-2</v>
      </c>
      <c r="AD229" t="s">
        <v>545</v>
      </c>
      <c r="AE229" t="s">
        <v>554</v>
      </c>
      <c r="AF229">
        <v>9.8623000000000002E-2</v>
      </c>
      <c r="AG229" t="str">
        <f>IF($A229="","",IFERROR(INDEX(Company_List!$G$3:$G$207,MATCH($A229,Company_List!$A$3:$A$207,0)),"unassigned"))</f>
        <v>P3</v>
      </c>
      <c r="AH229" t="s">
        <v>2020</v>
      </c>
      <c r="AI229" t="s">
        <v>2021</v>
      </c>
      <c r="AJ229" t="s">
        <v>560</v>
      </c>
      <c r="AK229" t="str">
        <f>IF($A229="","",IF(COUNTIFS(Human_Data_Entry!$A$3:$A$525,$A229)&gt;0,"YES","NO"))</f>
        <v>YES</v>
      </c>
      <c r="AL229" t="str">
        <f>IF($A229="","",IF(AND($C229&amp;"-"&amp;$D229&gt;=Settings!$B$19,$C229&amp;"-"&amp;$D229&lt;=Settings!$B$20),"IN","OUT"))</f>
        <v>IN</v>
      </c>
      <c r="AM229">
        <f t="shared" si="12"/>
        <v>9.8623000000000002E-2</v>
      </c>
      <c r="AN229">
        <f t="shared" si="13"/>
        <v>9.8623000000000002E-2</v>
      </c>
      <c r="AO229">
        <f>IF(ISNUMBER($AM229),ABS(IF(ISNUMBER($G229),$G229,0)-Settings!$B$25),"")</f>
        <v>0.19</v>
      </c>
      <c r="AP229">
        <f t="shared" si="14"/>
        <v>1.8738370000000001E-2</v>
      </c>
      <c r="AQ229">
        <f>IF(ISNUMBER($AN229),ABS(IF(ISNUMBER($G229),$G229,0)-Settings!$B$25),"")</f>
        <v>0.19</v>
      </c>
      <c r="AR229">
        <f t="shared" si="15"/>
        <v>1.8738370000000001E-2</v>
      </c>
      <c r="AS229" t="str">
        <f>IF($A229="","",IFERROR(INDEX(Company_List!$H$3:$H$207,MATCH($A229,Company_List!$A$3:$A$207,0)),"unassigned"))</f>
        <v>Financials</v>
      </c>
      <c r="AT229" t="s">
        <v>1924</v>
      </c>
      <c r="AU229" t="s">
        <v>1925</v>
      </c>
      <c r="AV229">
        <v>1</v>
      </c>
      <c r="AW229" t="s">
        <v>561</v>
      </c>
      <c r="AX229" t="s">
        <v>561</v>
      </c>
      <c r="AY229" t="s">
        <v>550</v>
      </c>
      <c r="AZ229" t="s">
        <v>562</v>
      </c>
      <c r="BA229" t="s">
        <v>554</v>
      </c>
    </row>
    <row r="230" spans="1:53" x14ac:dyDescent="0.2">
      <c r="A230" s="115" t="s">
        <v>1087</v>
      </c>
      <c r="B230" s="117" t="s">
        <v>1088</v>
      </c>
      <c r="C230" s="105">
        <v>2025</v>
      </c>
      <c r="D230" s="106" t="s">
        <v>555</v>
      </c>
      <c r="E230" s="109" t="s">
        <v>1911</v>
      </c>
      <c r="F230" s="106" t="s">
        <v>1912</v>
      </c>
      <c r="G230" s="128">
        <v>0.29249999999999998</v>
      </c>
      <c r="H230" s="106" t="s">
        <v>1919</v>
      </c>
      <c r="I230" s="128"/>
      <c r="J230" s="125">
        <v>45867</v>
      </c>
      <c r="K230" s="126">
        <v>45866</v>
      </c>
      <c r="L230" s="129">
        <v>78.22</v>
      </c>
      <c r="M230" s="126">
        <v>45867</v>
      </c>
      <c r="N230" s="129">
        <v>71.73</v>
      </c>
      <c r="O230" s="132">
        <v>1.3427E-2</v>
      </c>
      <c r="P230" s="107">
        <v>-8.2971000000000003E-2</v>
      </c>
      <c r="Q230" s="106" t="s">
        <v>545</v>
      </c>
      <c r="R230" s="106" t="s">
        <v>546</v>
      </c>
      <c r="S230" s="105">
        <v>1</v>
      </c>
      <c r="T230" s="107">
        <v>-8.3971000000000004E-2</v>
      </c>
      <c r="U230" s="130" t="s">
        <v>1914</v>
      </c>
      <c r="V230" t="s">
        <v>549</v>
      </c>
      <c r="W230" t="s">
        <v>541</v>
      </c>
      <c r="X230" t="s">
        <v>1088</v>
      </c>
      <c r="Y230" t="s">
        <v>619</v>
      </c>
      <c r="Z230">
        <v>77.548400000000001</v>
      </c>
      <c r="AA230" t="s">
        <v>620</v>
      </c>
      <c r="AB230">
        <v>71.114099999999993</v>
      </c>
      <c r="AC230">
        <v>-8.2971177858092868E-2</v>
      </c>
      <c r="AD230" t="s">
        <v>545</v>
      </c>
      <c r="AE230" t="s">
        <v>546</v>
      </c>
      <c r="AF230">
        <v>-8.3971000000000004E-2</v>
      </c>
      <c r="AG230" t="str">
        <f>IF($A230="","",IFERROR(INDEX(Company_List!$G$3:$G$207,MATCH($A230,Company_List!$A$3:$A$207,0)),"unassigned"))</f>
        <v>P3</v>
      </c>
      <c r="AH230" t="s">
        <v>1091</v>
      </c>
      <c r="AJ230" t="s">
        <v>548</v>
      </c>
      <c r="AK230" t="str">
        <f>IF($A230="","",IF(COUNTIFS(Human_Data_Entry!$A$3:$A$525,$A230)&gt;0,"YES","NO"))</f>
        <v>YES</v>
      </c>
      <c r="AL230" t="str">
        <f>IF($A230="","",IF(AND($C230&amp;"-"&amp;$D230&gt;=Settings!$B$19,$C230&amp;"-"&amp;$D230&lt;=Settings!$B$20),"IN","OUT"))</f>
        <v>IN</v>
      </c>
      <c r="AM230">
        <f t="shared" si="12"/>
        <v>-8.3971000000000004E-2</v>
      </c>
      <c r="AN230">
        <f t="shared" si="13"/>
        <v>-8.3971000000000004E-2</v>
      </c>
      <c r="AO230">
        <f>IF(ISNUMBER($AM230),ABS(IF(ISNUMBER($G230),$G230,0)-Settings!$B$25),"")</f>
        <v>0.29249999999999998</v>
      </c>
      <c r="AP230">
        <f t="shared" si="14"/>
        <v>-2.4561517500000001E-2</v>
      </c>
      <c r="AQ230">
        <f>IF(ISNUMBER($AN230),ABS(IF(ISNUMBER($G230),$G230,0)-Settings!$B$25),"")</f>
        <v>0.29249999999999998</v>
      </c>
      <c r="AR230">
        <f t="shared" si="15"/>
        <v>-2.4561517500000001E-2</v>
      </c>
      <c r="AS230" t="str">
        <f>IF($A230="","",IFERROR(INDEX(Company_List!$H$3:$H$207,MATCH($A230,Company_List!$A$3:$A$207,0)),"unassigned"))</f>
        <v>Financials</v>
      </c>
      <c r="AT230" t="s">
        <v>1924</v>
      </c>
      <c r="AU230" t="s">
        <v>1925</v>
      </c>
      <c r="AV230">
        <v>1</v>
      </c>
      <c r="AW230" t="s">
        <v>617</v>
      </c>
      <c r="AX230" t="s">
        <v>553</v>
      </c>
      <c r="AY230" t="s">
        <v>550</v>
      </c>
      <c r="AZ230" t="s">
        <v>550</v>
      </c>
      <c r="BA230" t="s">
        <v>554</v>
      </c>
    </row>
    <row r="231" spans="1:53" x14ac:dyDescent="0.2">
      <c r="A231" s="115" t="s">
        <v>1087</v>
      </c>
      <c r="B231" s="117" t="s">
        <v>1088</v>
      </c>
      <c r="C231" s="105">
        <v>2025</v>
      </c>
      <c r="D231" s="106" t="s">
        <v>563</v>
      </c>
      <c r="E231" s="109" t="s">
        <v>1911</v>
      </c>
      <c r="F231" s="106" t="s">
        <v>1912</v>
      </c>
      <c r="G231" s="128">
        <v>0.4375</v>
      </c>
      <c r="H231" s="106" t="s">
        <v>1919</v>
      </c>
      <c r="I231" s="128"/>
      <c r="J231" s="125">
        <v>45958</v>
      </c>
      <c r="K231" s="126">
        <v>45957</v>
      </c>
      <c r="L231" s="129">
        <v>70.25</v>
      </c>
      <c r="M231" s="126">
        <v>45958</v>
      </c>
      <c r="N231" s="129">
        <v>76.209999999999994</v>
      </c>
      <c r="O231" s="132">
        <v>1.3747000000000001E-2</v>
      </c>
      <c r="P231" s="107">
        <v>8.4839999999999999E-2</v>
      </c>
      <c r="Q231" s="106" t="s">
        <v>591</v>
      </c>
      <c r="R231" s="106" t="s">
        <v>554</v>
      </c>
      <c r="S231" s="105">
        <v>1</v>
      </c>
      <c r="T231" s="107">
        <v>8.3839999999999998E-2</v>
      </c>
      <c r="U231" s="130" t="s">
        <v>1914</v>
      </c>
      <c r="V231" t="s">
        <v>549</v>
      </c>
      <c r="W231" t="s">
        <v>541</v>
      </c>
      <c r="X231" t="s">
        <v>1088</v>
      </c>
      <c r="Y231" t="s">
        <v>1093</v>
      </c>
      <c r="Z231">
        <v>69.646799999999999</v>
      </c>
      <c r="AA231" t="s">
        <v>625</v>
      </c>
      <c r="AB231">
        <v>75.555599999999998</v>
      </c>
      <c r="AC231">
        <v>8.4839759664529807E-2</v>
      </c>
      <c r="AD231" t="s">
        <v>591</v>
      </c>
      <c r="AE231" t="s">
        <v>554</v>
      </c>
      <c r="AF231">
        <v>8.3839999999999998E-2</v>
      </c>
      <c r="AG231" t="str">
        <f>IF($A231="","",IFERROR(INDEX(Company_List!$G$3:$G$207,MATCH($A231,Company_List!$A$3:$A$207,0)),"unassigned"))</f>
        <v>P3</v>
      </c>
      <c r="AH231" t="s">
        <v>1094</v>
      </c>
      <c r="AJ231" t="s">
        <v>548</v>
      </c>
      <c r="AK231" t="str">
        <f>IF($A231="","",IF(COUNTIFS(Human_Data_Entry!$A$3:$A$525,$A231)&gt;0,"YES","NO"))</f>
        <v>YES</v>
      </c>
      <c r="AL231" t="str">
        <f>IF($A231="","",IF(AND($C231&amp;"-"&amp;$D231&gt;=Settings!$B$19,$C231&amp;"-"&amp;$D231&lt;=Settings!$B$20),"IN","OUT"))</f>
        <v>IN</v>
      </c>
      <c r="AM231">
        <f t="shared" si="12"/>
        <v>8.3839999999999998E-2</v>
      </c>
      <c r="AN231">
        <f t="shared" si="13"/>
        <v>8.3839999999999998E-2</v>
      </c>
      <c r="AO231">
        <f>IF(ISNUMBER($AM231),ABS(IF(ISNUMBER($G231),$G231,0)-Settings!$B$25),"")</f>
        <v>0.4375</v>
      </c>
      <c r="AP231">
        <f t="shared" si="14"/>
        <v>3.6679999999999997E-2</v>
      </c>
      <c r="AQ231">
        <f>IF(ISNUMBER($AN231),ABS(IF(ISNUMBER($G231),$G231,0)-Settings!$B$25),"")</f>
        <v>0.4375</v>
      </c>
      <c r="AR231">
        <f t="shared" si="15"/>
        <v>3.6679999999999997E-2</v>
      </c>
      <c r="AS231" t="str">
        <f>IF($A231="","",IFERROR(INDEX(Company_List!$H$3:$H$207,MATCH($A231,Company_List!$A$3:$A$207,0)),"unassigned"))</f>
        <v>Financials</v>
      </c>
      <c r="AT231" t="s">
        <v>1924</v>
      </c>
      <c r="AU231" t="s">
        <v>1925</v>
      </c>
      <c r="AV231">
        <v>1</v>
      </c>
      <c r="AW231" t="s">
        <v>617</v>
      </c>
      <c r="AX231" t="s">
        <v>553</v>
      </c>
      <c r="AY231" t="s">
        <v>550</v>
      </c>
      <c r="AZ231" t="s">
        <v>550</v>
      </c>
      <c r="BA231" t="s">
        <v>554</v>
      </c>
    </row>
    <row r="232" spans="1:53" x14ac:dyDescent="0.2">
      <c r="A232" s="115" t="s">
        <v>1137</v>
      </c>
      <c r="B232" s="117" t="s">
        <v>1139</v>
      </c>
      <c r="C232" s="105">
        <v>2026</v>
      </c>
      <c r="D232" s="106" t="s">
        <v>537</v>
      </c>
      <c r="E232" s="109" t="s">
        <v>1911</v>
      </c>
      <c r="F232" s="106" t="s">
        <v>1912</v>
      </c>
      <c r="G232" s="128">
        <v>-5.2499999999999998E-2</v>
      </c>
      <c r="H232" s="106" t="s">
        <v>1923</v>
      </c>
      <c r="I232" s="128"/>
      <c r="J232" s="125">
        <v>46146</v>
      </c>
      <c r="K232" s="126">
        <v>46146</v>
      </c>
      <c r="L232" s="129">
        <v>20.85</v>
      </c>
      <c r="M232" s="126">
        <v>46147</v>
      </c>
      <c r="N232" s="129">
        <v>24.71</v>
      </c>
      <c r="O232" s="132">
        <v>9.8779999999999996E-3</v>
      </c>
      <c r="P232" s="107">
        <v>0.18513199999999999</v>
      </c>
      <c r="Q232" s="106" t="s">
        <v>591</v>
      </c>
      <c r="R232" s="106" t="s">
        <v>546</v>
      </c>
      <c r="S232" s="105">
        <v>-1</v>
      </c>
      <c r="T232" s="107">
        <v>-0.18613199999999999</v>
      </c>
      <c r="U232" s="130" t="s">
        <v>1914</v>
      </c>
      <c r="V232" t="s">
        <v>549</v>
      </c>
      <c r="W232" t="s">
        <v>541</v>
      </c>
      <c r="X232" t="s">
        <v>1139</v>
      </c>
      <c r="Y232" t="s">
        <v>985</v>
      </c>
      <c r="Z232">
        <v>20.85</v>
      </c>
      <c r="AA232" t="s">
        <v>731</v>
      </c>
      <c r="AB232">
        <v>24.71</v>
      </c>
      <c r="AC232">
        <v>0.18513184652278189</v>
      </c>
      <c r="AD232" t="s">
        <v>591</v>
      </c>
      <c r="AE232" t="s">
        <v>546</v>
      </c>
      <c r="AF232">
        <v>-0.18613199999999999</v>
      </c>
      <c r="AG232" t="str">
        <f>IF($A232="","",IFERROR(INDEX(Company_List!$G$3:$G$207,MATCH($A232,Company_List!$A$3:$A$207,0)),"unassigned"))</f>
        <v>P3</v>
      </c>
      <c r="AH232" t="s">
        <v>1144</v>
      </c>
      <c r="AJ232" t="s">
        <v>548</v>
      </c>
      <c r="AK232" t="str">
        <f>IF($A232="","",IF(COUNTIFS(Human_Data_Entry!$A$3:$A$525,$A232)&gt;0,"YES","NO"))</f>
        <v>YES</v>
      </c>
      <c r="AL232" t="str">
        <f>IF($A232="","",IF(AND($C232&amp;"-"&amp;$D232&gt;=Settings!$B$19,$C232&amp;"-"&amp;$D232&lt;=Settings!$B$20),"IN","OUT"))</f>
        <v>IN</v>
      </c>
      <c r="AM232">
        <f t="shared" si="12"/>
        <v>-0.18613199999999999</v>
      </c>
      <c r="AN232">
        <f t="shared" si="13"/>
        <v>-0.18613199999999999</v>
      </c>
      <c r="AO232">
        <f>IF(ISNUMBER($AM232),ABS(IF(ISNUMBER($G232),$G232,0)-Settings!$B$25),"")</f>
        <v>5.2499999999999998E-2</v>
      </c>
      <c r="AP232">
        <f t="shared" si="14"/>
        <v>-9.7719299999999999E-3</v>
      </c>
      <c r="AQ232">
        <f>IF(ISNUMBER($AN232),ABS(IF(ISNUMBER($G232),$G232,0)-Settings!$B$25),"")</f>
        <v>5.2499999999999998E-2</v>
      </c>
      <c r="AR232">
        <f t="shared" si="15"/>
        <v>-9.7719299999999999E-3</v>
      </c>
      <c r="AS232" t="str">
        <f>IF($A232="","",IFERROR(INDEX(Company_List!$H$3:$H$207,MATCH($A232,Company_List!$A$3:$A$207,0)),"unassigned"))</f>
        <v>Communication Services</v>
      </c>
      <c r="AT232" t="s">
        <v>1924</v>
      </c>
      <c r="AU232" t="s">
        <v>1925</v>
      </c>
      <c r="AV232">
        <v>1</v>
      </c>
      <c r="AW232" t="s">
        <v>595</v>
      </c>
      <c r="AX232" t="s">
        <v>596</v>
      </c>
      <c r="AY232" t="s">
        <v>550</v>
      </c>
      <c r="AZ232" t="s">
        <v>550</v>
      </c>
      <c r="BA232" t="s">
        <v>554</v>
      </c>
    </row>
    <row r="233" spans="1:53" x14ac:dyDescent="0.2">
      <c r="A233" s="115" t="s">
        <v>1137</v>
      </c>
      <c r="B233" s="117" t="s">
        <v>1139</v>
      </c>
      <c r="C233" s="105">
        <v>2024</v>
      </c>
      <c r="D233" s="106" t="s">
        <v>569</v>
      </c>
      <c r="E233" s="109" t="s">
        <v>1911</v>
      </c>
      <c r="F233" s="106" t="s">
        <v>1912</v>
      </c>
      <c r="G233" s="128">
        <v>0.25</v>
      </c>
      <c r="H233" s="106" t="s">
        <v>1913</v>
      </c>
      <c r="I233" s="128"/>
      <c r="J233" s="125">
        <v>45694</v>
      </c>
      <c r="K233" s="126">
        <v>45694</v>
      </c>
      <c r="L233" s="129">
        <v>33.590000000000003</v>
      </c>
      <c r="M233" s="126">
        <v>45695</v>
      </c>
      <c r="N233" s="129">
        <v>40.89</v>
      </c>
      <c r="O233" s="132">
        <v>9.9310000000000006E-3</v>
      </c>
      <c r="P233" s="107">
        <v>0.21732699999999999</v>
      </c>
      <c r="Q233" s="106" t="s">
        <v>591</v>
      </c>
      <c r="R233" s="106" t="s">
        <v>546</v>
      </c>
      <c r="S233" s="105">
        <v>0</v>
      </c>
      <c r="T233" s="107">
        <v>0</v>
      </c>
      <c r="U233" s="130" t="s">
        <v>1914</v>
      </c>
      <c r="V233" t="s">
        <v>549</v>
      </c>
      <c r="W233" t="s">
        <v>541</v>
      </c>
      <c r="X233" t="s">
        <v>1139</v>
      </c>
      <c r="Y233" t="s">
        <v>866</v>
      </c>
      <c r="Z233">
        <v>33.590000000000003</v>
      </c>
      <c r="AA233" t="s">
        <v>671</v>
      </c>
      <c r="AB233">
        <v>40.89</v>
      </c>
      <c r="AC233">
        <v>0.2173265555224769</v>
      </c>
      <c r="AD233" t="s">
        <v>591</v>
      </c>
      <c r="AE233" t="s">
        <v>546</v>
      </c>
      <c r="AF233">
        <v>0</v>
      </c>
      <c r="AG233" t="str">
        <f>IF($A233="","",IFERROR(INDEX(Company_List!$G$3:$G$207,MATCH($A233,Company_List!$A$3:$A$207,0)),"unassigned"))</f>
        <v>P3</v>
      </c>
      <c r="AH233" t="s">
        <v>1140</v>
      </c>
      <c r="AJ233" t="s">
        <v>548</v>
      </c>
      <c r="AK233" t="str">
        <f>IF($A233="","",IF(COUNTIFS(Human_Data_Entry!$A$3:$A$525,$A233)&gt;0,"YES","NO"))</f>
        <v>YES</v>
      </c>
      <c r="AL233" t="str">
        <f>IF($A233="","",IF(AND($C233&amp;"-"&amp;$D233&gt;=Settings!$B$19,$C233&amp;"-"&amp;$D233&lt;=Settings!$B$20),"IN","OUT"))</f>
        <v>IN</v>
      </c>
      <c r="AM233" t="str">
        <f t="shared" si="12"/>
        <v/>
      </c>
      <c r="AN233" t="str">
        <f t="shared" si="13"/>
        <v/>
      </c>
      <c r="AO233" t="str">
        <f>IF(ISNUMBER($AM233),ABS(IF(ISNUMBER($G233),$G233,0)-Settings!$B$25),"")</f>
        <v/>
      </c>
      <c r="AP233" t="str">
        <f t="shared" si="14"/>
        <v/>
      </c>
      <c r="AQ233" t="str">
        <f>IF(ISNUMBER($AN233),ABS(IF(ISNUMBER($G233),$G233,0)-Settings!$B$25),"")</f>
        <v/>
      </c>
      <c r="AR233" t="str">
        <f t="shared" si="15"/>
        <v/>
      </c>
      <c r="AS233" t="str">
        <f>IF($A233="","",IFERROR(INDEX(Company_List!$H$3:$H$207,MATCH($A233,Company_List!$A$3:$A$207,0)),"unassigned"))</f>
        <v>Communication Services</v>
      </c>
      <c r="AT233" t="s">
        <v>1924</v>
      </c>
      <c r="AU233" t="s">
        <v>1925</v>
      </c>
      <c r="AV233">
        <v>1</v>
      </c>
      <c r="AW233" t="s">
        <v>561</v>
      </c>
      <c r="AX233" t="s">
        <v>561</v>
      </c>
      <c r="AY233" t="s">
        <v>550</v>
      </c>
      <c r="AZ233" t="s">
        <v>550</v>
      </c>
      <c r="BA233" t="s">
        <v>554</v>
      </c>
    </row>
    <row r="234" spans="1:53" x14ac:dyDescent="0.2">
      <c r="A234" s="115" t="s">
        <v>1137</v>
      </c>
      <c r="B234" s="117" t="s">
        <v>1139</v>
      </c>
      <c r="C234" s="105">
        <v>2025</v>
      </c>
      <c r="D234" s="106" t="s">
        <v>569</v>
      </c>
      <c r="E234" s="109" t="s">
        <v>1911</v>
      </c>
      <c r="F234" s="106" t="s">
        <v>1912</v>
      </c>
      <c r="G234" s="128">
        <v>-0.16250000000000001</v>
      </c>
      <c r="H234" s="106" t="s">
        <v>1923</v>
      </c>
      <c r="I234" s="128"/>
      <c r="J234" s="125">
        <v>46065</v>
      </c>
      <c r="K234" s="126">
        <v>46065</v>
      </c>
      <c r="L234" s="129">
        <v>18.54</v>
      </c>
      <c r="M234" s="126">
        <v>46066</v>
      </c>
      <c r="N234" s="129">
        <v>14.33</v>
      </c>
      <c r="O234" s="132">
        <v>1.1474E-2</v>
      </c>
      <c r="P234" s="107">
        <v>-0.227077</v>
      </c>
      <c r="Q234" s="106" t="s">
        <v>545</v>
      </c>
      <c r="R234" s="106" t="s">
        <v>554</v>
      </c>
      <c r="S234" s="105">
        <v>-1</v>
      </c>
      <c r="T234" s="107">
        <v>0.226077</v>
      </c>
      <c r="U234" s="130" t="s">
        <v>1914</v>
      </c>
      <c r="V234" t="s">
        <v>549</v>
      </c>
      <c r="W234" t="s">
        <v>541</v>
      </c>
      <c r="X234" t="s">
        <v>1139</v>
      </c>
      <c r="Y234" t="s">
        <v>677</v>
      </c>
      <c r="Z234">
        <v>18.54</v>
      </c>
      <c r="AA234" t="s">
        <v>923</v>
      </c>
      <c r="AB234">
        <v>14.33</v>
      </c>
      <c r="AC234">
        <v>-0.22707663284376309</v>
      </c>
      <c r="AD234" t="s">
        <v>545</v>
      </c>
      <c r="AE234" t="s">
        <v>554</v>
      </c>
      <c r="AF234">
        <v>0.226077</v>
      </c>
      <c r="AG234" t="str">
        <f>IF($A234="","",IFERROR(INDEX(Company_List!$G$3:$G$207,MATCH($A234,Company_List!$A$3:$A$207,0)),"unassigned"))</f>
        <v>P3</v>
      </c>
      <c r="AH234" t="s">
        <v>1142</v>
      </c>
      <c r="AJ234" t="s">
        <v>548</v>
      </c>
      <c r="AK234" t="str">
        <f>IF($A234="","",IF(COUNTIFS(Human_Data_Entry!$A$3:$A$525,$A234)&gt;0,"YES","NO"))</f>
        <v>YES</v>
      </c>
      <c r="AL234" t="str">
        <f>IF($A234="","",IF(AND($C234&amp;"-"&amp;$D234&gt;=Settings!$B$19,$C234&amp;"-"&amp;$D234&lt;=Settings!$B$20),"IN","OUT"))</f>
        <v>IN</v>
      </c>
      <c r="AM234">
        <f t="shared" si="12"/>
        <v>0.226077</v>
      </c>
      <c r="AN234">
        <f t="shared" si="13"/>
        <v>0.226077</v>
      </c>
      <c r="AO234">
        <f>IF(ISNUMBER($AM234),ABS(IF(ISNUMBER($G234),$G234,0)-Settings!$B$25),"")</f>
        <v>0.16250000000000001</v>
      </c>
      <c r="AP234">
        <f t="shared" si="14"/>
        <v>3.67375125E-2</v>
      </c>
      <c r="AQ234">
        <f>IF(ISNUMBER($AN234),ABS(IF(ISNUMBER($G234),$G234,0)-Settings!$B$25),"")</f>
        <v>0.16250000000000001</v>
      </c>
      <c r="AR234">
        <f t="shared" si="15"/>
        <v>3.67375125E-2</v>
      </c>
      <c r="AS234" t="str">
        <f>IF($A234="","",IFERROR(INDEX(Company_List!$H$3:$H$207,MATCH($A234,Company_List!$A$3:$A$207,0)),"unassigned"))</f>
        <v>Communication Services</v>
      </c>
      <c r="AT234" t="s">
        <v>1924</v>
      </c>
      <c r="AU234" t="s">
        <v>1925</v>
      </c>
      <c r="AV234">
        <v>1</v>
      </c>
      <c r="AW234" t="s">
        <v>595</v>
      </c>
      <c r="AX234" t="s">
        <v>596</v>
      </c>
      <c r="AY234" t="s">
        <v>550</v>
      </c>
      <c r="AZ234" t="s">
        <v>550</v>
      </c>
      <c r="BA234" t="s">
        <v>554</v>
      </c>
    </row>
    <row r="235" spans="1:53" x14ac:dyDescent="0.2">
      <c r="A235" s="115" t="s">
        <v>1165</v>
      </c>
      <c r="B235" s="117" t="s">
        <v>1166</v>
      </c>
      <c r="C235" s="105">
        <v>2025</v>
      </c>
      <c r="D235" s="106" t="s">
        <v>537</v>
      </c>
      <c r="E235" s="109" t="s">
        <v>1911</v>
      </c>
      <c r="F235" s="106" t="s">
        <v>1912</v>
      </c>
      <c r="G235" s="128">
        <v>-0.3</v>
      </c>
      <c r="H235" s="106" t="s">
        <v>1923</v>
      </c>
      <c r="I235" s="128"/>
      <c r="J235" s="125">
        <v>45784</v>
      </c>
      <c r="K235" s="126">
        <v>45783</v>
      </c>
      <c r="L235" s="129">
        <v>23.67</v>
      </c>
      <c r="M235" s="126">
        <v>45784</v>
      </c>
      <c r="N235" s="129">
        <v>24</v>
      </c>
      <c r="O235" s="132">
        <v>4.9829999999999996E-3</v>
      </c>
      <c r="P235" s="107">
        <v>1.3942E-2</v>
      </c>
      <c r="Q235" s="106" t="s">
        <v>579</v>
      </c>
      <c r="R235" s="106" t="s">
        <v>546</v>
      </c>
      <c r="S235" s="105">
        <v>-1</v>
      </c>
      <c r="T235" s="107">
        <v>-1.4942E-2</v>
      </c>
      <c r="U235" s="130" t="s">
        <v>1914</v>
      </c>
      <c r="V235" t="s">
        <v>549</v>
      </c>
      <c r="W235" t="s">
        <v>1169</v>
      </c>
      <c r="X235" t="s">
        <v>1166</v>
      </c>
      <c r="Y235" t="s">
        <v>938</v>
      </c>
      <c r="Z235">
        <v>22.759</v>
      </c>
      <c r="AA235" t="s">
        <v>1113</v>
      </c>
      <c r="AB235">
        <v>23.781500000000001</v>
      </c>
      <c r="AC235">
        <v>4.4929387830831537E-2</v>
      </c>
      <c r="AD235" t="s">
        <v>591</v>
      </c>
      <c r="AE235" t="s">
        <v>546</v>
      </c>
      <c r="AF235">
        <v>-4.5928999999999998E-2</v>
      </c>
      <c r="AG235" t="str">
        <f>IF($A235="","",IFERROR(INDEX(Company_List!$G$3:$G$207,MATCH($A235,Company_List!$A$3:$A$207,0)),"unassigned"))</f>
        <v>P3</v>
      </c>
      <c r="AH235" t="s">
        <v>1172</v>
      </c>
      <c r="AJ235" t="s">
        <v>548</v>
      </c>
      <c r="AK235" t="str">
        <f>IF($A235="","",IF(COUNTIFS(Human_Data_Entry!$A$3:$A$525,$A235)&gt;0,"YES","NO"))</f>
        <v>YES</v>
      </c>
      <c r="AL235" t="str">
        <f>IF($A235="","",IF(AND($C235&amp;"-"&amp;$D235&gt;=Settings!$B$19,$C235&amp;"-"&amp;$D235&lt;=Settings!$B$20),"IN","OUT"))</f>
        <v>IN</v>
      </c>
      <c r="AM235">
        <f t="shared" si="12"/>
        <v>-1.4942E-2</v>
      </c>
      <c r="AN235">
        <f t="shared" si="13"/>
        <v>-4.5928999999999998E-2</v>
      </c>
      <c r="AO235">
        <f>IF(ISNUMBER($AM235),ABS(IF(ISNUMBER($G235),$G235,0)-Settings!$B$25),"")</f>
        <v>0.3</v>
      </c>
      <c r="AP235">
        <f t="shared" si="14"/>
        <v>-4.4825999999999998E-3</v>
      </c>
      <c r="AQ235">
        <f>IF(ISNUMBER($AN235),ABS(IF(ISNUMBER($G235),$G235,0)-Settings!$B$25),"")</f>
        <v>0.3</v>
      </c>
      <c r="AR235">
        <f t="shared" si="15"/>
        <v>-1.37787E-2</v>
      </c>
      <c r="AS235" t="str">
        <f>IF($A235="","",IFERROR(INDEX(Company_List!$H$3:$H$207,MATCH($A235,Company_List!$A$3:$A$207,0)),"unassigned"))</f>
        <v>Consumer Discretionary</v>
      </c>
      <c r="AT235" t="s">
        <v>1924</v>
      </c>
      <c r="AU235" t="s">
        <v>1925</v>
      </c>
      <c r="AV235">
        <v>1</v>
      </c>
      <c r="AW235" t="s">
        <v>561</v>
      </c>
      <c r="AX235" t="s">
        <v>561</v>
      </c>
      <c r="AY235" t="s">
        <v>550</v>
      </c>
      <c r="AZ235" t="s">
        <v>550</v>
      </c>
      <c r="BA235" t="s">
        <v>554</v>
      </c>
    </row>
    <row r="236" spans="1:53" x14ac:dyDescent="0.2">
      <c r="A236" s="115" t="s">
        <v>1165</v>
      </c>
      <c r="B236" s="117" t="s">
        <v>1166</v>
      </c>
      <c r="C236" s="105">
        <v>2026</v>
      </c>
      <c r="D236" s="106" t="s">
        <v>537</v>
      </c>
      <c r="E236" s="109" t="s">
        <v>1911</v>
      </c>
      <c r="F236" s="106" t="s">
        <v>1912</v>
      </c>
      <c r="G236" s="128">
        <v>-0.19</v>
      </c>
      <c r="H236" s="106" t="s">
        <v>1923</v>
      </c>
      <c r="I236" s="128"/>
      <c r="J236" s="125">
        <v>46142</v>
      </c>
      <c r="K236" s="126">
        <v>46141</v>
      </c>
      <c r="L236" s="129">
        <v>24.68</v>
      </c>
      <c r="M236" s="126">
        <v>46142</v>
      </c>
      <c r="N236" s="129">
        <v>24.94</v>
      </c>
      <c r="O236" s="132">
        <v>9.698E-3</v>
      </c>
      <c r="P236" s="107">
        <v>1.0534999999999999E-2</v>
      </c>
      <c r="Q236" s="106" t="s">
        <v>579</v>
      </c>
      <c r="R236" s="106" t="s">
        <v>546</v>
      </c>
      <c r="S236" s="105">
        <v>-1</v>
      </c>
      <c r="T236" s="107">
        <v>-1.1535E-2</v>
      </c>
      <c r="U236" s="130" t="s">
        <v>1944</v>
      </c>
      <c r="V236" t="s">
        <v>549</v>
      </c>
      <c r="W236" t="s">
        <v>853</v>
      </c>
      <c r="X236" t="s">
        <v>1166</v>
      </c>
      <c r="Y236" t="s">
        <v>656</v>
      </c>
      <c r="Z236">
        <v>24.68</v>
      </c>
      <c r="AA236" t="s">
        <v>657</v>
      </c>
      <c r="AB236">
        <v>24.94</v>
      </c>
      <c r="AC236">
        <v>1.0534886547811951E-2</v>
      </c>
      <c r="AD236" t="s">
        <v>579</v>
      </c>
      <c r="AE236" t="s">
        <v>546</v>
      </c>
      <c r="AF236">
        <v>-1.1535E-2</v>
      </c>
      <c r="AG236" t="str">
        <f>IF($A236="","",IFERROR(INDEX(Company_List!$G$3:$G$207,MATCH($A236,Company_List!$A$3:$A$207,0)),"unassigned"))</f>
        <v>P3</v>
      </c>
      <c r="AH236" t="s">
        <v>1167</v>
      </c>
      <c r="AJ236" t="s">
        <v>548</v>
      </c>
      <c r="AK236" t="str">
        <f>IF($A236="","",IF(COUNTIFS(Human_Data_Entry!$A$3:$A$525,$A236)&gt;0,"YES","NO"))</f>
        <v>YES</v>
      </c>
      <c r="AL236" t="str">
        <f>IF($A236="","",IF(AND($C236&amp;"-"&amp;$D236&gt;=Settings!$B$19,$C236&amp;"-"&amp;$D236&lt;=Settings!$B$20),"IN","OUT"))</f>
        <v>IN</v>
      </c>
      <c r="AM236">
        <f t="shared" si="12"/>
        <v>-1.1535E-2</v>
      </c>
      <c r="AN236">
        <f t="shared" si="13"/>
        <v>-1.1535E-2</v>
      </c>
      <c r="AO236">
        <f>IF(ISNUMBER($AM236),ABS(IF(ISNUMBER($G236),$G236,0)-Settings!$B$25),"")</f>
        <v>0.19</v>
      </c>
      <c r="AP236">
        <f t="shared" si="14"/>
        <v>-2.1916499999999998E-3</v>
      </c>
      <c r="AQ236">
        <f>IF(ISNUMBER($AN236),ABS(IF(ISNUMBER($G236),$G236,0)-Settings!$B$25),"")</f>
        <v>0.19</v>
      </c>
      <c r="AR236">
        <f t="shared" si="15"/>
        <v>-2.1916499999999998E-3</v>
      </c>
      <c r="AS236" t="str">
        <f>IF($A236="","",IFERROR(INDEX(Company_List!$H$3:$H$207,MATCH($A236,Company_List!$A$3:$A$207,0)),"unassigned"))</f>
        <v>Consumer Discretionary</v>
      </c>
      <c r="AT236" t="s">
        <v>1924</v>
      </c>
      <c r="AU236" t="s">
        <v>1925</v>
      </c>
      <c r="AV236">
        <v>1</v>
      </c>
      <c r="AW236" t="s">
        <v>561</v>
      </c>
      <c r="AX236" t="s">
        <v>561</v>
      </c>
      <c r="AY236" t="s">
        <v>550</v>
      </c>
      <c r="AZ236" t="s">
        <v>550</v>
      </c>
      <c r="BA236" t="s">
        <v>554</v>
      </c>
    </row>
    <row r="237" spans="1:53" x14ac:dyDescent="0.2">
      <c r="A237" s="115" t="s">
        <v>1165</v>
      </c>
      <c r="B237" s="117" t="s">
        <v>1166</v>
      </c>
      <c r="C237" s="105">
        <v>2025</v>
      </c>
      <c r="D237" s="106" t="s">
        <v>563</v>
      </c>
      <c r="E237" s="109" t="s">
        <v>1911</v>
      </c>
      <c r="F237" s="106" t="s">
        <v>1912</v>
      </c>
      <c r="G237" s="128">
        <v>-0.33250000000000002</v>
      </c>
      <c r="H237" s="106" t="s">
        <v>1923</v>
      </c>
      <c r="I237" s="128"/>
      <c r="J237" s="125">
        <v>45960</v>
      </c>
      <c r="K237" s="126">
        <v>45959</v>
      </c>
      <c r="L237" s="129">
        <v>20.6</v>
      </c>
      <c r="M237" s="126">
        <v>45960</v>
      </c>
      <c r="N237" s="129">
        <v>21.01</v>
      </c>
      <c r="O237" s="132">
        <v>7.5969999999999996E-3</v>
      </c>
      <c r="P237" s="107">
        <v>1.9903000000000001E-2</v>
      </c>
      <c r="Q237" s="106" t="s">
        <v>579</v>
      </c>
      <c r="R237" s="106" t="s">
        <v>546</v>
      </c>
      <c r="S237" s="105">
        <v>-1</v>
      </c>
      <c r="T237" s="107">
        <v>-2.0903000000000001E-2</v>
      </c>
      <c r="U237" s="130" t="s">
        <v>1914</v>
      </c>
      <c r="V237" t="s">
        <v>549</v>
      </c>
      <c r="W237" t="s">
        <v>1169</v>
      </c>
      <c r="X237" t="s">
        <v>1166</v>
      </c>
      <c r="Y237" t="s">
        <v>626</v>
      </c>
      <c r="Z237">
        <v>20.6</v>
      </c>
      <c r="AA237" t="s">
        <v>660</v>
      </c>
      <c r="AB237">
        <v>21.01</v>
      </c>
      <c r="AC237">
        <v>1.990291262135923E-2</v>
      </c>
      <c r="AD237" t="s">
        <v>579</v>
      </c>
      <c r="AE237" t="s">
        <v>546</v>
      </c>
      <c r="AF237">
        <v>-2.0903000000000001E-2</v>
      </c>
      <c r="AG237" t="str">
        <f>IF($A237="","",IFERROR(INDEX(Company_List!$G$3:$G$207,MATCH($A237,Company_List!$A$3:$A$207,0)),"unassigned"))</f>
        <v>P3</v>
      </c>
      <c r="AH237" t="s">
        <v>1170</v>
      </c>
      <c r="AJ237" t="s">
        <v>548</v>
      </c>
      <c r="AK237" t="str">
        <f>IF($A237="","",IF(COUNTIFS(Human_Data_Entry!$A$3:$A$525,$A237)&gt;0,"YES","NO"))</f>
        <v>YES</v>
      </c>
      <c r="AL237" t="str">
        <f>IF($A237="","",IF(AND($C237&amp;"-"&amp;$D237&gt;=Settings!$B$19,$C237&amp;"-"&amp;$D237&lt;=Settings!$B$20),"IN","OUT"))</f>
        <v>IN</v>
      </c>
      <c r="AM237">
        <f t="shared" si="12"/>
        <v>-2.0903000000000001E-2</v>
      </c>
      <c r="AN237">
        <f t="shared" si="13"/>
        <v>-2.0903000000000001E-2</v>
      </c>
      <c r="AO237">
        <f>IF(ISNUMBER($AM237),ABS(IF(ISNUMBER($G237),$G237,0)-Settings!$B$25),"")</f>
        <v>0.33250000000000002</v>
      </c>
      <c r="AP237">
        <f t="shared" si="14"/>
        <v>-6.9502475000000011E-3</v>
      </c>
      <c r="AQ237">
        <f>IF(ISNUMBER($AN237),ABS(IF(ISNUMBER($G237),$G237,0)-Settings!$B$25),"")</f>
        <v>0.33250000000000002</v>
      </c>
      <c r="AR237">
        <f t="shared" si="15"/>
        <v>-6.9502475000000011E-3</v>
      </c>
      <c r="AS237" t="str">
        <f>IF($A237="","",IFERROR(INDEX(Company_List!$H$3:$H$207,MATCH($A237,Company_List!$A$3:$A$207,0)),"unassigned"))</f>
        <v>Consumer Discretionary</v>
      </c>
      <c r="AT237" t="s">
        <v>1924</v>
      </c>
      <c r="AU237" t="s">
        <v>1925</v>
      </c>
      <c r="AV237">
        <v>1</v>
      </c>
      <c r="AW237" t="s">
        <v>561</v>
      </c>
      <c r="AX237" t="s">
        <v>561</v>
      </c>
      <c r="AY237" t="s">
        <v>550</v>
      </c>
      <c r="AZ237" t="s">
        <v>550</v>
      </c>
      <c r="BA237" t="s">
        <v>554</v>
      </c>
    </row>
    <row r="238" spans="1:53" x14ac:dyDescent="0.2">
      <c r="A238" s="115" t="s">
        <v>1165</v>
      </c>
      <c r="B238" s="117" t="s">
        <v>1166</v>
      </c>
      <c r="C238" s="105">
        <v>2025</v>
      </c>
      <c r="D238" s="106" t="s">
        <v>569</v>
      </c>
      <c r="E238" s="109" t="s">
        <v>1911</v>
      </c>
      <c r="F238" s="106" t="s">
        <v>1912</v>
      </c>
      <c r="G238" s="128">
        <v>-0.32</v>
      </c>
      <c r="H238" s="106" t="s">
        <v>1923</v>
      </c>
      <c r="I238" s="128"/>
      <c r="J238" s="125">
        <v>46079</v>
      </c>
      <c r="K238" s="126">
        <v>46078</v>
      </c>
      <c r="L238" s="129">
        <v>22.61</v>
      </c>
      <c r="M238" s="126">
        <v>46079</v>
      </c>
      <c r="N238" s="129">
        <v>22.61</v>
      </c>
      <c r="O238" s="132">
        <v>9.6050000000000007E-3</v>
      </c>
      <c r="P238" s="107">
        <v>0</v>
      </c>
      <c r="Q238" s="106" t="s">
        <v>579</v>
      </c>
      <c r="R238" s="106" t="s">
        <v>546</v>
      </c>
      <c r="S238" s="105">
        <v>-1</v>
      </c>
      <c r="T238" s="107">
        <v>-1E-3</v>
      </c>
      <c r="U238" s="130" t="s">
        <v>1914</v>
      </c>
      <c r="V238" t="s">
        <v>549</v>
      </c>
      <c r="W238" t="s">
        <v>1169</v>
      </c>
      <c r="X238" t="s">
        <v>1166</v>
      </c>
      <c r="Y238" t="s">
        <v>926</v>
      </c>
      <c r="Z238">
        <v>22.61</v>
      </c>
      <c r="AA238" t="s">
        <v>1174</v>
      </c>
      <c r="AB238">
        <v>22.61</v>
      </c>
      <c r="AC238">
        <v>0</v>
      </c>
      <c r="AD238" t="s">
        <v>579</v>
      </c>
      <c r="AE238" t="s">
        <v>546</v>
      </c>
      <c r="AF238">
        <v>-1E-3</v>
      </c>
      <c r="AG238" t="str">
        <f>IF($A238="","",IFERROR(INDEX(Company_List!$G$3:$G$207,MATCH($A238,Company_List!$A$3:$A$207,0)),"unassigned"))</f>
        <v>P3</v>
      </c>
      <c r="AH238" t="s">
        <v>1175</v>
      </c>
      <c r="AJ238" t="s">
        <v>548</v>
      </c>
      <c r="AK238" t="str">
        <f>IF($A238="","",IF(COUNTIFS(Human_Data_Entry!$A$3:$A$525,$A238)&gt;0,"YES","NO"))</f>
        <v>YES</v>
      </c>
      <c r="AL238" t="str">
        <f>IF($A238="","",IF(AND($C238&amp;"-"&amp;$D238&gt;=Settings!$B$19,$C238&amp;"-"&amp;$D238&lt;=Settings!$B$20),"IN","OUT"))</f>
        <v>IN</v>
      </c>
      <c r="AM238">
        <f t="shared" si="12"/>
        <v>-1E-3</v>
      </c>
      <c r="AN238">
        <f t="shared" si="13"/>
        <v>-1E-3</v>
      </c>
      <c r="AO238">
        <f>IF(ISNUMBER($AM238),ABS(IF(ISNUMBER($G238),$G238,0)-Settings!$B$25),"")</f>
        <v>0.32</v>
      </c>
      <c r="AP238">
        <f t="shared" si="14"/>
        <v>-3.2000000000000003E-4</v>
      </c>
      <c r="AQ238">
        <f>IF(ISNUMBER($AN238),ABS(IF(ISNUMBER($G238),$G238,0)-Settings!$B$25),"")</f>
        <v>0.32</v>
      </c>
      <c r="AR238">
        <f t="shared" si="15"/>
        <v>-3.2000000000000003E-4</v>
      </c>
      <c r="AS238" t="str">
        <f>IF($A238="","",IFERROR(INDEX(Company_List!$H$3:$H$207,MATCH($A238,Company_List!$A$3:$A$207,0)),"unassigned"))</f>
        <v>Consumer Discretionary</v>
      </c>
      <c r="AT238" t="s">
        <v>1924</v>
      </c>
      <c r="AU238" t="s">
        <v>1925</v>
      </c>
      <c r="AV238">
        <v>1</v>
      </c>
      <c r="AW238" t="s">
        <v>561</v>
      </c>
      <c r="AX238" t="s">
        <v>561</v>
      </c>
      <c r="AY238" t="s">
        <v>550</v>
      </c>
      <c r="AZ238" t="s">
        <v>550</v>
      </c>
      <c r="BA238" t="s">
        <v>554</v>
      </c>
    </row>
    <row r="239" spans="1:53" x14ac:dyDescent="0.2">
      <c r="A239" s="115" t="s">
        <v>1120</v>
      </c>
      <c r="B239" s="117" t="s">
        <v>1123</v>
      </c>
      <c r="C239" s="105">
        <v>2025</v>
      </c>
      <c r="D239" s="106" t="s">
        <v>537</v>
      </c>
      <c r="E239" s="109" t="s">
        <v>1911</v>
      </c>
      <c r="F239" s="106" t="s">
        <v>1912</v>
      </c>
      <c r="G239" s="128">
        <v>5.7500000000000002E-2</v>
      </c>
      <c r="H239" s="106" t="s">
        <v>1913</v>
      </c>
      <c r="I239" s="128"/>
      <c r="J239" s="125">
        <v>45777</v>
      </c>
      <c r="K239" s="126">
        <v>45777</v>
      </c>
      <c r="L239" s="129">
        <v>49.11</v>
      </c>
      <c r="M239" s="126">
        <v>45778</v>
      </c>
      <c r="N239" s="129">
        <v>51.12</v>
      </c>
      <c r="O239" s="132">
        <v>1.3967E-2</v>
      </c>
      <c r="P239" s="107">
        <v>4.1029999999999997E-2</v>
      </c>
      <c r="Q239" s="106" t="s">
        <v>591</v>
      </c>
      <c r="R239" s="106" t="s">
        <v>546</v>
      </c>
      <c r="S239" s="105">
        <v>0</v>
      </c>
      <c r="T239" s="107">
        <v>0</v>
      </c>
      <c r="U239" s="130" t="s">
        <v>1914</v>
      </c>
      <c r="V239" t="s">
        <v>549</v>
      </c>
      <c r="W239" t="s">
        <v>1122</v>
      </c>
      <c r="X239" t="s">
        <v>1123</v>
      </c>
      <c r="Y239" t="s">
        <v>1099</v>
      </c>
      <c r="Z239">
        <v>49.11</v>
      </c>
      <c r="AA239" t="s">
        <v>1124</v>
      </c>
      <c r="AB239">
        <v>51.125</v>
      </c>
      <c r="AC239">
        <v>4.1030318855013057E-2</v>
      </c>
      <c r="AD239" t="s">
        <v>591</v>
      </c>
      <c r="AE239" t="s">
        <v>546</v>
      </c>
      <c r="AF239">
        <v>0</v>
      </c>
      <c r="AG239" t="str">
        <f>IF($A239="","",IFERROR(INDEX(Company_List!$G$3:$G$207,MATCH($A239,Company_List!$A$3:$A$207,0)),"unassigned"))</f>
        <v>P3</v>
      </c>
      <c r="AH239" t="s">
        <v>2022</v>
      </c>
      <c r="AJ239" t="s">
        <v>593</v>
      </c>
      <c r="AK239" t="str">
        <f>IF($A239="","",IF(COUNTIFS(Human_Data_Entry!$A$3:$A$525,$A239)&gt;0,"YES","NO"))</f>
        <v>YES</v>
      </c>
      <c r="AL239" t="str">
        <f>IF($A239="","",IF(AND($C239&amp;"-"&amp;$D239&gt;=Settings!$B$19,$C239&amp;"-"&amp;$D239&lt;=Settings!$B$20),"IN","OUT"))</f>
        <v>IN</v>
      </c>
      <c r="AM239" t="str">
        <f t="shared" si="12"/>
        <v/>
      </c>
      <c r="AN239" t="str">
        <f t="shared" si="13"/>
        <v/>
      </c>
      <c r="AO239" t="str">
        <f>IF(ISNUMBER($AM239),ABS(IF(ISNUMBER($G239),$G239,0)-Settings!$B$25),"")</f>
        <v/>
      </c>
      <c r="AP239" t="str">
        <f t="shared" si="14"/>
        <v/>
      </c>
      <c r="AQ239" t="str">
        <f>IF(ISNUMBER($AN239),ABS(IF(ISNUMBER($G239),$G239,0)-Settings!$B$25),"")</f>
        <v/>
      </c>
      <c r="AR239" t="str">
        <f t="shared" si="15"/>
        <v/>
      </c>
      <c r="AS239" t="str">
        <f>IF($A239="","",IFERROR(INDEX(Company_List!$H$3:$H$207,MATCH($A239,Company_List!$A$3:$A$207,0)),"unassigned"))</f>
        <v>Financials</v>
      </c>
      <c r="AT239" t="s">
        <v>1924</v>
      </c>
      <c r="AU239" t="s">
        <v>1925</v>
      </c>
      <c r="AV239">
        <v>2</v>
      </c>
      <c r="AW239" t="s">
        <v>561</v>
      </c>
      <c r="AX239" t="s">
        <v>561</v>
      </c>
      <c r="AY239" t="s">
        <v>550</v>
      </c>
      <c r="AZ239" t="s">
        <v>550</v>
      </c>
      <c r="BA239" t="s">
        <v>554</v>
      </c>
    </row>
    <row r="240" spans="1:53" x14ac:dyDescent="0.2">
      <c r="A240" s="115" t="s">
        <v>1120</v>
      </c>
      <c r="B240" s="117" t="s">
        <v>1123</v>
      </c>
      <c r="C240" s="105">
        <v>2026</v>
      </c>
      <c r="D240" s="106" t="s">
        <v>537</v>
      </c>
      <c r="E240" s="109" t="s">
        <v>1911</v>
      </c>
      <c r="F240" s="106" t="s">
        <v>1912</v>
      </c>
      <c r="G240" s="128">
        <v>2.5000000000000001E-3</v>
      </c>
      <c r="H240" s="106" t="s">
        <v>1913</v>
      </c>
      <c r="I240" s="128"/>
      <c r="J240" s="125">
        <v>46140</v>
      </c>
      <c r="K240" s="126">
        <v>46140</v>
      </c>
      <c r="L240" s="129">
        <v>82.07</v>
      </c>
      <c r="M240" s="126">
        <v>46141</v>
      </c>
      <c r="N240" s="129">
        <v>72.3</v>
      </c>
      <c r="O240" s="132">
        <v>6.8999999999999999E-3</v>
      </c>
      <c r="P240" s="107">
        <v>-0.119045</v>
      </c>
      <c r="Q240" s="106" t="s">
        <v>545</v>
      </c>
      <c r="R240" s="106" t="s">
        <v>546</v>
      </c>
      <c r="S240" s="105">
        <v>0</v>
      </c>
      <c r="T240" s="107">
        <v>0</v>
      </c>
      <c r="U240" s="130" t="s">
        <v>1914</v>
      </c>
      <c r="V240" t="s">
        <v>549</v>
      </c>
      <c r="W240" t="s">
        <v>685</v>
      </c>
      <c r="X240" t="s">
        <v>1123</v>
      </c>
      <c r="Y240" t="s">
        <v>709</v>
      </c>
      <c r="Z240">
        <v>82.07</v>
      </c>
      <c r="AA240" t="s">
        <v>656</v>
      </c>
      <c r="AB240">
        <v>72.3</v>
      </c>
      <c r="AC240">
        <v>-0.11904468136956239</v>
      </c>
      <c r="AD240" t="s">
        <v>545</v>
      </c>
      <c r="AE240" t="s">
        <v>546</v>
      </c>
      <c r="AF240">
        <v>0</v>
      </c>
      <c r="AG240" t="str">
        <f>IF($A240="","",IFERROR(INDEX(Company_List!$G$3:$G$207,MATCH($A240,Company_List!$A$3:$A$207,0)),"unassigned"))</f>
        <v>P3</v>
      </c>
      <c r="AH240" t="s">
        <v>2023</v>
      </c>
      <c r="AJ240" t="s">
        <v>593</v>
      </c>
      <c r="AK240" t="str">
        <f>IF($A240="","",IF(COUNTIFS(Human_Data_Entry!$A$3:$A$525,$A240)&gt;0,"YES","NO"))</f>
        <v>YES</v>
      </c>
      <c r="AL240" t="str">
        <f>IF($A240="","",IF(AND($C240&amp;"-"&amp;$D240&gt;=Settings!$B$19,$C240&amp;"-"&amp;$D240&lt;=Settings!$B$20),"IN","OUT"))</f>
        <v>IN</v>
      </c>
      <c r="AM240" t="str">
        <f t="shared" si="12"/>
        <v/>
      </c>
      <c r="AN240" t="str">
        <f t="shared" si="13"/>
        <v/>
      </c>
      <c r="AO240" t="str">
        <f>IF(ISNUMBER($AM240),ABS(IF(ISNUMBER($G240),$G240,0)-Settings!$B$25),"")</f>
        <v/>
      </c>
      <c r="AP240" t="str">
        <f t="shared" si="14"/>
        <v/>
      </c>
      <c r="AQ240" t="str">
        <f>IF(ISNUMBER($AN240),ABS(IF(ISNUMBER($G240),$G240,0)-Settings!$B$25),"")</f>
        <v/>
      </c>
      <c r="AR240" t="str">
        <f t="shared" si="15"/>
        <v/>
      </c>
      <c r="AS240" t="str">
        <f>IF($A240="","",IFERROR(INDEX(Company_List!$H$3:$H$207,MATCH($A240,Company_List!$A$3:$A$207,0)),"unassigned"))</f>
        <v>Financials</v>
      </c>
      <c r="AT240" t="s">
        <v>1924</v>
      </c>
      <c r="AU240" t="s">
        <v>1925</v>
      </c>
      <c r="AV240">
        <v>2</v>
      </c>
      <c r="AW240" t="s">
        <v>561</v>
      </c>
      <c r="AX240" t="s">
        <v>561</v>
      </c>
      <c r="AY240" t="s">
        <v>550</v>
      </c>
      <c r="AZ240" t="s">
        <v>550</v>
      </c>
      <c r="BA240" t="s">
        <v>554</v>
      </c>
    </row>
    <row r="241" spans="1:54" x14ac:dyDescent="0.2">
      <c r="A241" s="115" t="s">
        <v>1120</v>
      </c>
      <c r="B241" s="117" t="s">
        <v>1123</v>
      </c>
      <c r="C241" s="105">
        <v>2025</v>
      </c>
      <c r="D241" s="106" t="s">
        <v>555</v>
      </c>
      <c r="E241" s="109" t="s">
        <v>1911</v>
      </c>
      <c r="F241" s="106" t="s">
        <v>1912</v>
      </c>
      <c r="G241" s="128">
        <v>0.21</v>
      </c>
      <c r="H241" s="106" t="s">
        <v>1913</v>
      </c>
      <c r="I241" s="128"/>
      <c r="J241" s="125">
        <v>45868</v>
      </c>
      <c r="K241" s="126">
        <v>45868</v>
      </c>
      <c r="L241" s="129">
        <v>106.1</v>
      </c>
      <c r="M241" s="126">
        <v>45869</v>
      </c>
      <c r="N241" s="129">
        <v>103.87</v>
      </c>
      <c r="O241" s="132">
        <v>1.4585000000000001E-2</v>
      </c>
      <c r="P241" s="107">
        <v>-2.1065E-2</v>
      </c>
      <c r="Q241" s="106" t="s">
        <v>545</v>
      </c>
      <c r="R241" s="106" t="s">
        <v>546</v>
      </c>
      <c r="S241" s="105">
        <v>0</v>
      </c>
      <c r="T241" s="107">
        <v>0</v>
      </c>
      <c r="U241" s="130" t="s">
        <v>1914</v>
      </c>
      <c r="V241" t="s">
        <v>549</v>
      </c>
      <c r="W241" t="s">
        <v>541</v>
      </c>
      <c r="X241" t="s">
        <v>1123</v>
      </c>
      <c r="Y241" t="s">
        <v>1001</v>
      </c>
      <c r="Z241">
        <v>106.1</v>
      </c>
      <c r="AA241" t="s">
        <v>687</v>
      </c>
      <c r="AB241">
        <v>103.86499999999999</v>
      </c>
      <c r="AC241">
        <v>-2.1065033384826262E-2</v>
      </c>
      <c r="AD241" t="s">
        <v>545</v>
      </c>
      <c r="AE241" t="s">
        <v>546</v>
      </c>
      <c r="AF241">
        <v>0</v>
      </c>
      <c r="AG241" t="str">
        <f>IF($A241="","",IFERROR(INDEX(Company_List!$G$3:$G$207,MATCH($A241,Company_List!$A$3:$A$207,0)),"unassigned"))</f>
        <v>P3</v>
      </c>
      <c r="AH241" t="s">
        <v>1126</v>
      </c>
      <c r="AJ241" t="s">
        <v>548</v>
      </c>
      <c r="AK241" t="str">
        <f>IF($A241="","",IF(COUNTIFS(Human_Data_Entry!$A$3:$A$525,$A241)&gt;0,"YES","NO"))</f>
        <v>YES</v>
      </c>
      <c r="AL241" t="str">
        <f>IF($A241="","",IF(AND($C241&amp;"-"&amp;$D241&gt;=Settings!$B$19,$C241&amp;"-"&amp;$D241&lt;=Settings!$B$20),"IN","OUT"))</f>
        <v>IN</v>
      </c>
      <c r="AM241" t="str">
        <f t="shared" si="12"/>
        <v/>
      </c>
      <c r="AN241" t="str">
        <f t="shared" si="13"/>
        <v/>
      </c>
      <c r="AO241" t="str">
        <f>IF(ISNUMBER($AM241),ABS(IF(ISNUMBER($G241),$G241,0)-Settings!$B$25),"")</f>
        <v/>
      </c>
      <c r="AP241" t="str">
        <f t="shared" si="14"/>
        <v/>
      </c>
      <c r="AQ241" t="str">
        <f>IF(ISNUMBER($AN241),ABS(IF(ISNUMBER($G241),$G241,0)-Settings!$B$25),"")</f>
        <v/>
      </c>
      <c r="AR241" t="str">
        <f t="shared" si="15"/>
        <v/>
      </c>
      <c r="AS241" t="str">
        <f>IF($A241="","",IFERROR(INDEX(Company_List!$H$3:$H$207,MATCH($A241,Company_List!$A$3:$A$207,0)),"unassigned"))</f>
        <v>Financials</v>
      </c>
      <c r="AT241" t="s">
        <v>1924</v>
      </c>
      <c r="AU241" t="s">
        <v>1925</v>
      </c>
      <c r="AV241">
        <v>1</v>
      </c>
      <c r="AW241" t="s">
        <v>561</v>
      </c>
      <c r="AX241" t="s">
        <v>561</v>
      </c>
      <c r="AY241" t="s">
        <v>550</v>
      </c>
      <c r="AZ241" t="s">
        <v>550</v>
      </c>
      <c r="BA241" t="s">
        <v>554</v>
      </c>
    </row>
    <row r="242" spans="1:54" x14ac:dyDescent="0.2">
      <c r="A242" s="115" t="s">
        <v>1120</v>
      </c>
      <c r="B242" s="117" t="s">
        <v>1123</v>
      </c>
      <c r="C242" s="105">
        <v>2025</v>
      </c>
      <c r="D242" s="106" t="s">
        <v>563</v>
      </c>
      <c r="E242" s="109" t="s">
        <v>1911</v>
      </c>
      <c r="F242" s="106" t="s">
        <v>1912</v>
      </c>
      <c r="G242" s="128">
        <v>0.4375</v>
      </c>
      <c r="H242" s="106" t="s">
        <v>1919</v>
      </c>
      <c r="I242" s="128"/>
      <c r="J242" s="125">
        <v>45966</v>
      </c>
      <c r="K242" s="126">
        <v>45966</v>
      </c>
      <c r="L242" s="129">
        <v>142.47999999999999</v>
      </c>
      <c r="M242" s="126">
        <v>45967</v>
      </c>
      <c r="N242" s="129">
        <v>140</v>
      </c>
      <c r="O242" s="132">
        <v>1.5665999999999999E-2</v>
      </c>
      <c r="P242" s="107">
        <v>-1.7406000000000001E-2</v>
      </c>
      <c r="Q242" s="106" t="s">
        <v>579</v>
      </c>
      <c r="R242" s="106" t="s">
        <v>546</v>
      </c>
      <c r="S242" s="105">
        <v>1</v>
      </c>
      <c r="T242" s="107">
        <v>-1.8405999999999999E-2</v>
      </c>
      <c r="U242" s="130" t="s">
        <v>1914</v>
      </c>
      <c r="V242" t="s">
        <v>549</v>
      </c>
      <c r="W242" t="s">
        <v>612</v>
      </c>
      <c r="X242" t="s">
        <v>1123</v>
      </c>
      <c r="Y242" t="s">
        <v>1031</v>
      </c>
      <c r="Z242">
        <v>136.80000000000001</v>
      </c>
      <c r="AA242" t="s">
        <v>872</v>
      </c>
      <c r="AB242">
        <v>139.63499999999999</v>
      </c>
      <c r="AC242">
        <v>2.0723625276528681E-2</v>
      </c>
      <c r="AD242" t="s">
        <v>591</v>
      </c>
      <c r="AE242" t="s">
        <v>554</v>
      </c>
      <c r="AF242">
        <v>1.9723999999999998E-2</v>
      </c>
      <c r="AG242" t="str">
        <f>IF($A242="","",IFERROR(INDEX(Company_List!$G$3:$G$207,MATCH($A242,Company_List!$A$3:$A$207,0)),"unassigned"))</f>
        <v>P3</v>
      </c>
      <c r="AH242" t="s">
        <v>1127</v>
      </c>
      <c r="AJ242" t="s">
        <v>548</v>
      </c>
      <c r="AK242" t="str">
        <f>IF($A242="","",IF(COUNTIFS(Human_Data_Entry!$A$3:$A$525,$A242)&gt;0,"YES","NO"))</f>
        <v>YES</v>
      </c>
      <c r="AL242" t="str">
        <f>IF($A242="","",IF(AND($C242&amp;"-"&amp;$D242&gt;=Settings!$B$19,$C242&amp;"-"&amp;$D242&lt;=Settings!$B$20),"IN","OUT"))</f>
        <v>IN</v>
      </c>
      <c r="AM242">
        <f t="shared" si="12"/>
        <v>-1.8405999999999999E-2</v>
      </c>
      <c r="AN242">
        <f t="shared" si="13"/>
        <v>1.9723999999999998E-2</v>
      </c>
      <c r="AO242">
        <f>IF(ISNUMBER($AM242),ABS(IF(ISNUMBER($G242),$G242,0)-Settings!$B$25),"")</f>
        <v>0.4375</v>
      </c>
      <c r="AP242">
        <f t="shared" si="14"/>
        <v>-8.052624999999999E-3</v>
      </c>
      <c r="AQ242">
        <f>IF(ISNUMBER($AN242),ABS(IF(ISNUMBER($G242),$G242,0)-Settings!$B$25),"")</f>
        <v>0.4375</v>
      </c>
      <c r="AR242">
        <f t="shared" si="15"/>
        <v>8.6292499999999998E-3</v>
      </c>
      <c r="AS242" t="str">
        <f>IF($A242="","",IFERROR(INDEX(Company_List!$H$3:$H$207,MATCH($A242,Company_List!$A$3:$A$207,0)),"unassigned"))</f>
        <v>Financials</v>
      </c>
      <c r="AT242" t="s">
        <v>1924</v>
      </c>
      <c r="AU242" t="s">
        <v>1925</v>
      </c>
      <c r="AV242">
        <v>1</v>
      </c>
      <c r="AW242" t="s">
        <v>561</v>
      </c>
      <c r="AX242" t="s">
        <v>561</v>
      </c>
      <c r="AY242" t="s">
        <v>550</v>
      </c>
      <c r="AZ242" t="s">
        <v>550</v>
      </c>
      <c r="BA242" t="s">
        <v>554</v>
      </c>
    </row>
    <row r="243" spans="1:54" x14ac:dyDescent="0.2">
      <c r="A243" s="115" t="s">
        <v>1494</v>
      </c>
      <c r="B243" s="117" t="s">
        <v>1495</v>
      </c>
      <c r="C243" s="105">
        <v>2026</v>
      </c>
      <c r="D243" s="106" t="s">
        <v>555</v>
      </c>
      <c r="E243" s="109" t="s">
        <v>1911</v>
      </c>
      <c r="F243" s="106" t="s">
        <v>1912</v>
      </c>
      <c r="G243" s="128">
        <v>0.30249999999999999</v>
      </c>
      <c r="H243" s="106" t="s">
        <v>1919</v>
      </c>
      <c r="I243" s="128"/>
      <c r="J243" s="125">
        <v>45903</v>
      </c>
      <c r="K243" s="126">
        <v>45903</v>
      </c>
      <c r="L243" s="129">
        <v>256.45</v>
      </c>
      <c r="M243" s="126">
        <v>45904</v>
      </c>
      <c r="N243" s="129">
        <v>240.06</v>
      </c>
      <c r="O243" s="132">
        <v>1.1748E-2</v>
      </c>
      <c r="P243" s="107">
        <v>-6.3910999999999996E-2</v>
      </c>
      <c r="Q243" s="106" t="s">
        <v>545</v>
      </c>
      <c r="R243" s="106" t="s">
        <v>546</v>
      </c>
      <c r="S243" s="105">
        <v>1</v>
      </c>
      <c r="T243" s="107">
        <v>-6.4910999999999996E-2</v>
      </c>
      <c r="U243" s="130" t="s">
        <v>1914</v>
      </c>
      <c r="V243" t="s">
        <v>549</v>
      </c>
      <c r="W243" t="s">
        <v>564</v>
      </c>
      <c r="X243" t="s">
        <v>1495</v>
      </c>
      <c r="Y243" t="s">
        <v>1496</v>
      </c>
      <c r="Z243">
        <v>254.29769999999999</v>
      </c>
      <c r="AA243" t="s">
        <v>1442</v>
      </c>
      <c r="AB243">
        <v>238.04519999999999</v>
      </c>
      <c r="AC243">
        <v>-6.3911111723695527E-2</v>
      </c>
      <c r="AD243" t="s">
        <v>545</v>
      </c>
      <c r="AE243" t="s">
        <v>546</v>
      </c>
      <c r="AF243">
        <v>-6.4910999999999996E-2</v>
      </c>
      <c r="AG243" t="str">
        <f>IF($A243="","",IFERROR(INDEX(Company_List!$G$3:$G$207,MATCH($A243,Company_List!$A$3:$A$207,0)),"unassigned"))</f>
        <v>P2</v>
      </c>
      <c r="AH243" t="s">
        <v>2024</v>
      </c>
      <c r="AI243" t="s">
        <v>2025</v>
      </c>
      <c r="AJ243" t="s">
        <v>754</v>
      </c>
      <c r="AK243" t="str">
        <f>IF($A243="","",IF(COUNTIFS(Human_Data_Entry!$A$3:$A$525,$A243)&gt;0,"YES","NO"))</f>
        <v>YES</v>
      </c>
      <c r="AL243" t="str">
        <f>IF($A243="","",IF(AND($C243&amp;"-"&amp;$D243&gt;=Settings!$B$19,$C243&amp;"-"&amp;$D243&lt;=Settings!$B$20),"IN","OUT"))</f>
        <v>IN</v>
      </c>
      <c r="AM243">
        <f t="shared" si="12"/>
        <v>-6.4910999999999996E-2</v>
      </c>
      <c r="AN243">
        <f t="shared" si="13"/>
        <v>-6.4910999999999996E-2</v>
      </c>
      <c r="AO243">
        <f>IF(ISNUMBER($AM243),ABS(IF(ISNUMBER($G243),$G243,0)-Settings!$B$25),"")</f>
        <v>0.30249999999999999</v>
      </c>
      <c r="AP243">
        <f t="shared" si="14"/>
        <v>-1.9635577499999998E-2</v>
      </c>
      <c r="AQ243">
        <f>IF(ISNUMBER($AN243),ABS(IF(ISNUMBER($G243),$G243,0)-Settings!$B$25),"")</f>
        <v>0.30249999999999999</v>
      </c>
      <c r="AR243">
        <f t="shared" si="15"/>
        <v>-1.9635577499999998E-2</v>
      </c>
      <c r="AS243" t="str">
        <f>IF($A243="","",IFERROR(INDEX(Company_List!$H$3:$H$207,MATCH($A243,Company_List!$A$3:$A$207,0)),"unassigned"))</f>
        <v>Information Technology</v>
      </c>
      <c r="AT243" t="s">
        <v>1924</v>
      </c>
      <c r="AU243" t="s">
        <v>1925</v>
      </c>
      <c r="AV243">
        <v>2</v>
      </c>
      <c r="AW243" t="s">
        <v>561</v>
      </c>
      <c r="AX243" t="s">
        <v>561</v>
      </c>
      <c r="AY243" t="s">
        <v>1023</v>
      </c>
      <c r="AZ243" t="s">
        <v>562</v>
      </c>
      <c r="BA243" t="s">
        <v>554</v>
      </c>
    </row>
    <row r="244" spans="1:54" x14ac:dyDescent="0.2">
      <c r="A244" s="115" t="s">
        <v>1494</v>
      </c>
      <c r="B244" s="117" t="s">
        <v>1495</v>
      </c>
      <c r="C244" s="105">
        <v>2026</v>
      </c>
      <c r="D244" s="106" t="s">
        <v>563</v>
      </c>
      <c r="E244" s="109" t="s">
        <v>1911</v>
      </c>
      <c r="F244" s="106" t="s">
        <v>1912</v>
      </c>
      <c r="G244" s="128">
        <v>0.34749999999999998</v>
      </c>
      <c r="H244" s="106" t="s">
        <v>1919</v>
      </c>
      <c r="I244" s="128"/>
      <c r="J244" s="125">
        <v>45994</v>
      </c>
      <c r="K244" s="126">
        <v>45994</v>
      </c>
      <c r="L244" s="129">
        <v>238.72</v>
      </c>
      <c r="M244" s="126">
        <v>45995</v>
      </c>
      <c r="N244" s="129">
        <v>243.69</v>
      </c>
      <c r="O244" s="132">
        <v>1.1457E-2</v>
      </c>
      <c r="P244" s="107">
        <v>2.0819000000000001E-2</v>
      </c>
      <c r="Q244" s="106" t="s">
        <v>591</v>
      </c>
      <c r="R244" s="106" t="s">
        <v>554</v>
      </c>
      <c r="S244" s="105">
        <v>1</v>
      </c>
      <c r="T244" s="107">
        <v>1.9819E-2</v>
      </c>
      <c r="U244" s="130" t="s">
        <v>1914</v>
      </c>
      <c r="V244" t="s">
        <v>549</v>
      </c>
      <c r="W244" t="s">
        <v>564</v>
      </c>
      <c r="X244" t="s">
        <v>1495</v>
      </c>
      <c r="Y244" t="s">
        <v>1499</v>
      </c>
      <c r="Z244">
        <v>237.12870000000001</v>
      </c>
      <c r="AA244" t="s">
        <v>1500</v>
      </c>
      <c r="AB244">
        <v>242.06559999999999</v>
      </c>
      <c r="AC244">
        <v>2.081931966125198E-2</v>
      </c>
      <c r="AD244" t="s">
        <v>591</v>
      </c>
      <c r="AE244" t="s">
        <v>554</v>
      </c>
      <c r="AF244">
        <v>1.9819E-2</v>
      </c>
      <c r="AG244" t="str">
        <f>IF($A244="","",IFERROR(INDEX(Company_List!$G$3:$G$207,MATCH($A244,Company_List!$A$3:$A$207,0)),"unassigned"))</f>
        <v>P2</v>
      </c>
      <c r="AH244" t="s">
        <v>1501</v>
      </c>
      <c r="AI244" t="s">
        <v>1502</v>
      </c>
      <c r="AJ244" t="s">
        <v>560</v>
      </c>
      <c r="AK244" t="str">
        <f>IF($A244="","",IF(COUNTIFS(Human_Data_Entry!$A$3:$A$525,$A244)&gt;0,"YES","NO"))</f>
        <v>YES</v>
      </c>
      <c r="AL244" t="str">
        <f>IF($A244="","",IF(AND($C244&amp;"-"&amp;$D244&gt;=Settings!$B$19,$C244&amp;"-"&amp;$D244&lt;=Settings!$B$20),"IN","OUT"))</f>
        <v>IN</v>
      </c>
      <c r="AM244">
        <f t="shared" si="12"/>
        <v>1.9819E-2</v>
      </c>
      <c r="AN244">
        <f t="shared" si="13"/>
        <v>1.9819E-2</v>
      </c>
      <c r="AO244">
        <f>IF(ISNUMBER($AM244),ABS(IF(ISNUMBER($G244),$G244,0)-Settings!$B$25),"")</f>
        <v>0.34749999999999998</v>
      </c>
      <c r="AP244">
        <f t="shared" si="14"/>
        <v>6.8871024999999997E-3</v>
      </c>
      <c r="AQ244">
        <f>IF(ISNUMBER($AN244),ABS(IF(ISNUMBER($G244),$G244,0)-Settings!$B$25),"")</f>
        <v>0.34749999999999998</v>
      </c>
      <c r="AR244">
        <f t="shared" si="15"/>
        <v>6.8871024999999997E-3</v>
      </c>
      <c r="AS244" t="str">
        <f>IF($A244="","",IFERROR(INDEX(Company_List!$H$3:$H$207,MATCH($A244,Company_List!$A$3:$A$207,0)),"unassigned"))</f>
        <v>Information Technology</v>
      </c>
      <c r="AT244" t="s">
        <v>1924</v>
      </c>
      <c r="AU244" t="s">
        <v>1925</v>
      </c>
      <c r="AV244">
        <v>1</v>
      </c>
      <c r="AW244" t="s">
        <v>561</v>
      </c>
      <c r="AX244" t="s">
        <v>561</v>
      </c>
      <c r="AY244" t="s">
        <v>550</v>
      </c>
      <c r="AZ244" t="s">
        <v>562</v>
      </c>
      <c r="BA244" t="s">
        <v>554</v>
      </c>
    </row>
    <row r="245" spans="1:54" x14ac:dyDescent="0.2">
      <c r="A245" s="115" t="s">
        <v>1494</v>
      </c>
      <c r="B245" s="117" t="s">
        <v>1495</v>
      </c>
      <c r="C245" s="105">
        <v>2026</v>
      </c>
      <c r="D245" s="106" t="s">
        <v>569</v>
      </c>
      <c r="E245" s="109" t="s">
        <v>1911</v>
      </c>
      <c r="F245" s="106" t="s">
        <v>1912</v>
      </c>
      <c r="G245" s="128">
        <v>0.14749999999999999</v>
      </c>
      <c r="H245" s="106" t="s">
        <v>1913</v>
      </c>
      <c r="I245" s="128"/>
      <c r="J245" s="125">
        <v>46078</v>
      </c>
      <c r="K245" s="126">
        <v>46078</v>
      </c>
      <c r="L245" s="129">
        <v>191.75</v>
      </c>
      <c r="M245" s="126">
        <v>46079</v>
      </c>
      <c r="N245" s="129">
        <v>196.76</v>
      </c>
      <c r="O245" s="132">
        <v>1.2282E-2</v>
      </c>
      <c r="P245" s="107">
        <v>2.6127999999999998E-2</v>
      </c>
      <c r="Q245" s="106" t="s">
        <v>591</v>
      </c>
      <c r="R245" s="106" t="s">
        <v>546</v>
      </c>
      <c r="S245" s="105">
        <v>0</v>
      </c>
      <c r="T245" s="107">
        <v>0</v>
      </c>
      <c r="U245" s="130" t="s">
        <v>1914</v>
      </c>
      <c r="V245" t="s">
        <v>549</v>
      </c>
      <c r="W245" t="s">
        <v>564</v>
      </c>
      <c r="X245" t="s">
        <v>1495</v>
      </c>
      <c r="Y245" t="s">
        <v>926</v>
      </c>
      <c r="Z245">
        <v>190.7792</v>
      </c>
      <c r="AA245" t="s">
        <v>1174</v>
      </c>
      <c r="AB245">
        <v>195.76390000000001</v>
      </c>
      <c r="AC245">
        <v>2.6127696362332711E-2</v>
      </c>
      <c r="AD245" t="s">
        <v>591</v>
      </c>
      <c r="AE245" t="s">
        <v>546</v>
      </c>
      <c r="AF245">
        <v>0</v>
      </c>
      <c r="AG245" t="str">
        <f>IF($A245="","",IFERROR(INDEX(Company_List!$G$3:$G$207,MATCH($A245,Company_List!$A$3:$A$207,0)),"unassigned"))</f>
        <v>P2</v>
      </c>
      <c r="AH245" t="s">
        <v>1503</v>
      </c>
      <c r="AI245" t="s">
        <v>1504</v>
      </c>
      <c r="AJ245" t="s">
        <v>560</v>
      </c>
      <c r="AK245" t="str">
        <f>IF($A245="","",IF(COUNTIFS(Human_Data_Entry!$A$3:$A$525,$A245)&gt;0,"YES","NO"))</f>
        <v>YES</v>
      </c>
      <c r="AL245" t="str">
        <f>IF($A245="","",IF(AND($C245&amp;"-"&amp;$D245&gt;=Settings!$B$19,$C245&amp;"-"&amp;$D245&lt;=Settings!$B$20),"IN","OUT"))</f>
        <v>IN</v>
      </c>
      <c r="AM245" t="str">
        <f t="shared" si="12"/>
        <v/>
      </c>
      <c r="AN245" t="str">
        <f t="shared" si="13"/>
        <v/>
      </c>
      <c r="AO245" t="str">
        <f>IF(ISNUMBER($AM245),ABS(IF(ISNUMBER($G245),$G245,0)-Settings!$B$25),"")</f>
        <v/>
      </c>
      <c r="AP245" t="str">
        <f t="shared" si="14"/>
        <v/>
      </c>
      <c r="AQ245" t="str">
        <f>IF(ISNUMBER($AN245),ABS(IF(ISNUMBER($G245),$G245,0)-Settings!$B$25),"")</f>
        <v/>
      </c>
      <c r="AR245" t="str">
        <f t="shared" si="15"/>
        <v/>
      </c>
      <c r="AS245" t="str">
        <f>IF($A245="","",IFERROR(INDEX(Company_List!$H$3:$H$207,MATCH($A245,Company_List!$A$3:$A$207,0)),"unassigned"))</f>
        <v>Information Technology</v>
      </c>
      <c r="AT245" t="s">
        <v>1924</v>
      </c>
      <c r="AU245" t="s">
        <v>1925</v>
      </c>
      <c r="AV245">
        <v>1</v>
      </c>
      <c r="AW245" t="s">
        <v>561</v>
      </c>
      <c r="AX245" t="s">
        <v>561</v>
      </c>
      <c r="AY245" t="s">
        <v>550</v>
      </c>
      <c r="AZ245" t="s">
        <v>562</v>
      </c>
      <c r="BA245" t="s">
        <v>554</v>
      </c>
    </row>
    <row r="246" spans="1:54" x14ac:dyDescent="0.2">
      <c r="A246" s="115" t="s">
        <v>1371</v>
      </c>
      <c r="B246" s="117" t="s">
        <v>1373</v>
      </c>
      <c r="C246" s="105">
        <v>2026</v>
      </c>
      <c r="D246" s="106" t="s">
        <v>537</v>
      </c>
      <c r="E246" s="109" t="s">
        <v>1911</v>
      </c>
      <c r="F246" s="106" t="s">
        <v>1912</v>
      </c>
      <c r="G246" s="128">
        <v>0.41499999999999998</v>
      </c>
      <c r="H246" s="106" t="s">
        <v>1919</v>
      </c>
      <c r="I246" s="128"/>
      <c r="J246" s="125">
        <v>46065</v>
      </c>
      <c r="K246" s="126">
        <v>46064</v>
      </c>
      <c r="L246" s="129">
        <v>256.25</v>
      </c>
      <c r="M246" s="126">
        <v>46065</v>
      </c>
      <c r="N246" s="129">
        <v>271.60000000000002</v>
      </c>
      <c r="O246" s="132">
        <v>6.7609999999999996E-3</v>
      </c>
      <c r="P246" s="107">
        <v>5.9901999999999997E-2</v>
      </c>
      <c r="Q246" s="106" t="s">
        <v>591</v>
      </c>
      <c r="R246" s="106" t="s">
        <v>554</v>
      </c>
      <c r="S246" s="105">
        <v>1</v>
      </c>
      <c r="T246" s="107">
        <v>5.8902000000000003E-2</v>
      </c>
      <c r="U246" s="130" t="s">
        <v>1914</v>
      </c>
      <c r="V246" t="s">
        <v>549</v>
      </c>
      <c r="W246" t="s">
        <v>636</v>
      </c>
      <c r="X246" t="s">
        <v>1373</v>
      </c>
      <c r="Y246" t="s">
        <v>676</v>
      </c>
      <c r="Z246">
        <v>250.91560000000001</v>
      </c>
      <c r="AA246" t="s">
        <v>677</v>
      </c>
      <c r="AB246">
        <v>265.9461</v>
      </c>
      <c r="AC246">
        <v>5.9902474326606378E-2</v>
      </c>
      <c r="AD246" t="s">
        <v>591</v>
      </c>
      <c r="AE246" t="s">
        <v>554</v>
      </c>
      <c r="AF246">
        <v>5.8902000000000003E-2</v>
      </c>
      <c r="AG246" t="str">
        <f>IF($A246="","",IFERROR(INDEX(Company_List!$G$3:$G$207,MATCH($A246,Company_List!$A$3:$A$207,0)),"unassigned"))</f>
        <v>P3</v>
      </c>
      <c r="AH246" t="s">
        <v>1376</v>
      </c>
      <c r="AJ246" t="s">
        <v>548</v>
      </c>
      <c r="AK246" t="str">
        <f>IF($A246="","",IF(COUNTIFS(Human_Data_Entry!$A$3:$A$525,$A246)&gt;0,"YES","NO"))</f>
        <v>YES</v>
      </c>
      <c r="AL246" t="str">
        <f>IF($A246="","",IF(AND($C246&amp;"-"&amp;$D246&gt;=Settings!$B$19,$C246&amp;"-"&amp;$D246&lt;=Settings!$B$20),"IN","OUT"))</f>
        <v>IN</v>
      </c>
      <c r="AM246">
        <f t="shared" si="12"/>
        <v>5.8902000000000003E-2</v>
      </c>
      <c r="AN246">
        <f t="shared" si="13"/>
        <v>5.8902000000000003E-2</v>
      </c>
      <c r="AO246">
        <f>IF(ISNUMBER($AM246),ABS(IF(ISNUMBER($G246),$G246,0)-Settings!$B$25),"")</f>
        <v>0.41499999999999998</v>
      </c>
      <c r="AP246">
        <f t="shared" si="14"/>
        <v>2.444433E-2</v>
      </c>
      <c r="AQ246">
        <f>IF(ISNUMBER($AN246),ABS(IF(ISNUMBER($G246),$G246,0)-Settings!$B$25),"")</f>
        <v>0.41499999999999998</v>
      </c>
      <c r="AR246">
        <f t="shared" si="15"/>
        <v>2.444433E-2</v>
      </c>
      <c r="AS246" t="str">
        <f>IF($A246="","",IFERROR(INDEX(Company_List!$H$3:$H$207,MATCH($A246,Company_List!$A$3:$A$207,0)),"unassigned"))</f>
        <v>Industrials</v>
      </c>
      <c r="AT246" t="s">
        <v>1924</v>
      </c>
      <c r="AU246" t="s">
        <v>1925</v>
      </c>
      <c r="AV246">
        <v>1</v>
      </c>
      <c r="AW246" t="s">
        <v>561</v>
      </c>
      <c r="AX246" t="s">
        <v>561</v>
      </c>
      <c r="AY246" t="s">
        <v>550</v>
      </c>
      <c r="AZ246" t="s">
        <v>550</v>
      </c>
      <c r="BA246" t="s">
        <v>554</v>
      </c>
    </row>
    <row r="247" spans="1:54" x14ac:dyDescent="0.2">
      <c r="A247" s="115" t="s">
        <v>1371</v>
      </c>
      <c r="B247" s="117" t="s">
        <v>1373</v>
      </c>
      <c r="C247" s="105">
        <v>2026</v>
      </c>
      <c r="D247" s="106" t="s">
        <v>555</v>
      </c>
      <c r="E247" s="109" t="s">
        <v>1911</v>
      </c>
      <c r="F247" s="106" t="s">
        <v>1912</v>
      </c>
      <c r="G247" s="128">
        <v>0.03</v>
      </c>
      <c r="H247" s="106" t="s">
        <v>1913</v>
      </c>
      <c r="I247" s="128"/>
      <c r="J247" s="125">
        <v>46155</v>
      </c>
      <c r="K247" s="126">
        <v>46154</v>
      </c>
      <c r="L247" s="129">
        <v>264.60000000000002</v>
      </c>
      <c r="M247" s="126">
        <v>46155</v>
      </c>
      <c r="N247" s="129">
        <v>267.14999999999998</v>
      </c>
      <c r="O247" s="132">
        <v>7.953E-3</v>
      </c>
      <c r="P247" s="107">
        <v>9.6369999999999997E-3</v>
      </c>
      <c r="Q247" s="106" t="s">
        <v>579</v>
      </c>
      <c r="R247" s="106" t="s">
        <v>554</v>
      </c>
      <c r="S247" s="105">
        <v>0</v>
      </c>
      <c r="T247" s="107">
        <v>0</v>
      </c>
      <c r="U247" s="130" t="s">
        <v>1914</v>
      </c>
      <c r="V247" t="s">
        <v>549</v>
      </c>
      <c r="W247" t="s">
        <v>636</v>
      </c>
      <c r="X247" t="s">
        <v>1373</v>
      </c>
      <c r="Y247" t="s">
        <v>1378</v>
      </c>
      <c r="Z247">
        <v>264.60000000000002</v>
      </c>
      <c r="AA247" t="s">
        <v>1379</v>
      </c>
      <c r="AB247">
        <v>267.14999999999998</v>
      </c>
      <c r="AC247">
        <v>9.6371426386134881E-3</v>
      </c>
      <c r="AD247" t="s">
        <v>579</v>
      </c>
      <c r="AE247" t="s">
        <v>554</v>
      </c>
      <c r="AF247">
        <v>0</v>
      </c>
      <c r="AG247" t="str">
        <f>IF($A247="","",IFERROR(INDEX(Company_List!$G$3:$G$207,MATCH($A247,Company_List!$A$3:$A$207,0)),"unassigned"))</f>
        <v>P3</v>
      </c>
      <c r="AH247" t="s">
        <v>1380</v>
      </c>
      <c r="AJ247" t="s">
        <v>548</v>
      </c>
      <c r="AK247" t="str">
        <f>IF($A247="","",IF(COUNTIFS(Human_Data_Entry!$A$3:$A$525,$A247)&gt;0,"YES","NO"))</f>
        <v>YES</v>
      </c>
      <c r="AL247" t="str">
        <f>IF($A247="","",IF(AND($C247&amp;"-"&amp;$D247&gt;=Settings!$B$19,$C247&amp;"-"&amp;$D247&lt;=Settings!$B$20),"IN","OUT"))</f>
        <v>IN</v>
      </c>
      <c r="AM247" t="str">
        <f t="shared" si="12"/>
        <v/>
      </c>
      <c r="AN247" t="str">
        <f t="shared" si="13"/>
        <v/>
      </c>
      <c r="AO247" t="str">
        <f>IF(ISNUMBER($AM247),ABS(IF(ISNUMBER($G247),$G247,0)-Settings!$B$25),"")</f>
        <v/>
      </c>
      <c r="AP247" t="str">
        <f t="shared" si="14"/>
        <v/>
      </c>
      <c r="AQ247" t="str">
        <f>IF(ISNUMBER($AN247),ABS(IF(ISNUMBER($G247),$G247,0)-Settings!$B$25),"")</f>
        <v/>
      </c>
      <c r="AR247" t="str">
        <f t="shared" si="15"/>
        <v/>
      </c>
      <c r="AS247" t="str">
        <f>IF($A247="","",IFERROR(INDEX(Company_List!$H$3:$H$207,MATCH($A247,Company_List!$A$3:$A$207,0)),"unassigned"))</f>
        <v>Industrials</v>
      </c>
      <c r="AT247" t="s">
        <v>1924</v>
      </c>
      <c r="AU247" t="s">
        <v>1925</v>
      </c>
      <c r="AV247">
        <v>1</v>
      </c>
      <c r="AW247" t="s">
        <v>561</v>
      </c>
      <c r="AX247" t="s">
        <v>561</v>
      </c>
      <c r="AY247" t="s">
        <v>550</v>
      </c>
      <c r="AZ247" t="s">
        <v>550</v>
      </c>
      <c r="BA247" t="s">
        <v>554</v>
      </c>
    </row>
    <row r="248" spans="1:54" x14ac:dyDescent="0.2">
      <c r="A248" s="115" t="s">
        <v>1371</v>
      </c>
      <c r="B248" s="117" t="s">
        <v>1373</v>
      </c>
      <c r="C248" s="105">
        <v>2025</v>
      </c>
      <c r="D248" s="106" t="s">
        <v>569</v>
      </c>
      <c r="E248" s="109" t="s">
        <v>1911</v>
      </c>
      <c r="F248" s="106" t="s">
        <v>1912</v>
      </c>
      <c r="G248" s="128">
        <v>0.27250000000000002</v>
      </c>
      <c r="H248" s="106" t="s">
        <v>1919</v>
      </c>
      <c r="I248" s="128"/>
      <c r="J248" s="125">
        <v>45974</v>
      </c>
      <c r="K248" s="126">
        <v>45973</v>
      </c>
      <c r="L248" s="129">
        <v>250.4</v>
      </c>
      <c r="M248" s="126">
        <v>45974</v>
      </c>
      <c r="N248" s="129">
        <v>243.55</v>
      </c>
      <c r="O248" s="132">
        <v>7.2820000000000003E-3</v>
      </c>
      <c r="P248" s="107">
        <v>-2.7355999999999998E-2</v>
      </c>
      <c r="Q248" s="106" t="s">
        <v>545</v>
      </c>
      <c r="R248" s="106" t="s">
        <v>546</v>
      </c>
      <c r="S248" s="105">
        <v>1</v>
      </c>
      <c r="T248" s="107">
        <v>-2.8355999999999999E-2</v>
      </c>
      <c r="U248" s="130" t="s">
        <v>1914</v>
      </c>
      <c r="V248" t="s">
        <v>549</v>
      </c>
      <c r="W248" t="s">
        <v>636</v>
      </c>
      <c r="X248" t="s">
        <v>1373</v>
      </c>
      <c r="Y248" t="s">
        <v>644</v>
      </c>
      <c r="Z248">
        <v>245.1874</v>
      </c>
      <c r="AA248" t="s">
        <v>645</v>
      </c>
      <c r="AB248">
        <v>238.48</v>
      </c>
      <c r="AC248">
        <v>-2.735618576686381E-2</v>
      </c>
      <c r="AD248" t="s">
        <v>545</v>
      </c>
      <c r="AE248" t="s">
        <v>546</v>
      </c>
      <c r="AF248">
        <v>-2.8355999999999999E-2</v>
      </c>
      <c r="AG248" t="str">
        <f>IF($A248="","",IFERROR(INDEX(Company_List!$G$3:$G$207,MATCH($A248,Company_List!$A$3:$A$207,0)),"unassigned"))</f>
        <v>P3</v>
      </c>
      <c r="AH248" t="s">
        <v>1374</v>
      </c>
      <c r="AJ248" t="s">
        <v>548</v>
      </c>
      <c r="AK248" t="str">
        <f>IF($A248="","",IF(COUNTIFS(Human_Data_Entry!$A$3:$A$525,$A248)&gt;0,"YES","NO"))</f>
        <v>YES</v>
      </c>
      <c r="AL248" t="str">
        <f>IF($A248="","",IF(AND($C248&amp;"-"&amp;$D248&gt;=Settings!$B$19,$C248&amp;"-"&amp;$D248&lt;=Settings!$B$20),"IN","OUT"))</f>
        <v>IN</v>
      </c>
      <c r="AM248">
        <f t="shared" si="12"/>
        <v>-2.8355999999999999E-2</v>
      </c>
      <c r="AN248">
        <f t="shared" si="13"/>
        <v>-2.8355999999999999E-2</v>
      </c>
      <c r="AO248">
        <f>IF(ISNUMBER($AM248),ABS(IF(ISNUMBER($G248),$G248,0)-Settings!$B$25),"")</f>
        <v>0.27250000000000002</v>
      </c>
      <c r="AP248">
        <f t="shared" si="14"/>
        <v>-7.7270100000000003E-3</v>
      </c>
      <c r="AQ248">
        <f>IF(ISNUMBER($AN248),ABS(IF(ISNUMBER($G248),$G248,0)-Settings!$B$25),"")</f>
        <v>0.27250000000000002</v>
      </c>
      <c r="AR248">
        <f t="shared" si="15"/>
        <v>-7.7270100000000003E-3</v>
      </c>
      <c r="AS248" t="str">
        <f>IF($A248="","",IFERROR(INDEX(Company_List!$H$3:$H$207,MATCH($A248,Company_List!$A$3:$A$207,0)),"unassigned"))</f>
        <v>Industrials</v>
      </c>
      <c r="AT248" t="s">
        <v>1924</v>
      </c>
      <c r="AU248" t="s">
        <v>1925</v>
      </c>
      <c r="AV248">
        <v>1</v>
      </c>
      <c r="AW248" t="s">
        <v>561</v>
      </c>
      <c r="AX248" t="s">
        <v>561</v>
      </c>
      <c r="AY248" t="s">
        <v>550</v>
      </c>
      <c r="AZ248" t="s">
        <v>550</v>
      </c>
      <c r="BA248" t="s">
        <v>554</v>
      </c>
    </row>
    <row r="249" spans="1:54" x14ac:dyDescent="0.2">
      <c r="A249" s="115" t="s">
        <v>1200</v>
      </c>
      <c r="B249" s="117" t="s">
        <v>1201</v>
      </c>
      <c r="C249" s="105">
        <v>2026</v>
      </c>
      <c r="D249" s="106" t="s">
        <v>537</v>
      </c>
      <c r="E249" s="109" t="s">
        <v>1911</v>
      </c>
      <c r="F249" s="106" t="s">
        <v>1912</v>
      </c>
      <c r="G249" s="128">
        <v>2.5000000000000001E-3</v>
      </c>
      <c r="H249" s="106" t="s">
        <v>1913</v>
      </c>
      <c r="I249" s="128"/>
      <c r="J249" s="125">
        <v>46140</v>
      </c>
      <c r="K249" s="126">
        <v>46139</v>
      </c>
      <c r="L249" s="129">
        <v>495.82</v>
      </c>
      <c r="M249" s="126">
        <v>46140</v>
      </c>
      <c r="N249" s="129">
        <v>445</v>
      </c>
      <c r="O249" s="132">
        <v>7.554E-3</v>
      </c>
      <c r="P249" s="107">
        <v>-0.102497</v>
      </c>
      <c r="Q249" s="106" t="s">
        <v>545</v>
      </c>
      <c r="R249" s="106" t="s">
        <v>546</v>
      </c>
      <c r="S249" s="105">
        <v>0</v>
      </c>
      <c r="T249" s="107">
        <v>0</v>
      </c>
      <c r="U249" s="130" t="s">
        <v>1914</v>
      </c>
      <c r="V249" t="s">
        <v>549</v>
      </c>
      <c r="W249" t="s">
        <v>1169</v>
      </c>
      <c r="X249" t="s">
        <v>1201</v>
      </c>
      <c r="Y249" t="s">
        <v>708</v>
      </c>
      <c r="Z249">
        <v>495.82</v>
      </c>
      <c r="AA249" t="s">
        <v>709</v>
      </c>
      <c r="AB249">
        <v>445</v>
      </c>
      <c r="AC249">
        <v>-0.1024968865364886</v>
      </c>
      <c r="AD249" t="s">
        <v>545</v>
      </c>
      <c r="AE249" t="s">
        <v>546</v>
      </c>
      <c r="AF249">
        <v>0</v>
      </c>
      <c r="AG249" t="str">
        <f>IF($A249="","",IFERROR(INDEX(Company_List!$G$3:$G$207,MATCH($A249,Company_List!$A$3:$A$207,0)),"unassigned"))</f>
        <v>P3</v>
      </c>
      <c r="AH249" t="s">
        <v>1202</v>
      </c>
      <c r="AJ249" t="s">
        <v>548</v>
      </c>
      <c r="AK249" t="str">
        <f>IF($A249="","",IF(COUNTIFS(Human_Data_Entry!$A$3:$A$525,$A249)&gt;0,"YES","NO"))</f>
        <v>YES</v>
      </c>
      <c r="AL249" t="str">
        <f>IF($A249="","",IF(AND($C249&amp;"-"&amp;$D249&gt;=Settings!$B$19,$C249&amp;"-"&amp;$D249&lt;=Settings!$B$20),"IN","OUT"))</f>
        <v>IN</v>
      </c>
      <c r="AM249" t="str">
        <f t="shared" si="12"/>
        <v/>
      </c>
      <c r="AN249" t="str">
        <f t="shared" si="13"/>
        <v/>
      </c>
      <c r="AO249" t="str">
        <f>IF(ISNUMBER($AM249),ABS(IF(ISNUMBER($G249),$G249,0)-Settings!$B$25),"")</f>
        <v/>
      </c>
      <c r="AP249" t="str">
        <f t="shared" si="14"/>
        <v/>
      </c>
      <c r="AQ249" t="str">
        <f>IF(ISNUMBER($AN249),ABS(IF(ISNUMBER($G249),$G249,0)-Settings!$B$25),"")</f>
        <v/>
      </c>
      <c r="AR249" t="str">
        <f t="shared" si="15"/>
        <v/>
      </c>
      <c r="AS249" t="str">
        <f>IF($A249="","",IFERROR(INDEX(Company_List!$H$3:$H$207,MATCH($A249,Company_List!$A$3:$A$207,0)),"unassigned"))</f>
        <v>Communication Services</v>
      </c>
      <c r="AT249" t="s">
        <v>1924</v>
      </c>
      <c r="AU249" t="s">
        <v>1925</v>
      </c>
      <c r="AV249">
        <v>1</v>
      </c>
      <c r="AW249" t="s">
        <v>561</v>
      </c>
      <c r="AX249" t="s">
        <v>561</v>
      </c>
      <c r="AY249" t="s">
        <v>550</v>
      </c>
      <c r="AZ249" t="s">
        <v>550</v>
      </c>
      <c r="BA249" s="160" t="s">
        <v>546</v>
      </c>
      <c r="BB249" s="160" t="s">
        <v>2026</v>
      </c>
    </row>
    <row r="250" spans="1:54" x14ac:dyDescent="0.2">
      <c r="A250" s="115" t="s">
        <v>1200</v>
      </c>
      <c r="B250" s="117" t="s">
        <v>1201</v>
      </c>
      <c r="C250" s="105">
        <v>2025</v>
      </c>
      <c r="D250" s="106" t="s">
        <v>555</v>
      </c>
      <c r="E250" s="109" t="s">
        <v>1911</v>
      </c>
      <c r="F250" s="106" t="s">
        <v>1912</v>
      </c>
      <c r="G250" s="128">
        <v>-3.7499999999999999E-2</v>
      </c>
      <c r="H250" s="106" t="s">
        <v>1913</v>
      </c>
      <c r="I250" s="128"/>
      <c r="J250" s="125">
        <v>45867</v>
      </c>
      <c r="K250" s="126">
        <v>45866</v>
      </c>
      <c r="L250" s="129">
        <v>700.98</v>
      </c>
      <c r="M250" s="126">
        <v>45867</v>
      </c>
      <c r="N250" s="129">
        <v>657.53</v>
      </c>
      <c r="O250" s="132">
        <v>1.0166E-2</v>
      </c>
      <c r="P250" s="107">
        <v>-6.1984999999999998E-2</v>
      </c>
      <c r="Q250" s="106" t="s">
        <v>545</v>
      </c>
      <c r="R250" s="106" t="s">
        <v>546</v>
      </c>
      <c r="S250" s="105">
        <v>0</v>
      </c>
      <c r="T250" s="107">
        <v>0</v>
      </c>
      <c r="U250" s="130" t="s">
        <v>1914</v>
      </c>
      <c r="V250" t="s">
        <v>549</v>
      </c>
      <c r="W250" t="s">
        <v>1169</v>
      </c>
      <c r="X250" t="s">
        <v>1201</v>
      </c>
      <c r="Y250" t="s">
        <v>619</v>
      </c>
      <c r="Z250">
        <v>700.98</v>
      </c>
      <c r="AA250" t="s">
        <v>620</v>
      </c>
      <c r="AB250">
        <v>657.53</v>
      </c>
      <c r="AC250">
        <v>-6.198458192771774E-2</v>
      </c>
      <c r="AD250" t="s">
        <v>545</v>
      </c>
      <c r="AE250" t="s">
        <v>546</v>
      </c>
      <c r="AF250">
        <v>0</v>
      </c>
      <c r="AG250" t="str">
        <f>IF($A250="","",IFERROR(INDEX(Company_List!$G$3:$G$207,MATCH($A250,Company_List!$A$3:$A$207,0)),"unassigned"))</f>
        <v>P3</v>
      </c>
      <c r="AH250" t="s">
        <v>1206</v>
      </c>
      <c r="AJ250" t="s">
        <v>548</v>
      </c>
      <c r="AK250" t="str">
        <f>IF($A250="","",IF(COUNTIFS(Human_Data_Entry!$A$3:$A$525,$A250)&gt;0,"YES","NO"))</f>
        <v>YES</v>
      </c>
      <c r="AL250" t="str">
        <f>IF($A250="","",IF(AND($C250&amp;"-"&amp;$D250&gt;=Settings!$B$19,$C250&amp;"-"&amp;$D250&lt;=Settings!$B$20),"IN","OUT"))</f>
        <v>IN</v>
      </c>
      <c r="AM250" t="str">
        <f t="shared" si="12"/>
        <v/>
      </c>
      <c r="AN250" t="str">
        <f t="shared" si="13"/>
        <v/>
      </c>
      <c r="AO250" t="str">
        <f>IF(ISNUMBER($AM250),ABS(IF(ISNUMBER($G250),$G250,0)-Settings!$B$25),"")</f>
        <v/>
      </c>
      <c r="AP250" t="str">
        <f t="shared" si="14"/>
        <v/>
      </c>
      <c r="AQ250" t="str">
        <f>IF(ISNUMBER($AN250),ABS(IF(ISNUMBER($G250),$G250,0)-Settings!$B$25),"")</f>
        <v/>
      </c>
      <c r="AR250" t="str">
        <f t="shared" si="15"/>
        <v/>
      </c>
      <c r="AS250" t="str">
        <f>IF($A250="","",IFERROR(INDEX(Company_List!$H$3:$H$207,MATCH($A250,Company_List!$A$3:$A$207,0)),"unassigned"))</f>
        <v>Communication Services</v>
      </c>
      <c r="AT250" t="s">
        <v>1924</v>
      </c>
      <c r="AU250" t="s">
        <v>1925</v>
      </c>
      <c r="AV250">
        <v>1</v>
      </c>
      <c r="AW250" t="s">
        <v>561</v>
      </c>
      <c r="AX250" t="s">
        <v>561</v>
      </c>
      <c r="AY250" t="s">
        <v>550</v>
      </c>
      <c r="AZ250" t="s">
        <v>550</v>
      </c>
      <c r="BA250" t="s">
        <v>554</v>
      </c>
    </row>
    <row r="251" spans="1:54" x14ac:dyDescent="0.2">
      <c r="A251" s="115" t="s">
        <v>1200</v>
      </c>
      <c r="B251" s="117" t="s">
        <v>1201</v>
      </c>
      <c r="C251" s="105">
        <v>2025</v>
      </c>
      <c r="D251" s="106" t="s">
        <v>563</v>
      </c>
      <c r="E251" s="109" t="s">
        <v>1911</v>
      </c>
      <c r="F251" s="106" t="s">
        <v>1912</v>
      </c>
      <c r="G251" s="128">
        <v>0.3</v>
      </c>
      <c r="H251" s="106" t="s">
        <v>1919</v>
      </c>
      <c r="I251" s="128"/>
      <c r="J251" s="125">
        <v>45965</v>
      </c>
      <c r="K251" s="126">
        <v>45964</v>
      </c>
      <c r="L251" s="129">
        <v>644.09</v>
      </c>
      <c r="M251" s="126">
        <v>45965</v>
      </c>
      <c r="N251" s="129">
        <v>625.17999999999995</v>
      </c>
      <c r="O251" s="132">
        <v>1.0968E-2</v>
      </c>
      <c r="P251" s="107">
        <v>-2.9359E-2</v>
      </c>
      <c r="Q251" s="106" t="s">
        <v>545</v>
      </c>
      <c r="R251" s="106" t="s">
        <v>546</v>
      </c>
      <c r="S251" s="105">
        <v>1</v>
      </c>
      <c r="T251" s="107">
        <v>-3.0359000000000001E-2</v>
      </c>
      <c r="U251" s="130" t="s">
        <v>1914</v>
      </c>
      <c r="V251" t="s">
        <v>549</v>
      </c>
      <c r="W251" t="s">
        <v>1169</v>
      </c>
      <c r="X251" t="s">
        <v>1201</v>
      </c>
      <c r="Y251" t="s">
        <v>1204</v>
      </c>
      <c r="Z251">
        <v>644.09</v>
      </c>
      <c r="AA251" t="s">
        <v>1031</v>
      </c>
      <c r="AB251">
        <v>625.17999999999995</v>
      </c>
      <c r="AC251">
        <v>-2.9359302593269309E-2</v>
      </c>
      <c r="AD251" t="s">
        <v>545</v>
      </c>
      <c r="AE251" t="s">
        <v>546</v>
      </c>
      <c r="AF251">
        <v>-3.0359000000000001E-2</v>
      </c>
      <c r="AG251" t="str">
        <f>IF($A251="","",IFERROR(INDEX(Company_List!$G$3:$G$207,MATCH($A251,Company_List!$A$3:$A$207,0)),"unassigned"))</f>
        <v>P3</v>
      </c>
      <c r="AH251" t="s">
        <v>1205</v>
      </c>
      <c r="AJ251" t="s">
        <v>548</v>
      </c>
      <c r="AK251" t="str">
        <f>IF($A251="","",IF(COUNTIFS(Human_Data_Entry!$A$3:$A$525,$A251)&gt;0,"YES","NO"))</f>
        <v>YES</v>
      </c>
      <c r="AL251" t="str">
        <f>IF($A251="","",IF(AND($C251&amp;"-"&amp;$D251&gt;=Settings!$B$19,$C251&amp;"-"&amp;$D251&lt;=Settings!$B$20),"IN","OUT"))</f>
        <v>IN</v>
      </c>
      <c r="AM251">
        <f t="shared" si="12"/>
        <v>-3.0359000000000001E-2</v>
      </c>
      <c r="AN251">
        <f t="shared" si="13"/>
        <v>-3.0359000000000001E-2</v>
      </c>
      <c r="AO251">
        <f>IF(ISNUMBER($AM251),ABS(IF(ISNUMBER($G251),$G251,0)-Settings!$B$25),"")</f>
        <v>0.3</v>
      </c>
      <c r="AP251">
        <f t="shared" si="14"/>
        <v>-9.1076999999999998E-3</v>
      </c>
      <c r="AQ251">
        <f>IF(ISNUMBER($AN251),ABS(IF(ISNUMBER($G251),$G251,0)-Settings!$B$25),"")</f>
        <v>0.3</v>
      </c>
      <c r="AR251">
        <f t="shared" si="15"/>
        <v>-9.1076999999999998E-3</v>
      </c>
      <c r="AS251" t="str">
        <f>IF($A251="","",IFERROR(INDEX(Company_List!$H$3:$H$207,MATCH($A251,Company_List!$A$3:$A$207,0)),"unassigned"))</f>
        <v>Communication Services</v>
      </c>
      <c r="AT251" t="s">
        <v>1924</v>
      </c>
      <c r="AU251" t="s">
        <v>1925</v>
      </c>
      <c r="AV251">
        <v>1</v>
      </c>
      <c r="AW251" t="s">
        <v>561</v>
      </c>
      <c r="AX251" t="s">
        <v>561</v>
      </c>
      <c r="AY251" t="s">
        <v>550</v>
      </c>
      <c r="AZ251" t="s">
        <v>550</v>
      </c>
      <c r="BA251" t="s">
        <v>554</v>
      </c>
    </row>
    <row r="252" spans="1:54" x14ac:dyDescent="0.2">
      <c r="A252" s="115" t="s">
        <v>1200</v>
      </c>
      <c r="B252" s="117" t="s">
        <v>1201</v>
      </c>
      <c r="C252" s="105">
        <v>2025</v>
      </c>
      <c r="D252" s="106" t="s">
        <v>569</v>
      </c>
      <c r="E252" s="109" t="s">
        <v>1911</v>
      </c>
      <c r="F252" s="106" t="s">
        <v>1912</v>
      </c>
      <c r="G252" s="128">
        <v>0.27750000000000002</v>
      </c>
      <c r="H252" s="106" t="s">
        <v>1919</v>
      </c>
      <c r="I252" s="128"/>
      <c r="J252" s="125">
        <v>46063</v>
      </c>
      <c r="K252" s="126">
        <v>46062</v>
      </c>
      <c r="L252" s="129">
        <v>414.84</v>
      </c>
      <c r="M252" s="126">
        <v>46063</v>
      </c>
      <c r="N252" s="129">
        <v>462.78</v>
      </c>
      <c r="O252" s="132">
        <v>1.0109999999999999E-2</v>
      </c>
      <c r="P252" s="107">
        <v>0.115563</v>
      </c>
      <c r="Q252" s="106" t="s">
        <v>591</v>
      </c>
      <c r="R252" s="106" t="s">
        <v>554</v>
      </c>
      <c r="S252" s="105">
        <v>1</v>
      </c>
      <c r="T252" s="107">
        <v>0.114563</v>
      </c>
      <c r="U252" s="130" t="s">
        <v>1914</v>
      </c>
      <c r="V252" t="s">
        <v>549</v>
      </c>
      <c r="W252" t="s">
        <v>630</v>
      </c>
      <c r="X252" t="s">
        <v>1201</v>
      </c>
      <c r="Y252" t="s">
        <v>704</v>
      </c>
      <c r="Z252">
        <v>414.84</v>
      </c>
      <c r="AA252" t="s">
        <v>705</v>
      </c>
      <c r="AB252">
        <v>462.78</v>
      </c>
      <c r="AC252">
        <v>0.1155626349008064</v>
      </c>
      <c r="AD252" t="s">
        <v>591</v>
      </c>
      <c r="AE252" t="s">
        <v>554</v>
      </c>
      <c r="AF252">
        <v>0.114563</v>
      </c>
      <c r="AG252" t="str">
        <f>IF($A252="","",IFERROR(INDEX(Company_List!$G$3:$G$207,MATCH($A252,Company_List!$A$3:$A$207,0)),"unassigned"))</f>
        <v>P3</v>
      </c>
      <c r="AH252" t="s">
        <v>1203</v>
      </c>
      <c r="AJ252" t="s">
        <v>548</v>
      </c>
      <c r="AK252" t="str">
        <f>IF($A252="","",IF(COUNTIFS(Human_Data_Entry!$A$3:$A$525,$A252)&gt;0,"YES","NO"))</f>
        <v>YES</v>
      </c>
      <c r="AL252" t="str">
        <f>IF($A252="","",IF(AND($C252&amp;"-"&amp;$D252&gt;=Settings!$B$19,$C252&amp;"-"&amp;$D252&lt;=Settings!$B$20),"IN","OUT"))</f>
        <v>IN</v>
      </c>
      <c r="AM252">
        <f t="shared" si="12"/>
        <v>0.114563</v>
      </c>
      <c r="AN252">
        <f t="shared" si="13"/>
        <v>0.114563</v>
      </c>
      <c r="AO252">
        <f>IF(ISNUMBER($AM252),ABS(IF(ISNUMBER($G252),$G252,0)-Settings!$B$25),"")</f>
        <v>0.27750000000000002</v>
      </c>
      <c r="AP252">
        <f t="shared" si="14"/>
        <v>3.1791232500000002E-2</v>
      </c>
      <c r="AQ252">
        <f>IF(ISNUMBER($AN252),ABS(IF(ISNUMBER($G252),$G252,0)-Settings!$B$25),"")</f>
        <v>0.27750000000000002</v>
      </c>
      <c r="AR252">
        <f t="shared" si="15"/>
        <v>3.1791232500000002E-2</v>
      </c>
      <c r="AS252" t="str">
        <f>IF($A252="","",IFERROR(INDEX(Company_List!$H$3:$H$207,MATCH($A252,Company_List!$A$3:$A$207,0)),"unassigned"))</f>
        <v>Communication Services</v>
      </c>
      <c r="AT252" t="s">
        <v>1924</v>
      </c>
      <c r="AU252" t="s">
        <v>1925</v>
      </c>
      <c r="AV252">
        <v>1</v>
      </c>
      <c r="AW252" t="s">
        <v>561</v>
      </c>
      <c r="AX252" t="s">
        <v>561</v>
      </c>
      <c r="AY252" t="s">
        <v>550</v>
      </c>
      <c r="AZ252" t="s">
        <v>550</v>
      </c>
      <c r="BA252" t="s">
        <v>554</v>
      </c>
    </row>
    <row r="253" spans="1:54" x14ac:dyDescent="0.2">
      <c r="A253" s="115" t="s">
        <v>1309</v>
      </c>
      <c r="B253" s="117" t="s">
        <v>2027</v>
      </c>
      <c r="C253" s="105">
        <v>2025</v>
      </c>
      <c r="D253" s="106" t="s">
        <v>537</v>
      </c>
      <c r="E253" s="109" t="s">
        <v>1911</v>
      </c>
      <c r="F253" s="106" t="s">
        <v>1912</v>
      </c>
      <c r="G253" s="128">
        <v>-5.2499999999999998E-2</v>
      </c>
      <c r="H253" s="106" t="s">
        <v>1923</v>
      </c>
      <c r="I253" s="128"/>
      <c r="J253" s="125">
        <v>45779</v>
      </c>
      <c r="K253" s="126">
        <v>45778</v>
      </c>
      <c r="L253" s="129">
        <v>1097</v>
      </c>
      <c r="M253" s="126">
        <v>45779</v>
      </c>
      <c r="N253" s="129">
        <v>1130</v>
      </c>
      <c r="O253" s="132">
        <v>1.4815999999999999E-2</v>
      </c>
      <c r="P253" s="107">
        <v>3.0082000000000001E-2</v>
      </c>
      <c r="Q253" s="106" t="s">
        <v>591</v>
      </c>
      <c r="R253" s="106" t="s">
        <v>546</v>
      </c>
      <c r="S253" s="105">
        <v>-1</v>
      </c>
      <c r="T253" s="107">
        <v>-3.1081999999999999E-2</v>
      </c>
      <c r="U253" s="130" t="s">
        <v>1914</v>
      </c>
      <c r="V253" t="s">
        <v>549</v>
      </c>
      <c r="W253" t="s">
        <v>1247</v>
      </c>
      <c r="X253" t="s">
        <v>2027</v>
      </c>
      <c r="Y253" t="s">
        <v>1124</v>
      </c>
      <c r="Z253">
        <v>1096.4708000000001</v>
      </c>
      <c r="AA253" t="s">
        <v>1778</v>
      </c>
      <c r="AB253">
        <v>1129.4549</v>
      </c>
      <c r="AC253">
        <v>3.008204457183445E-2</v>
      </c>
      <c r="AD253" t="s">
        <v>591</v>
      </c>
      <c r="AE253" t="s">
        <v>546</v>
      </c>
      <c r="AF253">
        <v>-3.1081999999999999E-2</v>
      </c>
      <c r="AG253" t="str">
        <f>IF($A253="","",IFERROR(INDEX(Company_List!$G$3:$G$207,MATCH($A253,Company_List!$A$3:$A$207,0)),"unassigned"))</f>
        <v>P3</v>
      </c>
      <c r="AH253" t="s">
        <v>1310</v>
      </c>
      <c r="AJ253" t="s">
        <v>593</v>
      </c>
      <c r="AK253" t="str">
        <f>IF($A253="","",IF(COUNTIFS(Human_Data_Entry!$A$3:$A$525,$A253)&gt;0,"YES","NO"))</f>
        <v>YES</v>
      </c>
      <c r="AL253" t="str">
        <f>IF($A253="","",IF(AND($C253&amp;"-"&amp;$D253&gt;=Settings!$B$19,$C253&amp;"-"&amp;$D253&lt;=Settings!$B$20),"IN","OUT"))</f>
        <v>IN</v>
      </c>
      <c r="AM253">
        <f t="shared" si="12"/>
        <v>-3.1081999999999999E-2</v>
      </c>
      <c r="AN253">
        <f t="shared" si="13"/>
        <v>-3.1081999999999999E-2</v>
      </c>
      <c r="AO253">
        <f>IF(ISNUMBER($AM253),ABS(IF(ISNUMBER($G253),$G253,0)-Settings!$B$25),"")</f>
        <v>5.2499999999999998E-2</v>
      </c>
      <c r="AP253">
        <f t="shared" si="14"/>
        <v>-1.6318049999999998E-3</v>
      </c>
      <c r="AQ253">
        <f>IF(ISNUMBER($AN253),ABS(IF(ISNUMBER($G253),$G253,0)-Settings!$B$25),"")</f>
        <v>5.2499999999999998E-2</v>
      </c>
      <c r="AR253">
        <f t="shared" si="15"/>
        <v>-1.6318049999999998E-3</v>
      </c>
      <c r="AS253" t="str">
        <f>IF($A253="","",IFERROR(INDEX(Company_List!$H$3:$H$207,MATCH($A253,Company_List!$A$3:$A$207,0)),"unassigned"))</f>
        <v>Financials</v>
      </c>
      <c r="AT253" t="s">
        <v>1924</v>
      </c>
      <c r="AU253" t="s">
        <v>1925</v>
      </c>
      <c r="AV253">
        <v>4</v>
      </c>
      <c r="AW253" t="s">
        <v>561</v>
      </c>
      <c r="AX253" t="s">
        <v>561</v>
      </c>
      <c r="AY253" t="s">
        <v>550</v>
      </c>
      <c r="AZ253" t="s">
        <v>550</v>
      </c>
      <c r="BA253" t="s">
        <v>554</v>
      </c>
    </row>
    <row r="254" spans="1:54" x14ac:dyDescent="0.2">
      <c r="A254" s="115" t="s">
        <v>1309</v>
      </c>
      <c r="B254" s="117" t="s">
        <v>2027</v>
      </c>
      <c r="C254" s="105">
        <v>2025</v>
      </c>
      <c r="D254" s="106" t="s">
        <v>555</v>
      </c>
      <c r="E254" s="109" t="s">
        <v>1911</v>
      </c>
      <c r="F254" s="106" t="s">
        <v>1912</v>
      </c>
      <c r="G254" s="128">
        <v>0.23749999999999999</v>
      </c>
      <c r="H254" s="106" t="s">
        <v>1913</v>
      </c>
      <c r="I254" s="128"/>
      <c r="J254" s="125">
        <v>45869</v>
      </c>
      <c r="K254" s="126">
        <v>45868</v>
      </c>
      <c r="L254" s="129">
        <v>1370</v>
      </c>
      <c r="M254" s="126">
        <v>45869</v>
      </c>
      <c r="N254" s="129">
        <v>1382</v>
      </c>
      <c r="O254" s="132">
        <v>4.6004999999999997E-2</v>
      </c>
      <c r="P254" s="107">
        <v>8.7589999999999994E-3</v>
      </c>
      <c r="Q254" s="106" t="s">
        <v>579</v>
      </c>
      <c r="R254" s="106" t="s">
        <v>554</v>
      </c>
      <c r="S254" s="105">
        <v>0</v>
      </c>
      <c r="T254" s="107">
        <v>0</v>
      </c>
      <c r="U254" s="130" t="s">
        <v>1914</v>
      </c>
      <c r="V254" t="s">
        <v>549</v>
      </c>
      <c r="W254" t="s">
        <v>691</v>
      </c>
      <c r="X254" t="s">
        <v>2027</v>
      </c>
      <c r="Y254" t="s">
        <v>1001</v>
      </c>
      <c r="Z254">
        <v>1369.3390999999999</v>
      </c>
      <c r="AA254" t="s">
        <v>687</v>
      </c>
      <c r="AB254">
        <v>1381.3333</v>
      </c>
      <c r="AC254">
        <v>8.759075270697355E-3</v>
      </c>
      <c r="AD254" t="s">
        <v>579</v>
      </c>
      <c r="AE254" t="s">
        <v>554</v>
      </c>
      <c r="AF254">
        <v>0</v>
      </c>
      <c r="AG254" t="str">
        <f>IF($A254="","",IFERROR(INDEX(Company_List!$G$3:$G$207,MATCH($A254,Company_List!$A$3:$A$207,0)),"unassigned"))</f>
        <v>P3</v>
      </c>
      <c r="AH254" t="s">
        <v>1311</v>
      </c>
      <c r="AJ254" t="s">
        <v>593</v>
      </c>
      <c r="AK254" t="str">
        <f>IF($A254="","",IF(COUNTIFS(Human_Data_Entry!$A$3:$A$525,$A254)&gt;0,"YES","NO"))</f>
        <v>YES</v>
      </c>
      <c r="AL254" t="str">
        <f>IF($A254="","",IF(AND($C254&amp;"-"&amp;$D254&gt;=Settings!$B$19,$C254&amp;"-"&amp;$D254&lt;=Settings!$B$20),"IN","OUT"))</f>
        <v>IN</v>
      </c>
      <c r="AM254" t="str">
        <f t="shared" si="12"/>
        <v/>
      </c>
      <c r="AN254" t="str">
        <f t="shared" si="13"/>
        <v/>
      </c>
      <c r="AO254" t="str">
        <f>IF(ISNUMBER($AM254),ABS(IF(ISNUMBER($G254),$G254,0)-Settings!$B$25),"")</f>
        <v/>
      </c>
      <c r="AP254" t="str">
        <f t="shared" si="14"/>
        <v/>
      </c>
      <c r="AQ254" t="str">
        <f>IF(ISNUMBER($AN254),ABS(IF(ISNUMBER($G254),$G254,0)-Settings!$B$25),"")</f>
        <v/>
      </c>
      <c r="AR254" t="str">
        <f t="shared" si="15"/>
        <v/>
      </c>
      <c r="AS254" t="str">
        <f>IF($A254="","",IFERROR(INDEX(Company_List!$H$3:$H$207,MATCH($A254,Company_List!$A$3:$A$207,0)),"unassigned"))</f>
        <v>Financials</v>
      </c>
      <c r="AT254" t="s">
        <v>1924</v>
      </c>
      <c r="AU254" t="s">
        <v>1925</v>
      </c>
      <c r="AV254">
        <v>6</v>
      </c>
      <c r="AW254" t="s">
        <v>561</v>
      </c>
      <c r="AX254" t="s">
        <v>561</v>
      </c>
      <c r="AY254" t="s">
        <v>550</v>
      </c>
      <c r="AZ254" t="s">
        <v>550</v>
      </c>
      <c r="BA254" t="s">
        <v>554</v>
      </c>
    </row>
    <row r="255" spans="1:54" x14ac:dyDescent="0.2">
      <c r="A255" s="115" t="s">
        <v>1309</v>
      </c>
      <c r="B255" s="117" t="s">
        <v>2027</v>
      </c>
      <c r="C255" s="105">
        <v>2025</v>
      </c>
      <c r="D255" s="106" t="s">
        <v>563</v>
      </c>
      <c r="E255" s="109" t="s">
        <v>1911</v>
      </c>
      <c r="F255" s="106" t="s">
        <v>1912</v>
      </c>
      <c r="G255" s="128">
        <v>0.4375</v>
      </c>
      <c r="H255" s="106" t="s">
        <v>1919</v>
      </c>
      <c r="I255" s="128"/>
      <c r="J255" s="125">
        <v>45960</v>
      </c>
      <c r="K255" s="126">
        <v>45959</v>
      </c>
      <c r="L255" s="129">
        <v>1516</v>
      </c>
      <c r="M255" s="126">
        <v>45960</v>
      </c>
      <c r="N255" s="129">
        <v>1545</v>
      </c>
      <c r="O255" s="132">
        <v>1.5278E-2</v>
      </c>
      <c r="P255" s="107">
        <v>1.9129E-2</v>
      </c>
      <c r="Q255" s="106" t="s">
        <v>579</v>
      </c>
      <c r="R255" s="106" t="s">
        <v>546</v>
      </c>
      <c r="S255" s="105">
        <v>1</v>
      </c>
      <c r="T255" s="107">
        <v>1.8128999999999999E-2</v>
      </c>
      <c r="U255" s="130" t="s">
        <v>1914</v>
      </c>
      <c r="V255" t="s">
        <v>549</v>
      </c>
      <c r="W255" t="s">
        <v>1247</v>
      </c>
      <c r="X255" t="s">
        <v>2027</v>
      </c>
      <c r="Y255" t="s">
        <v>626</v>
      </c>
      <c r="Z255">
        <v>1515.4047</v>
      </c>
      <c r="AA255" t="s">
        <v>660</v>
      </c>
      <c r="AB255">
        <v>1544.3933</v>
      </c>
      <c r="AC255">
        <v>1.9129282821148789E-2</v>
      </c>
      <c r="AD255" t="s">
        <v>579</v>
      </c>
      <c r="AE255" t="s">
        <v>546</v>
      </c>
      <c r="AF255">
        <v>1.8128999999999999E-2</v>
      </c>
      <c r="AG255" t="str">
        <f>IF($A255="","",IFERROR(INDEX(Company_List!$G$3:$G$207,MATCH($A255,Company_List!$A$3:$A$207,0)),"unassigned"))</f>
        <v>P3</v>
      </c>
      <c r="AH255" t="s">
        <v>1312</v>
      </c>
      <c r="AJ255" t="s">
        <v>593</v>
      </c>
      <c r="AK255" t="str">
        <f>IF($A255="","",IF(COUNTIFS(Human_Data_Entry!$A$3:$A$525,$A255)&gt;0,"YES","NO"))</f>
        <v>YES</v>
      </c>
      <c r="AL255" t="str">
        <f>IF($A255="","",IF(AND($C255&amp;"-"&amp;$D255&gt;=Settings!$B$19,$C255&amp;"-"&amp;$D255&lt;=Settings!$B$20),"IN","OUT"))</f>
        <v>IN</v>
      </c>
      <c r="AM255">
        <f t="shared" si="12"/>
        <v>1.8128999999999999E-2</v>
      </c>
      <c r="AN255">
        <f t="shared" si="13"/>
        <v>1.8128999999999999E-2</v>
      </c>
      <c r="AO255">
        <f>IF(ISNUMBER($AM255),ABS(IF(ISNUMBER($G255),$G255,0)-Settings!$B$25),"")</f>
        <v>0.4375</v>
      </c>
      <c r="AP255">
        <f t="shared" si="14"/>
        <v>7.9314374999999993E-3</v>
      </c>
      <c r="AQ255">
        <f>IF(ISNUMBER($AN255),ABS(IF(ISNUMBER($G255),$G255,0)-Settings!$B$25),"")</f>
        <v>0.4375</v>
      </c>
      <c r="AR255">
        <f t="shared" si="15"/>
        <v>7.9314374999999993E-3</v>
      </c>
      <c r="AS255" t="str">
        <f>IF($A255="","",IFERROR(INDEX(Company_List!$H$3:$H$207,MATCH($A255,Company_List!$A$3:$A$207,0)),"unassigned"))</f>
        <v>Financials</v>
      </c>
      <c r="AT255" t="s">
        <v>1924</v>
      </c>
      <c r="AU255" t="s">
        <v>1925</v>
      </c>
      <c r="AV255">
        <v>4</v>
      </c>
      <c r="AW255" t="s">
        <v>561</v>
      </c>
      <c r="AX255" t="s">
        <v>561</v>
      </c>
      <c r="AY255" t="s">
        <v>550</v>
      </c>
      <c r="AZ255" t="s">
        <v>550</v>
      </c>
      <c r="BA255" t="s">
        <v>554</v>
      </c>
    </row>
    <row r="256" spans="1:54" x14ac:dyDescent="0.2">
      <c r="A256" s="115" t="s">
        <v>1309</v>
      </c>
      <c r="B256" s="117" t="s">
        <v>2027</v>
      </c>
      <c r="C256" s="105">
        <v>2025</v>
      </c>
      <c r="D256" s="106" t="s">
        <v>569</v>
      </c>
      <c r="E256" s="109" t="s">
        <v>1911</v>
      </c>
      <c r="F256" s="106" t="s">
        <v>1912</v>
      </c>
      <c r="G256" s="128">
        <v>0.14749999999999999</v>
      </c>
      <c r="H256" s="106" t="s">
        <v>1913</v>
      </c>
      <c r="I256" s="128"/>
      <c r="J256" s="125">
        <v>46076</v>
      </c>
      <c r="K256" s="126">
        <v>46073</v>
      </c>
      <c r="L256" s="129">
        <v>1802</v>
      </c>
      <c r="M256" s="126">
        <v>46076</v>
      </c>
      <c r="N256" s="129">
        <v>1811.5</v>
      </c>
      <c r="O256" s="132">
        <v>1.1402000000000001E-2</v>
      </c>
      <c r="P256" s="107">
        <v>5.2719999999999998E-3</v>
      </c>
      <c r="Q256" s="106" t="s">
        <v>579</v>
      </c>
      <c r="R256" s="106" t="s">
        <v>554</v>
      </c>
      <c r="S256" s="105">
        <v>0</v>
      </c>
      <c r="T256" s="107">
        <v>0</v>
      </c>
      <c r="U256" s="130" t="s">
        <v>1914</v>
      </c>
      <c r="V256" t="s">
        <v>549</v>
      </c>
      <c r="W256" t="s">
        <v>691</v>
      </c>
      <c r="X256" t="s">
        <v>2027</v>
      </c>
      <c r="Y256" t="s">
        <v>1569</v>
      </c>
      <c r="Z256">
        <v>1814.7871</v>
      </c>
      <c r="AA256" t="s">
        <v>925</v>
      </c>
      <c r="AB256">
        <v>1813.2877000000001</v>
      </c>
      <c r="AC256">
        <v>-8.26235286229728E-4</v>
      </c>
      <c r="AD256" t="s">
        <v>579</v>
      </c>
      <c r="AE256" t="s">
        <v>554</v>
      </c>
      <c r="AF256">
        <v>0</v>
      </c>
      <c r="AG256" t="str">
        <f>IF($A256="","",IFERROR(INDEX(Company_List!$G$3:$G$207,MATCH($A256,Company_List!$A$3:$A$207,0)),"unassigned"))</f>
        <v>P3</v>
      </c>
      <c r="AH256" t="s">
        <v>1313</v>
      </c>
      <c r="AJ256" t="s">
        <v>593</v>
      </c>
      <c r="AK256" t="str">
        <f>IF($A256="","",IF(COUNTIFS(Human_Data_Entry!$A$3:$A$525,$A256)&gt;0,"YES","NO"))</f>
        <v>YES</v>
      </c>
      <c r="AL256" t="str">
        <f>IF($A256="","",IF(AND($C256&amp;"-"&amp;$D256&gt;=Settings!$B$19,$C256&amp;"-"&amp;$D256&lt;=Settings!$B$20),"IN","OUT"))</f>
        <v>IN</v>
      </c>
      <c r="AM256" t="str">
        <f t="shared" si="12"/>
        <v/>
      </c>
      <c r="AN256" t="str">
        <f t="shared" si="13"/>
        <v/>
      </c>
      <c r="AO256" t="str">
        <f>IF(ISNUMBER($AM256),ABS(IF(ISNUMBER($G256),$G256,0)-Settings!$B$25),"")</f>
        <v/>
      </c>
      <c r="AP256" t="str">
        <f t="shared" si="14"/>
        <v/>
      </c>
      <c r="AQ256" t="str">
        <f>IF(ISNUMBER($AN256),ABS(IF(ISNUMBER($G256),$G256,0)-Settings!$B$25),"")</f>
        <v/>
      </c>
      <c r="AR256" t="str">
        <f t="shared" si="15"/>
        <v/>
      </c>
      <c r="AS256" t="str">
        <f>IF($A256="","",IFERROR(INDEX(Company_List!$H$3:$H$207,MATCH($A256,Company_List!$A$3:$A$207,0)),"unassigned"))</f>
        <v>Financials</v>
      </c>
      <c r="AT256" t="s">
        <v>1924</v>
      </c>
      <c r="AU256" t="s">
        <v>1925</v>
      </c>
      <c r="AV256">
        <v>8</v>
      </c>
      <c r="AW256" t="s">
        <v>561</v>
      </c>
      <c r="AX256" t="s">
        <v>561</v>
      </c>
      <c r="AY256" t="s">
        <v>550</v>
      </c>
      <c r="AZ256" t="s">
        <v>550</v>
      </c>
      <c r="BA256" t="s">
        <v>554</v>
      </c>
    </row>
    <row r="257" spans="1:53" x14ac:dyDescent="0.2">
      <c r="A257" s="115" t="s">
        <v>1467</v>
      </c>
      <c r="B257" s="117" t="s">
        <v>1468</v>
      </c>
      <c r="C257" s="105">
        <v>2026</v>
      </c>
      <c r="D257" s="106" t="s">
        <v>537</v>
      </c>
      <c r="E257" s="109" t="s">
        <v>1911</v>
      </c>
      <c r="F257" s="106" t="s">
        <v>1912</v>
      </c>
      <c r="G257" s="128">
        <v>0.25</v>
      </c>
      <c r="H257" s="106" t="s">
        <v>1913</v>
      </c>
      <c r="I257" s="128"/>
      <c r="J257" s="125">
        <v>46050</v>
      </c>
      <c r="K257" s="126">
        <v>46050</v>
      </c>
      <c r="L257" s="129">
        <v>95.16</v>
      </c>
      <c r="M257" s="126">
        <v>46051</v>
      </c>
      <c r="N257" s="129">
        <v>96.76</v>
      </c>
      <c r="O257" s="132">
        <v>5.2300000000000003E-3</v>
      </c>
      <c r="P257" s="107">
        <v>1.6813999999999999E-2</v>
      </c>
      <c r="Q257" s="106" t="s">
        <v>579</v>
      </c>
      <c r="R257" s="106" t="s">
        <v>554</v>
      </c>
      <c r="S257" s="105">
        <v>0</v>
      </c>
      <c r="T257" s="107">
        <v>0</v>
      </c>
      <c r="U257" s="130" t="s">
        <v>1914</v>
      </c>
      <c r="V257" t="s">
        <v>549</v>
      </c>
      <c r="W257" t="s">
        <v>685</v>
      </c>
      <c r="X257" t="s">
        <v>1468</v>
      </c>
      <c r="Y257" t="s">
        <v>632</v>
      </c>
      <c r="Z257">
        <v>94.552499999999995</v>
      </c>
      <c r="AA257" t="s">
        <v>776</v>
      </c>
      <c r="AB257">
        <v>101.0522</v>
      </c>
      <c r="AC257">
        <v>6.8742156922551589E-2</v>
      </c>
      <c r="AD257" t="s">
        <v>591</v>
      </c>
      <c r="AE257" t="s">
        <v>546</v>
      </c>
      <c r="AF257">
        <v>0</v>
      </c>
      <c r="AG257" t="str">
        <f>IF($A257="","",IFERROR(INDEX(Company_List!$G$3:$G$207,MATCH($A257,Company_List!$A$3:$A$207,0)),"unassigned"))</f>
        <v>P2</v>
      </c>
      <c r="AH257" t="s">
        <v>1469</v>
      </c>
      <c r="AI257" t="s">
        <v>1470</v>
      </c>
      <c r="AJ257" t="s">
        <v>560</v>
      </c>
      <c r="AK257" t="str">
        <f>IF($A257="","",IF(COUNTIFS(Human_Data_Entry!$A$3:$A$525,$A257)&gt;0,"YES","NO"))</f>
        <v>YES</v>
      </c>
      <c r="AL257" t="str">
        <f>IF($A257="","",IF(AND($C257&amp;"-"&amp;$D257&gt;=Settings!$B$19,$C257&amp;"-"&amp;$D257&lt;=Settings!$B$20),"IN","OUT"))</f>
        <v>IN</v>
      </c>
      <c r="AM257" t="str">
        <f t="shared" si="12"/>
        <v/>
      </c>
      <c r="AN257" t="str">
        <f t="shared" si="13"/>
        <v/>
      </c>
      <c r="AO257" t="str">
        <f>IF(ISNUMBER($AM257),ABS(IF(ISNUMBER($G257),$G257,0)-Settings!$B$25),"")</f>
        <v/>
      </c>
      <c r="AP257" t="str">
        <f t="shared" si="14"/>
        <v/>
      </c>
      <c r="AQ257" t="str">
        <f>IF(ISNUMBER($AN257),ABS(IF(ISNUMBER($G257),$G257,0)-Settings!$B$25),"")</f>
        <v/>
      </c>
      <c r="AR257" t="str">
        <f t="shared" si="15"/>
        <v/>
      </c>
      <c r="AS257" t="str">
        <f>IF($A257="","",IFERROR(INDEX(Company_List!$H$3:$H$207,MATCH($A257,Company_List!$A$3:$A$207,0)),"unassigned"))</f>
        <v>Consumer Discretionary</v>
      </c>
      <c r="AT257" t="s">
        <v>1924</v>
      </c>
      <c r="AU257" t="s">
        <v>1925</v>
      </c>
      <c r="AV257">
        <v>1</v>
      </c>
      <c r="AW257" t="s">
        <v>561</v>
      </c>
      <c r="AX257" t="s">
        <v>561</v>
      </c>
      <c r="AY257" t="s">
        <v>550</v>
      </c>
      <c r="AZ257" t="s">
        <v>562</v>
      </c>
      <c r="BA257" t="s">
        <v>554</v>
      </c>
    </row>
    <row r="258" spans="1:53" x14ac:dyDescent="0.2">
      <c r="A258" s="115" t="s">
        <v>1467</v>
      </c>
      <c r="B258" s="117" t="s">
        <v>1468</v>
      </c>
      <c r="C258" s="105">
        <v>2025</v>
      </c>
      <c r="D258" s="106" t="s">
        <v>563</v>
      </c>
      <c r="E258" s="109" t="s">
        <v>1911</v>
      </c>
      <c r="F258" s="106" t="s">
        <v>1912</v>
      </c>
      <c r="G258" s="128">
        <v>-0.01</v>
      </c>
      <c r="H258" s="106" t="s">
        <v>1913</v>
      </c>
      <c r="I258" s="128"/>
      <c r="J258" s="125">
        <v>45867</v>
      </c>
      <c r="K258" s="126">
        <v>45867</v>
      </c>
      <c r="L258" s="129">
        <v>92.96</v>
      </c>
      <c r="M258" s="126">
        <v>45868</v>
      </c>
      <c r="N258" s="129">
        <v>97.83</v>
      </c>
      <c r="O258" s="132">
        <v>8.9189999999999998E-3</v>
      </c>
      <c r="P258" s="107">
        <v>5.2387999999999997E-2</v>
      </c>
      <c r="Q258" s="106" t="s">
        <v>591</v>
      </c>
      <c r="R258" s="106" t="s">
        <v>546</v>
      </c>
      <c r="S258" s="105">
        <v>0</v>
      </c>
      <c r="T258" s="107">
        <v>0</v>
      </c>
      <c r="U258" s="130" t="s">
        <v>1914</v>
      </c>
      <c r="V258" t="s">
        <v>549</v>
      </c>
      <c r="W258" t="s">
        <v>564</v>
      </c>
      <c r="X258" t="s">
        <v>1468</v>
      </c>
      <c r="Y258" t="s">
        <v>620</v>
      </c>
      <c r="Z258">
        <v>90.569900000000004</v>
      </c>
      <c r="AA258" t="s">
        <v>1001</v>
      </c>
      <c r="AB258">
        <v>95.314700000000002</v>
      </c>
      <c r="AC258">
        <v>5.2388155417566487E-2</v>
      </c>
      <c r="AD258" t="s">
        <v>591</v>
      </c>
      <c r="AE258" t="s">
        <v>546</v>
      </c>
      <c r="AF258">
        <v>0</v>
      </c>
      <c r="AG258" t="str">
        <f>IF($A258="","",IFERROR(INDEX(Company_List!$G$3:$G$207,MATCH($A258,Company_List!$A$3:$A$207,0)),"unassigned"))</f>
        <v>P2</v>
      </c>
      <c r="AH258" t="s">
        <v>2028</v>
      </c>
      <c r="AI258" t="s">
        <v>2029</v>
      </c>
      <c r="AJ258" t="s">
        <v>754</v>
      </c>
      <c r="AK258" t="str">
        <f>IF($A258="","",IF(COUNTIFS(Human_Data_Entry!$A$3:$A$525,$A258)&gt;0,"YES","NO"))</f>
        <v>YES</v>
      </c>
      <c r="AL258" t="str">
        <f>IF($A258="","",IF(AND($C258&amp;"-"&amp;$D258&gt;=Settings!$B$19,$C258&amp;"-"&amp;$D258&lt;=Settings!$B$20),"IN","OUT"))</f>
        <v>IN</v>
      </c>
      <c r="AM258" t="str">
        <f t="shared" si="12"/>
        <v/>
      </c>
      <c r="AN258" t="str">
        <f t="shared" si="13"/>
        <v/>
      </c>
      <c r="AO258" t="str">
        <f>IF(ISNUMBER($AM258),ABS(IF(ISNUMBER($G258),$G258,0)-Settings!$B$25),"")</f>
        <v/>
      </c>
      <c r="AP258" t="str">
        <f t="shared" si="14"/>
        <v/>
      </c>
      <c r="AQ258" t="str">
        <f>IF(ISNUMBER($AN258),ABS(IF(ISNUMBER($G258),$G258,0)-Settings!$B$25),"")</f>
        <v/>
      </c>
      <c r="AR258" t="str">
        <f t="shared" si="15"/>
        <v/>
      </c>
      <c r="AS258" t="str">
        <f>IF($A258="","",IFERROR(INDEX(Company_List!$H$3:$H$207,MATCH($A258,Company_List!$A$3:$A$207,0)),"unassigned"))</f>
        <v>Consumer Discretionary</v>
      </c>
      <c r="AT258" t="s">
        <v>1924</v>
      </c>
      <c r="AU258" t="s">
        <v>1925</v>
      </c>
      <c r="AV258">
        <v>2</v>
      </c>
      <c r="AW258" t="s">
        <v>595</v>
      </c>
      <c r="AX258" t="s">
        <v>596</v>
      </c>
      <c r="AY258" t="s">
        <v>550</v>
      </c>
      <c r="AZ258" t="s">
        <v>562</v>
      </c>
      <c r="BA258" t="s">
        <v>554</v>
      </c>
    </row>
    <row r="259" spans="1:53" x14ac:dyDescent="0.2">
      <c r="A259" s="115" t="s">
        <v>1467</v>
      </c>
      <c r="B259" s="117" t="s">
        <v>1468</v>
      </c>
      <c r="C259" s="105">
        <v>2025</v>
      </c>
      <c r="D259" s="106" t="s">
        <v>569</v>
      </c>
      <c r="E259" s="109" t="s">
        <v>1911</v>
      </c>
      <c r="F259" s="106" t="s">
        <v>1912</v>
      </c>
      <c r="G259" s="128">
        <v>0.27250000000000002</v>
      </c>
      <c r="H259" s="106" t="s">
        <v>1919</v>
      </c>
      <c r="I259" s="128"/>
      <c r="J259" s="125">
        <v>45959</v>
      </c>
      <c r="K259" s="126">
        <v>45959</v>
      </c>
      <c r="L259" s="129">
        <v>84.17</v>
      </c>
      <c r="M259" s="126">
        <v>45960</v>
      </c>
      <c r="N259" s="129">
        <v>82.23</v>
      </c>
      <c r="O259" s="132">
        <v>1.0425E-2</v>
      </c>
      <c r="P259" s="107">
        <v>-2.3049E-2</v>
      </c>
      <c r="Q259" s="106" t="s">
        <v>545</v>
      </c>
      <c r="R259" s="106" t="s">
        <v>546</v>
      </c>
      <c r="S259" s="105">
        <v>1</v>
      </c>
      <c r="T259" s="107">
        <v>-2.4049000000000001E-2</v>
      </c>
      <c r="U259" s="130" t="s">
        <v>1914</v>
      </c>
      <c r="V259" t="s">
        <v>549</v>
      </c>
      <c r="W259" t="s">
        <v>564</v>
      </c>
      <c r="X259" t="s">
        <v>1468</v>
      </c>
      <c r="Y259" t="s">
        <v>626</v>
      </c>
      <c r="Z259">
        <v>82.546999999999997</v>
      </c>
      <c r="AA259" t="s">
        <v>660</v>
      </c>
      <c r="AB259">
        <v>80.644400000000005</v>
      </c>
      <c r="AC259">
        <v>-2.3048533137752739E-2</v>
      </c>
      <c r="AD259" t="s">
        <v>545</v>
      </c>
      <c r="AE259" t="s">
        <v>546</v>
      </c>
      <c r="AF259">
        <v>-2.4049000000000001E-2</v>
      </c>
      <c r="AG259" t="str">
        <f>IF($A259="","",IFERROR(INDEX(Company_List!$G$3:$G$207,MATCH($A259,Company_List!$A$3:$A$207,0)),"unassigned"))</f>
        <v>P2</v>
      </c>
      <c r="AH259" t="s">
        <v>2030</v>
      </c>
      <c r="AI259" t="s">
        <v>2031</v>
      </c>
      <c r="AJ259" t="s">
        <v>754</v>
      </c>
      <c r="AK259" t="str">
        <f>IF($A259="","",IF(COUNTIFS(Human_Data_Entry!$A$3:$A$525,$A259)&gt;0,"YES","NO"))</f>
        <v>YES</v>
      </c>
      <c r="AL259" t="str">
        <f>IF($A259="","",IF(AND($C259&amp;"-"&amp;$D259&gt;=Settings!$B$19,$C259&amp;"-"&amp;$D259&lt;=Settings!$B$20),"IN","OUT"))</f>
        <v>IN</v>
      </c>
      <c r="AM259">
        <f t="shared" ref="AM259:AM322" si="16">IF(AND(OR($H259="BUY",$H259="SELL"),ISNUMBER($T259)),$T259,"")</f>
        <v>-2.4049000000000001E-2</v>
      </c>
      <c r="AN259">
        <f t="shared" ref="AN259:AN322" si="17">IF(AND(OR($H259="BUY",$H259="SELL"),ISNUMBER($AF259)),$AF259,"")</f>
        <v>-2.4049000000000001E-2</v>
      </c>
      <c r="AO259">
        <f>IF(ISNUMBER($AM259),ABS(IF(ISNUMBER($G259),$G259,0)-Settings!$B$25),"")</f>
        <v>0.27250000000000002</v>
      </c>
      <c r="AP259">
        <f t="shared" ref="AP259:AP322" si="18">IF(ISNUMBER($AO259),$AO259*$AM259,"")</f>
        <v>-6.5533525000000007E-3</v>
      </c>
      <c r="AQ259">
        <f>IF(ISNUMBER($AN259),ABS(IF(ISNUMBER($G259),$G259,0)-Settings!$B$25),"")</f>
        <v>0.27250000000000002</v>
      </c>
      <c r="AR259">
        <f t="shared" ref="AR259:AR322" si="19">IF(ISNUMBER($AQ259),$AQ259*$AN259,"")</f>
        <v>-6.5533525000000007E-3</v>
      </c>
      <c r="AS259" t="str">
        <f>IF($A259="","",IFERROR(INDEX(Company_List!$H$3:$H$207,MATCH($A259,Company_List!$A$3:$A$207,0)),"unassigned"))</f>
        <v>Consumer Discretionary</v>
      </c>
      <c r="AT259" t="s">
        <v>1924</v>
      </c>
      <c r="AU259" t="s">
        <v>1925</v>
      </c>
      <c r="AV259">
        <v>2</v>
      </c>
      <c r="AW259" t="s">
        <v>595</v>
      </c>
      <c r="AX259" t="s">
        <v>596</v>
      </c>
      <c r="AY259" t="s">
        <v>550</v>
      </c>
      <c r="AZ259" t="s">
        <v>562</v>
      </c>
      <c r="BA259" t="s">
        <v>554</v>
      </c>
    </row>
    <row r="260" spans="1:53" x14ac:dyDescent="0.2">
      <c r="A260" s="115" t="s">
        <v>1505</v>
      </c>
      <c r="B260" s="117" t="s">
        <v>1506</v>
      </c>
      <c r="C260" s="105">
        <v>2025</v>
      </c>
      <c r="D260" s="106" t="s">
        <v>555</v>
      </c>
      <c r="E260" s="109" t="s">
        <v>1911</v>
      </c>
      <c r="F260" s="106" t="s">
        <v>1912</v>
      </c>
      <c r="G260" s="128">
        <v>-0.36749999999999999</v>
      </c>
      <c r="H260" s="106" t="s">
        <v>1923</v>
      </c>
      <c r="I260" s="128"/>
      <c r="J260" s="125">
        <v>45867</v>
      </c>
      <c r="K260" s="126">
        <v>45866</v>
      </c>
      <c r="L260" s="129">
        <v>282.12</v>
      </c>
      <c r="M260" s="126">
        <v>45867</v>
      </c>
      <c r="N260" s="129">
        <v>265.7</v>
      </c>
      <c r="O260" s="132">
        <v>1.3237000000000001E-2</v>
      </c>
      <c r="P260" s="107">
        <v>-5.8201999999999997E-2</v>
      </c>
      <c r="Q260" s="106" t="s">
        <v>545</v>
      </c>
      <c r="R260" s="106" t="s">
        <v>554</v>
      </c>
      <c r="S260" s="105">
        <v>-1</v>
      </c>
      <c r="T260" s="107">
        <v>5.7202000000000003E-2</v>
      </c>
      <c r="U260" s="130" t="s">
        <v>1914</v>
      </c>
      <c r="V260" t="s">
        <v>549</v>
      </c>
      <c r="W260" t="s">
        <v>685</v>
      </c>
      <c r="X260" t="s">
        <v>1506</v>
      </c>
      <c r="Y260" t="s">
        <v>619</v>
      </c>
      <c r="Z260">
        <v>274.76139999999998</v>
      </c>
      <c r="AA260" t="s">
        <v>620</v>
      </c>
      <c r="AB260">
        <v>258.7697</v>
      </c>
      <c r="AC260">
        <v>-5.820210764857895E-2</v>
      </c>
      <c r="AD260" t="s">
        <v>545</v>
      </c>
      <c r="AE260" t="s">
        <v>554</v>
      </c>
      <c r="AF260">
        <v>5.7202000000000003E-2</v>
      </c>
      <c r="AG260" t="str">
        <f>IF($A260="","",IFERROR(INDEX(Company_List!$G$3:$G$207,MATCH($A260,Company_List!$A$3:$A$207,0)),"unassigned"))</f>
        <v>both</v>
      </c>
      <c r="AH260" t="s">
        <v>2032</v>
      </c>
      <c r="AI260" t="s">
        <v>2033</v>
      </c>
      <c r="AJ260" t="s">
        <v>754</v>
      </c>
      <c r="AK260" t="str">
        <f>IF($A260="","",IF(COUNTIFS(Human_Data_Entry!$A$3:$A$525,$A260)&gt;0,"YES","NO"))</f>
        <v>YES</v>
      </c>
      <c r="AL260" t="str">
        <f>IF($A260="","",IF(AND($C260&amp;"-"&amp;$D260&gt;=Settings!$B$19,$C260&amp;"-"&amp;$D260&lt;=Settings!$B$20),"IN","OUT"))</f>
        <v>IN</v>
      </c>
      <c r="AM260">
        <f t="shared" si="16"/>
        <v>5.7202000000000003E-2</v>
      </c>
      <c r="AN260">
        <f t="shared" si="17"/>
        <v>5.7202000000000003E-2</v>
      </c>
      <c r="AO260">
        <f>IF(ISNUMBER($AM260),ABS(IF(ISNUMBER($G260),$G260,0)-Settings!$B$25),"")</f>
        <v>0.36749999999999999</v>
      </c>
      <c r="AP260">
        <f t="shared" si="18"/>
        <v>2.1021735E-2</v>
      </c>
      <c r="AQ260">
        <f>IF(ISNUMBER($AN260),ABS(IF(ISNUMBER($G260),$G260,0)-Settings!$B$25),"")</f>
        <v>0.36749999999999999</v>
      </c>
      <c r="AR260">
        <f t="shared" si="19"/>
        <v>2.1021735E-2</v>
      </c>
      <c r="AS260" t="str">
        <f>IF($A260="","",IFERROR(INDEX(Company_List!$H$3:$H$207,MATCH($A260,Company_List!$A$3:$A$207,0)),"unassigned"))</f>
        <v>Health Care</v>
      </c>
      <c r="AT260" t="s">
        <v>1924</v>
      </c>
      <c r="AU260" t="s">
        <v>1925</v>
      </c>
      <c r="AV260">
        <v>2</v>
      </c>
      <c r="AW260" t="s">
        <v>561</v>
      </c>
      <c r="AX260" t="s">
        <v>561</v>
      </c>
      <c r="AY260" t="s">
        <v>550</v>
      </c>
      <c r="AZ260" t="s">
        <v>562</v>
      </c>
      <c r="BA260" t="s">
        <v>554</v>
      </c>
    </row>
    <row r="261" spans="1:53" x14ac:dyDescent="0.2">
      <c r="A261" s="115" t="s">
        <v>1505</v>
      </c>
      <c r="B261" s="117" t="s">
        <v>1506</v>
      </c>
      <c r="C261" s="105">
        <v>2025</v>
      </c>
      <c r="D261" s="106" t="s">
        <v>563</v>
      </c>
      <c r="E261" s="109" t="s">
        <v>1911</v>
      </c>
      <c r="F261" s="106" t="s">
        <v>1912</v>
      </c>
      <c r="G261" s="128">
        <v>0.27250000000000002</v>
      </c>
      <c r="H261" s="106" t="s">
        <v>1919</v>
      </c>
      <c r="I261" s="128"/>
      <c r="J261" s="125">
        <v>45958</v>
      </c>
      <c r="K261" s="126">
        <v>45957</v>
      </c>
      <c r="L261" s="129">
        <v>365.98</v>
      </c>
      <c r="M261" s="126">
        <v>45958</v>
      </c>
      <c r="N261" s="129">
        <v>380.68</v>
      </c>
      <c r="O261" s="132">
        <v>1.0862E-2</v>
      </c>
      <c r="P261" s="107">
        <v>4.0166000000000007E-2</v>
      </c>
      <c r="Q261" s="106" t="s">
        <v>591</v>
      </c>
      <c r="R261" s="106" t="s">
        <v>554</v>
      </c>
      <c r="S261" s="105">
        <v>1</v>
      </c>
      <c r="T261" s="107">
        <v>3.9165999999999999E-2</v>
      </c>
      <c r="U261" s="130" t="s">
        <v>1914</v>
      </c>
      <c r="V261" t="s">
        <v>549</v>
      </c>
      <c r="W261" t="s">
        <v>564</v>
      </c>
      <c r="X261" t="s">
        <v>1506</v>
      </c>
      <c r="Y261" t="s">
        <v>1093</v>
      </c>
      <c r="Z261">
        <v>358.68279999999999</v>
      </c>
      <c r="AA261" t="s">
        <v>625</v>
      </c>
      <c r="AB261">
        <v>373.08969999999999</v>
      </c>
      <c r="AC261">
        <v>4.0166099293610723E-2</v>
      </c>
      <c r="AD261" t="s">
        <v>591</v>
      </c>
      <c r="AE261" t="s">
        <v>554</v>
      </c>
      <c r="AF261">
        <v>3.9165999999999999E-2</v>
      </c>
      <c r="AG261" t="str">
        <f>IF($A261="","",IFERROR(INDEX(Company_List!$G$3:$G$207,MATCH($A261,Company_List!$A$3:$A$207,0)),"unassigned"))</f>
        <v>both</v>
      </c>
      <c r="AH261" t="s">
        <v>2034</v>
      </c>
      <c r="AI261" t="s">
        <v>2035</v>
      </c>
      <c r="AJ261" t="s">
        <v>754</v>
      </c>
      <c r="AK261" t="str">
        <f>IF($A261="","",IF(COUNTIFS(Human_Data_Entry!$A$3:$A$525,$A261)&gt;0,"YES","NO"))</f>
        <v>YES</v>
      </c>
      <c r="AL261" t="str">
        <f>IF($A261="","",IF(AND($C261&amp;"-"&amp;$D261&gt;=Settings!$B$19,$C261&amp;"-"&amp;$D261&lt;=Settings!$B$20),"IN","OUT"))</f>
        <v>IN</v>
      </c>
      <c r="AM261">
        <f t="shared" si="16"/>
        <v>3.9165999999999999E-2</v>
      </c>
      <c r="AN261">
        <f t="shared" si="17"/>
        <v>3.9165999999999999E-2</v>
      </c>
      <c r="AO261">
        <f>IF(ISNUMBER($AM261),ABS(IF(ISNUMBER($G261),$G261,0)-Settings!$B$25),"")</f>
        <v>0.27250000000000002</v>
      </c>
      <c r="AP261">
        <f t="shared" si="18"/>
        <v>1.0672735000000001E-2</v>
      </c>
      <c r="AQ261">
        <f>IF(ISNUMBER($AN261),ABS(IF(ISNUMBER($G261),$G261,0)-Settings!$B$25),"")</f>
        <v>0.27250000000000002</v>
      </c>
      <c r="AR261">
        <f t="shared" si="19"/>
        <v>1.0672735000000001E-2</v>
      </c>
      <c r="AS261" t="str">
        <f>IF($A261="","",IFERROR(INDEX(Company_List!$H$3:$H$207,MATCH($A261,Company_List!$A$3:$A$207,0)),"unassigned"))</f>
        <v>Health Care</v>
      </c>
      <c r="AT261" t="s">
        <v>1924</v>
      </c>
      <c r="AU261" t="s">
        <v>1925</v>
      </c>
      <c r="AV261">
        <v>3</v>
      </c>
      <c r="AW261" t="s">
        <v>561</v>
      </c>
      <c r="AX261" t="s">
        <v>561</v>
      </c>
      <c r="AY261" t="s">
        <v>1023</v>
      </c>
      <c r="AZ261" t="s">
        <v>562</v>
      </c>
      <c r="BA261" t="s">
        <v>554</v>
      </c>
    </row>
    <row r="262" spans="1:53" x14ac:dyDescent="0.2">
      <c r="A262" s="115" t="s">
        <v>1505</v>
      </c>
      <c r="B262" s="117" t="s">
        <v>1506</v>
      </c>
      <c r="C262" s="105">
        <v>2025</v>
      </c>
      <c r="D262" s="106" t="s">
        <v>569</v>
      </c>
      <c r="E262" s="109" t="s">
        <v>1911</v>
      </c>
      <c r="F262" s="106" t="s">
        <v>1912</v>
      </c>
      <c r="G262" s="128">
        <v>-5.2499999999999998E-2</v>
      </c>
      <c r="H262" s="106" t="s">
        <v>1923</v>
      </c>
      <c r="I262" s="128"/>
      <c r="J262" s="125">
        <v>46049</v>
      </c>
      <c r="K262" s="126">
        <v>46048</v>
      </c>
      <c r="L262" s="129">
        <v>351.64</v>
      </c>
      <c r="M262" s="126">
        <v>46049</v>
      </c>
      <c r="N262" s="129">
        <v>293.97000000000003</v>
      </c>
      <c r="O262" s="132">
        <v>1.1878E-2</v>
      </c>
      <c r="P262" s="107">
        <v>-0.16400300000000001</v>
      </c>
      <c r="Q262" s="106" t="s">
        <v>545</v>
      </c>
      <c r="R262" s="106" t="s">
        <v>554</v>
      </c>
      <c r="S262" s="105">
        <v>-1</v>
      </c>
      <c r="T262" s="107">
        <v>0.16300300000000001</v>
      </c>
      <c r="U262" s="130" t="s">
        <v>1914</v>
      </c>
      <c r="V262" t="s">
        <v>549</v>
      </c>
      <c r="W262" t="s">
        <v>541</v>
      </c>
      <c r="X262" t="s">
        <v>1506</v>
      </c>
      <c r="Y262" t="s">
        <v>631</v>
      </c>
      <c r="Z262">
        <v>346.94580000000002</v>
      </c>
      <c r="AA262" t="s">
        <v>632</v>
      </c>
      <c r="AB262">
        <v>290.04559999999998</v>
      </c>
      <c r="AC262">
        <v>-0.16400299275233729</v>
      </c>
      <c r="AD262" t="s">
        <v>545</v>
      </c>
      <c r="AE262" t="s">
        <v>554</v>
      </c>
      <c r="AF262">
        <v>0.16300300000000001</v>
      </c>
      <c r="AG262" t="str">
        <f>IF($A262="","",IFERROR(INDEX(Company_List!$G$3:$G$207,MATCH($A262,Company_List!$A$3:$A$207,0)),"unassigned"))</f>
        <v>both</v>
      </c>
      <c r="AH262" t="s">
        <v>2036</v>
      </c>
      <c r="AI262" t="s">
        <v>2037</v>
      </c>
      <c r="AJ262" t="s">
        <v>754</v>
      </c>
      <c r="AK262" t="str">
        <f>IF($A262="","",IF(COUNTIFS(Human_Data_Entry!$A$3:$A$525,$A262)&gt;0,"YES","NO"))</f>
        <v>YES</v>
      </c>
      <c r="AL262" t="str">
        <f>IF($A262="","",IF(AND($C262&amp;"-"&amp;$D262&gt;=Settings!$B$19,$C262&amp;"-"&amp;$D262&lt;=Settings!$B$20),"IN","OUT"))</f>
        <v>IN</v>
      </c>
      <c r="AM262">
        <f t="shared" si="16"/>
        <v>0.16300300000000001</v>
      </c>
      <c r="AN262">
        <f t="shared" si="17"/>
        <v>0.16300300000000001</v>
      </c>
      <c r="AO262">
        <f>IF(ISNUMBER($AM262),ABS(IF(ISNUMBER($G262),$G262,0)-Settings!$B$25),"")</f>
        <v>5.2499999999999998E-2</v>
      </c>
      <c r="AP262">
        <f t="shared" si="18"/>
        <v>8.5576574999999995E-3</v>
      </c>
      <c r="AQ262">
        <f>IF(ISNUMBER($AN262),ABS(IF(ISNUMBER($G262),$G262,0)-Settings!$B$25),"")</f>
        <v>5.2499999999999998E-2</v>
      </c>
      <c r="AR262">
        <f t="shared" si="19"/>
        <v>8.5576574999999995E-3</v>
      </c>
      <c r="AS262" t="str">
        <f>IF($A262="","",IFERROR(INDEX(Company_List!$H$3:$H$207,MATCH($A262,Company_List!$A$3:$A$207,0)),"unassigned"))</f>
        <v>Health Care</v>
      </c>
      <c r="AT262" t="s">
        <v>1924</v>
      </c>
      <c r="AU262" t="s">
        <v>1925</v>
      </c>
      <c r="AV262">
        <v>2</v>
      </c>
      <c r="AW262" t="s">
        <v>561</v>
      </c>
      <c r="AX262" t="s">
        <v>561</v>
      </c>
      <c r="AY262" t="s">
        <v>550</v>
      </c>
      <c r="AZ262" t="s">
        <v>562</v>
      </c>
      <c r="BA262" t="s">
        <v>554</v>
      </c>
    </row>
    <row r="263" spans="1:53" x14ac:dyDescent="0.2">
      <c r="A263" s="115" t="s">
        <v>1097</v>
      </c>
      <c r="B263" s="117" t="s">
        <v>1098</v>
      </c>
      <c r="C263" s="105">
        <v>2025</v>
      </c>
      <c r="D263" s="106" t="s">
        <v>537</v>
      </c>
      <c r="E263" s="109" t="s">
        <v>1911</v>
      </c>
      <c r="F263" s="106" t="s">
        <v>1912</v>
      </c>
      <c r="G263" s="128">
        <v>-5.2499999999999998E-2</v>
      </c>
      <c r="H263" s="106" t="s">
        <v>1923</v>
      </c>
      <c r="I263" s="128"/>
      <c r="J263" s="125">
        <v>45776</v>
      </c>
      <c r="K263" s="126">
        <v>45776</v>
      </c>
      <c r="L263" s="129">
        <v>341.52</v>
      </c>
      <c r="M263" s="126">
        <v>45777</v>
      </c>
      <c r="N263" s="129">
        <v>334.44</v>
      </c>
      <c r="O263" s="132">
        <v>9.7509999999999993E-3</v>
      </c>
      <c r="P263" s="107">
        <v>-2.0730999999999999E-2</v>
      </c>
      <c r="Q263" s="106" t="s">
        <v>545</v>
      </c>
      <c r="R263" s="106" t="s">
        <v>554</v>
      </c>
      <c r="S263" s="105">
        <v>-1</v>
      </c>
      <c r="T263" s="107">
        <v>1.9730999999999999E-2</v>
      </c>
      <c r="U263" s="130" t="s">
        <v>1914</v>
      </c>
      <c r="V263" t="s">
        <v>549</v>
      </c>
      <c r="W263" t="s">
        <v>612</v>
      </c>
      <c r="X263" t="s">
        <v>1098</v>
      </c>
      <c r="Y263" t="s">
        <v>979</v>
      </c>
      <c r="Z263">
        <v>338.2817</v>
      </c>
      <c r="AA263" t="s">
        <v>1099</v>
      </c>
      <c r="AB263">
        <v>331.26889999999997</v>
      </c>
      <c r="AC263">
        <v>-2.0730847313168259E-2</v>
      </c>
      <c r="AD263" t="s">
        <v>545</v>
      </c>
      <c r="AE263" t="s">
        <v>554</v>
      </c>
      <c r="AF263">
        <v>1.9730999999999999E-2</v>
      </c>
      <c r="AG263" t="str">
        <f>IF($A263="","",IFERROR(INDEX(Company_List!$G$3:$G$207,MATCH($A263,Company_List!$A$3:$A$207,0)),"unassigned"))</f>
        <v>P3</v>
      </c>
      <c r="AH263" t="s">
        <v>1100</v>
      </c>
      <c r="AJ263" t="s">
        <v>548</v>
      </c>
      <c r="AK263" t="str">
        <f>IF($A263="","",IF(COUNTIFS(Human_Data_Entry!$A$3:$A$525,$A263)&gt;0,"YES","NO"))</f>
        <v>YES</v>
      </c>
      <c r="AL263" t="str">
        <f>IF($A263="","",IF(AND($C263&amp;"-"&amp;$D263&gt;=Settings!$B$19,$C263&amp;"-"&amp;$D263&lt;=Settings!$B$20),"IN","OUT"))</f>
        <v>IN</v>
      </c>
      <c r="AM263">
        <f t="shared" si="16"/>
        <v>1.9730999999999999E-2</v>
      </c>
      <c r="AN263">
        <f t="shared" si="17"/>
        <v>1.9730999999999999E-2</v>
      </c>
      <c r="AO263">
        <f>IF(ISNUMBER($AM263),ABS(IF(ISNUMBER($G263),$G263,0)-Settings!$B$25),"")</f>
        <v>5.2499999999999998E-2</v>
      </c>
      <c r="AP263">
        <f t="shared" si="18"/>
        <v>1.0358774999999999E-3</v>
      </c>
      <c r="AQ263">
        <f>IF(ISNUMBER($AN263),ABS(IF(ISNUMBER($G263),$G263,0)-Settings!$B$25),"")</f>
        <v>5.2499999999999998E-2</v>
      </c>
      <c r="AR263">
        <f t="shared" si="19"/>
        <v>1.0358774999999999E-3</v>
      </c>
      <c r="AS263" t="str">
        <f>IF($A263="","",IFERROR(INDEX(Company_List!$H$3:$H$207,MATCH($A263,Company_List!$A$3:$A$207,0)),"unassigned"))</f>
        <v>Financials</v>
      </c>
      <c r="AT263" t="s">
        <v>1924</v>
      </c>
      <c r="AU263" t="s">
        <v>1925</v>
      </c>
      <c r="AV263">
        <v>1</v>
      </c>
      <c r="AW263" t="s">
        <v>617</v>
      </c>
      <c r="AX263" t="s">
        <v>553</v>
      </c>
      <c r="AY263" t="s">
        <v>550</v>
      </c>
      <c r="AZ263" t="s">
        <v>550</v>
      </c>
      <c r="BA263" t="s">
        <v>554</v>
      </c>
    </row>
    <row r="264" spans="1:53" x14ac:dyDescent="0.2">
      <c r="A264" s="115" t="s">
        <v>1097</v>
      </c>
      <c r="B264" s="117" t="s">
        <v>1098</v>
      </c>
      <c r="C264" s="105">
        <v>2026</v>
      </c>
      <c r="D264" s="106" t="s">
        <v>537</v>
      </c>
      <c r="E264" s="109" t="s">
        <v>1911</v>
      </c>
      <c r="F264" s="106" t="s">
        <v>1912</v>
      </c>
      <c r="G264" s="128">
        <v>0.16750000000000001</v>
      </c>
      <c r="H264" s="106" t="s">
        <v>1913</v>
      </c>
      <c r="I264" s="128"/>
      <c r="J264" s="125">
        <v>46140</v>
      </c>
      <c r="K264" s="126">
        <v>46140</v>
      </c>
      <c r="L264" s="129">
        <v>309.3</v>
      </c>
      <c r="M264" s="126">
        <v>46141</v>
      </c>
      <c r="N264" s="129">
        <v>336.4</v>
      </c>
      <c r="O264" s="132">
        <v>1.0891E-2</v>
      </c>
      <c r="P264" s="107">
        <v>8.7617E-2</v>
      </c>
      <c r="Q264" s="106" t="s">
        <v>591</v>
      </c>
      <c r="R264" s="106" t="s">
        <v>546</v>
      </c>
      <c r="S264" s="105">
        <v>0</v>
      </c>
      <c r="T264" s="107">
        <v>0</v>
      </c>
      <c r="U264" s="130" t="s">
        <v>1914</v>
      </c>
      <c r="V264" t="s">
        <v>549</v>
      </c>
      <c r="W264" t="s">
        <v>685</v>
      </c>
      <c r="X264" t="s">
        <v>1098</v>
      </c>
      <c r="Y264" t="s">
        <v>709</v>
      </c>
      <c r="Z264">
        <v>308.6601</v>
      </c>
      <c r="AA264" t="s">
        <v>656</v>
      </c>
      <c r="AB264">
        <v>335.70409999999998</v>
      </c>
      <c r="AC264">
        <v>8.7617299775408802E-2</v>
      </c>
      <c r="AD264" t="s">
        <v>591</v>
      </c>
      <c r="AE264" t="s">
        <v>546</v>
      </c>
      <c r="AF264">
        <v>0</v>
      </c>
      <c r="AG264" t="str">
        <f>IF($A264="","",IFERROR(INDEX(Company_List!$G$3:$G$207,MATCH($A264,Company_List!$A$3:$A$207,0)),"unassigned"))</f>
        <v>P3</v>
      </c>
      <c r="AH264" t="s">
        <v>1103</v>
      </c>
      <c r="AJ264" t="s">
        <v>548</v>
      </c>
      <c r="AK264" t="str">
        <f>IF($A264="","",IF(COUNTIFS(Human_Data_Entry!$A$3:$A$525,$A264)&gt;0,"YES","NO"))</f>
        <v>YES</v>
      </c>
      <c r="AL264" t="str">
        <f>IF($A264="","",IF(AND($C264&amp;"-"&amp;$D264&gt;=Settings!$B$19,$C264&amp;"-"&amp;$D264&lt;=Settings!$B$20),"IN","OUT"))</f>
        <v>IN</v>
      </c>
      <c r="AM264" t="str">
        <f t="shared" si="16"/>
        <v/>
      </c>
      <c r="AN264" t="str">
        <f t="shared" si="17"/>
        <v/>
      </c>
      <c r="AO264" t="str">
        <f>IF(ISNUMBER($AM264),ABS(IF(ISNUMBER($G264),$G264,0)-Settings!$B$25),"")</f>
        <v/>
      </c>
      <c r="AP264" t="str">
        <f t="shared" si="18"/>
        <v/>
      </c>
      <c r="AQ264" t="str">
        <f>IF(ISNUMBER($AN264),ABS(IF(ISNUMBER($G264),$G264,0)-Settings!$B$25),"")</f>
        <v/>
      </c>
      <c r="AR264" t="str">
        <f t="shared" si="19"/>
        <v/>
      </c>
      <c r="AS264" t="str">
        <f>IF($A264="","",IFERROR(INDEX(Company_List!$H$3:$H$207,MATCH($A264,Company_List!$A$3:$A$207,0)),"unassigned"))</f>
        <v>Financials</v>
      </c>
      <c r="AT264" t="s">
        <v>1924</v>
      </c>
      <c r="AU264" t="s">
        <v>1925</v>
      </c>
      <c r="AV264">
        <v>1</v>
      </c>
      <c r="AW264" t="s">
        <v>617</v>
      </c>
      <c r="AX264" t="s">
        <v>553</v>
      </c>
      <c r="AY264" t="s">
        <v>550</v>
      </c>
      <c r="AZ264" t="s">
        <v>550</v>
      </c>
      <c r="BA264" t="s">
        <v>554</v>
      </c>
    </row>
    <row r="265" spans="1:53" x14ac:dyDescent="0.2">
      <c r="A265" s="115" t="s">
        <v>1097</v>
      </c>
      <c r="B265" s="117" t="s">
        <v>1098</v>
      </c>
      <c r="C265" s="105">
        <v>2025</v>
      </c>
      <c r="D265" s="106" t="s">
        <v>555</v>
      </c>
      <c r="E265" s="109" t="s">
        <v>1911</v>
      </c>
      <c r="F265" s="106" t="s">
        <v>1912</v>
      </c>
      <c r="G265" s="128">
        <v>0.1825</v>
      </c>
      <c r="H265" s="106" t="s">
        <v>1913</v>
      </c>
      <c r="I265" s="128"/>
      <c r="J265" s="125">
        <v>45867</v>
      </c>
      <c r="K265" s="126">
        <v>45867</v>
      </c>
      <c r="L265" s="129">
        <v>351.29</v>
      </c>
      <c r="M265" s="126">
        <v>45868</v>
      </c>
      <c r="N265" s="129">
        <v>351.7</v>
      </c>
      <c r="O265" s="132">
        <v>4.5149999999999999E-3</v>
      </c>
      <c r="P265" s="107">
        <v>1.1670000000000001E-3</v>
      </c>
      <c r="Q265" s="106" t="s">
        <v>579</v>
      </c>
      <c r="R265" s="106" t="s">
        <v>554</v>
      </c>
      <c r="S265" s="105">
        <v>0</v>
      </c>
      <c r="T265" s="107">
        <v>0</v>
      </c>
      <c r="U265" s="130" t="s">
        <v>1914</v>
      </c>
      <c r="V265" t="s">
        <v>549</v>
      </c>
      <c r="W265" t="s">
        <v>624</v>
      </c>
      <c r="X265" t="s">
        <v>1098</v>
      </c>
      <c r="Y265" t="s">
        <v>620</v>
      </c>
      <c r="Z265">
        <v>348.53699999999998</v>
      </c>
      <c r="AA265" t="s">
        <v>1001</v>
      </c>
      <c r="AB265">
        <v>348.94380000000001</v>
      </c>
      <c r="AC265">
        <v>1.1670863325308849E-3</v>
      </c>
      <c r="AD265" t="s">
        <v>579</v>
      </c>
      <c r="AE265" t="s">
        <v>554</v>
      </c>
      <c r="AF265">
        <v>0</v>
      </c>
      <c r="AG265" t="str">
        <f>IF($A265="","",IFERROR(INDEX(Company_List!$G$3:$G$207,MATCH($A265,Company_List!$A$3:$A$207,0)),"unassigned"))</f>
        <v>P3</v>
      </c>
      <c r="AH265" t="s">
        <v>1101</v>
      </c>
      <c r="AJ265" t="s">
        <v>548</v>
      </c>
      <c r="AK265" t="str">
        <f>IF($A265="","",IF(COUNTIFS(Human_Data_Entry!$A$3:$A$525,$A265)&gt;0,"YES","NO"))</f>
        <v>YES</v>
      </c>
      <c r="AL265" t="str">
        <f>IF($A265="","",IF(AND($C265&amp;"-"&amp;$D265&gt;=Settings!$B$19,$C265&amp;"-"&amp;$D265&lt;=Settings!$B$20),"IN","OUT"))</f>
        <v>IN</v>
      </c>
      <c r="AM265" t="str">
        <f t="shared" si="16"/>
        <v/>
      </c>
      <c r="AN265" t="str">
        <f t="shared" si="17"/>
        <v/>
      </c>
      <c r="AO265" t="str">
        <f>IF(ISNUMBER($AM265),ABS(IF(ISNUMBER($G265),$G265,0)-Settings!$B$25),"")</f>
        <v/>
      </c>
      <c r="AP265" t="str">
        <f t="shared" si="18"/>
        <v/>
      </c>
      <c r="AQ265" t="str">
        <f>IF(ISNUMBER($AN265),ABS(IF(ISNUMBER($G265),$G265,0)-Settings!$B$25),"")</f>
        <v/>
      </c>
      <c r="AR265" t="str">
        <f t="shared" si="19"/>
        <v/>
      </c>
      <c r="AS265" t="str">
        <f>IF($A265="","",IFERROR(INDEX(Company_List!$H$3:$H$207,MATCH($A265,Company_List!$A$3:$A$207,0)),"unassigned"))</f>
        <v>Financials</v>
      </c>
      <c r="AT265" t="s">
        <v>1924</v>
      </c>
      <c r="AU265" t="s">
        <v>1925</v>
      </c>
      <c r="AV265">
        <v>1</v>
      </c>
      <c r="AW265" t="s">
        <v>617</v>
      </c>
      <c r="AX265" t="s">
        <v>553</v>
      </c>
      <c r="AY265" t="s">
        <v>550</v>
      </c>
      <c r="AZ265" t="s">
        <v>550</v>
      </c>
      <c r="BA265" t="s">
        <v>554</v>
      </c>
    </row>
    <row r="266" spans="1:53" x14ac:dyDescent="0.2">
      <c r="A266" s="115" t="s">
        <v>1097</v>
      </c>
      <c r="B266" s="117" t="s">
        <v>1098</v>
      </c>
      <c r="C266" s="105">
        <v>2025</v>
      </c>
      <c r="D266" s="106" t="s">
        <v>563</v>
      </c>
      <c r="E266" s="109" t="s">
        <v>1911</v>
      </c>
      <c r="F266" s="106" t="s">
        <v>1912</v>
      </c>
      <c r="G266" s="128">
        <v>0.3</v>
      </c>
      <c r="H266" s="106" t="s">
        <v>1919</v>
      </c>
      <c r="I266" s="128"/>
      <c r="J266" s="125">
        <v>45958</v>
      </c>
      <c r="K266" s="126">
        <v>45958</v>
      </c>
      <c r="L266" s="129">
        <v>346.9</v>
      </c>
      <c r="M266" s="126">
        <v>45959</v>
      </c>
      <c r="N266" s="129">
        <v>346</v>
      </c>
      <c r="O266" s="132">
        <v>1.1387E-2</v>
      </c>
      <c r="P266" s="107">
        <v>-2.594E-3</v>
      </c>
      <c r="Q266" s="106" t="s">
        <v>579</v>
      </c>
      <c r="R266" s="106" t="s">
        <v>546</v>
      </c>
      <c r="S266" s="105">
        <v>1</v>
      </c>
      <c r="T266" s="107">
        <v>-3.594E-3</v>
      </c>
      <c r="U266" s="130" t="s">
        <v>1944</v>
      </c>
      <c r="V266" t="s">
        <v>549</v>
      </c>
      <c r="W266" t="s">
        <v>624</v>
      </c>
      <c r="X266" t="s">
        <v>1098</v>
      </c>
      <c r="Y266" t="s">
        <v>625</v>
      </c>
      <c r="Z266">
        <v>344.78699999999998</v>
      </c>
      <c r="AA266" t="s">
        <v>626</v>
      </c>
      <c r="AB266">
        <v>343.89249999999998</v>
      </c>
      <c r="AC266">
        <v>-2.5942771798218929E-3</v>
      </c>
      <c r="AD266" t="s">
        <v>579</v>
      </c>
      <c r="AE266" t="s">
        <v>546</v>
      </c>
      <c r="AF266">
        <v>-3.594E-3</v>
      </c>
      <c r="AG266" t="str">
        <f>IF($A266="","",IFERROR(INDEX(Company_List!$G$3:$G$207,MATCH($A266,Company_List!$A$3:$A$207,0)),"unassigned"))</f>
        <v>P3</v>
      </c>
      <c r="AH266" t="s">
        <v>1102</v>
      </c>
      <c r="AJ266" t="s">
        <v>548</v>
      </c>
      <c r="AK266" t="str">
        <f>IF($A266="","",IF(COUNTIFS(Human_Data_Entry!$A$3:$A$525,$A266)&gt;0,"YES","NO"))</f>
        <v>YES</v>
      </c>
      <c r="AL266" t="str">
        <f>IF($A266="","",IF(AND($C266&amp;"-"&amp;$D266&gt;=Settings!$B$19,$C266&amp;"-"&amp;$D266&lt;=Settings!$B$20),"IN","OUT"))</f>
        <v>IN</v>
      </c>
      <c r="AM266">
        <f t="shared" si="16"/>
        <v>-3.594E-3</v>
      </c>
      <c r="AN266">
        <f t="shared" si="17"/>
        <v>-3.594E-3</v>
      </c>
      <c r="AO266">
        <f>IF(ISNUMBER($AM266),ABS(IF(ISNUMBER($G266),$G266,0)-Settings!$B$25),"")</f>
        <v>0.3</v>
      </c>
      <c r="AP266">
        <f t="shared" si="18"/>
        <v>-1.0781999999999999E-3</v>
      </c>
      <c r="AQ266">
        <f>IF(ISNUMBER($AN266),ABS(IF(ISNUMBER($G266),$G266,0)-Settings!$B$25),"")</f>
        <v>0.3</v>
      </c>
      <c r="AR266">
        <f t="shared" si="19"/>
        <v>-1.0781999999999999E-3</v>
      </c>
      <c r="AS266" t="str">
        <f>IF($A266="","",IFERROR(INDEX(Company_List!$H$3:$H$207,MATCH($A266,Company_List!$A$3:$A$207,0)),"unassigned"))</f>
        <v>Financials</v>
      </c>
      <c r="AT266" t="s">
        <v>1924</v>
      </c>
      <c r="AU266" t="s">
        <v>1925</v>
      </c>
      <c r="AV266">
        <v>1</v>
      </c>
      <c r="AW266" t="s">
        <v>617</v>
      </c>
      <c r="AX266" t="s">
        <v>553</v>
      </c>
      <c r="AY266" t="s">
        <v>550</v>
      </c>
      <c r="AZ266" t="s">
        <v>550</v>
      </c>
      <c r="BA266" t="s">
        <v>554</v>
      </c>
    </row>
    <row r="267" spans="1:53" x14ac:dyDescent="0.2">
      <c r="A267" s="115" t="s">
        <v>1287</v>
      </c>
      <c r="B267" s="117" t="s">
        <v>2038</v>
      </c>
      <c r="C267" s="105">
        <v>2025</v>
      </c>
      <c r="D267" s="106" t="s">
        <v>537</v>
      </c>
      <c r="E267" s="109" t="s">
        <v>1911</v>
      </c>
      <c r="F267" s="106" t="s">
        <v>1912</v>
      </c>
      <c r="G267" s="128">
        <v>-2.5000000000000001E-2</v>
      </c>
      <c r="H267" s="106" t="s">
        <v>1913</v>
      </c>
      <c r="I267" s="128"/>
      <c r="J267" s="125">
        <v>45799</v>
      </c>
      <c r="K267" s="126">
        <v>45799</v>
      </c>
      <c r="L267" s="129">
        <v>272.07</v>
      </c>
      <c r="M267" s="126">
        <v>45800</v>
      </c>
      <c r="N267" s="129">
        <v>241.6</v>
      </c>
      <c r="O267" s="132">
        <v>5.4429999999999999E-3</v>
      </c>
      <c r="P267" s="107">
        <v>-0.111993</v>
      </c>
      <c r="Q267" s="106" t="s">
        <v>545</v>
      </c>
      <c r="R267" s="106" t="s">
        <v>546</v>
      </c>
      <c r="S267" s="105">
        <v>0</v>
      </c>
      <c r="T267" s="107">
        <v>0</v>
      </c>
      <c r="U267" s="130" t="s">
        <v>1914</v>
      </c>
      <c r="V267" t="s">
        <v>549</v>
      </c>
      <c r="W267" t="s">
        <v>1247</v>
      </c>
      <c r="X267" t="s">
        <v>2038</v>
      </c>
      <c r="Y267" t="s">
        <v>2039</v>
      </c>
      <c r="Z267">
        <v>272.07</v>
      </c>
      <c r="AA267" t="s">
        <v>2040</v>
      </c>
      <c r="AB267">
        <v>241.6</v>
      </c>
      <c r="AC267">
        <v>-0.1119932378286739</v>
      </c>
      <c r="AD267" t="s">
        <v>545</v>
      </c>
      <c r="AE267" t="s">
        <v>546</v>
      </c>
      <c r="AF267">
        <v>0</v>
      </c>
      <c r="AG267" t="str">
        <f>IF($A267="","",IFERROR(INDEX(Company_List!$G$3:$G$207,MATCH($A267,Company_List!$A$3:$A$207,0)),"unassigned"))</f>
        <v>P3</v>
      </c>
      <c r="AH267" t="s">
        <v>2041</v>
      </c>
      <c r="AJ267" t="s">
        <v>593</v>
      </c>
      <c r="AK267" t="str">
        <f>IF($A267="","",IF(COUNTIFS(Human_Data_Entry!$A$3:$A$525,$A267)&gt;0,"YES","NO"))</f>
        <v>YES</v>
      </c>
      <c r="AL267" t="str">
        <f>IF($A267="","",IF(AND($C267&amp;"-"&amp;$D267&gt;=Settings!$B$19,$C267&amp;"-"&amp;$D267&lt;=Settings!$B$20),"IN","OUT"))</f>
        <v>IN</v>
      </c>
      <c r="AM267" t="str">
        <f t="shared" si="16"/>
        <v/>
      </c>
      <c r="AN267" t="str">
        <f t="shared" si="17"/>
        <v/>
      </c>
      <c r="AO267" t="str">
        <f>IF(ISNUMBER($AM267),ABS(IF(ISNUMBER($G267),$G267,0)-Settings!$B$25),"")</f>
        <v/>
      </c>
      <c r="AP267" t="str">
        <f t="shared" si="18"/>
        <v/>
      </c>
      <c r="AQ267" t="str">
        <f>IF(ISNUMBER($AN267),ABS(IF(ISNUMBER($G267),$G267,0)-Settings!$B$25),"")</f>
        <v/>
      </c>
      <c r="AR267" t="str">
        <f t="shared" si="19"/>
        <v/>
      </c>
      <c r="AS267" t="str">
        <f>IF($A267="","",IFERROR(INDEX(Company_List!$H$3:$H$207,MATCH($A267,Company_List!$A$3:$A$207,0)),"unassigned"))</f>
        <v>Information Technology</v>
      </c>
      <c r="AT267" t="s">
        <v>1924</v>
      </c>
      <c r="AU267" t="s">
        <v>1925</v>
      </c>
      <c r="AV267">
        <v>3</v>
      </c>
      <c r="AW267" t="s">
        <v>1262</v>
      </c>
      <c r="AX267" t="s">
        <v>553</v>
      </c>
      <c r="AY267" t="s">
        <v>550</v>
      </c>
      <c r="AZ267" t="s">
        <v>550</v>
      </c>
      <c r="BA267" t="s">
        <v>554</v>
      </c>
    </row>
    <row r="268" spans="1:53" x14ac:dyDescent="0.2">
      <c r="A268" s="115" t="s">
        <v>1287</v>
      </c>
      <c r="B268" s="117" t="s">
        <v>2038</v>
      </c>
      <c r="C268" s="105">
        <v>2025</v>
      </c>
      <c r="D268" s="106" t="s">
        <v>555</v>
      </c>
      <c r="E268" s="109" t="s">
        <v>1911</v>
      </c>
      <c r="F268" s="106" t="s">
        <v>1912</v>
      </c>
      <c r="G268" s="128">
        <v>0.30249999999999999</v>
      </c>
      <c r="H268" s="106" t="s">
        <v>1919</v>
      </c>
      <c r="I268" s="128"/>
      <c r="J268" s="125">
        <v>45890</v>
      </c>
      <c r="K268" s="126">
        <v>45890</v>
      </c>
      <c r="L268" s="129">
        <v>227.58</v>
      </c>
      <c r="M268" s="126">
        <v>45891</v>
      </c>
      <c r="N268" s="129">
        <v>213.88</v>
      </c>
      <c r="O268" s="132">
        <v>2.5679E-2</v>
      </c>
      <c r="P268" s="107">
        <v>-6.0199000000000003E-2</v>
      </c>
      <c r="Q268" s="106" t="s">
        <v>545</v>
      </c>
      <c r="R268" s="106" t="s">
        <v>546</v>
      </c>
      <c r="S268" s="105">
        <v>1</v>
      </c>
      <c r="T268" s="107">
        <v>-6.1199000000000003E-2</v>
      </c>
      <c r="U268" s="130" t="s">
        <v>1914</v>
      </c>
      <c r="V268" t="s">
        <v>549</v>
      </c>
      <c r="W268" t="s">
        <v>1247</v>
      </c>
      <c r="X268" t="s">
        <v>2038</v>
      </c>
      <c r="Y268" t="s">
        <v>843</v>
      </c>
      <c r="Z268">
        <v>227.58</v>
      </c>
      <c r="AA268" t="s">
        <v>2042</v>
      </c>
      <c r="AB268">
        <v>213.88</v>
      </c>
      <c r="AC268">
        <v>-6.0198597766072587E-2</v>
      </c>
      <c r="AD268" t="s">
        <v>545</v>
      </c>
      <c r="AE268" t="s">
        <v>546</v>
      </c>
      <c r="AF268">
        <v>-6.1199000000000003E-2</v>
      </c>
      <c r="AG268" t="str">
        <f>IF($A268="","",IFERROR(INDEX(Company_List!$G$3:$G$207,MATCH($A268,Company_List!$A$3:$A$207,0)),"unassigned"))</f>
        <v>P3</v>
      </c>
      <c r="AH268" t="s">
        <v>2043</v>
      </c>
      <c r="AJ268" t="s">
        <v>593</v>
      </c>
      <c r="AK268" t="str">
        <f>IF($A268="","",IF(COUNTIFS(Human_Data_Entry!$A$3:$A$525,$A268)&gt;0,"YES","NO"))</f>
        <v>YES</v>
      </c>
      <c r="AL268" t="str">
        <f>IF($A268="","",IF(AND($C268&amp;"-"&amp;$D268&gt;=Settings!$B$19,$C268&amp;"-"&amp;$D268&lt;=Settings!$B$20),"IN","OUT"))</f>
        <v>IN</v>
      </c>
      <c r="AM268">
        <f t="shared" si="16"/>
        <v>-6.1199000000000003E-2</v>
      </c>
      <c r="AN268">
        <f t="shared" si="17"/>
        <v>-6.1199000000000003E-2</v>
      </c>
      <c r="AO268">
        <f>IF(ISNUMBER($AM268),ABS(IF(ISNUMBER($G268),$G268,0)-Settings!$B$25),"")</f>
        <v>0.30249999999999999</v>
      </c>
      <c r="AP268">
        <f t="shared" si="18"/>
        <v>-1.8512697500000001E-2</v>
      </c>
      <c r="AQ268">
        <f>IF(ISNUMBER($AN268),ABS(IF(ISNUMBER($G268),$G268,0)-Settings!$B$25),"")</f>
        <v>0.30249999999999999</v>
      </c>
      <c r="AR268">
        <f t="shared" si="19"/>
        <v>-1.8512697500000001E-2</v>
      </c>
      <c r="AS268" t="str">
        <f>IF($A268="","",IFERROR(INDEX(Company_List!$H$3:$H$207,MATCH($A268,Company_List!$A$3:$A$207,0)),"unassigned"))</f>
        <v>Information Technology</v>
      </c>
      <c r="AT268" t="s">
        <v>1924</v>
      </c>
      <c r="AU268" t="s">
        <v>1925</v>
      </c>
      <c r="AV268">
        <v>4</v>
      </c>
      <c r="AW268" t="s">
        <v>1262</v>
      </c>
      <c r="AX268" t="s">
        <v>553</v>
      </c>
      <c r="AY268" t="s">
        <v>550</v>
      </c>
      <c r="AZ268" t="s">
        <v>550</v>
      </c>
      <c r="BA268" t="s">
        <v>554</v>
      </c>
    </row>
    <row r="269" spans="1:53" x14ac:dyDescent="0.2">
      <c r="A269" s="115" t="s">
        <v>1287</v>
      </c>
      <c r="B269" s="117" t="s">
        <v>2038</v>
      </c>
      <c r="C269" s="105">
        <v>2025</v>
      </c>
      <c r="D269" s="106" t="s">
        <v>563</v>
      </c>
      <c r="E269" s="109" t="s">
        <v>1911</v>
      </c>
      <c r="F269" s="106" t="s">
        <v>1912</v>
      </c>
      <c r="G269" s="128">
        <v>0.21</v>
      </c>
      <c r="H269" s="106" t="s">
        <v>1913</v>
      </c>
      <c r="I269" s="128"/>
      <c r="J269" s="125">
        <v>45986</v>
      </c>
      <c r="K269" s="126">
        <v>45986</v>
      </c>
      <c r="L269" s="129">
        <v>233.69</v>
      </c>
      <c r="M269" s="126">
        <v>45987</v>
      </c>
      <c r="N269" s="129">
        <v>215.34</v>
      </c>
      <c r="O269" s="132">
        <v>4.4640000000000001E-3</v>
      </c>
      <c r="P269" s="107">
        <v>-7.8522999999999996E-2</v>
      </c>
      <c r="Q269" s="106" t="s">
        <v>545</v>
      </c>
      <c r="R269" s="106" t="s">
        <v>546</v>
      </c>
      <c r="S269" s="105">
        <v>0</v>
      </c>
      <c r="T269" s="107">
        <v>0</v>
      </c>
      <c r="U269" s="130" t="s">
        <v>1914</v>
      </c>
      <c r="V269" t="s">
        <v>549</v>
      </c>
      <c r="W269" t="s">
        <v>1247</v>
      </c>
      <c r="X269" t="s">
        <v>2038</v>
      </c>
      <c r="Y269" t="s">
        <v>1553</v>
      </c>
      <c r="Z269">
        <v>233.69</v>
      </c>
      <c r="AA269" t="s">
        <v>1382</v>
      </c>
      <c r="AB269">
        <v>215.34</v>
      </c>
      <c r="AC269">
        <v>-7.8522854392375677E-2</v>
      </c>
      <c r="AD269" t="s">
        <v>545</v>
      </c>
      <c r="AE269" t="s">
        <v>546</v>
      </c>
      <c r="AF269">
        <v>0</v>
      </c>
      <c r="AG269" t="str">
        <f>IF($A269="","",IFERROR(INDEX(Company_List!$G$3:$G$207,MATCH($A269,Company_List!$A$3:$A$207,0)),"unassigned"))</f>
        <v>P3</v>
      </c>
      <c r="AH269" t="s">
        <v>2044</v>
      </c>
      <c r="AJ269" t="s">
        <v>593</v>
      </c>
      <c r="AK269" t="str">
        <f>IF($A269="","",IF(COUNTIFS(Human_Data_Entry!$A$3:$A$525,$A269)&gt;0,"YES","NO"))</f>
        <v>YES</v>
      </c>
      <c r="AL269" t="str">
        <f>IF($A269="","",IF(AND($C269&amp;"-"&amp;$D269&gt;=Settings!$B$19,$C269&amp;"-"&amp;$D269&lt;=Settings!$B$20),"IN","OUT"))</f>
        <v>IN</v>
      </c>
      <c r="AM269" t="str">
        <f t="shared" si="16"/>
        <v/>
      </c>
      <c r="AN269" t="str">
        <f t="shared" si="17"/>
        <v/>
      </c>
      <c r="AO269" t="str">
        <f>IF(ISNUMBER($AM269),ABS(IF(ISNUMBER($G269),$G269,0)-Settings!$B$25),"")</f>
        <v/>
      </c>
      <c r="AP269" t="str">
        <f t="shared" si="18"/>
        <v/>
      </c>
      <c r="AQ269" t="str">
        <f>IF(ISNUMBER($AN269),ABS(IF(ISNUMBER($G269),$G269,0)-Settings!$B$25),"")</f>
        <v/>
      </c>
      <c r="AR269" t="str">
        <f t="shared" si="19"/>
        <v/>
      </c>
      <c r="AS269" t="str">
        <f>IF($A269="","",IFERROR(INDEX(Company_List!$H$3:$H$207,MATCH($A269,Company_List!$A$3:$A$207,0)),"unassigned"))</f>
        <v>Information Technology</v>
      </c>
      <c r="AT269" t="s">
        <v>1924</v>
      </c>
      <c r="AU269" t="s">
        <v>1925</v>
      </c>
      <c r="AV269">
        <v>4</v>
      </c>
      <c r="AW269" t="s">
        <v>1262</v>
      </c>
      <c r="AX269" t="s">
        <v>553</v>
      </c>
      <c r="AY269" t="s">
        <v>550</v>
      </c>
      <c r="AZ269" t="s">
        <v>550</v>
      </c>
      <c r="BA269" t="s">
        <v>554</v>
      </c>
    </row>
    <row r="270" spans="1:53" x14ac:dyDescent="0.2">
      <c r="A270" s="115" t="s">
        <v>1287</v>
      </c>
      <c r="B270" s="117" t="s">
        <v>2038</v>
      </c>
      <c r="C270" s="105">
        <v>2025</v>
      </c>
      <c r="D270" s="106" t="s">
        <v>569</v>
      </c>
      <c r="E270" s="109" t="s">
        <v>1911</v>
      </c>
      <c r="F270" s="106" t="s">
        <v>1912</v>
      </c>
      <c r="G270" s="128">
        <v>3.7499999999999999E-2</v>
      </c>
      <c r="H270" s="106" t="s">
        <v>1913</v>
      </c>
      <c r="I270" s="128"/>
      <c r="J270" s="123">
        <v>46077</v>
      </c>
      <c r="K270" s="126">
        <v>46077</v>
      </c>
      <c r="L270" s="129">
        <v>130.22999999999999</v>
      </c>
      <c r="M270" s="126">
        <v>46078</v>
      </c>
      <c r="N270" s="129">
        <v>119.56</v>
      </c>
      <c r="O270" s="133">
        <v>2.6431E-2</v>
      </c>
      <c r="P270" s="107">
        <v>-8.1931999999999991E-2</v>
      </c>
      <c r="Q270" s="106" t="s">
        <v>545</v>
      </c>
      <c r="R270" s="106" t="s">
        <v>546</v>
      </c>
      <c r="S270" s="105">
        <v>0</v>
      </c>
      <c r="T270" s="107">
        <v>0</v>
      </c>
      <c r="U270" s="130" t="s">
        <v>1914</v>
      </c>
      <c r="V270" t="s">
        <v>549</v>
      </c>
      <c r="W270" t="s">
        <v>1247</v>
      </c>
      <c r="X270" t="s">
        <v>2038</v>
      </c>
      <c r="Y270" t="s">
        <v>925</v>
      </c>
      <c r="Z270">
        <v>130.22999999999999</v>
      </c>
      <c r="AA270" t="s">
        <v>926</v>
      </c>
      <c r="AB270">
        <v>119.56</v>
      </c>
      <c r="AC270">
        <v>-8.1931953679857339E-2</v>
      </c>
      <c r="AD270" t="s">
        <v>545</v>
      </c>
      <c r="AE270" t="s">
        <v>546</v>
      </c>
      <c r="AF270">
        <v>0</v>
      </c>
      <c r="AG270" t="str">
        <f>IF($A270="","",IFERROR(INDEX(Company_List!$G$3:$G$207,MATCH($A270,Company_List!$A$3:$A$207,0)),"unassigned"))</f>
        <v>P3</v>
      </c>
      <c r="AH270" t="s">
        <v>1292</v>
      </c>
      <c r="AJ270" t="s">
        <v>593</v>
      </c>
      <c r="AK270" t="str">
        <f>IF($A270="","",IF(COUNTIFS(Human_Data_Entry!$A$3:$A$525,$A270)&gt;0,"YES","NO"))</f>
        <v>YES</v>
      </c>
      <c r="AL270" t="str">
        <f>IF($A270="","",IF(AND($C270&amp;"-"&amp;$D270&gt;=Settings!$B$19,$C270&amp;"-"&amp;$D270&lt;=Settings!$B$20),"IN","OUT"))</f>
        <v>IN</v>
      </c>
      <c r="AM270" t="str">
        <f t="shared" si="16"/>
        <v/>
      </c>
      <c r="AN270" t="str">
        <f t="shared" si="17"/>
        <v/>
      </c>
      <c r="AO270" t="str">
        <f>IF(ISNUMBER($AM270),ABS(IF(ISNUMBER($G270),$G270,0)-Settings!$B$25),"")</f>
        <v/>
      </c>
      <c r="AP270" t="str">
        <f t="shared" si="18"/>
        <v/>
      </c>
      <c r="AQ270" t="str">
        <f>IF(ISNUMBER($AN270),ABS(IF(ISNUMBER($G270),$G270,0)-Settings!$B$25),"")</f>
        <v/>
      </c>
      <c r="AR270" t="str">
        <f t="shared" si="19"/>
        <v/>
      </c>
      <c r="AS270" t="str">
        <f>IF($A270="","",IFERROR(INDEX(Company_List!$H$3:$H$207,MATCH($A270,Company_List!$A$3:$A$207,0)),"unassigned"))</f>
        <v>Information Technology</v>
      </c>
      <c r="AT270" t="s">
        <v>1924</v>
      </c>
      <c r="AU270" t="s">
        <v>1925</v>
      </c>
      <c r="AV270">
        <v>4</v>
      </c>
      <c r="AW270" t="s">
        <v>1262</v>
      </c>
      <c r="AX270" t="s">
        <v>553</v>
      </c>
      <c r="AY270" t="s">
        <v>550</v>
      </c>
      <c r="AZ270" t="s">
        <v>550</v>
      </c>
      <c r="BA270" t="s">
        <v>554</v>
      </c>
    </row>
    <row r="271" spans="1:53" x14ac:dyDescent="0.2">
      <c r="A271" s="1" t="s">
        <v>1726</v>
      </c>
      <c r="B271" s="120" t="s">
        <v>1730</v>
      </c>
      <c r="C271">
        <v>2023</v>
      </c>
      <c r="D271" t="s">
        <v>537</v>
      </c>
      <c r="E271" t="s">
        <v>2045</v>
      </c>
      <c r="F271" t="s">
        <v>1912</v>
      </c>
      <c r="H271" t="s">
        <v>1913</v>
      </c>
      <c r="J271" s="165">
        <v>45044</v>
      </c>
      <c r="K271" s="165">
        <v>45029</v>
      </c>
      <c r="L271">
        <v>103.8248</v>
      </c>
      <c r="M271" s="165">
        <v>45030</v>
      </c>
      <c r="N271">
        <v>103.9414</v>
      </c>
      <c r="O271">
        <v>8.8719999999999997E-3</v>
      </c>
      <c r="P271">
        <v>3.5000000000000001E-3</v>
      </c>
      <c r="V271" t="s">
        <v>1183</v>
      </c>
      <c r="AG271" t="str">
        <f>IF($A271="","",IFERROR(INDEX(Company_List!$G$3:$G$207,MATCH($A271,Company_List!$A$3:$A$207,0)),"unassigned"))</f>
        <v>P2</v>
      </c>
      <c r="AK271" t="str">
        <f>IF($A271="","",IF(COUNTIFS(Human_Data_Entry!$A$3:$A$525,$A271)&gt;0,"YES","NO"))</f>
        <v>YES</v>
      </c>
      <c r="AL271" t="str">
        <f>IF($A271="","",IF(AND($C271&amp;"-"&amp;$D271&gt;=Settings!$B$19,$C271&amp;"-"&amp;$D271&lt;=Settings!$B$20),"IN","OUT"))</f>
        <v>IN</v>
      </c>
      <c r="AM271" t="str">
        <f t="shared" si="16"/>
        <v/>
      </c>
      <c r="AN271" t="str">
        <f t="shared" si="17"/>
        <v/>
      </c>
      <c r="AO271" t="str">
        <f>IF(ISNUMBER($AM271),ABS(IF(ISNUMBER($G271),$G271,0)-Settings!$B$25),"")</f>
        <v/>
      </c>
      <c r="AP271" t="str">
        <f t="shared" si="18"/>
        <v/>
      </c>
      <c r="AQ271" t="str">
        <f>IF(ISNUMBER($AN271),ABS(IF(ISNUMBER($G271),$G271,0)-Settings!$B$25),"")</f>
        <v/>
      </c>
      <c r="AR271" t="str">
        <f t="shared" si="19"/>
        <v/>
      </c>
      <c r="AS271" t="str">
        <f>IF($A271="","",IFERROR(INDEX(Company_List!$H$3:$H$207,MATCH($A271,Company_List!$A$3:$A$207,0)),"unassigned"))</f>
        <v>Energy</v>
      </c>
    </row>
    <row r="272" spans="1:53" x14ac:dyDescent="0.2">
      <c r="A272" s="1" t="s">
        <v>1660</v>
      </c>
      <c r="B272" s="120" t="s">
        <v>1662</v>
      </c>
      <c r="C272">
        <v>2023</v>
      </c>
      <c r="D272" t="s">
        <v>537</v>
      </c>
      <c r="E272" t="s">
        <v>2045</v>
      </c>
      <c r="F272" t="s">
        <v>1912</v>
      </c>
      <c r="H272" t="s">
        <v>1913</v>
      </c>
      <c r="J272" s="165">
        <v>45055</v>
      </c>
      <c r="K272" s="165">
        <v>45040</v>
      </c>
      <c r="L272">
        <v>87.229299999999995</v>
      </c>
      <c r="M272" s="165">
        <v>45041</v>
      </c>
      <c r="N272">
        <v>87.326300000000003</v>
      </c>
      <c r="O272">
        <v>3.7910000000000001E-3</v>
      </c>
      <c r="P272">
        <v>7.9000000000000008E-3</v>
      </c>
      <c r="V272" t="s">
        <v>1183</v>
      </c>
      <c r="AG272" t="str">
        <f>IF($A272="","",IFERROR(INDEX(Company_List!$G$3:$G$207,MATCH($A272,Company_List!$A$3:$A$207,0)),"unassigned"))</f>
        <v>P2</v>
      </c>
      <c r="AK272" t="str">
        <f>IF($A272="","",IF(COUNTIFS(Human_Data_Entry!$A$3:$A$525,$A272)&gt;0,"YES","NO"))</f>
        <v>YES</v>
      </c>
      <c r="AL272" t="str">
        <f>IF($A272="","",IF(AND($C272&amp;"-"&amp;$D272&gt;=Settings!$B$19,$C272&amp;"-"&amp;$D272&lt;=Settings!$B$20),"IN","OUT"))</f>
        <v>IN</v>
      </c>
      <c r="AM272" t="str">
        <f t="shared" si="16"/>
        <v/>
      </c>
      <c r="AN272" t="str">
        <f t="shared" si="17"/>
        <v/>
      </c>
      <c r="AO272" t="str">
        <f>IF(ISNUMBER($AM272),ABS(IF(ISNUMBER($G272),$G272,0)-Settings!$B$25),"")</f>
        <v/>
      </c>
      <c r="AP272" t="str">
        <f t="shared" si="18"/>
        <v/>
      </c>
      <c r="AQ272" t="str">
        <f>IF(ISNUMBER($AN272),ABS(IF(ISNUMBER($G272),$G272,0)-Settings!$B$25),"")</f>
        <v/>
      </c>
      <c r="AR272" t="str">
        <f t="shared" si="19"/>
        <v/>
      </c>
      <c r="AS272" t="str">
        <f>IF($A272="","",IFERROR(INDEX(Company_List!$H$3:$H$207,MATCH($A272,Company_List!$A$3:$A$207,0)),"unassigned"))</f>
        <v>Utilities</v>
      </c>
    </row>
    <row r="273" spans="1:45" x14ac:dyDescent="0.2">
      <c r="A273" s="1" t="s">
        <v>1726</v>
      </c>
      <c r="B273" s="120" t="s">
        <v>1730</v>
      </c>
      <c r="C273">
        <v>2023</v>
      </c>
      <c r="D273" t="s">
        <v>555</v>
      </c>
      <c r="E273" t="s">
        <v>2045</v>
      </c>
      <c r="F273" t="s">
        <v>1912</v>
      </c>
      <c r="H273" t="s">
        <v>1913</v>
      </c>
      <c r="J273" s="165">
        <v>45135</v>
      </c>
      <c r="K273" s="165">
        <v>45120</v>
      </c>
      <c r="L273">
        <v>94.566999999999993</v>
      </c>
      <c r="M273" s="165">
        <v>45121</v>
      </c>
      <c r="N273">
        <v>94.123800000000003</v>
      </c>
      <c r="O273">
        <v>1.8707999999999999E-2</v>
      </c>
      <c r="P273">
        <v>-2.8999999999999998E-3</v>
      </c>
      <c r="V273" t="s">
        <v>1183</v>
      </c>
      <c r="AG273" t="str">
        <f>IF($A273="","",IFERROR(INDEX(Company_List!$G$3:$G$207,MATCH($A273,Company_List!$A$3:$A$207,0)),"unassigned"))</f>
        <v>P2</v>
      </c>
      <c r="AK273" t="str">
        <f>IF($A273="","",IF(COUNTIFS(Human_Data_Entry!$A$3:$A$525,$A273)&gt;0,"YES","NO"))</f>
        <v>YES</v>
      </c>
      <c r="AL273" t="str">
        <f>IF($A273="","",IF(AND($C273&amp;"-"&amp;$D273&gt;=Settings!$B$19,$C273&amp;"-"&amp;$D273&lt;=Settings!$B$20),"IN","OUT"))</f>
        <v>IN</v>
      </c>
      <c r="AM273" t="str">
        <f t="shared" si="16"/>
        <v/>
      </c>
      <c r="AN273" t="str">
        <f t="shared" si="17"/>
        <v/>
      </c>
      <c r="AO273" t="str">
        <f>IF(ISNUMBER($AM273),ABS(IF(ISNUMBER($G273),$G273,0)-Settings!$B$25),"")</f>
        <v/>
      </c>
      <c r="AP273" t="str">
        <f t="shared" si="18"/>
        <v/>
      </c>
      <c r="AQ273" t="str">
        <f>IF(ISNUMBER($AN273),ABS(IF(ISNUMBER($G273),$G273,0)-Settings!$B$25),"")</f>
        <v/>
      </c>
      <c r="AR273" t="str">
        <f t="shared" si="19"/>
        <v/>
      </c>
      <c r="AS273" t="str">
        <f>IF($A273="","",IFERROR(INDEX(Company_List!$H$3:$H$207,MATCH($A273,Company_List!$A$3:$A$207,0)),"unassigned"))</f>
        <v>Energy</v>
      </c>
    </row>
    <row r="274" spans="1:45" x14ac:dyDescent="0.2">
      <c r="A274" s="1" t="s">
        <v>1660</v>
      </c>
      <c r="B274" s="120" t="s">
        <v>1662</v>
      </c>
      <c r="C274">
        <v>2023</v>
      </c>
      <c r="D274" t="s">
        <v>555</v>
      </c>
      <c r="E274" t="s">
        <v>2045</v>
      </c>
      <c r="F274" t="s">
        <v>1912</v>
      </c>
      <c r="H274" t="s">
        <v>1923</v>
      </c>
      <c r="J274" s="165">
        <v>45146</v>
      </c>
      <c r="K274" s="165">
        <v>45131</v>
      </c>
      <c r="L274">
        <v>84.442599999999999</v>
      </c>
      <c r="M274" s="165">
        <v>45132</v>
      </c>
      <c r="N274">
        <v>84.255499999999998</v>
      </c>
      <c r="O274">
        <v>5.0559999999999997E-3</v>
      </c>
      <c r="P274">
        <v>-2.8E-3</v>
      </c>
      <c r="V274" t="s">
        <v>1183</v>
      </c>
      <c r="AG274" t="str">
        <f>IF($A274="","",IFERROR(INDEX(Company_List!$G$3:$G$207,MATCH($A274,Company_List!$A$3:$A$207,0)),"unassigned"))</f>
        <v>P2</v>
      </c>
      <c r="AK274" t="str">
        <f>IF($A274="","",IF(COUNTIFS(Human_Data_Entry!$A$3:$A$525,$A274)&gt;0,"YES","NO"))</f>
        <v>YES</v>
      </c>
      <c r="AL274" t="str">
        <f>IF($A274="","",IF(AND($C274&amp;"-"&amp;$D274&gt;=Settings!$B$19,$C274&amp;"-"&amp;$D274&lt;=Settings!$B$20),"IN","OUT"))</f>
        <v>IN</v>
      </c>
      <c r="AM274" t="str">
        <f t="shared" si="16"/>
        <v/>
      </c>
      <c r="AN274" t="str">
        <f t="shared" si="17"/>
        <v/>
      </c>
      <c r="AO274" t="str">
        <f>IF(ISNUMBER($AM274),ABS(IF(ISNUMBER($G274),$G274,0)-Settings!$B$25),"")</f>
        <v/>
      </c>
      <c r="AP274" t="str">
        <f t="shared" si="18"/>
        <v/>
      </c>
      <c r="AQ274" t="str">
        <f>IF(ISNUMBER($AN274),ABS(IF(ISNUMBER($G274),$G274,0)-Settings!$B$25),"")</f>
        <v/>
      </c>
      <c r="AR274" t="str">
        <f t="shared" si="19"/>
        <v/>
      </c>
      <c r="AS274" t="str">
        <f>IF($A274="","",IFERROR(INDEX(Company_List!$H$3:$H$207,MATCH($A274,Company_List!$A$3:$A$207,0)),"unassigned"))</f>
        <v>Utilities</v>
      </c>
    </row>
    <row r="275" spans="1:45" x14ac:dyDescent="0.2">
      <c r="A275" s="1" t="s">
        <v>1726</v>
      </c>
      <c r="B275" s="120" t="s">
        <v>1730</v>
      </c>
      <c r="C275">
        <v>2023</v>
      </c>
      <c r="D275" t="s">
        <v>563</v>
      </c>
      <c r="E275" t="s">
        <v>2045</v>
      </c>
      <c r="F275" t="s">
        <v>1912</v>
      </c>
      <c r="H275" t="s">
        <v>1913</v>
      </c>
      <c r="J275" s="165">
        <v>45226</v>
      </c>
      <c r="K275" s="165">
        <v>45211</v>
      </c>
      <c r="L275">
        <v>97.102400000000003</v>
      </c>
      <c r="M275" s="165">
        <v>45212</v>
      </c>
      <c r="N275">
        <v>98.525199999999998</v>
      </c>
      <c r="O275">
        <v>1.0597000000000001E-2</v>
      </c>
      <c r="P275">
        <v>1.2E-2</v>
      </c>
      <c r="V275" t="s">
        <v>1183</v>
      </c>
      <c r="AG275" t="str">
        <f>IF($A275="","",IFERROR(INDEX(Company_List!$G$3:$G$207,MATCH($A275,Company_List!$A$3:$A$207,0)),"unassigned"))</f>
        <v>P2</v>
      </c>
      <c r="AK275" t="str">
        <f>IF($A275="","",IF(COUNTIFS(Human_Data_Entry!$A$3:$A$525,$A275)&gt;0,"YES","NO"))</f>
        <v>YES</v>
      </c>
      <c r="AL275" t="str">
        <f>IF($A275="","",IF(AND($C275&amp;"-"&amp;$D275&gt;=Settings!$B$19,$C275&amp;"-"&amp;$D275&lt;=Settings!$B$20),"IN","OUT"))</f>
        <v>IN</v>
      </c>
      <c r="AM275" t="str">
        <f t="shared" si="16"/>
        <v/>
      </c>
      <c r="AN275" t="str">
        <f t="shared" si="17"/>
        <v/>
      </c>
      <c r="AO275" t="str">
        <f>IF(ISNUMBER($AM275),ABS(IF(ISNUMBER($G275),$G275,0)-Settings!$B$25),"")</f>
        <v/>
      </c>
      <c r="AP275" t="str">
        <f t="shared" si="18"/>
        <v/>
      </c>
      <c r="AQ275" t="str">
        <f>IF(ISNUMBER($AN275),ABS(IF(ISNUMBER($G275),$G275,0)-Settings!$B$25),"")</f>
        <v/>
      </c>
      <c r="AR275" t="str">
        <f t="shared" si="19"/>
        <v/>
      </c>
      <c r="AS275" t="str">
        <f>IF($A275="","",IFERROR(INDEX(Company_List!$H$3:$H$207,MATCH($A275,Company_List!$A$3:$A$207,0)),"unassigned"))</f>
        <v>Energy</v>
      </c>
    </row>
    <row r="276" spans="1:45" x14ac:dyDescent="0.2">
      <c r="A276" s="1" t="s">
        <v>1660</v>
      </c>
      <c r="B276" s="120" t="s">
        <v>1662</v>
      </c>
      <c r="C276">
        <v>2023</v>
      </c>
      <c r="D276" t="s">
        <v>563</v>
      </c>
      <c r="E276" t="s">
        <v>2045</v>
      </c>
      <c r="F276" t="s">
        <v>1912</v>
      </c>
      <c r="H276" t="s">
        <v>1913</v>
      </c>
      <c r="J276" s="165">
        <v>45232</v>
      </c>
      <c r="K276" s="165">
        <v>45217</v>
      </c>
      <c r="L276">
        <v>79.468000000000004</v>
      </c>
      <c r="M276" s="165">
        <v>45218</v>
      </c>
      <c r="N276">
        <v>79.224699999999999</v>
      </c>
      <c r="O276">
        <v>4.9030000000000002E-3</v>
      </c>
      <c r="P276">
        <v>1.41E-2</v>
      </c>
      <c r="V276" t="s">
        <v>1183</v>
      </c>
      <c r="AG276" t="str">
        <f>IF($A276="","",IFERROR(INDEX(Company_List!$G$3:$G$207,MATCH($A276,Company_List!$A$3:$A$207,0)),"unassigned"))</f>
        <v>P2</v>
      </c>
      <c r="AK276" t="str">
        <f>IF($A276="","",IF(COUNTIFS(Human_Data_Entry!$A$3:$A$525,$A276)&gt;0,"YES","NO"))</f>
        <v>YES</v>
      </c>
      <c r="AL276" t="str">
        <f>IF($A276="","",IF(AND($C276&amp;"-"&amp;$D276&gt;=Settings!$B$19,$C276&amp;"-"&amp;$D276&lt;=Settings!$B$20),"IN","OUT"))</f>
        <v>IN</v>
      </c>
      <c r="AM276" t="str">
        <f t="shared" si="16"/>
        <v/>
      </c>
      <c r="AN276" t="str">
        <f t="shared" si="17"/>
        <v/>
      </c>
      <c r="AO276" t="str">
        <f>IF(ISNUMBER($AM276),ABS(IF(ISNUMBER($G276),$G276,0)-Settings!$B$25),"")</f>
        <v/>
      </c>
      <c r="AP276" t="str">
        <f t="shared" si="18"/>
        <v/>
      </c>
      <c r="AQ276" t="str">
        <f>IF(ISNUMBER($AN276),ABS(IF(ISNUMBER($G276),$G276,0)-Settings!$B$25),"")</f>
        <v/>
      </c>
      <c r="AR276" t="str">
        <f t="shared" si="19"/>
        <v/>
      </c>
      <c r="AS276" t="str">
        <f>IF($A276="","",IFERROR(INDEX(Company_List!$H$3:$H$207,MATCH($A276,Company_List!$A$3:$A$207,0)),"unassigned"))</f>
        <v>Utilities</v>
      </c>
    </row>
    <row r="277" spans="1:45" x14ac:dyDescent="0.2">
      <c r="A277" s="1" t="s">
        <v>1726</v>
      </c>
      <c r="B277" s="120" t="s">
        <v>1730</v>
      </c>
      <c r="C277">
        <v>2023</v>
      </c>
      <c r="D277" t="s">
        <v>569</v>
      </c>
      <c r="E277" t="s">
        <v>2045</v>
      </c>
      <c r="F277" t="s">
        <v>1912</v>
      </c>
      <c r="H277" t="s">
        <v>1913</v>
      </c>
      <c r="J277" s="165">
        <v>45324</v>
      </c>
      <c r="K277" s="165">
        <v>45309</v>
      </c>
      <c r="L277">
        <v>89.090500000000006</v>
      </c>
      <c r="M277" s="165">
        <v>45310</v>
      </c>
      <c r="N277">
        <v>89.016900000000007</v>
      </c>
      <c r="O277">
        <v>1.4822999999999999E-2</v>
      </c>
      <c r="P277">
        <v>1.3299999999999999E-2</v>
      </c>
      <c r="V277" t="s">
        <v>1183</v>
      </c>
      <c r="AG277" t="str">
        <f>IF($A277="","",IFERROR(INDEX(Company_List!$G$3:$G$207,MATCH($A277,Company_List!$A$3:$A$207,0)),"unassigned"))</f>
        <v>P2</v>
      </c>
      <c r="AK277" t="str">
        <f>IF($A277="","",IF(COUNTIFS(Human_Data_Entry!$A$3:$A$525,$A277)&gt;0,"YES","NO"))</f>
        <v>YES</v>
      </c>
      <c r="AL277" t="str">
        <f>IF($A277="","",IF(AND($C277&amp;"-"&amp;$D277&gt;=Settings!$B$19,$C277&amp;"-"&amp;$D277&lt;=Settings!$B$20),"IN","OUT"))</f>
        <v>IN</v>
      </c>
      <c r="AM277" t="str">
        <f t="shared" si="16"/>
        <v/>
      </c>
      <c r="AN277" t="str">
        <f t="shared" si="17"/>
        <v/>
      </c>
      <c r="AO277" t="str">
        <f>IF(ISNUMBER($AM277),ABS(IF(ISNUMBER($G277),$G277,0)-Settings!$B$25),"")</f>
        <v/>
      </c>
      <c r="AP277" t="str">
        <f t="shared" si="18"/>
        <v/>
      </c>
      <c r="AQ277" t="str">
        <f>IF(ISNUMBER($AN277),ABS(IF(ISNUMBER($G277),$G277,0)-Settings!$B$25),"")</f>
        <v/>
      </c>
      <c r="AR277" t="str">
        <f t="shared" si="19"/>
        <v/>
      </c>
      <c r="AS277" t="str">
        <f>IF($A277="","",IFERROR(INDEX(Company_List!$H$3:$H$207,MATCH($A277,Company_List!$A$3:$A$207,0)),"unassigned"))</f>
        <v>Energy</v>
      </c>
    </row>
    <row r="278" spans="1:45" x14ac:dyDescent="0.2">
      <c r="A278" s="1" t="s">
        <v>1660</v>
      </c>
      <c r="B278" s="120" t="s">
        <v>1662</v>
      </c>
      <c r="C278">
        <v>2023</v>
      </c>
      <c r="D278" t="s">
        <v>569</v>
      </c>
      <c r="E278" t="s">
        <v>2045</v>
      </c>
      <c r="F278" t="s">
        <v>1912</v>
      </c>
      <c r="H278" t="s">
        <v>1919</v>
      </c>
      <c r="J278" s="165">
        <v>45330</v>
      </c>
      <c r="K278" s="165">
        <v>45315</v>
      </c>
      <c r="L278">
        <v>86.175700000000006</v>
      </c>
      <c r="M278" s="165">
        <v>45316</v>
      </c>
      <c r="N278">
        <v>87.096299999999999</v>
      </c>
      <c r="O278">
        <v>4.5019999999999999E-3</v>
      </c>
      <c r="P278">
        <v>-4.1000000000000003E-3</v>
      </c>
      <c r="V278" t="s">
        <v>1183</v>
      </c>
      <c r="AG278" t="str">
        <f>IF($A278="","",IFERROR(INDEX(Company_List!$G$3:$G$207,MATCH($A278,Company_List!$A$3:$A$207,0)),"unassigned"))</f>
        <v>P2</v>
      </c>
      <c r="AK278" t="str">
        <f>IF($A278="","",IF(COUNTIFS(Human_Data_Entry!$A$3:$A$525,$A278)&gt;0,"YES","NO"))</f>
        <v>YES</v>
      </c>
      <c r="AL278" t="str">
        <f>IF($A278="","",IF(AND($C278&amp;"-"&amp;$D278&gt;=Settings!$B$19,$C278&amp;"-"&amp;$D278&lt;=Settings!$B$20),"IN","OUT"))</f>
        <v>IN</v>
      </c>
      <c r="AM278" t="str">
        <f t="shared" si="16"/>
        <v/>
      </c>
      <c r="AN278" t="str">
        <f t="shared" si="17"/>
        <v/>
      </c>
      <c r="AO278" t="str">
        <f>IF(ISNUMBER($AM278),ABS(IF(ISNUMBER($G278),$G278,0)-Settings!$B$25),"")</f>
        <v/>
      </c>
      <c r="AP278" t="str">
        <f t="shared" si="18"/>
        <v/>
      </c>
      <c r="AQ278" t="str">
        <f>IF(ISNUMBER($AN278),ABS(IF(ISNUMBER($G278),$G278,0)-Settings!$B$25),"")</f>
        <v/>
      </c>
      <c r="AR278" t="str">
        <f t="shared" si="19"/>
        <v/>
      </c>
      <c r="AS278" t="str">
        <f>IF($A278="","",IFERROR(INDEX(Company_List!$H$3:$H$207,MATCH($A278,Company_List!$A$3:$A$207,0)),"unassigned"))</f>
        <v>Utilities</v>
      </c>
    </row>
    <row r="279" spans="1:45" x14ac:dyDescent="0.2">
      <c r="A279" s="1" t="s">
        <v>1216</v>
      </c>
      <c r="B279" s="120" t="s">
        <v>1219</v>
      </c>
      <c r="C279">
        <v>2024</v>
      </c>
      <c r="D279" t="s">
        <v>537</v>
      </c>
      <c r="E279" t="s">
        <v>2045</v>
      </c>
      <c r="F279" t="s">
        <v>1912</v>
      </c>
      <c r="H279" t="s">
        <v>1913</v>
      </c>
      <c r="J279" s="165">
        <v>45352</v>
      </c>
      <c r="K279" s="165">
        <v>45337</v>
      </c>
      <c r="L279">
        <v>83.901899999999998</v>
      </c>
      <c r="M279" s="165">
        <v>45338</v>
      </c>
      <c r="N279">
        <v>83.8262</v>
      </c>
      <c r="O279">
        <v>4.6820000000000004E-3</v>
      </c>
      <c r="P279">
        <v>4.8999999999999998E-3</v>
      </c>
      <c r="V279" t="s">
        <v>1183</v>
      </c>
      <c r="AG279" t="str">
        <f>IF($A279="","",IFERROR(INDEX(Company_List!$G$3:$G$207,MATCH($A279,Company_List!$A$3:$A$207,0)),"unassigned"))</f>
        <v>P3</v>
      </c>
      <c r="AK279" t="str">
        <f>IF($A279="","",IF(COUNTIFS(Human_Data_Entry!$A$3:$A$525,$A279)&gt;0,"YES","NO"))</f>
        <v>YES</v>
      </c>
      <c r="AL279" t="str">
        <f>IF($A279="","",IF(AND($C279&amp;"-"&amp;$D279&gt;=Settings!$B$19,$C279&amp;"-"&amp;$D279&lt;=Settings!$B$20),"IN","OUT"))</f>
        <v>IN</v>
      </c>
      <c r="AM279" t="str">
        <f t="shared" si="16"/>
        <v/>
      </c>
      <c r="AN279" t="str">
        <f t="shared" si="17"/>
        <v/>
      </c>
      <c r="AO279" t="str">
        <f>IF(ISNUMBER($AM279),ABS(IF(ISNUMBER($G279),$G279,0)-Settings!$B$25),"")</f>
        <v/>
      </c>
      <c r="AP279" t="str">
        <f t="shared" si="18"/>
        <v/>
      </c>
      <c r="AQ279" t="str">
        <f>IF(ISNUMBER($AN279),ABS(IF(ISNUMBER($G279),$G279,0)-Settings!$B$25),"")</f>
        <v/>
      </c>
      <c r="AR279" t="str">
        <f t="shared" si="19"/>
        <v/>
      </c>
      <c r="AS279" t="str">
        <f>IF($A279="","",IFERROR(INDEX(Company_List!$H$3:$H$207,MATCH($A279,Company_List!$A$3:$A$207,0)),"unassigned"))</f>
        <v>Consumer Staples</v>
      </c>
    </row>
    <row r="280" spans="1:45" x14ac:dyDescent="0.2">
      <c r="A280" s="1" t="s">
        <v>1726</v>
      </c>
      <c r="B280" s="120" t="s">
        <v>1730</v>
      </c>
      <c r="C280">
        <v>2024</v>
      </c>
      <c r="D280" t="s">
        <v>537</v>
      </c>
      <c r="E280" t="s">
        <v>2045</v>
      </c>
      <c r="F280" t="s">
        <v>1912</v>
      </c>
      <c r="H280" t="s">
        <v>1913</v>
      </c>
      <c r="J280" s="165">
        <v>45408</v>
      </c>
      <c r="K280" s="165">
        <v>45393</v>
      </c>
      <c r="L280">
        <v>113.13200000000001</v>
      </c>
      <c r="M280" s="165">
        <v>45394</v>
      </c>
      <c r="N280">
        <v>114.20950000000001</v>
      </c>
      <c r="O280">
        <v>9.9439999999999997E-3</v>
      </c>
      <c r="P280">
        <v>-1.9199999999999998E-2</v>
      </c>
      <c r="V280" t="s">
        <v>1183</v>
      </c>
      <c r="AG280" t="str">
        <f>IF($A280="","",IFERROR(INDEX(Company_List!$G$3:$G$207,MATCH($A280,Company_List!$A$3:$A$207,0)),"unassigned"))</f>
        <v>P2</v>
      </c>
      <c r="AK280" t="str">
        <f>IF($A280="","",IF(COUNTIFS(Human_Data_Entry!$A$3:$A$525,$A280)&gt;0,"YES","NO"))</f>
        <v>YES</v>
      </c>
      <c r="AL280" t="str">
        <f>IF($A280="","",IF(AND($C280&amp;"-"&amp;$D280&gt;=Settings!$B$19,$C280&amp;"-"&amp;$D280&lt;=Settings!$B$20),"IN","OUT"))</f>
        <v>IN</v>
      </c>
      <c r="AM280" t="str">
        <f t="shared" si="16"/>
        <v/>
      </c>
      <c r="AN280" t="str">
        <f t="shared" si="17"/>
        <v/>
      </c>
      <c r="AO280" t="str">
        <f>IF(ISNUMBER($AM280),ABS(IF(ISNUMBER($G280),$G280,0)-Settings!$B$25),"")</f>
        <v/>
      </c>
      <c r="AP280" t="str">
        <f t="shared" si="18"/>
        <v/>
      </c>
      <c r="AQ280" t="str">
        <f>IF(ISNUMBER($AN280),ABS(IF(ISNUMBER($G280),$G280,0)-Settings!$B$25),"")</f>
        <v/>
      </c>
      <c r="AR280" t="str">
        <f t="shared" si="19"/>
        <v/>
      </c>
      <c r="AS280" t="str">
        <f>IF($A280="","",IFERROR(INDEX(Company_List!$H$3:$H$207,MATCH($A280,Company_List!$A$3:$A$207,0)),"unassigned"))</f>
        <v>Energy</v>
      </c>
    </row>
    <row r="281" spans="1:45" x14ac:dyDescent="0.2">
      <c r="A281" s="1" t="s">
        <v>1660</v>
      </c>
      <c r="B281" s="120" t="s">
        <v>1662</v>
      </c>
      <c r="C281">
        <v>2024</v>
      </c>
      <c r="D281" t="s">
        <v>537</v>
      </c>
      <c r="E281" t="s">
        <v>2045</v>
      </c>
      <c r="F281" t="s">
        <v>1912</v>
      </c>
      <c r="H281" t="s">
        <v>1913</v>
      </c>
      <c r="J281" s="165">
        <v>45419</v>
      </c>
      <c r="K281" s="165">
        <v>45404</v>
      </c>
      <c r="L281">
        <v>90.453999999999994</v>
      </c>
      <c r="M281" s="165">
        <v>45405</v>
      </c>
      <c r="N281">
        <v>90.444800000000001</v>
      </c>
      <c r="O281">
        <v>5.3249999999999999E-3</v>
      </c>
      <c r="P281">
        <v>1.6999999999999999E-3</v>
      </c>
      <c r="V281" t="s">
        <v>1183</v>
      </c>
      <c r="AG281" t="str">
        <f>IF($A281="","",IFERROR(INDEX(Company_List!$G$3:$G$207,MATCH($A281,Company_List!$A$3:$A$207,0)),"unassigned"))</f>
        <v>P2</v>
      </c>
      <c r="AK281" t="str">
        <f>IF($A281="","",IF(COUNTIFS(Human_Data_Entry!$A$3:$A$525,$A281)&gt;0,"YES","NO"))</f>
        <v>YES</v>
      </c>
      <c r="AL281" t="str">
        <f>IF($A281="","",IF(AND($C281&amp;"-"&amp;$D281&gt;=Settings!$B$19,$C281&amp;"-"&amp;$D281&lt;=Settings!$B$20),"IN","OUT"))</f>
        <v>IN</v>
      </c>
      <c r="AM281" t="str">
        <f t="shared" si="16"/>
        <v/>
      </c>
      <c r="AN281" t="str">
        <f t="shared" si="17"/>
        <v/>
      </c>
      <c r="AO281" t="str">
        <f>IF(ISNUMBER($AM281),ABS(IF(ISNUMBER($G281),$G281,0)-Settings!$B$25),"")</f>
        <v/>
      </c>
      <c r="AP281" t="str">
        <f t="shared" si="18"/>
        <v/>
      </c>
      <c r="AQ281" t="str">
        <f>IF(ISNUMBER($AN281),ABS(IF(ISNUMBER($G281),$G281,0)-Settings!$B$25),"")</f>
        <v/>
      </c>
      <c r="AR281" t="str">
        <f t="shared" si="19"/>
        <v/>
      </c>
      <c r="AS281" t="str">
        <f>IF($A281="","",IFERROR(INDEX(Company_List!$H$3:$H$207,MATCH($A281,Company_List!$A$3:$A$207,0)),"unassigned"))</f>
        <v>Utilities</v>
      </c>
    </row>
    <row r="282" spans="1:45" x14ac:dyDescent="0.2">
      <c r="A282" s="1" t="s">
        <v>1216</v>
      </c>
      <c r="B282" s="120" t="s">
        <v>1219</v>
      </c>
      <c r="C282">
        <v>2024</v>
      </c>
      <c r="D282" t="s">
        <v>555</v>
      </c>
      <c r="E282" t="s">
        <v>2045</v>
      </c>
      <c r="F282" t="s">
        <v>1912</v>
      </c>
      <c r="H282" t="s">
        <v>1913</v>
      </c>
      <c r="J282" s="165">
        <v>45474</v>
      </c>
      <c r="K282" s="165">
        <v>45460</v>
      </c>
      <c r="L282">
        <v>89.884600000000006</v>
      </c>
      <c r="M282" s="165">
        <v>45461</v>
      </c>
      <c r="N282">
        <v>89.597300000000004</v>
      </c>
      <c r="O282">
        <v>1.1377999999999999E-2</v>
      </c>
      <c r="P282">
        <v>5.5999999999999999E-3</v>
      </c>
      <c r="V282" t="s">
        <v>1183</v>
      </c>
      <c r="AG282" t="str">
        <f>IF($A282="","",IFERROR(INDEX(Company_List!$G$3:$G$207,MATCH($A282,Company_List!$A$3:$A$207,0)),"unassigned"))</f>
        <v>P3</v>
      </c>
      <c r="AK282" t="str">
        <f>IF($A282="","",IF(COUNTIFS(Human_Data_Entry!$A$3:$A$525,$A282)&gt;0,"YES","NO"))</f>
        <v>YES</v>
      </c>
      <c r="AL282" t="str">
        <f>IF($A282="","",IF(AND($C282&amp;"-"&amp;$D282&gt;=Settings!$B$19,$C282&amp;"-"&amp;$D282&lt;=Settings!$B$20),"IN","OUT"))</f>
        <v>IN</v>
      </c>
      <c r="AM282" t="str">
        <f t="shared" si="16"/>
        <v/>
      </c>
      <c r="AN282" t="str">
        <f t="shared" si="17"/>
        <v/>
      </c>
      <c r="AO282" t="str">
        <f>IF(ISNUMBER($AM282),ABS(IF(ISNUMBER($G282),$G282,0)-Settings!$B$25),"")</f>
        <v/>
      </c>
      <c r="AP282" t="str">
        <f t="shared" si="18"/>
        <v/>
      </c>
      <c r="AQ282" t="str">
        <f>IF(ISNUMBER($AN282),ABS(IF(ISNUMBER($G282),$G282,0)-Settings!$B$25),"")</f>
        <v/>
      </c>
      <c r="AR282" t="str">
        <f t="shared" si="19"/>
        <v/>
      </c>
      <c r="AS282" t="str">
        <f>IF($A282="","",IFERROR(INDEX(Company_List!$H$3:$H$207,MATCH($A282,Company_List!$A$3:$A$207,0)),"unassigned"))</f>
        <v>Consumer Staples</v>
      </c>
    </row>
    <row r="283" spans="1:45" x14ac:dyDescent="0.2">
      <c r="A283" s="1" t="s">
        <v>1726</v>
      </c>
      <c r="B283" s="120" t="s">
        <v>1730</v>
      </c>
      <c r="C283">
        <v>2024</v>
      </c>
      <c r="D283" t="s">
        <v>555</v>
      </c>
      <c r="E283" t="s">
        <v>2045</v>
      </c>
      <c r="F283" t="s">
        <v>1912</v>
      </c>
      <c r="H283" t="s">
        <v>1913</v>
      </c>
      <c r="J283" s="165">
        <v>45506</v>
      </c>
      <c r="K283" s="165">
        <v>45491</v>
      </c>
      <c r="L283">
        <v>111.2509</v>
      </c>
      <c r="M283" s="165">
        <v>45492</v>
      </c>
      <c r="N283">
        <v>111.05419999999999</v>
      </c>
      <c r="O283">
        <v>1.0546E-2</v>
      </c>
      <c r="P283">
        <v>-8.3999999999999995E-3</v>
      </c>
      <c r="V283" t="s">
        <v>1183</v>
      </c>
      <c r="AG283" t="str">
        <f>IF($A283="","",IFERROR(INDEX(Company_List!$G$3:$G$207,MATCH($A283,Company_List!$A$3:$A$207,0)),"unassigned"))</f>
        <v>P2</v>
      </c>
      <c r="AK283" t="str">
        <f>IF($A283="","",IF(COUNTIFS(Human_Data_Entry!$A$3:$A$525,$A283)&gt;0,"YES","NO"))</f>
        <v>YES</v>
      </c>
      <c r="AL283" t="str">
        <f>IF($A283="","",IF(AND($C283&amp;"-"&amp;$D283&gt;=Settings!$B$19,$C283&amp;"-"&amp;$D283&lt;=Settings!$B$20),"IN","OUT"))</f>
        <v>IN</v>
      </c>
      <c r="AM283" t="str">
        <f t="shared" si="16"/>
        <v/>
      </c>
      <c r="AN283" t="str">
        <f t="shared" si="17"/>
        <v/>
      </c>
      <c r="AO283" t="str">
        <f>IF(ISNUMBER($AM283),ABS(IF(ISNUMBER($G283),$G283,0)-Settings!$B$25),"")</f>
        <v/>
      </c>
      <c r="AP283" t="str">
        <f t="shared" si="18"/>
        <v/>
      </c>
      <c r="AQ283" t="str">
        <f>IF(ISNUMBER($AN283),ABS(IF(ISNUMBER($G283),$G283,0)-Settings!$B$25),"")</f>
        <v/>
      </c>
      <c r="AR283" t="str">
        <f t="shared" si="19"/>
        <v/>
      </c>
      <c r="AS283" t="str">
        <f>IF($A283="","",IFERROR(INDEX(Company_List!$H$3:$H$207,MATCH($A283,Company_List!$A$3:$A$207,0)),"unassigned"))</f>
        <v>Energy</v>
      </c>
    </row>
    <row r="284" spans="1:45" x14ac:dyDescent="0.2">
      <c r="A284" s="1" t="s">
        <v>1660</v>
      </c>
      <c r="B284" s="120" t="s">
        <v>1662</v>
      </c>
      <c r="C284">
        <v>2024</v>
      </c>
      <c r="D284" t="s">
        <v>555</v>
      </c>
      <c r="E284" t="s">
        <v>2045</v>
      </c>
      <c r="F284" t="s">
        <v>1912</v>
      </c>
      <c r="H284" t="s">
        <v>1913</v>
      </c>
      <c r="J284" s="165">
        <v>45510</v>
      </c>
      <c r="K284" s="165">
        <v>45495</v>
      </c>
      <c r="L284">
        <v>100.1311</v>
      </c>
      <c r="M284" s="165">
        <v>45496</v>
      </c>
      <c r="N284">
        <v>100.0752</v>
      </c>
      <c r="O284">
        <v>1.0959999999999999E-2</v>
      </c>
      <c r="P284">
        <v>2.7000000000000001E-3</v>
      </c>
      <c r="V284" t="s">
        <v>1183</v>
      </c>
      <c r="AG284" t="str">
        <f>IF($A284="","",IFERROR(INDEX(Company_List!$G$3:$G$207,MATCH($A284,Company_List!$A$3:$A$207,0)),"unassigned"))</f>
        <v>P2</v>
      </c>
      <c r="AK284" t="str">
        <f>IF($A284="","",IF(COUNTIFS(Human_Data_Entry!$A$3:$A$525,$A284)&gt;0,"YES","NO"))</f>
        <v>YES</v>
      </c>
      <c r="AL284" t="str">
        <f>IF($A284="","",IF(AND($C284&amp;"-"&amp;$D284&gt;=Settings!$B$19,$C284&amp;"-"&amp;$D284&lt;=Settings!$B$20),"IN","OUT"))</f>
        <v>IN</v>
      </c>
      <c r="AM284" t="str">
        <f t="shared" si="16"/>
        <v/>
      </c>
      <c r="AN284" t="str">
        <f t="shared" si="17"/>
        <v/>
      </c>
      <c r="AO284" t="str">
        <f>IF(ISNUMBER($AM284),ABS(IF(ISNUMBER($G284),$G284,0)-Settings!$B$25),"")</f>
        <v/>
      </c>
      <c r="AP284" t="str">
        <f t="shared" si="18"/>
        <v/>
      </c>
      <c r="AQ284" t="str">
        <f>IF(ISNUMBER($AN284),ABS(IF(ISNUMBER($G284),$G284,0)-Settings!$B$25),"")</f>
        <v/>
      </c>
      <c r="AR284" t="str">
        <f t="shared" si="19"/>
        <v/>
      </c>
      <c r="AS284" t="str">
        <f>IF($A284="","",IFERROR(INDEX(Company_List!$H$3:$H$207,MATCH($A284,Company_List!$A$3:$A$207,0)),"unassigned"))</f>
        <v>Utilities</v>
      </c>
    </row>
    <row r="285" spans="1:45" x14ac:dyDescent="0.2">
      <c r="A285" s="1" t="s">
        <v>1216</v>
      </c>
      <c r="B285" s="120" t="s">
        <v>1219</v>
      </c>
      <c r="C285">
        <v>2024</v>
      </c>
      <c r="D285" t="s">
        <v>563</v>
      </c>
      <c r="E285" t="s">
        <v>2045</v>
      </c>
      <c r="F285" t="s">
        <v>1912</v>
      </c>
      <c r="H285" t="s">
        <v>1913</v>
      </c>
      <c r="J285" s="165">
        <v>45566</v>
      </c>
      <c r="K285" s="165">
        <v>45551</v>
      </c>
      <c r="L285">
        <v>79.137900000000002</v>
      </c>
      <c r="M285" s="165">
        <v>45552</v>
      </c>
      <c r="N285">
        <v>79.446899999999999</v>
      </c>
      <c r="O285">
        <v>5.3429999999999997E-3</v>
      </c>
      <c r="P285">
        <v>5.0000000000000001E-4</v>
      </c>
      <c r="V285" t="s">
        <v>1183</v>
      </c>
      <c r="AG285" t="str">
        <f>IF($A285="","",IFERROR(INDEX(Company_List!$G$3:$G$207,MATCH($A285,Company_List!$A$3:$A$207,0)),"unassigned"))</f>
        <v>P3</v>
      </c>
      <c r="AK285" t="str">
        <f>IF($A285="","",IF(COUNTIFS(Human_Data_Entry!$A$3:$A$525,$A285)&gt;0,"YES","NO"))</f>
        <v>YES</v>
      </c>
      <c r="AL285" t="str">
        <f>IF($A285="","",IF(AND($C285&amp;"-"&amp;$D285&gt;=Settings!$B$19,$C285&amp;"-"&amp;$D285&lt;=Settings!$B$20),"IN","OUT"))</f>
        <v>IN</v>
      </c>
      <c r="AM285" t="str">
        <f t="shared" si="16"/>
        <v/>
      </c>
      <c r="AN285" t="str">
        <f t="shared" si="17"/>
        <v/>
      </c>
      <c r="AO285" t="str">
        <f>IF(ISNUMBER($AM285),ABS(IF(ISNUMBER($G285),$G285,0)-Settings!$B$25),"")</f>
        <v/>
      </c>
      <c r="AP285" t="str">
        <f t="shared" si="18"/>
        <v/>
      </c>
      <c r="AQ285" t="str">
        <f>IF(ISNUMBER($AN285),ABS(IF(ISNUMBER($G285),$G285,0)-Settings!$B$25),"")</f>
        <v/>
      </c>
      <c r="AR285" t="str">
        <f t="shared" si="19"/>
        <v/>
      </c>
      <c r="AS285" t="str">
        <f>IF($A285="","",IFERROR(INDEX(Company_List!$H$3:$H$207,MATCH($A285,Company_List!$A$3:$A$207,0)),"unassigned"))</f>
        <v>Consumer Staples</v>
      </c>
    </row>
    <row r="286" spans="1:45" x14ac:dyDescent="0.2">
      <c r="A286" s="1" t="s">
        <v>1421</v>
      </c>
      <c r="B286" s="120" t="s">
        <v>2046</v>
      </c>
      <c r="C286">
        <v>2024</v>
      </c>
      <c r="D286" t="s">
        <v>563</v>
      </c>
      <c r="E286" t="s">
        <v>2045</v>
      </c>
      <c r="F286" t="s">
        <v>1912</v>
      </c>
      <c r="H286" t="s">
        <v>1923</v>
      </c>
      <c r="J286" s="165">
        <v>45566</v>
      </c>
      <c r="K286" s="165">
        <v>45551</v>
      </c>
      <c r="L286">
        <v>95.646600000000007</v>
      </c>
      <c r="M286" s="165">
        <v>45552</v>
      </c>
      <c r="N286">
        <v>95.544300000000007</v>
      </c>
      <c r="O286">
        <v>7.0829999999999999E-3</v>
      </c>
      <c r="P286">
        <v>-3.5999999999999999E-3</v>
      </c>
      <c r="V286" t="s">
        <v>1183</v>
      </c>
      <c r="AG286" t="str">
        <f>IF($A286="","",IFERROR(INDEX(Company_List!$G$3:$G$207,MATCH($A286,Company_List!$A$3:$A$207,0)),"unassigned"))</f>
        <v>unassigned</v>
      </c>
      <c r="AK286" t="str">
        <f>IF($A286="","",IF(COUNTIFS(Human_Data_Entry!$A$3:$A$525,$A286)&gt;0,"YES","NO"))</f>
        <v>YES</v>
      </c>
      <c r="AL286" t="str">
        <f>IF($A286="","",IF(AND($C286&amp;"-"&amp;$D286&gt;=Settings!$B$19,$C286&amp;"-"&amp;$D286&lt;=Settings!$B$20),"IN","OUT"))</f>
        <v>IN</v>
      </c>
      <c r="AM286" t="str">
        <f t="shared" si="16"/>
        <v/>
      </c>
      <c r="AN286" t="str">
        <f t="shared" si="17"/>
        <v/>
      </c>
      <c r="AO286" t="str">
        <f>IF(ISNUMBER($AM286),ABS(IF(ISNUMBER($G286),$G286,0)-Settings!$B$25),"")</f>
        <v/>
      </c>
      <c r="AP286" t="str">
        <f t="shared" si="18"/>
        <v/>
      </c>
      <c r="AQ286" t="str">
        <f>IF(ISNUMBER($AN286),ABS(IF(ISNUMBER($G286),$G286,0)-Settings!$B$25),"")</f>
        <v/>
      </c>
      <c r="AR286" t="str">
        <f t="shared" si="19"/>
        <v/>
      </c>
      <c r="AS286" t="str">
        <f>IF($A286="","",IFERROR(INDEX(Company_List!$H$3:$H$207,MATCH($A286,Company_List!$A$3:$A$207,0)),"unassigned"))</f>
        <v>unassigned</v>
      </c>
    </row>
    <row r="287" spans="1:45" x14ac:dyDescent="0.2">
      <c r="A287" s="1" t="s">
        <v>1726</v>
      </c>
      <c r="B287" s="120" t="s">
        <v>1730</v>
      </c>
      <c r="C287">
        <v>2024</v>
      </c>
      <c r="D287" t="s">
        <v>563</v>
      </c>
      <c r="E287" t="s">
        <v>2045</v>
      </c>
      <c r="F287" t="s">
        <v>1912</v>
      </c>
      <c r="H287" t="s">
        <v>1913</v>
      </c>
      <c r="J287" s="165">
        <v>45597</v>
      </c>
      <c r="K287" s="165">
        <v>45582</v>
      </c>
      <c r="L287">
        <v>113.6097</v>
      </c>
      <c r="M287" s="165">
        <v>45583</v>
      </c>
      <c r="N287">
        <v>113.6947</v>
      </c>
      <c r="O287">
        <v>1.0577E-2</v>
      </c>
      <c r="P287">
        <v>2.69E-2</v>
      </c>
      <c r="V287" t="s">
        <v>1183</v>
      </c>
      <c r="AG287" t="str">
        <f>IF($A287="","",IFERROR(INDEX(Company_List!$G$3:$G$207,MATCH($A287,Company_List!$A$3:$A$207,0)),"unassigned"))</f>
        <v>P2</v>
      </c>
      <c r="AK287" t="str">
        <f>IF($A287="","",IF(COUNTIFS(Human_Data_Entry!$A$3:$A$525,$A287)&gt;0,"YES","NO"))</f>
        <v>YES</v>
      </c>
      <c r="AL287" t="str">
        <f>IF($A287="","",IF(AND($C287&amp;"-"&amp;$D287&gt;=Settings!$B$19,$C287&amp;"-"&amp;$D287&lt;=Settings!$B$20),"IN","OUT"))</f>
        <v>IN</v>
      </c>
      <c r="AM287" t="str">
        <f t="shared" si="16"/>
        <v/>
      </c>
      <c r="AN287" t="str">
        <f t="shared" si="17"/>
        <v/>
      </c>
      <c r="AO287" t="str">
        <f>IF(ISNUMBER($AM287),ABS(IF(ISNUMBER($G287),$G287,0)-Settings!$B$25),"")</f>
        <v/>
      </c>
      <c r="AP287" t="str">
        <f t="shared" si="18"/>
        <v/>
      </c>
      <c r="AQ287" t="str">
        <f>IF(ISNUMBER($AN287),ABS(IF(ISNUMBER($G287),$G287,0)-Settings!$B$25),"")</f>
        <v/>
      </c>
      <c r="AR287" t="str">
        <f t="shared" si="19"/>
        <v/>
      </c>
      <c r="AS287" t="str">
        <f>IF($A287="","",IFERROR(INDEX(Company_List!$H$3:$H$207,MATCH($A287,Company_List!$A$3:$A$207,0)),"unassigned"))</f>
        <v>Energy</v>
      </c>
    </row>
    <row r="288" spans="1:45" x14ac:dyDescent="0.2">
      <c r="A288" s="1" t="s">
        <v>1660</v>
      </c>
      <c r="B288" s="120" t="s">
        <v>1662</v>
      </c>
      <c r="C288">
        <v>2024</v>
      </c>
      <c r="D288" t="s">
        <v>563</v>
      </c>
      <c r="E288" t="s">
        <v>2045</v>
      </c>
      <c r="F288" t="s">
        <v>1912</v>
      </c>
      <c r="H288" t="s">
        <v>1923</v>
      </c>
      <c r="J288" s="165">
        <v>45603</v>
      </c>
      <c r="K288" s="165">
        <v>45588</v>
      </c>
      <c r="L288">
        <v>113.31019999999999</v>
      </c>
      <c r="M288" s="165">
        <v>45589</v>
      </c>
      <c r="N288">
        <v>113.5264</v>
      </c>
      <c r="O288">
        <v>1.2847000000000001E-2</v>
      </c>
      <c r="P288">
        <v>6.1999999999999998E-3</v>
      </c>
      <c r="V288" t="s">
        <v>1183</v>
      </c>
      <c r="AG288" t="str">
        <f>IF($A288="","",IFERROR(INDEX(Company_List!$G$3:$G$207,MATCH($A288,Company_List!$A$3:$A$207,0)),"unassigned"))</f>
        <v>P2</v>
      </c>
      <c r="AK288" t="str">
        <f>IF($A288="","",IF(COUNTIFS(Human_Data_Entry!$A$3:$A$525,$A288)&gt;0,"YES","NO"))</f>
        <v>YES</v>
      </c>
      <c r="AL288" t="str">
        <f>IF($A288="","",IF(AND($C288&amp;"-"&amp;$D288&gt;=Settings!$B$19,$C288&amp;"-"&amp;$D288&lt;=Settings!$B$20),"IN","OUT"))</f>
        <v>IN</v>
      </c>
      <c r="AM288" t="str">
        <f t="shared" si="16"/>
        <v/>
      </c>
      <c r="AN288" t="str">
        <f t="shared" si="17"/>
        <v/>
      </c>
      <c r="AO288" t="str">
        <f>IF(ISNUMBER($AM288),ABS(IF(ISNUMBER($G288),$G288,0)-Settings!$B$25),"")</f>
        <v/>
      </c>
      <c r="AP288" t="str">
        <f t="shared" si="18"/>
        <v/>
      </c>
      <c r="AQ288" t="str">
        <f>IF(ISNUMBER($AN288),ABS(IF(ISNUMBER($G288),$G288,0)-Settings!$B$25),"")</f>
        <v/>
      </c>
      <c r="AR288" t="str">
        <f t="shared" si="19"/>
        <v/>
      </c>
      <c r="AS288" t="str">
        <f>IF($A288="","",IFERROR(INDEX(Company_List!$H$3:$H$207,MATCH($A288,Company_List!$A$3:$A$207,0)),"unassigned"))</f>
        <v>Utilities</v>
      </c>
    </row>
    <row r="289" spans="1:45" x14ac:dyDescent="0.2">
      <c r="A289" s="1" t="s">
        <v>1726</v>
      </c>
      <c r="B289" s="120" t="s">
        <v>1730</v>
      </c>
      <c r="C289">
        <v>2024</v>
      </c>
      <c r="D289" t="s">
        <v>569</v>
      </c>
      <c r="E289" t="s">
        <v>2045</v>
      </c>
      <c r="F289" t="s">
        <v>1912</v>
      </c>
      <c r="H289" t="s">
        <v>1913</v>
      </c>
      <c r="J289" s="165">
        <v>45688</v>
      </c>
      <c r="K289" s="165">
        <v>45673</v>
      </c>
      <c r="L289">
        <v>105.94889999999999</v>
      </c>
      <c r="M289" s="165">
        <v>45674</v>
      </c>
      <c r="N289">
        <v>105.6729</v>
      </c>
      <c r="O289">
        <v>1.0545000000000001E-2</v>
      </c>
      <c r="P289">
        <v>8.9999999999999993E-3</v>
      </c>
      <c r="V289" t="s">
        <v>1183</v>
      </c>
      <c r="AG289" t="str">
        <f>IF($A289="","",IFERROR(INDEX(Company_List!$G$3:$G$207,MATCH($A289,Company_List!$A$3:$A$207,0)),"unassigned"))</f>
        <v>P2</v>
      </c>
      <c r="AK289" t="str">
        <f>IF($A289="","",IF(COUNTIFS(Human_Data_Entry!$A$3:$A$525,$A289)&gt;0,"YES","NO"))</f>
        <v>YES</v>
      </c>
      <c r="AL289" t="str">
        <f>IF($A289="","",IF(AND($C289&amp;"-"&amp;$D289&gt;=Settings!$B$19,$C289&amp;"-"&amp;$D289&lt;=Settings!$B$20),"IN","OUT"))</f>
        <v>IN</v>
      </c>
      <c r="AM289" t="str">
        <f t="shared" si="16"/>
        <v/>
      </c>
      <c r="AN289" t="str">
        <f t="shared" si="17"/>
        <v/>
      </c>
      <c r="AO289" t="str">
        <f>IF(ISNUMBER($AM289),ABS(IF(ISNUMBER($G289),$G289,0)-Settings!$B$25),"")</f>
        <v/>
      </c>
      <c r="AP289" t="str">
        <f t="shared" si="18"/>
        <v/>
      </c>
      <c r="AQ289" t="str">
        <f>IF(ISNUMBER($AN289),ABS(IF(ISNUMBER($G289),$G289,0)-Settings!$B$25),"")</f>
        <v/>
      </c>
      <c r="AR289" t="str">
        <f t="shared" si="19"/>
        <v/>
      </c>
      <c r="AS289" t="str">
        <f>IF($A289="","",IFERROR(INDEX(Company_List!$H$3:$H$207,MATCH($A289,Company_List!$A$3:$A$207,0)),"unassigned"))</f>
        <v>Energy</v>
      </c>
    </row>
    <row r="290" spans="1:45" x14ac:dyDescent="0.2">
      <c r="A290" s="1" t="s">
        <v>1252</v>
      </c>
      <c r="B290" s="120" t="s">
        <v>2047</v>
      </c>
      <c r="C290">
        <v>2025</v>
      </c>
      <c r="D290" t="s">
        <v>537</v>
      </c>
      <c r="E290" t="s">
        <v>2045</v>
      </c>
      <c r="F290" t="s">
        <v>1912</v>
      </c>
      <c r="H290" t="s">
        <v>1913</v>
      </c>
      <c r="J290" s="165">
        <v>45689</v>
      </c>
      <c r="K290" s="165">
        <v>45674</v>
      </c>
      <c r="L290">
        <v>2311.3616000000002</v>
      </c>
      <c r="M290" s="165">
        <v>45677</v>
      </c>
      <c r="N290">
        <v>2443.6354000000001</v>
      </c>
      <c r="O290">
        <v>5.2649999999999997E-3</v>
      </c>
      <c r="P290">
        <v>5.722765317205232E-2</v>
      </c>
      <c r="Q290" t="s">
        <v>591</v>
      </c>
      <c r="R290" t="s">
        <v>546</v>
      </c>
      <c r="V290" t="s">
        <v>1183</v>
      </c>
      <c r="AG290" t="str">
        <f>IF($A290="","",IFERROR(INDEX(Company_List!$G$3:$G$207,MATCH($A290,Company_List!$A$3:$A$207,0)),"unassigned"))</f>
        <v>unassigned</v>
      </c>
      <c r="AK290" t="str">
        <f>IF($A290="","",IF(COUNTIFS(Human_Data_Entry!$A$3:$A$525,$A290)&gt;0,"YES","NO"))</f>
        <v>YES</v>
      </c>
      <c r="AL290" t="str">
        <f>IF($A290="","",IF(AND($C290&amp;"-"&amp;$D290&gt;=Settings!$B$19,$C290&amp;"-"&amp;$D290&lt;=Settings!$B$20),"IN","OUT"))</f>
        <v>IN</v>
      </c>
      <c r="AM290" t="str">
        <f t="shared" si="16"/>
        <v/>
      </c>
      <c r="AN290" t="str">
        <f t="shared" si="17"/>
        <v/>
      </c>
      <c r="AO290" t="str">
        <f>IF(ISNUMBER($AM290),ABS(IF(ISNUMBER($G290),$G290,0)-Settings!$B$25),"")</f>
        <v/>
      </c>
      <c r="AP290" t="str">
        <f t="shared" si="18"/>
        <v/>
      </c>
      <c r="AQ290" t="str">
        <f>IF(ISNUMBER($AN290),ABS(IF(ISNUMBER($G290),$G290,0)-Settings!$B$25),"")</f>
        <v/>
      </c>
      <c r="AR290" t="str">
        <f t="shared" si="19"/>
        <v/>
      </c>
      <c r="AS290" t="str">
        <f>IF($A290="","",IFERROR(INDEX(Company_List!$H$3:$H$207,MATCH($A290,Company_List!$A$3:$A$207,0)),"unassigned"))</f>
        <v>unassigned</v>
      </c>
    </row>
    <row r="291" spans="1:45" x14ac:dyDescent="0.2">
      <c r="A291" s="1" t="s">
        <v>1660</v>
      </c>
      <c r="B291" s="120" t="s">
        <v>1662</v>
      </c>
      <c r="C291">
        <v>2024</v>
      </c>
      <c r="D291" t="s">
        <v>569</v>
      </c>
      <c r="E291" t="s">
        <v>2045</v>
      </c>
      <c r="F291" t="s">
        <v>1912</v>
      </c>
      <c r="H291" t="s">
        <v>1919</v>
      </c>
      <c r="J291" s="165">
        <v>45701</v>
      </c>
      <c r="K291" s="165">
        <v>45686</v>
      </c>
      <c r="L291">
        <v>104.9502</v>
      </c>
      <c r="M291" s="165">
        <v>45687</v>
      </c>
      <c r="N291">
        <v>106.27849999999999</v>
      </c>
      <c r="O291">
        <v>5.3480000000000003E-3</v>
      </c>
      <c r="P291">
        <v>3.2000000000000002E-3</v>
      </c>
      <c r="V291" t="s">
        <v>1183</v>
      </c>
      <c r="AG291" t="str">
        <f>IF($A291="","",IFERROR(INDEX(Company_List!$G$3:$G$207,MATCH($A291,Company_List!$A$3:$A$207,0)),"unassigned"))</f>
        <v>P2</v>
      </c>
      <c r="AK291" t="str">
        <f>IF($A291="","",IF(COUNTIFS(Human_Data_Entry!$A$3:$A$525,$A291)&gt;0,"YES","NO"))</f>
        <v>YES</v>
      </c>
      <c r="AL291" t="str">
        <f>IF($A291="","",IF(AND($C291&amp;"-"&amp;$D291&gt;=Settings!$B$19,$C291&amp;"-"&amp;$D291&lt;=Settings!$B$20),"IN","OUT"))</f>
        <v>IN</v>
      </c>
      <c r="AM291" t="str">
        <f t="shared" si="16"/>
        <v/>
      </c>
      <c r="AN291" t="str">
        <f t="shared" si="17"/>
        <v/>
      </c>
      <c r="AO291" t="str">
        <f>IF(ISNUMBER($AM291),ABS(IF(ISNUMBER($G291),$G291,0)-Settings!$B$25),"")</f>
        <v/>
      </c>
      <c r="AP291" t="str">
        <f t="shared" si="18"/>
        <v/>
      </c>
      <c r="AQ291" t="str">
        <f>IF(ISNUMBER($AN291),ABS(IF(ISNUMBER($G291),$G291,0)-Settings!$B$25),"")</f>
        <v/>
      </c>
      <c r="AR291" t="str">
        <f t="shared" si="19"/>
        <v/>
      </c>
      <c r="AS291" t="str">
        <f>IF($A291="","",IFERROR(INDEX(Company_List!$H$3:$H$207,MATCH($A291,Company_List!$A$3:$A$207,0)),"unassigned"))</f>
        <v>Utilities</v>
      </c>
    </row>
    <row r="292" spans="1:45" x14ac:dyDescent="0.2">
      <c r="A292" s="1" t="s">
        <v>1244</v>
      </c>
      <c r="B292" s="120" t="s">
        <v>1245</v>
      </c>
      <c r="C292">
        <v>2025</v>
      </c>
      <c r="D292" t="s">
        <v>537</v>
      </c>
      <c r="E292" t="s">
        <v>2045</v>
      </c>
      <c r="F292" t="s">
        <v>1912</v>
      </c>
      <c r="G292">
        <v>-5.2499999999999998E-2</v>
      </c>
      <c r="H292" t="s">
        <v>1923</v>
      </c>
      <c r="J292" s="165">
        <v>45777</v>
      </c>
      <c r="K292" s="165">
        <v>45762</v>
      </c>
      <c r="L292">
        <v>64.411900000000003</v>
      </c>
      <c r="M292" s="165">
        <v>45763</v>
      </c>
      <c r="N292">
        <v>64.411900000000003</v>
      </c>
      <c r="O292">
        <v>2.728E-3</v>
      </c>
      <c r="P292">
        <v>2.7699999999999999E-2</v>
      </c>
      <c r="V292" t="s">
        <v>1183</v>
      </c>
      <c r="AG292" t="str">
        <f>IF($A292="","",IFERROR(INDEX(Company_List!$G$3:$G$207,MATCH($A292,Company_List!$A$3:$A$207,0)),"unassigned"))</f>
        <v>P3</v>
      </c>
      <c r="AK292" t="str">
        <f>IF($A292="","",IF(COUNTIFS(Human_Data_Entry!$A$3:$A$525,$A292)&gt;0,"YES","NO"))</f>
        <v>YES</v>
      </c>
      <c r="AL292" t="str">
        <f>IF($A292="","",IF(AND($C292&amp;"-"&amp;$D292&gt;=Settings!$B$19,$C292&amp;"-"&amp;$D292&lt;=Settings!$B$20),"IN","OUT"))</f>
        <v>IN</v>
      </c>
      <c r="AM292" t="str">
        <f t="shared" si="16"/>
        <v/>
      </c>
      <c r="AN292" t="str">
        <f t="shared" si="17"/>
        <v/>
      </c>
      <c r="AO292" t="str">
        <f>IF(ISNUMBER($AM292),ABS(IF(ISNUMBER($G292),$G292,0)-Settings!$B$25),"")</f>
        <v/>
      </c>
      <c r="AP292" t="str">
        <f t="shared" si="18"/>
        <v/>
      </c>
      <c r="AQ292" t="str">
        <f>IF(ISNUMBER($AN292),ABS(IF(ISNUMBER($G292),$G292,0)-Settings!$B$25),"")</f>
        <v/>
      </c>
      <c r="AR292" t="str">
        <f t="shared" si="19"/>
        <v/>
      </c>
      <c r="AS292" t="str">
        <f>IF($A292="","",IFERROR(INDEX(Company_List!$H$3:$H$207,MATCH($A292,Company_List!$A$3:$A$207,0)),"unassigned"))</f>
        <v>Consumer Discretionary</v>
      </c>
    </row>
    <row r="293" spans="1:45" x14ac:dyDescent="0.2">
      <c r="A293" s="1" t="s">
        <v>1726</v>
      </c>
      <c r="B293" s="120" t="s">
        <v>1730</v>
      </c>
      <c r="C293">
        <v>2025</v>
      </c>
      <c r="D293" t="s">
        <v>537</v>
      </c>
      <c r="E293" t="s">
        <v>2045</v>
      </c>
      <c r="F293" t="s">
        <v>1912</v>
      </c>
      <c r="G293">
        <v>-2.5000000000000001E-2</v>
      </c>
      <c r="H293" t="s">
        <v>1913</v>
      </c>
      <c r="J293" s="165">
        <v>45779</v>
      </c>
      <c r="K293" s="165">
        <v>45764</v>
      </c>
      <c r="L293">
        <v>102.67149999999999</v>
      </c>
      <c r="M293" s="165">
        <v>45768</v>
      </c>
      <c r="N293">
        <v>101.4135</v>
      </c>
      <c r="O293">
        <v>9.0609999999999996E-3</v>
      </c>
      <c r="P293">
        <v>1.83E-2</v>
      </c>
      <c r="V293" t="s">
        <v>1183</v>
      </c>
      <c r="AG293" t="str">
        <f>IF($A293="","",IFERROR(INDEX(Company_List!$G$3:$G$207,MATCH($A293,Company_List!$A$3:$A$207,0)),"unassigned"))</f>
        <v>P2</v>
      </c>
      <c r="AK293" t="str">
        <f>IF($A293="","",IF(COUNTIFS(Human_Data_Entry!$A$3:$A$525,$A293)&gt;0,"YES","NO"))</f>
        <v>YES</v>
      </c>
      <c r="AL293" t="str">
        <f>IF($A293="","",IF(AND($C293&amp;"-"&amp;$D293&gt;=Settings!$B$19,$C293&amp;"-"&amp;$D293&lt;=Settings!$B$20),"IN","OUT"))</f>
        <v>IN</v>
      </c>
      <c r="AM293" t="str">
        <f t="shared" si="16"/>
        <v/>
      </c>
      <c r="AN293" t="str">
        <f t="shared" si="17"/>
        <v/>
      </c>
      <c r="AO293" t="str">
        <f>IF(ISNUMBER($AM293),ABS(IF(ISNUMBER($G293),$G293,0)-Settings!$B$25),"")</f>
        <v/>
      </c>
      <c r="AP293" t="str">
        <f t="shared" si="18"/>
        <v/>
      </c>
      <c r="AQ293" t="str">
        <f>IF(ISNUMBER($AN293),ABS(IF(ISNUMBER($G293),$G293,0)-Settings!$B$25),"")</f>
        <v/>
      </c>
      <c r="AR293" t="str">
        <f t="shared" si="19"/>
        <v/>
      </c>
      <c r="AS293" t="str">
        <f>IF($A293="","",IFERROR(INDEX(Company_List!$H$3:$H$207,MATCH($A293,Company_List!$A$3:$A$207,0)),"unassigned"))</f>
        <v>Energy</v>
      </c>
    </row>
    <row r="294" spans="1:45" x14ac:dyDescent="0.2">
      <c r="A294" s="1" t="s">
        <v>1660</v>
      </c>
      <c r="B294" s="120" t="s">
        <v>1662</v>
      </c>
      <c r="C294">
        <v>2025</v>
      </c>
      <c r="D294" t="s">
        <v>537</v>
      </c>
      <c r="E294" t="s">
        <v>2045</v>
      </c>
      <c r="F294" t="s">
        <v>1912</v>
      </c>
      <c r="G294">
        <v>-2.5000000000000001E-2</v>
      </c>
      <c r="H294" t="s">
        <v>1913</v>
      </c>
      <c r="J294" s="165">
        <v>45783</v>
      </c>
      <c r="K294" s="165">
        <v>45768</v>
      </c>
      <c r="L294">
        <v>115.066</v>
      </c>
      <c r="M294" s="165">
        <v>45769</v>
      </c>
      <c r="N294">
        <v>116.2246</v>
      </c>
      <c r="O294">
        <v>8.9440000000000006E-3</v>
      </c>
      <c r="P294">
        <v>-3.2000000000000002E-3</v>
      </c>
      <c r="V294" t="s">
        <v>1183</v>
      </c>
      <c r="AG294" t="str">
        <f>IF($A294="","",IFERROR(INDEX(Company_List!$G$3:$G$207,MATCH($A294,Company_List!$A$3:$A$207,0)),"unassigned"))</f>
        <v>P2</v>
      </c>
      <c r="AK294" t="str">
        <f>IF($A294="","",IF(COUNTIFS(Human_Data_Entry!$A$3:$A$525,$A294)&gt;0,"YES","NO"))</f>
        <v>YES</v>
      </c>
      <c r="AL294" t="str">
        <f>IF($A294="","",IF(AND($C294&amp;"-"&amp;$D294&gt;=Settings!$B$19,$C294&amp;"-"&amp;$D294&lt;=Settings!$B$20),"IN","OUT"))</f>
        <v>IN</v>
      </c>
      <c r="AM294" t="str">
        <f t="shared" si="16"/>
        <v/>
      </c>
      <c r="AN294" t="str">
        <f t="shared" si="17"/>
        <v/>
      </c>
      <c r="AO294" t="str">
        <f>IF(ISNUMBER($AM294),ABS(IF(ISNUMBER($G294),$G294,0)-Settings!$B$25),"")</f>
        <v/>
      </c>
      <c r="AP294" t="str">
        <f t="shared" si="18"/>
        <v/>
      </c>
      <c r="AQ294" t="str">
        <f>IF(ISNUMBER($AN294),ABS(IF(ISNUMBER($G294),$G294,0)-Settings!$B$25),"")</f>
        <v/>
      </c>
      <c r="AR294" t="str">
        <f t="shared" si="19"/>
        <v/>
      </c>
      <c r="AS294" t="str">
        <f>IF($A294="","",IFERROR(INDEX(Company_List!$H$3:$H$207,MATCH($A294,Company_List!$A$3:$A$207,0)),"unassigned"))</f>
        <v>Utilities</v>
      </c>
    </row>
    <row r="295" spans="1:45" x14ac:dyDescent="0.2">
      <c r="A295" s="1" t="s">
        <v>1252</v>
      </c>
      <c r="B295" s="120" t="s">
        <v>2047</v>
      </c>
      <c r="C295">
        <v>2025</v>
      </c>
      <c r="D295" t="s">
        <v>555</v>
      </c>
      <c r="E295" t="s">
        <v>2045</v>
      </c>
      <c r="F295" t="s">
        <v>1912</v>
      </c>
      <c r="G295">
        <v>-0.14249999999999999</v>
      </c>
      <c r="H295" t="s">
        <v>1923</v>
      </c>
      <c r="J295" s="165">
        <v>45839</v>
      </c>
      <c r="K295" s="165">
        <v>45824</v>
      </c>
      <c r="L295">
        <v>2290.0630000000001</v>
      </c>
      <c r="M295" s="165">
        <v>45825</v>
      </c>
      <c r="N295">
        <v>2272.2417</v>
      </c>
      <c r="O295">
        <v>8.0560000000000007E-3</v>
      </c>
      <c r="P295">
        <v>-3.8999999999999998E-3</v>
      </c>
      <c r="V295" t="s">
        <v>1183</v>
      </c>
      <c r="AG295" t="str">
        <f>IF($A295="","",IFERROR(INDEX(Company_List!$G$3:$G$207,MATCH($A295,Company_List!$A$3:$A$207,0)),"unassigned"))</f>
        <v>unassigned</v>
      </c>
      <c r="AK295" t="str">
        <f>IF($A295="","",IF(COUNTIFS(Human_Data_Entry!$A$3:$A$525,$A295)&gt;0,"YES","NO"))</f>
        <v>YES</v>
      </c>
      <c r="AL295" t="str">
        <f>IF($A295="","",IF(AND($C295&amp;"-"&amp;$D295&gt;=Settings!$B$19,$C295&amp;"-"&amp;$D295&lt;=Settings!$B$20),"IN","OUT"))</f>
        <v>IN</v>
      </c>
      <c r="AM295" t="str">
        <f t="shared" si="16"/>
        <v/>
      </c>
      <c r="AN295" t="str">
        <f t="shared" si="17"/>
        <v/>
      </c>
      <c r="AO295" t="str">
        <f>IF(ISNUMBER($AM295),ABS(IF(ISNUMBER($G295),$G295,0)-Settings!$B$25),"")</f>
        <v/>
      </c>
      <c r="AP295" t="str">
        <f t="shared" si="18"/>
        <v/>
      </c>
      <c r="AQ295" t="str">
        <f>IF(ISNUMBER($AN295),ABS(IF(ISNUMBER($G295),$G295,0)-Settings!$B$25),"")</f>
        <v/>
      </c>
      <c r="AR295" t="str">
        <f t="shared" si="19"/>
        <v/>
      </c>
      <c r="AS295" t="str">
        <f>IF($A295="","",IFERROR(INDEX(Company_List!$H$3:$H$207,MATCH($A295,Company_List!$A$3:$A$207,0)),"unassigned"))</f>
        <v>unassigned</v>
      </c>
    </row>
    <row r="296" spans="1:45" x14ac:dyDescent="0.2">
      <c r="A296" s="1" t="s">
        <v>1793</v>
      </c>
      <c r="B296" s="120" t="s">
        <v>1796</v>
      </c>
      <c r="C296">
        <v>2025</v>
      </c>
      <c r="D296" t="s">
        <v>555</v>
      </c>
      <c r="E296" t="s">
        <v>2045</v>
      </c>
      <c r="F296" t="s">
        <v>1912</v>
      </c>
      <c r="G296">
        <v>0.1</v>
      </c>
      <c r="H296" t="s">
        <v>1913</v>
      </c>
      <c r="J296" s="165">
        <v>45856</v>
      </c>
      <c r="K296" s="165">
        <v>45841</v>
      </c>
      <c r="L296">
        <v>324.65730000000002</v>
      </c>
      <c r="M296" s="165">
        <v>45845</v>
      </c>
      <c r="N296">
        <v>324.05380000000002</v>
      </c>
      <c r="O296">
        <v>8.1250000000000003E-3</v>
      </c>
      <c r="P296">
        <v>-1.11E-2</v>
      </c>
      <c r="V296" t="s">
        <v>1183</v>
      </c>
      <c r="AG296" t="str">
        <f>IF($A296="","",IFERROR(INDEX(Company_List!$G$3:$G$207,MATCH($A296,Company_List!$A$3:$A$207,0)),"unassigned"))</f>
        <v>P2</v>
      </c>
      <c r="AK296" t="str">
        <f>IF($A296="","",IF(COUNTIFS(Human_Data_Entry!$A$3:$A$525,$A296)&gt;0,"YES","NO"))</f>
        <v>YES</v>
      </c>
      <c r="AL296" t="str">
        <f>IF($A296="","",IF(AND($C296&amp;"-"&amp;$D296&gt;=Settings!$B$19,$C296&amp;"-"&amp;$D296&lt;=Settings!$B$20),"IN","OUT"))</f>
        <v>IN</v>
      </c>
      <c r="AM296" t="str">
        <f t="shared" si="16"/>
        <v/>
      </c>
      <c r="AN296" t="str">
        <f t="shared" si="17"/>
        <v/>
      </c>
      <c r="AO296" t="str">
        <f>IF(ISNUMBER($AM296),ABS(IF(ISNUMBER($G296),$G296,0)-Settings!$B$25),"")</f>
        <v/>
      </c>
      <c r="AP296" t="str">
        <f t="shared" si="18"/>
        <v/>
      </c>
      <c r="AQ296" t="str">
        <f>IF(ISNUMBER($AN296),ABS(IF(ISNUMBER($G296),$G296,0)-Settings!$B$25),"")</f>
        <v/>
      </c>
      <c r="AR296" t="str">
        <f t="shared" si="19"/>
        <v/>
      </c>
      <c r="AS296" t="str">
        <f>IF($A296="","",IFERROR(INDEX(Company_List!$H$3:$H$207,MATCH($A296,Company_List!$A$3:$A$207,0)),"unassigned"))</f>
        <v>Financials</v>
      </c>
    </row>
    <row r="297" spans="1:45" x14ac:dyDescent="0.2">
      <c r="A297" s="1" t="s">
        <v>1513</v>
      </c>
      <c r="B297" s="120" t="s">
        <v>1516</v>
      </c>
      <c r="C297">
        <v>2025</v>
      </c>
      <c r="D297" t="s">
        <v>555</v>
      </c>
      <c r="E297" t="s">
        <v>2045</v>
      </c>
      <c r="F297" t="s">
        <v>1912</v>
      </c>
      <c r="G297">
        <v>0.21</v>
      </c>
      <c r="H297" t="s">
        <v>1913</v>
      </c>
      <c r="J297" s="165">
        <v>45861</v>
      </c>
      <c r="K297" s="165">
        <v>45846</v>
      </c>
      <c r="L297">
        <v>45.627400000000002</v>
      </c>
      <c r="M297" s="165">
        <v>45847</v>
      </c>
      <c r="N297">
        <v>46.090899999999998</v>
      </c>
      <c r="O297">
        <v>1.5287E-2</v>
      </c>
      <c r="P297">
        <v>-2.47E-2</v>
      </c>
      <c r="V297" t="s">
        <v>1183</v>
      </c>
      <c r="AG297" t="str">
        <f>IF($A297="","",IFERROR(INDEX(Company_List!$G$3:$G$207,MATCH($A297,Company_List!$A$3:$A$207,0)),"unassigned"))</f>
        <v>P3</v>
      </c>
      <c r="AK297" t="str">
        <f>IF($A297="","",IF(COUNTIFS(Human_Data_Entry!$A$3:$A$525,$A297)&gt;0,"YES","NO"))</f>
        <v>YES</v>
      </c>
      <c r="AL297" t="str">
        <f>IF($A297="","",IF(AND($C297&amp;"-"&amp;$D297&gt;=Settings!$B$19,$C297&amp;"-"&amp;$D297&lt;=Settings!$B$20),"IN","OUT"))</f>
        <v>IN</v>
      </c>
      <c r="AM297" t="str">
        <f t="shared" si="16"/>
        <v/>
      </c>
      <c r="AN297" t="str">
        <f t="shared" si="17"/>
        <v/>
      </c>
      <c r="AO297" t="str">
        <f>IF(ISNUMBER($AM297),ABS(IF(ISNUMBER($G297),$G297,0)-Settings!$B$25),"")</f>
        <v/>
      </c>
      <c r="AP297" t="str">
        <f t="shared" si="18"/>
        <v/>
      </c>
      <c r="AQ297" t="str">
        <f>IF(ISNUMBER($AN297),ABS(IF(ISNUMBER($G297),$G297,0)-Settings!$B$25),"")</f>
        <v/>
      </c>
      <c r="AR297" t="str">
        <f t="shared" si="19"/>
        <v/>
      </c>
      <c r="AS297" t="str">
        <f>IF($A297="","",IFERROR(INDEX(Company_List!$H$3:$H$207,MATCH($A297,Company_List!$A$3:$A$207,0)),"unassigned"))</f>
        <v>Materials</v>
      </c>
    </row>
    <row r="298" spans="1:45" x14ac:dyDescent="0.2">
      <c r="A298" s="1" t="s">
        <v>1835</v>
      </c>
      <c r="B298" s="120" t="s">
        <v>1836</v>
      </c>
      <c r="C298">
        <v>2025</v>
      </c>
      <c r="D298" t="s">
        <v>555</v>
      </c>
      <c r="E298" t="s">
        <v>2045</v>
      </c>
      <c r="F298" t="s">
        <v>1912</v>
      </c>
      <c r="G298">
        <v>-0.14749999999999999</v>
      </c>
      <c r="H298" t="s">
        <v>1923</v>
      </c>
      <c r="J298" s="165">
        <v>45862</v>
      </c>
      <c r="K298" s="165">
        <v>45847</v>
      </c>
      <c r="L298">
        <v>23.44</v>
      </c>
      <c r="M298" s="165">
        <v>45848</v>
      </c>
      <c r="N298">
        <v>23.63</v>
      </c>
      <c r="O298">
        <v>9.5409999999999991E-3</v>
      </c>
      <c r="P298">
        <v>-8.6199999999999999E-2</v>
      </c>
      <c r="V298" t="s">
        <v>1183</v>
      </c>
      <c r="AG298" t="str">
        <f>IF($A298="","",IFERROR(INDEX(Company_List!$G$3:$G$207,MATCH($A298,Company_List!$A$3:$A$207,0)),"unassigned"))</f>
        <v>P2</v>
      </c>
      <c r="AK298" t="str">
        <f>IF($A298="","",IF(COUNTIFS(Human_Data_Entry!$A$3:$A$525,$A298)&gt;0,"YES","NO"))</f>
        <v>YES</v>
      </c>
      <c r="AL298" t="str">
        <f>IF($A298="","",IF(AND($C298&amp;"-"&amp;$D298&gt;=Settings!$B$19,$C298&amp;"-"&amp;$D298&lt;=Settings!$B$20),"IN","OUT"))</f>
        <v>IN</v>
      </c>
      <c r="AM298" t="str">
        <f t="shared" si="16"/>
        <v/>
      </c>
      <c r="AN298" t="str">
        <f t="shared" si="17"/>
        <v/>
      </c>
      <c r="AO298" t="str">
        <f>IF(ISNUMBER($AM298),ABS(IF(ISNUMBER($G298),$G298,0)-Settings!$B$25),"")</f>
        <v/>
      </c>
      <c r="AP298" t="str">
        <f t="shared" si="18"/>
        <v/>
      </c>
      <c r="AQ298" t="str">
        <f>IF(ISNUMBER($AN298),ABS(IF(ISNUMBER($G298),$G298,0)-Settings!$B$25),"")</f>
        <v/>
      </c>
      <c r="AR298" t="str">
        <f t="shared" si="19"/>
        <v/>
      </c>
      <c r="AS298" t="str">
        <f>IF($A298="","",IFERROR(INDEX(Company_List!$H$3:$H$207,MATCH($A298,Company_List!$A$3:$A$207,0)),"unassigned"))</f>
        <v>Information Technology</v>
      </c>
    </row>
    <row r="299" spans="1:45" x14ac:dyDescent="0.2">
      <c r="A299" s="1" t="s">
        <v>1244</v>
      </c>
      <c r="B299" s="120" t="s">
        <v>1245</v>
      </c>
      <c r="C299">
        <v>2025</v>
      </c>
      <c r="D299" t="s">
        <v>555</v>
      </c>
      <c r="E299" t="s">
        <v>2045</v>
      </c>
      <c r="F299" t="s">
        <v>1912</v>
      </c>
      <c r="G299">
        <v>0.1275</v>
      </c>
      <c r="H299" t="s">
        <v>1913</v>
      </c>
      <c r="J299" s="165">
        <v>45868</v>
      </c>
      <c r="K299" s="165">
        <v>45853</v>
      </c>
      <c r="L299">
        <v>76.241100000000003</v>
      </c>
      <c r="M299" s="165">
        <v>45854</v>
      </c>
      <c r="N299">
        <v>75.964699999999993</v>
      </c>
      <c r="O299">
        <v>5.169E-3</v>
      </c>
      <c r="P299">
        <v>0.1371</v>
      </c>
      <c r="V299" t="s">
        <v>1183</v>
      </c>
      <c r="AG299" t="str">
        <f>IF($A299="","",IFERROR(INDEX(Company_List!$G$3:$G$207,MATCH($A299,Company_List!$A$3:$A$207,0)),"unassigned"))</f>
        <v>P3</v>
      </c>
      <c r="AK299" t="str">
        <f>IF($A299="","",IF(COUNTIFS(Human_Data_Entry!$A$3:$A$525,$A299)&gt;0,"YES","NO"))</f>
        <v>YES</v>
      </c>
      <c r="AL299" t="str">
        <f>IF($A299="","",IF(AND($C299&amp;"-"&amp;$D299&gt;=Settings!$B$19,$C299&amp;"-"&amp;$D299&lt;=Settings!$B$20),"IN","OUT"))</f>
        <v>IN</v>
      </c>
      <c r="AM299" t="str">
        <f t="shared" si="16"/>
        <v/>
      </c>
      <c r="AN299" t="str">
        <f t="shared" si="17"/>
        <v/>
      </c>
      <c r="AO299" t="str">
        <f>IF(ISNUMBER($AM299),ABS(IF(ISNUMBER($G299),$G299,0)-Settings!$B$25),"")</f>
        <v/>
      </c>
      <c r="AP299" t="str">
        <f t="shared" si="18"/>
        <v/>
      </c>
      <c r="AQ299" t="str">
        <f>IF(ISNUMBER($AN299),ABS(IF(ISNUMBER($G299),$G299,0)-Settings!$B$25),"")</f>
        <v/>
      </c>
      <c r="AR299" t="str">
        <f t="shared" si="19"/>
        <v/>
      </c>
      <c r="AS299" t="str">
        <f>IF($A299="","",IFERROR(INDEX(Company_List!$H$3:$H$207,MATCH($A299,Company_List!$A$3:$A$207,0)),"unassigned"))</f>
        <v>Consumer Discretionary</v>
      </c>
    </row>
    <row r="300" spans="1:45" x14ac:dyDescent="0.2">
      <c r="A300" s="1" t="s">
        <v>1857</v>
      </c>
      <c r="B300" s="120" t="s">
        <v>1858</v>
      </c>
      <c r="C300">
        <v>2025</v>
      </c>
      <c r="D300" t="s">
        <v>555</v>
      </c>
      <c r="E300" t="s">
        <v>2045</v>
      </c>
      <c r="F300" t="s">
        <v>1912</v>
      </c>
      <c r="G300">
        <v>0.21</v>
      </c>
      <c r="H300" t="s">
        <v>1913</v>
      </c>
      <c r="J300" s="165">
        <v>45869</v>
      </c>
      <c r="K300" s="165">
        <v>45854</v>
      </c>
      <c r="L300">
        <v>552.0797</v>
      </c>
      <c r="M300" s="165">
        <v>45855</v>
      </c>
      <c r="N300">
        <v>549.55539999999996</v>
      </c>
      <c r="O300">
        <v>1.0418E-2</v>
      </c>
      <c r="P300">
        <v>1.6899999999999998E-2</v>
      </c>
      <c r="V300" t="s">
        <v>1183</v>
      </c>
      <c r="AG300" t="str">
        <f>IF($A300="","",IFERROR(INDEX(Company_List!$G$3:$G$207,MATCH($A300,Company_List!$A$3:$A$207,0)),"unassigned"))</f>
        <v>P2</v>
      </c>
      <c r="AK300" t="str">
        <f>IF($A300="","",IF(COUNTIFS(Human_Data_Entry!$A$3:$A$525,$A300)&gt;0,"YES","NO"))</f>
        <v>YES</v>
      </c>
      <c r="AL300" t="str">
        <f>IF($A300="","",IF(AND($C300&amp;"-"&amp;$D300&gt;=Settings!$B$19,$C300&amp;"-"&amp;$D300&lt;=Settings!$B$20),"IN","OUT"))</f>
        <v>IN</v>
      </c>
      <c r="AM300" t="str">
        <f t="shared" si="16"/>
        <v/>
      </c>
      <c r="AN300" t="str">
        <f t="shared" si="17"/>
        <v/>
      </c>
      <c r="AO300" t="str">
        <f>IF(ISNUMBER($AM300),ABS(IF(ISNUMBER($G300),$G300,0)-Settings!$B$25),"")</f>
        <v/>
      </c>
      <c r="AP300" t="str">
        <f t="shared" si="18"/>
        <v/>
      </c>
      <c r="AQ300" t="str">
        <f>IF(ISNUMBER($AN300),ABS(IF(ISNUMBER($G300),$G300,0)-Settings!$B$25),"")</f>
        <v/>
      </c>
      <c r="AR300" t="str">
        <f t="shared" si="19"/>
        <v/>
      </c>
      <c r="AS300" t="str">
        <f>IF($A300="","",IFERROR(INDEX(Company_List!$H$3:$H$207,MATCH($A300,Company_List!$A$3:$A$207,0)),"unassigned"))</f>
        <v>Financials</v>
      </c>
    </row>
    <row r="301" spans="1:45" x14ac:dyDescent="0.2">
      <c r="A301" s="1" t="s">
        <v>1814</v>
      </c>
      <c r="B301" s="120" t="s">
        <v>1815</v>
      </c>
      <c r="C301">
        <v>2025</v>
      </c>
      <c r="D301" t="s">
        <v>555</v>
      </c>
      <c r="E301" t="s">
        <v>2045</v>
      </c>
      <c r="F301" t="s">
        <v>1912</v>
      </c>
      <c r="G301">
        <v>0.23749999999999999</v>
      </c>
      <c r="H301" t="s">
        <v>1913</v>
      </c>
      <c r="J301" s="165">
        <v>45870</v>
      </c>
      <c r="K301" s="165">
        <v>45855</v>
      </c>
      <c r="L301">
        <v>145.29470000000001</v>
      </c>
      <c r="M301" s="165">
        <v>45856</v>
      </c>
      <c r="N301">
        <v>148.78829999999999</v>
      </c>
      <c r="O301">
        <v>8.1679999999999999E-3</v>
      </c>
      <c r="P301">
        <v>6.0000000000000001E-3</v>
      </c>
      <c r="V301" t="s">
        <v>1183</v>
      </c>
      <c r="AG301" t="str">
        <f>IF($A301="","",IFERROR(INDEX(Company_List!$G$3:$G$207,MATCH($A301,Company_List!$A$3:$A$207,0)),"unassigned"))</f>
        <v>P2</v>
      </c>
      <c r="AK301" t="str">
        <f>IF($A301="","",IF(COUNTIFS(Human_Data_Entry!$A$3:$A$525,$A301)&gt;0,"YES","NO"))</f>
        <v>YES</v>
      </c>
      <c r="AL301" t="str">
        <f>IF($A301="","",IF(AND($C301&amp;"-"&amp;$D301&gt;=Settings!$B$19,$C301&amp;"-"&amp;$D301&lt;=Settings!$B$20),"IN","OUT"))</f>
        <v>IN</v>
      </c>
      <c r="AM301" t="str">
        <f t="shared" si="16"/>
        <v/>
      </c>
      <c r="AN301" t="str">
        <f t="shared" si="17"/>
        <v/>
      </c>
      <c r="AO301" t="str">
        <f>IF(ISNUMBER($AM301),ABS(IF(ISNUMBER($G301),$G301,0)-Settings!$B$25),"")</f>
        <v/>
      </c>
      <c r="AP301" t="str">
        <f t="shared" si="18"/>
        <v/>
      </c>
      <c r="AQ301" t="str">
        <f>IF(ISNUMBER($AN301),ABS(IF(ISNUMBER($G301),$G301,0)-Settings!$B$25),"")</f>
        <v/>
      </c>
      <c r="AR301" t="str">
        <f t="shared" si="19"/>
        <v/>
      </c>
      <c r="AS301" t="str">
        <f>IF($A301="","",IFERROR(INDEX(Company_List!$H$3:$H$207,MATCH($A301,Company_List!$A$3:$A$207,0)),"unassigned"))</f>
        <v>Energy</v>
      </c>
    </row>
    <row r="302" spans="1:45" x14ac:dyDescent="0.2">
      <c r="A302" s="1" t="s">
        <v>1726</v>
      </c>
      <c r="B302" s="120" t="s">
        <v>1730</v>
      </c>
      <c r="C302">
        <v>2025</v>
      </c>
      <c r="D302" t="s">
        <v>555</v>
      </c>
      <c r="E302" t="s">
        <v>2045</v>
      </c>
      <c r="F302" t="s">
        <v>1912</v>
      </c>
      <c r="G302">
        <v>0.155</v>
      </c>
      <c r="H302" t="s">
        <v>1913</v>
      </c>
      <c r="J302" s="165">
        <v>45870</v>
      </c>
      <c r="K302" s="165">
        <v>45855</v>
      </c>
      <c r="L302">
        <v>108.2107</v>
      </c>
      <c r="M302" s="165">
        <v>45856</v>
      </c>
      <c r="N302">
        <v>107.6777</v>
      </c>
      <c r="O302">
        <v>1.0159E-2</v>
      </c>
      <c r="P302">
        <v>3.2000000000000002E-3</v>
      </c>
      <c r="V302" t="s">
        <v>1183</v>
      </c>
      <c r="AG302" t="str">
        <f>IF($A302="","",IFERROR(INDEX(Company_List!$G$3:$G$207,MATCH($A302,Company_List!$A$3:$A$207,0)),"unassigned"))</f>
        <v>P2</v>
      </c>
      <c r="AK302" t="str">
        <f>IF($A302="","",IF(COUNTIFS(Human_Data_Entry!$A$3:$A$525,$A302)&gt;0,"YES","NO"))</f>
        <v>YES</v>
      </c>
      <c r="AL302" t="str">
        <f>IF($A302="","",IF(AND($C302&amp;"-"&amp;$D302&gt;=Settings!$B$19,$C302&amp;"-"&amp;$D302&lt;=Settings!$B$20),"IN","OUT"))</f>
        <v>IN</v>
      </c>
      <c r="AM302" t="str">
        <f t="shared" si="16"/>
        <v/>
      </c>
      <c r="AN302" t="str">
        <f t="shared" si="17"/>
        <v/>
      </c>
      <c r="AO302" t="str">
        <f>IF(ISNUMBER($AM302),ABS(IF(ISNUMBER($G302),$G302,0)-Settings!$B$25),"")</f>
        <v/>
      </c>
      <c r="AP302" t="str">
        <f t="shared" si="18"/>
        <v/>
      </c>
      <c r="AQ302" t="str">
        <f>IF(ISNUMBER($AN302),ABS(IF(ISNUMBER($G302),$G302,0)-Settings!$B$25),"")</f>
        <v/>
      </c>
      <c r="AR302" t="str">
        <f t="shared" si="19"/>
        <v/>
      </c>
      <c r="AS302" t="str">
        <f>IF($A302="","",IFERROR(INDEX(Company_List!$H$3:$H$207,MATCH($A302,Company_List!$A$3:$A$207,0)),"unassigned"))</f>
        <v>Energy</v>
      </c>
    </row>
    <row r="303" spans="1:45" x14ac:dyDescent="0.2">
      <c r="A303" s="1" t="s">
        <v>1878</v>
      </c>
      <c r="B303" s="120" t="s">
        <v>2048</v>
      </c>
      <c r="C303">
        <v>2025</v>
      </c>
      <c r="D303" t="s">
        <v>555</v>
      </c>
      <c r="E303" t="s">
        <v>2045</v>
      </c>
      <c r="F303" t="s">
        <v>1912</v>
      </c>
      <c r="G303">
        <v>0.1</v>
      </c>
      <c r="H303" t="s">
        <v>1913</v>
      </c>
      <c r="J303" s="165">
        <v>45870</v>
      </c>
      <c r="K303" s="165">
        <v>45855</v>
      </c>
      <c r="L303">
        <v>67.736999999999995</v>
      </c>
      <c r="M303" s="165">
        <v>45856</v>
      </c>
      <c r="N303">
        <v>68.584500000000006</v>
      </c>
      <c r="O303">
        <v>5.3309999999999998E-3</v>
      </c>
      <c r="P303">
        <v>4.7000000000000002E-3</v>
      </c>
      <c r="V303" t="s">
        <v>1183</v>
      </c>
      <c r="AG303" t="str">
        <f>IF($A303="","",IFERROR(INDEX(Company_List!$G$3:$G$207,MATCH($A303,Company_List!$A$3:$A$207,0)),"unassigned"))</f>
        <v>P2</v>
      </c>
      <c r="AK303" t="str">
        <f>IF($A303="","",IF(COUNTIFS(Human_Data_Entry!$A$3:$A$525,$A303)&gt;0,"YES","NO"))</f>
        <v>YES</v>
      </c>
      <c r="AL303" t="str">
        <f>IF($A303="","",IF(AND($C303&amp;"-"&amp;$D303&gt;=Settings!$B$19,$C303&amp;"-"&amp;$D303&lt;=Settings!$B$20),"IN","OUT"))</f>
        <v>IN</v>
      </c>
      <c r="AM303" t="str">
        <f t="shared" si="16"/>
        <v/>
      </c>
      <c r="AN303" t="str">
        <f t="shared" si="17"/>
        <v/>
      </c>
      <c r="AO303" t="str">
        <f>IF(ISNUMBER($AM303),ABS(IF(ISNUMBER($G303),$G303,0)-Settings!$B$25),"")</f>
        <v/>
      </c>
      <c r="AP303" t="str">
        <f t="shared" si="18"/>
        <v/>
      </c>
      <c r="AQ303" t="str">
        <f>IF(ISNUMBER($AN303),ABS(IF(ISNUMBER($G303),$G303,0)-Settings!$B$25),"")</f>
        <v/>
      </c>
      <c r="AR303" t="str">
        <f t="shared" si="19"/>
        <v/>
      </c>
      <c r="AS303" t="str">
        <f>IF($A303="","",IFERROR(INDEX(Company_List!$H$3:$H$207,MATCH($A303,Company_List!$A$3:$A$207,0)),"unassigned"))</f>
        <v>Energy</v>
      </c>
    </row>
    <row r="304" spans="1:45" x14ac:dyDescent="0.2">
      <c r="A304" s="1" t="s">
        <v>1660</v>
      </c>
      <c r="B304" s="120" t="s">
        <v>1662</v>
      </c>
      <c r="C304">
        <v>2025</v>
      </c>
      <c r="D304" t="s">
        <v>555</v>
      </c>
      <c r="E304" t="s">
        <v>2045</v>
      </c>
      <c r="F304" t="s">
        <v>1912</v>
      </c>
      <c r="G304">
        <v>0.1825</v>
      </c>
      <c r="H304" t="s">
        <v>1913</v>
      </c>
      <c r="J304" s="165">
        <v>45874</v>
      </c>
      <c r="K304" s="165">
        <v>45859</v>
      </c>
      <c r="L304">
        <v>115.78400000000001</v>
      </c>
      <c r="M304" s="165">
        <v>45860</v>
      </c>
      <c r="N304">
        <v>116.0643</v>
      </c>
      <c r="O304">
        <v>1.1422E-2</v>
      </c>
      <c r="P304">
        <v>5.3E-3</v>
      </c>
      <c r="V304" t="s">
        <v>1183</v>
      </c>
      <c r="AG304" t="str">
        <f>IF($A304="","",IFERROR(INDEX(Company_List!$G$3:$G$207,MATCH($A304,Company_List!$A$3:$A$207,0)),"unassigned"))</f>
        <v>P2</v>
      </c>
      <c r="AK304" t="str">
        <f>IF($A304="","",IF(COUNTIFS(Human_Data_Entry!$A$3:$A$525,$A304)&gt;0,"YES","NO"))</f>
        <v>YES</v>
      </c>
      <c r="AL304" t="str">
        <f>IF($A304="","",IF(AND($C304&amp;"-"&amp;$D304&gt;=Settings!$B$19,$C304&amp;"-"&amp;$D304&lt;=Settings!$B$20),"IN","OUT"))</f>
        <v>IN</v>
      </c>
      <c r="AM304" t="str">
        <f t="shared" si="16"/>
        <v/>
      </c>
      <c r="AN304" t="str">
        <f t="shared" si="17"/>
        <v/>
      </c>
      <c r="AO304" t="str">
        <f>IF(ISNUMBER($AM304),ABS(IF(ISNUMBER($G304),$G304,0)-Settings!$B$25),"")</f>
        <v/>
      </c>
      <c r="AP304" t="str">
        <f t="shared" si="18"/>
        <v/>
      </c>
      <c r="AQ304" t="str">
        <f>IF(ISNUMBER($AN304),ABS(IF(ISNUMBER($G304),$G304,0)-Settings!$B$25),"")</f>
        <v/>
      </c>
      <c r="AR304" t="str">
        <f t="shared" si="19"/>
        <v/>
      </c>
      <c r="AS304" t="str">
        <f>IF($A304="","",IFERROR(INDEX(Company_List!$H$3:$H$207,MATCH($A304,Company_List!$A$3:$A$207,0)),"unassigned"))</f>
        <v>Utilities</v>
      </c>
    </row>
    <row r="305" spans="1:45" x14ac:dyDescent="0.2">
      <c r="A305" s="1" t="s">
        <v>1235</v>
      </c>
      <c r="B305" s="120" t="s">
        <v>1236</v>
      </c>
      <c r="C305">
        <v>2025</v>
      </c>
      <c r="D305" t="s">
        <v>555</v>
      </c>
      <c r="E305" t="s">
        <v>2045</v>
      </c>
      <c r="F305" t="s">
        <v>1912</v>
      </c>
      <c r="G305">
        <v>0.1825</v>
      </c>
      <c r="H305" t="s">
        <v>1913</v>
      </c>
      <c r="J305" s="165">
        <v>45876</v>
      </c>
      <c r="K305" s="165">
        <v>45861</v>
      </c>
      <c r="L305">
        <v>144</v>
      </c>
      <c r="M305" s="165">
        <v>45862</v>
      </c>
      <c r="N305">
        <v>145</v>
      </c>
      <c r="O305">
        <v>5.3179999999999998E-3</v>
      </c>
      <c r="P305">
        <v>7.8799999999999995E-2</v>
      </c>
      <c r="V305" t="s">
        <v>1183</v>
      </c>
      <c r="AG305" t="str">
        <f>IF($A305="","",IFERROR(INDEX(Company_List!$G$3:$G$207,MATCH($A305,Company_List!$A$3:$A$207,0)),"unassigned"))</f>
        <v>P3</v>
      </c>
      <c r="AK305" t="str">
        <f>IF($A305="","",IF(COUNTIFS(Human_Data_Entry!$A$3:$A$525,$A305)&gt;0,"YES","NO"))</f>
        <v>YES</v>
      </c>
      <c r="AL305" t="str">
        <f>IF($A305="","",IF(AND($C305&amp;"-"&amp;$D305&gt;=Settings!$B$19,$C305&amp;"-"&amp;$D305&lt;=Settings!$B$20),"IN","OUT"))</f>
        <v>IN</v>
      </c>
      <c r="AM305" t="str">
        <f t="shared" si="16"/>
        <v/>
      </c>
      <c r="AN305" t="str">
        <f t="shared" si="17"/>
        <v/>
      </c>
      <c r="AO305" t="str">
        <f>IF(ISNUMBER($AM305),ABS(IF(ISNUMBER($G305),$G305,0)-Settings!$B$25),"")</f>
        <v/>
      </c>
      <c r="AP305" t="str">
        <f t="shared" si="18"/>
        <v/>
      </c>
      <c r="AQ305" t="str">
        <f>IF(ISNUMBER($AN305),ABS(IF(ISNUMBER($G305),$G305,0)-Settings!$B$25),"")</f>
        <v/>
      </c>
      <c r="AR305" t="str">
        <f t="shared" si="19"/>
        <v/>
      </c>
      <c r="AS305" t="str">
        <f>IF($A305="","",IFERROR(INDEX(Company_List!$H$3:$H$207,MATCH($A305,Company_List!$A$3:$A$207,0)),"unassigned"))</f>
        <v>Information Technology</v>
      </c>
    </row>
    <row r="306" spans="1:45" x14ac:dyDescent="0.2">
      <c r="A306" s="1" t="s">
        <v>1530</v>
      </c>
      <c r="B306" s="120" t="s">
        <v>1532</v>
      </c>
      <c r="C306">
        <v>2025</v>
      </c>
      <c r="D306" t="s">
        <v>555</v>
      </c>
      <c r="E306" t="s">
        <v>2045</v>
      </c>
      <c r="F306" t="s">
        <v>1912</v>
      </c>
      <c r="G306">
        <v>0.1</v>
      </c>
      <c r="H306" t="s">
        <v>1913</v>
      </c>
      <c r="J306" s="165">
        <v>45888</v>
      </c>
      <c r="K306" s="165">
        <v>45873</v>
      </c>
      <c r="L306">
        <v>370.9572</v>
      </c>
      <c r="M306" s="165">
        <v>45874</v>
      </c>
      <c r="N306">
        <v>371.97019999999998</v>
      </c>
      <c r="O306">
        <v>8.6549999999999995E-3</v>
      </c>
      <c r="P306">
        <v>1.6E-2</v>
      </c>
      <c r="V306" t="s">
        <v>1183</v>
      </c>
      <c r="AG306" t="str">
        <f>IF($A306="","",IFERROR(INDEX(Company_List!$G$3:$G$207,MATCH($A306,Company_List!$A$3:$A$207,0)),"unassigned"))</f>
        <v>P3</v>
      </c>
      <c r="AK306" t="str">
        <f>IF($A306="","",IF(COUNTIFS(Human_Data_Entry!$A$3:$A$525,$A306)&gt;0,"YES","NO"))</f>
        <v>YES</v>
      </c>
      <c r="AL306" t="str">
        <f>IF($A306="","",IF(AND($C306&amp;"-"&amp;$D306&gt;=Settings!$B$19,$C306&amp;"-"&amp;$D306&lt;=Settings!$B$20),"IN","OUT"))</f>
        <v>IN</v>
      </c>
      <c r="AM306" t="str">
        <f t="shared" si="16"/>
        <v/>
      </c>
      <c r="AN306" t="str">
        <f t="shared" si="17"/>
        <v/>
      </c>
      <c r="AO306" t="str">
        <f>IF(ISNUMBER($AM306),ABS(IF(ISNUMBER($G306),$G306,0)-Settings!$B$25),"")</f>
        <v/>
      </c>
      <c r="AP306" t="str">
        <f t="shared" si="18"/>
        <v/>
      </c>
      <c r="AQ306" t="str">
        <f>IF(ISNUMBER($AN306),ABS(IF(ISNUMBER($G306),$G306,0)-Settings!$B$25),"")</f>
        <v/>
      </c>
      <c r="AR306" t="str">
        <f t="shared" si="19"/>
        <v/>
      </c>
      <c r="AS306" t="str">
        <f>IF($A306="","",IFERROR(INDEX(Company_List!$H$3:$H$207,MATCH($A306,Company_List!$A$3:$A$207,0)),"unassigned"))</f>
        <v>Consumer Discretionary</v>
      </c>
    </row>
    <row r="307" spans="1:45" x14ac:dyDescent="0.2">
      <c r="A307" s="1" t="s">
        <v>1521</v>
      </c>
      <c r="B307" s="120" t="s">
        <v>1523</v>
      </c>
      <c r="C307">
        <v>2025</v>
      </c>
      <c r="D307" t="s">
        <v>555</v>
      </c>
      <c r="E307" t="s">
        <v>2045</v>
      </c>
      <c r="F307" t="s">
        <v>1912</v>
      </c>
      <c r="G307">
        <v>8.2500000000000004E-2</v>
      </c>
      <c r="H307" t="s">
        <v>1913</v>
      </c>
      <c r="J307" s="165">
        <v>45890</v>
      </c>
      <c r="K307" s="165">
        <v>45875</v>
      </c>
      <c r="L307">
        <v>220.45419999999999</v>
      </c>
      <c r="M307" s="165">
        <v>45876</v>
      </c>
      <c r="N307">
        <v>222.12620000000001</v>
      </c>
      <c r="O307">
        <v>9.0119999999999992E-3</v>
      </c>
      <c r="P307">
        <v>-8.9999999999999998E-4</v>
      </c>
      <c r="V307" t="s">
        <v>1183</v>
      </c>
      <c r="AG307" t="str">
        <f>IF($A307="","",IFERROR(INDEX(Company_List!$G$3:$G$207,MATCH($A307,Company_List!$A$3:$A$207,0)),"unassigned"))</f>
        <v>P3</v>
      </c>
      <c r="AK307" t="str">
        <f>IF($A307="","",IF(COUNTIFS(Human_Data_Entry!$A$3:$A$525,$A307)&gt;0,"YES","NO"))</f>
        <v>YES</v>
      </c>
      <c r="AL307" t="str">
        <f>IF($A307="","",IF(AND($C307&amp;"-"&amp;$D307&gt;=Settings!$B$19,$C307&amp;"-"&amp;$D307&lt;=Settings!$B$20),"IN","OUT"))</f>
        <v>IN</v>
      </c>
      <c r="AM307" t="str">
        <f t="shared" si="16"/>
        <v/>
      </c>
      <c r="AN307" t="str">
        <f t="shared" si="17"/>
        <v/>
      </c>
      <c r="AO307" t="str">
        <f>IF(ISNUMBER($AM307),ABS(IF(ISNUMBER($G307),$G307,0)-Settings!$B$25),"")</f>
        <v/>
      </c>
      <c r="AP307" t="str">
        <f t="shared" si="18"/>
        <v/>
      </c>
      <c r="AQ307" t="str">
        <f>IF(ISNUMBER($AN307),ABS(IF(ISNUMBER($G307),$G307,0)-Settings!$B$25),"")</f>
        <v/>
      </c>
      <c r="AR307" t="str">
        <f t="shared" si="19"/>
        <v/>
      </c>
      <c r="AS307" t="str">
        <f>IF($A307="","",IFERROR(INDEX(Company_List!$H$3:$H$207,MATCH($A307,Company_List!$A$3:$A$207,0)),"unassigned"))</f>
        <v>Industrials</v>
      </c>
    </row>
    <row r="308" spans="1:45" x14ac:dyDescent="0.2">
      <c r="A308" s="1" t="s">
        <v>1536</v>
      </c>
      <c r="B308" s="120" t="s">
        <v>1538</v>
      </c>
      <c r="C308">
        <v>2025</v>
      </c>
      <c r="D308" t="s">
        <v>563</v>
      </c>
      <c r="E308" t="s">
        <v>2045</v>
      </c>
      <c r="F308" t="s">
        <v>1912</v>
      </c>
      <c r="G308">
        <v>0.30249999999999999</v>
      </c>
      <c r="H308" t="s">
        <v>1919</v>
      </c>
      <c r="J308" s="165">
        <v>45911</v>
      </c>
      <c r="K308" s="165">
        <v>45896</v>
      </c>
      <c r="L308">
        <v>356.35</v>
      </c>
      <c r="M308" s="165">
        <v>45897</v>
      </c>
      <c r="N308">
        <v>357.63</v>
      </c>
      <c r="O308">
        <v>8.0940000000000005E-3</v>
      </c>
      <c r="P308">
        <v>3.0099999999999998E-2</v>
      </c>
      <c r="V308" t="s">
        <v>1183</v>
      </c>
      <c r="AG308" t="str">
        <f>IF($A308="","",IFERROR(INDEX(Company_List!$G$3:$G$207,MATCH($A308,Company_List!$A$3:$A$207,0)),"unassigned"))</f>
        <v>P3</v>
      </c>
      <c r="AK308" t="str">
        <f>IF($A308="","",IF(COUNTIFS(Human_Data_Entry!$A$3:$A$525,$A308)&gt;0,"YES","NO"))</f>
        <v>YES</v>
      </c>
      <c r="AL308" t="str">
        <f>IF($A308="","",IF(AND($C308&amp;"-"&amp;$D308&gt;=Settings!$B$19,$C308&amp;"-"&amp;$D308&lt;=Settings!$B$20),"IN","OUT"))</f>
        <v>IN</v>
      </c>
      <c r="AM308" t="str">
        <f t="shared" si="16"/>
        <v/>
      </c>
      <c r="AN308" t="str">
        <f t="shared" si="17"/>
        <v/>
      </c>
      <c r="AO308" t="str">
        <f>IF(ISNUMBER($AM308),ABS(IF(ISNUMBER($G308),$G308,0)-Settings!$B$25),"")</f>
        <v/>
      </c>
      <c r="AP308" t="str">
        <f t="shared" si="18"/>
        <v/>
      </c>
      <c r="AQ308" t="str">
        <f>IF(ISNUMBER($AN308),ABS(IF(ISNUMBER($G308),$G308,0)-Settings!$B$25),"")</f>
        <v/>
      </c>
      <c r="AR308" t="str">
        <f t="shared" si="19"/>
        <v/>
      </c>
      <c r="AS308" t="str">
        <f>IF($A308="","",IFERROR(INDEX(Company_List!$H$3:$H$207,MATCH($A308,Company_List!$A$3:$A$207,0)),"unassigned"))</f>
        <v>Information Technology</v>
      </c>
    </row>
    <row r="309" spans="1:45" x14ac:dyDescent="0.2">
      <c r="A309" s="1" t="s">
        <v>1381</v>
      </c>
      <c r="B309" s="120" t="s">
        <v>1385</v>
      </c>
      <c r="C309">
        <v>2025</v>
      </c>
      <c r="D309" t="s">
        <v>569</v>
      </c>
      <c r="E309" t="s">
        <v>2045</v>
      </c>
      <c r="F309" t="s">
        <v>1912</v>
      </c>
      <c r="G309">
        <v>0.13750000000000001</v>
      </c>
      <c r="H309" t="s">
        <v>1913</v>
      </c>
      <c r="J309" s="165">
        <v>45925</v>
      </c>
      <c r="K309" s="165">
        <v>45910</v>
      </c>
      <c r="L309">
        <v>950.74270000000001</v>
      </c>
      <c r="M309" s="165">
        <v>45911</v>
      </c>
      <c r="N309">
        <v>952.2441</v>
      </c>
      <c r="O309">
        <v>8.2690000000000003E-3</v>
      </c>
      <c r="P309">
        <v>-1.8800000000000001E-2</v>
      </c>
      <c r="V309" t="s">
        <v>1183</v>
      </c>
      <c r="AG309" t="str">
        <f>IF($A309="","",IFERROR(INDEX(Company_List!$G$3:$G$207,MATCH($A309,Company_List!$A$3:$A$207,0)),"unassigned"))</f>
        <v>both</v>
      </c>
      <c r="AK309" t="str">
        <f>IF($A309="","",IF(COUNTIFS(Human_Data_Entry!$A$3:$A$525,$A309)&gt;0,"YES","NO"))</f>
        <v>YES</v>
      </c>
      <c r="AL309" t="str">
        <f>IF($A309="","",IF(AND($C309&amp;"-"&amp;$D309&gt;=Settings!$B$19,$C309&amp;"-"&amp;$D309&lt;=Settings!$B$20),"IN","OUT"))</f>
        <v>IN</v>
      </c>
      <c r="AM309" t="str">
        <f t="shared" si="16"/>
        <v/>
      </c>
      <c r="AN309" t="str">
        <f t="shared" si="17"/>
        <v/>
      </c>
      <c r="AO309" t="str">
        <f>IF(ISNUMBER($AM309),ABS(IF(ISNUMBER($G309),$G309,0)-Settings!$B$25),"")</f>
        <v/>
      </c>
      <c r="AP309" t="str">
        <f t="shared" si="18"/>
        <v/>
      </c>
      <c r="AQ309" t="str">
        <f>IF(ISNUMBER($AN309),ABS(IF(ISNUMBER($G309),$G309,0)-Settings!$B$25),"")</f>
        <v/>
      </c>
      <c r="AR309" t="str">
        <f t="shared" si="19"/>
        <v/>
      </c>
      <c r="AS309" t="str">
        <f>IF($A309="","",IFERROR(INDEX(Company_List!$H$3:$H$207,MATCH($A309,Company_List!$A$3:$A$207,0)),"unassigned"))</f>
        <v>Consumer Staples</v>
      </c>
    </row>
    <row r="310" spans="1:45" x14ac:dyDescent="0.2">
      <c r="A310" s="1" t="s">
        <v>1216</v>
      </c>
      <c r="B310" s="120" t="s">
        <v>1219</v>
      </c>
      <c r="C310">
        <v>2025</v>
      </c>
      <c r="D310" t="s">
        <v>563</v>
      </c>
      <c r="E310" t="s">
        <v>2045</v>
      </c>
      <c r="F310" t="s">
        <v>1912</v>
      </c>
      <c r="G310">
        <v>-0.1925</v>
      </c>
      <c r="H310" t="s">
        <v>1923</v>
      </c>
      <c r="J310" s="165">
        <v>45931</v>
      </c>
      <c r="K310" s="165">
        <v>45916</v>
      </c>
      <c r="L310">
        <v>64.886300000000006</v>
      </c>
      <c r="M310" s="165">
        <v>45917</v>
      </c>
      <c r="N310">
        <v>64.945700000000002</v>
      </c>
      <c r="O310">
        <v>5.8510000000000003E-3</v>
      </c>
      <c r="P310">
        <v>-2.7000000000000001E-3</v>
      </c>
      <c r="V310" t="s">
        <v>1183</v>
      </c>
      <c r="AG310" t="str">
        <f>IF($A310="","",IFERROR(INDEX(Company_List!$G$3:$G$207,MATCH($A310,Company_List!$A$3:$A$207,0)),"unassigned"))</f>
        <v>P3</v>
      </c>
      <c r="AK310" t="str">
        <f>IF($A310="","",IF(COUNTIFS(Human_Data_Entry!$A$3:$A$525,$A310)&gt;0,"YES","NO"))</f>
        <v>YES</v>
      </c>
      <c r="AL310" t="str">
        <f>IF($A310="","",IF(AND($C310&amp;"-"&amp;$D310&gt;=Settings!$B$19,$C310&amp;"-"&amp;$D310&lt;=Settings!$B$20),"IN","OUT"))</f>
        <v>IN</v>
      </c>
      <c r="AM310" t="str">
        <f t="shared" si="16"/>
        <v/>
      </c>
      <c r="AN310" t="str">
        <f t="shared" si="17"/>
        <v/>
      </c>
      <c r="AO310" t="str">
        <f>IF(ISNUMBER($AM310),ABS(IF(ISNUMBER($G310),$G310,0)-Settings!$B$25),"")</f>
        <v/>
      </c>
      <c r="AP310" t="str">
        <f t="shared" si="18"/>
        <v/>
      </c>
      <c r="AQ310" t="str">
        <f>IF(ISNUMBER($AN310),ABS(IF(ISNUMBER($G310),$G310,0)-Settings!$B$25),"")</f>
        <v/>
      </c>
      <c r="AR310" t="str">
        <f t="shared" si="19"/>
        <v/>
      </c>
      <c r="AS310" t="str">
        <f>IF($A310="","",IFERROR(INDEX(Company_List!$H$3:$H$207,MATCH($A310,Company_List!$A$3:$A$207,0)),"unassigned"))</f>
        <v>Consumer Staples</v>
      </c>
    </row>
    <row r="311" spans="1:45" x14ac:dyDescent="0.2">
      <c r="A311" s="1" t="s">
        <v>1252</v>
      </c>
      <c r="B311" s="120" t="s">
        <v>2047</v>
      </c>
      <c r="C311">
        <v>2025</v>
      </c>
      <c r="D311" t="s">
        <v>563</v>
      </c>
      <c r="E311" t="s">
        <v>2045</v>
      </c>
      <c r="F311" t="s">
        <v>1912</v>
      </c>
      <c r="G311">
        <v>8.2500000000000004E-2</v>
      </c>
      <c r="H311" t="s">
        <v>1913</v>
      </c>
      <c r="J311" s="165">
        <v>45931</v>
      </c>
      <c r="K311" s="165">
        <v>45916</v>
      </c>
      <c r="L311">
        <v>2106.4025999999999</v>
      </c>
      <c r="M311" s="165">
        <v>45917</v>
      </c>
      <c r="N311">
        <v>2105.9077000000002</v>
      </c>
      <c r="O311">
        <v>5.5300000000000002E-3</v>
      </c>
      <c r="P311">
        <v>2.5999999999999999E-3</v>
      </c>
      <c r="V311" t="s">
        <v>1183</v>
      </c>
      <c r="AG311" t="str">
        <f>IF($A311="","",IFERROR(INDEX(Company_List!$G$3:$G$207,MATCH($A311,Company_List!$A$3:$A$207,0)),"unassigned"))</f>
        <v>unassigned</v>
      </c>
      <c r="AK311" t="str">
        <f>IF($A311="","",IF(COUNTIFS(Human_Data_Entry!$A$3:$A$525,$A311)&gt;0,"YES","NO"))</f>
        <v>YES</v>
      </c>
      <c r="AL311" t="str">
        <f>IF($A311="","",IF(AND($C311&amp;"-"&amp;$D311&gt;=Settings!$B$19,$C311&amp;"-"&amp;$D311&lt;=Settings!$B$20),"IN","OUT"))</f>
        <v>IN</v>
      </c>
      <c r="AM311" t="str">
        <f t="shared" si="16"/>
        <v/>
      </c>
      <c r="AN311" t="str">
        <f t="shared" si="17"/>
        <v/>
      </c>
      <c r="AO311" t="str">
        <f>IF(ISNUMBER($AM311),ABS(IF(ISNUMBER($G311),$G311,0)-Settings!$B$25),"")</f>
        <v/>
      </c>
      <c r="AP311" t="str">
        <f t="shared" si="18"/>
        <v/>
      </c>
      <c r="AQ311" t="str">
        <f>IF(ISNUMBER($AN311),ABS(IF(ISNUMBER($G311),$G311,0)-Settings!$B$25),"")</f>
        <v/>
      </c>
      <c r="AR311" t="str">
        <f t="shared" si="19"/>
        <v/>
      </c>
      <c r="AS311" t="str">
        <f>IF($A311="","",IFERROR(INDEX(Company_List!$H$3:$H$207,MATCH($A311,Company_List!$A$3:$A$207,0)),"unassigned"))</f>
        <v>unassigned</v>
      </c>
    </row>
    <row r="312" spans="1:45" x14ac:dyDescent="0.2">
      <c r="A312" s="1" t="s">
        <v>1793</v>
      </c>
      <c r="B312" s="120" t="s">
        <v>1796</v>
      </c>
      <c r="C312">
        <v>2025</v>
      </c>
      <c r="D312" t="s">
        <v>563</v>
      </c>
      <c r="E312" t="s">
        <v>2045</v>
      </c>
      <c r="F312" t="s">
        <v>1912</v>
      </c>
      <c r="G312">
        <v>0.4375</v>
      </c>
      <c r="H312" t="s">
        <v>1919</v>
      </c>
      <c r="J312" s="165">
        <v>45947</v>
      </c>
      <c r="K312" s="165">
        <v>45932</v>
      </c>
      <c r="L312">
        <v>326.98250000000002</v>
      </c>
      <c r="M312" s="165">
        <v>45933</v>
      </c>
      <c r="N312">
        <v>328.4864</v>
      </c>
      <c r="O312">
        <v>7.3350000000000004E-3</v>
      </c>
      <c r="P312">
        <v>2.87E-2</v>
      </c>
      <c r="V312" t="s">
        <v>1183</v>
      </c>
      <c r="AG312" t="str">
        <f>IF($A312="","",IFERROR(INDEX(Company_List!$G$3:$G$207,MATCH($A312,Company_List!$A$3:$A$207,0)),"unassigned"))</f>
        <v>P2</v>
      </c>
      <c r="AK312" t="str">
        <f>IF($A312="","",IF(COUNTIFS(Human_Data_Entry!$A$3:$A$525,$A312)&gt;0,"YES","NO"))</f>
        <v>YES</v>
      </c>
      <c r="AL312" t="str">
        <f>IF($A312="","",IF(AND($C312&amp;"-"&amp;$D312&gt;=Settings!$B$19,$C312&amp;"-"&amp;$D312&lt;=Settings!$B$20),"IN","OUT"))</f>
        <v>IN</v>
      </c>
      <c r="AM312" t="str">
        <f t="shared" si="16"/>
        <v/>
      </c>
      <c r="AN312" t="str">
        <f t="shared" si="17"/>
        <v/>
      </c>
      <c r="AO312" t="str">
        <f>IF(ISNUMBER($AM312),ABS(IF(ISNUMBER($G312),$G312,0)-Settings!$B$25),"")</f>
        <v/>
      </c>
      <c r="AP312" t="str">
        <f t="shared" si="18"/>
        <v/>
      </c>
      <c r="AQ312" t="str">
        <f>IF(ISNUMBER($AN312),ABS(IF(ISNUMBER($G312),$G312,0)-Settings!$B$25),"")</f>
        <v/>
      </c>
      <c r="AR312" t="str">
        <f t="shared" si="19"/>
        <v/>
      </c>
      <c r="AS312" t="str">
        <f>IF($A312="","",IFERROR(INDEX(Company_List!$H$3:$H$207,MATCH($A312,Company_List!$A$3:$A$207,0)),"unassigned"))</f>
        <v>Financials</v>
      </c>
    </row>
    <row r="313" spans="1:45" x14ac:dyDescent="0.2">
      <c r="A313" s="1" t="s">
        <v>1835</v>
      </c>
      <c r="B313" s="120" t="s">
        <v>1836</v>
      </c>
      <c r="C313">
        <v>2025</v>
      </c>
      <c r="D313" t="s">
        <v>563</v>
      </c>
      <c r="E313" t="s">
        <v>2045</v>
      </c>
      <c r="F313" t="s">
        <v>1912</v>
      </c>
      <c r="G313">
        <v>0.27250000000000002</v>
      </c>
      <c r="H313" t="s">
        <v>1919</v>
      </c>
      <c r="J313" s="165">
        <v>45953</v>
      </c>
      <c r="K313" s="165">
        <v>45938</v>
      </c>
      <c r="L313">
        <v>37.43</v>
      </c>
      <c r="M313" s="165">
        <v>45939</v>
      </c>
      <c r="N313">
        <v>37.53</v>
      </c>
      <c r="O313">
        <v>9.1219999999999999E-3</v>
      </c>
      <c r="P313">
        <v>4.87E-2</v>
      </c>
      <c r="V313" t="s">
        <v>1183</v>
      </c>
      <c r="AG313" t="str">
        <f>IF($A313="","",IFERROR(INDEX(Company_List!$G$3:$G$207,MATCH($A313,Company_List!$A$3:$A$207,0)),"unassigned"))</f>
        <v>P2</v>
      </c>
      <c r="AK313" t="str">
        <f>IF($A313="","",IF(COUNTIFS(Human_Data_Entry!$A$3:$A$525,$A313)&gt;0,"YES","NO"))</f>
        <v>YES</v>
      </c>
      <c r="AL313" t="str">
        <f>IF($A313="","",IF(AND($C313&amp;"-"&amp;$D313&gt;=Settings!$B$19,$C313&amp;"-"&amp;$D313&lt;=Settings!$B$20),"IN","OUT"))</f>
        <v>IN</v>
      </c>
      <c r="AM313" t="str">
        <f t="shared" si="16"/>
        <v/>
      </c>
      <c r="AN313" t="str">
        <f t="shared" si="17"/>
        <v/>
      </c>
      <c r="AO313" t="str">
        <f>IF(ISNUMBER($AM313),ABS(IF(ISNUMBER($G313),$G313,0)-Settings!$B$25),"")</f>
        <v/>
      </c>
      <c r="AP313" t="str">
        <f t="shared" si="18"/>
        <v/>
      </c>
      <c r="AQ313" t="str">
        <f>IF(ISNUMBER($AN313),ABS(IF(ISNUMBER($G313),$G313,0)-Settings!$B$25),"")</f>
        <v/>
      </c>
      <c r="AR313" t="str">
        <f t="shared" si="19"/>
        <v/>
      </c>
      <c r="AS313" t="str">
        <f>IF($A313="","",IFERROR(INDEX(Company_List!$H$3:$H$207,MATCH($A313,Company_List!$A$3:$A$207,0)),"unassigned"))</f>
        <v>Information Technology</v>
      </c>
    </row>
    <row r="314" spans="1:45" x14ac:dyDescent="0.2">
      <c r="A314" s="1" t="s">
        <v>1244</v>
      </c>
      <c r="B314" s="120" t="s">
        <v>1245</v>
      </c>
      <c r="C314">
        <v>2025</v>
      </c>
      <c r="D314" t="s">
        <v>563</v>
      </c>
      <c r="E314" t="s">
        <v>2045</v>
      </c>
      <c r="F314" t="s">
        <v>1912</v>
      </c>
      <c r="G314">
        <v>0.27250000000000002</v>
      </c>
      <c r="H314" t="s">
        <v>1919</v>
      </c>
      <c r="J314" s="165">
        <v>45959</v>
      </c>
      <c r="K314" s="165">
        <v>45944</v>
      </c>
      <c r="L314">
        <v>90.1875</v>
      </c>
      <c r="M314" s="165">
        <v>45945</v>
      </c>
      <c r="N314">
        <v>91.019499999999994</v>
      </c>
      <c r="O314">
        <v>4.8719999999999996E-3</v>
      </c>
      <c r="P314">
        <v>-0.1401</v>
      </c>
      <c r="V314" t="s">
        <v>1183</v>
      </c>
      <c r="AG314" t="str">
        <f>IF($A314="","",IFERROR(INDEX(Company_List!$G$3:$G$207,MATCH($A314,Company_List!$A$3:$A$207,0)),"unassigned"))</f>
        <v>P3</v>
      </c>
      <c r="AK314" t="str">
        <f>IF($A314="","",IF(COUNTIFS(Human_Data_Entry!$A$3:$A$525,$A314)&gt;0,"YES","NO"))</f>
        <v>YES</v>
      </c>
      <c r="AL314" t="str">
        <f>IF($A314="","",IF(AND($C314&amp;"-"&amp;$D314&gt;=Settings!$B$19,$C314&amp;"-"&amp;$D314&lt;=Settings!$B$20),"IN","OUT"))</f>
        <v>IN</v>
      </c>
      <c r="AM314" t="str">
        <f t="shared" si="16"/>
        <v/>
      </c>
      <c r="AN314" t="str">
        <f t="shared" si="17"/>
        <v/>
      </c>
      <c r="AO314" t="str">
        <f>IF(ISNUMBER($AM314),ABS(IF(ISNUMBER($G314),$G314,0)-Settings!$B$25),"")</f>
        <v/>
      </c>
      <c r="AP314" t="str">
        <f t="shared" si="18"/>
        <v/>
      </c>
      <c r="AQ314" t="str">
        <f>IF(ISNUMBER($AN314),ABS(IF(ISNUMBER($G314),$G314,0)-Settings!$B$25),"")</f>
        <v/>
      </c>
      <c r="AR314" t="str">
        <f t="shared" si="19"/>
        <v/>
      </c>
      <c r="AS314" t="str">
        <f>IF($A314="","",IFERROR(INDEX(Company_List!$H$3:$H$207,MATCH($A314,Company_List!$A$3:$A$207,0)),"unassigned"))</f>
        <v>Consumer Discretionary</v>
      </c>
    </row>
    <row r="315" spans="1:45" x14ac:dyDescent="0.2">
      <c r="A315" s="1" t="s">
        <v>1857</v>
      </c>
      <c r="B315" s="120" t="s">
        <v>1858</v>
      </c>
      <c r="C315">
        <v>2025</v>
      </c>
      <c r="D315" t="s">
        <v>563</v>
      </c>
      <c r="E315" t="s">
        <v>2045</v>
      </c>
      <c r="F315" t="s">
        <v>1912</v>
      </c>
      <c r="G315">
        <v>0.27250000000000002</v>
      </c>
      <c r="H315" t="s">
        <v>1919</v>
      </c>
      <c r="J315" s="165">
        <v>45960</v>
      </c>
      <c r="K315" s="165">
        <v>45945</v>
      </c>
      <c r="L315">
        <v>560.06299999999999</v>
      </c>
      <c r="M315" s="165">
        <v>45946</v>
      </c>
      <c r="N315">
        <v>560.053</v>
      </c>
      <c r="O315">
        <v>9.8329999999999997E-3</v>
      </c>
      <c r="P315">
        <v>-5.4000000000000003E-3</v>
      </c>
      <c r="V315" t="s">
        <v>1183</v>
      </c>
      <c r="AG315" t="str">
        <f>IF($A315="","",IFERROR(INDEX(Company_List!$G$3:$G$207,MATCH($A315,Company_List!$A$3:$A$207,0)),"unassigned"))</f>
        <v>P2</v>
      </c>
      <c r="AK315" t="str">
        <f>IF($A315="","",IF(COUNTIFS(Human_Data_Entry!$A$3:$A$525,$A315)&gt;0,"YES","NO"))</f>
        <v>YES</v>
      </c>
      <c r="AL315" t="str">
        <f>IF($A315="","",IF(AND($C315&amp;"-"&amp;$D315&gt;=Settings!$B$19,$C315&amp;"-"&amp;$D315&lt;=Settings!$B$20),"IN","OUT"))</f>
        <v>IN</v>
      </c>
      <c r="AM315" t="str">
        <f t="shared" si="16"/>
        <v/>
      </c>
      <c r="AN315" t="str">
        <f t="shared" si="17"/>
        <v/>
      </c>
      <c r="AO315" t="str">
        <f>IF(ISNUMBER($AM315),ABS(IF(ISNUMBER($G315),$G315,0)-Settings!$B$25),"")</f>
        <v/>
      </c>
      <c r="AP315" t="str">
        <f t="shared" si="18"/>
        <v/>
      </c>
      <c r="AQ315" t="str">
        <f>IF(ISNUMBER($AN315),ABS(IF(ISNUMBER($G315),$G315,0)-Settings!$B$25),"")</f>
        <v/>
      </c>
      <c r="AR315" t="str">
        <f t="shared" si="19"/>
        <v/>
      </c>
      <c r="AS315" t="str">
        <f>IF($A315="","",IFERROR(INDEX(Company_List!$H$3:$H$207,MATCH($A315,Company_List!$A$3:$A$207,0)),"unassigned"))</f>
        <v>Financials</v>
      </c>
    </row>
    <row r="316" spans="1:45" x14ac:dyDescent="0.2">
      <c r="A316" s="1" t="s">
        <v>1814</v>
      </c>
      <c r="B316" s="120" t="s">
        <v>1815</v>
      </c>
      <c r="C316">
        <v>2025</v>
      </c>
      <c r="D316" t="s">
        <v>563</v>
      </c>
      <c r="E316" t="s">
        <v>2045</v>
      </c>
      <c r="F316" t="s">
        <v>1912</v>
      </c>
      <c r="G316">
        <v>0.27250000000000002</v>
      </c>
      <c r="H316" t="s">
        <v>1919</v>
      </c>
      <c r="J316" s="165">
        <v>45961</v>
      </c>
      <c r="K316" s="165">
        <v>45946</v>
      </c>
      <c r="L316">
        <v>147.23230000000001</v>
      </c>
      <c r="M316" s="165">
        <v>45947</v>
      </c>
      <c r="N316">
        <v>147.76609999999999</v>
      </c>
      <c r="O316">
        <v>8.2730000000000008E-3</v>
      </c>
      <c r="P316">
        <v>1.44E-2</v>
      </c>
      <c r="V316" t="s">
        <v>1183</v>
      </c>
      <c r="AG316" t="str">
        <f>IF($A316="","",IFERROR(INDEX(Company_List!$G$3:$G$207,MATCH($A316,Company_List!$A$3:$A$207,0)),"unassigned"))</f>
        <v>P2</v>
      </c>
      <c r="AK316" t="str">
        <f>IF($A316="","",IF(COUNTIFS(Human_Data_Entry!$A$3:$A$525,$A316)&gt;0,"YES","NO"))</f>
        <v>YES</v>
      </c>
      <c r="AL316" t="str">
        <f>IF($A316="","",IF(AND($C316&amp;"-"&amp;$D316&gt;=Settings!$B$19,$C316&amp;"-"&amp;$D316&lt;=Settings!$B$20),"IN","OUT"))</f>
        <v>IN</v>
      </c>
      <c r="AM316" t="str">
        <f t="shared" si="16"/>
        <v/>
      </c>
      <c r="AN316" t="str">
        <f t="shared" si="17"/>
        <v/>
      </c>
      <c r="AO316" t="str">
        <f>IF(ISNUMBER($AM316),ABS(IF(ISNUMBER($G316),$G316,0)-Settings!$B$25),"")</f>
        <v/>
      </c>
      <c r="AP316" t="str">
        <f t="shared" si="18"/>
        <v/>
      </c>
      <c r="AQ316" t="str">
        <f>IF(ISNUMBER($AN316),ABS(IF(ISNUMBER($G316),$G316,0)-Settings!$B$25),"")</f>
        <v/>
      </c>
      <c r="AR316" t="str">
        <f t="shared" si="19"/>
        <v/>
      </c>
      <c r="AS316" t="str">
        <f>IF($A316="","",IFERROR(INDEX(Company_List!$H$3:$H$207,MATCH($A316,Company_List!$A$3:$A$207,0)),"unassigned"))</f>
        <v>Energy</v>
      </c>
    </row>
    <row r="317" spans="1:45" x14ac:dyDescent="0.2">
      <c r="A317" s="1" t="s">
        <v>1176</v>
      </c>
      <c r="B317" s="120" t="s">
        <v>1179</v>
      </c>
      <c r="C317">
        <v>2025</v>
      </c>
      <c r="D317" t="s">
        <v>563</v>
      </c>
      <c r="E317" t="s">
        <v>2045</v>
      </c>
      <c r="F317" t="s">
        <v>1912</v>
      </c>
      <c r="G317">
        <v>-0.14000000000000001</v>
      </c>
      <c r="H317" t="s">
        <v>1923</v>
      </c>
      <c r="J317" s="165">
        <v>45961</v>
      </c>
      <c r="K317" s="165">
        <v>45946</v>
      </c>
      <c r="L317">
        <v>76.1751</v>
      </c>
      <c r="M317" s="165">
        <v>45947</v>
      </c>
      <c r="N317">
        <v>76.617099999999994</v>
      </c>
      <c r="O317">
        <v>4.9360000000000003E-3</v>
      </c>
      <c r="P317">
        <v>-1.2500000000000001E-2</v>
      </c>
      <c r="V317" t="s">
        <v>1183</v>
      </c>
      <c r="AG317" t="str">
        <f>IF($A317="","",IFERROR(INDEX(Company_List!$G$3:$G$207,MATCH($A317,Company_List!$A$3:$A$207,0)),"unassigned"))</f>
        <v>P3</v>
      </c>
      <c r="AK317" t="str">
        <f>IF($A317="","",IF(COUNTIFS(Human_Data_Entry!$A$3:$A$525,$A317)&gt;0,"YES","NO"))</f>
        <v>YES</v>
      </c>
      <c r="AL317" t="str">
        <f>IF($A317="","",IF(AND($C317&amp;"-"&amp;$D317&gt;=Settings!$B$19,$C317&amp;"-"&amp;$D317&lt;=Settings!$B$20),"IN","OUT"))</f>
        <v>IN</v>
      </c>
      <c r="AM317" t="str">
        <f t="shared" si="16"/>
        <v/>
      </c>
      <c r="AN317" t="str">
        <f t="shared" si="17"/>
        <v/>
      </c>
      <c r="AO317" t="str">
        <f>IF(ISNUMBER($AM317),ABS(IF(ISNUMBER($G317),$G317,0)-Settings!$B$25),"")</f>
        <v/>
      </c>
      <c r="AP317" t="str">
        <f t="shared" si="18"/>
        <v/>
      </c>
      <c r="AQ317" t="str">
        <f>IF(ISNUMBER($AN317),ABS(IF(ISNUMBER($G317),$G317,0)-Settings!$B$25),"")</f>
        <v/>
      </c>
      <c r="AR317" t="str">
        <f t="shared" si="19"/>
        <v/>
      </c>
      <c r="AS317" t="str">
        <f>IF($A317="","",IFERROR(INDEX(Company_List!$H$3:$H$207,MATCH($A317,Company_List!$A$3:$A$207,0)),"unassigned"))</f>
        <v>Consumer Staples</v>
      </c>
    </row>
    <row r="318" spans="1:45" x14ac:dyDescent="0.2">
      <c r="A318" s="1" t="s">
        <v>1726</v>
      </c>
      <c r="B318" s="120" t="s">
        <v>1730</v>
      </c>
      <c r="C318">
        <v>2025</v>
      </c>
      <c r="D318" t="s">
        <v>563</v>
      </c>
      <c r="E318" t="s">
        <v>2045</v>
      </c>
      <c r="F318" t="s">
        <v>1912</v>
      </c>
      <c r="G318">
        <v>0.27250000000000002</v>
      </c>
      <c r="H318" t="s">
        <v>1919</v>
      </c>
      <c r="J318" s="165">
        <v>45961</v>
      </c>
      <c r="K318" s="165">
        <v>45946</v>
      </c>
      <c r="L318">
        <v>108.2199</v>
      </c>
      <c r="M318" s="165">
        <v>45947</v>
      </c>
      <c r="N318">
        <v>109.18819999999999</v>
      </c>
      <c r="O318">
        <v>9.9590000000000008E-3</v>
      </c>
      <c r="P318">
        <v>-6.1999999999999998E-3</v>
      </c>
      <c r="V318" t="s">
        <v>1183</v>
      </c>
      <c r="AG318" t="str">
        <f>IF($A318="","",IFERROR(INDEX(Company_List!$G$3:$G$207,MATCH($A318,Company_List!$A$3:$A$207,0)),"unassigned"))</f>
        <v>P2</v>
      </c>
      <c r="AK318" t="str">
        <f>IF($A318="","",IF(COUNTIFS(Human_Data_Entry!$A$3:$A$525,$A318)&gt;0,"YES","NO"))</f>
        <v>YES</v>
      </c>
      <c r="AL318" t="str">
        <f>IF($A318="","",IF(AND($C318&amp;"-"&amp;$D318&gt;=Settings!$B$19,$C318&amp;"-"&amp;$D318&lt;=Settings!$B$20),"IN","OUT"))</f>
        <v>IN</v>
      </c>
      <c r="AM318" t="str">
        <f t="shared" si="16"/>
        <v/>
      </c>
      <c r="AN318" t="str">
        <f t="shared" si="17"/>
        <v/>
      </c>
      <c r="AO318" t="str">
        <f>IF(ISNUMBER($AM318),ABS(IF(ISNUMBER($G318),$G318,0)-Settings!$B$25),"")</f>
        <v/>
      </c>
      <c r="AP318" t="str">
        <f t="shared" si="18"/>
        <v/>
      </c>
      <c r="AQ318" t="str">
        <f>IF(ISNUMBER($AN318),ABS(IF(ISNUMBER($G318),$G318,0)-Settings!$B$25),"")</f>
        <v/>
      </c>
      <c r="AR318" t="str">
        <f t="shared" si="19"/>
        <v/>
      </c>
      <c r="AS318" t="str">
        <f>IF($A318="","",IFERROR(INDEX(Company_List!$H$3:$H$207,MATCH($A318,Company_List!$A$3:$A$207,0)),"unassigned"))</f>
        <v>Energy</v>
      </c>
    </row>
    <row r="319" spans="1:45" x14ac:dyDescent="0.2">
      <c r="A319" s="1" t="s">
        <v>1878</v>
      </c>
      <c r="B319" s="120" t="s">
        <v>2048</v>
      </c>
      <c r="C319">
        <v>2025</v>
      </c>
      <c r="D319" t="s">
        <v>563</v>
      </c>
      <c r="E319" t="s">
        <v>2045</v>
      </c>
      <c r="F319" t="s">
        <v>1912</v>
      </c>
      <c r="G319">
        <v>0.27250000000000002</v>
      </c>
      <c r="H319" t="s">
        <v>1919</v>
      </c>
      <c r="J319" s="165">
        <v>45962</v>
      </c>
      <c r="K319" s="165">
        <v>45947</v>
      </c>
      <c r="L319">
        <v>70.599599999999995</v>
      </c>
      <c r="M319" s="165">
        <v>45950</v>
      </c>
      <c r="N319">
        <v>70.648300000000006</v>
      </c>
      <c r="O319">
        <v>4.7860000000000003E-3</v>
      </c>
      <c r="P319">
        <v>-1E-3</v>
      </c>
      <c r="V319" t="s">
        <v>1183</v>
      </c>
      <c r="AG319" t="str">
        <f>IF($A319="","",IFERROR(INDEX(Company_List!$G$3:$G$207,MATCH($A319,Company_List!$A$3:$A$207,0)),"unassigned"))</f>
        <v>P2</v>
      </c>
      <c r="AK319" t="str">
        <f>IF($A319="","",IF(COUNTIFS(Human_Data_Entry!$A$3:$A$525,$A319)&gt;0,"YES","NO"))</f>
        <v>YES</v>
      </c>
      <c r="AL319" t="str">
        <f>IF($A319="","",IF(AND($C319&amp;"-"&amp;$D319&gt;=Settings!$B$19,$C319&amp;"-"&amp;$D319&lt;=Settings!$B$20),"IN","OUT"))</f>
        <v>IN</v>
      </c>
      <c r="AM319" t="str">
        <f t="shared" si="16"/>
        <v/>
      </c>
      <c r="AN319" t="str">
        <f t="shared" si="17"/>
        <v/>
      </c>
      <c r="AO319" t="str">
        <f>IF(ISNUMBER($AM319),ABS(IF(ISNUMBER($G319),$G319,0)-Settings!$B$25),"")</f>
        <v/>
      </c>
      <c r="AP319" t="str">
        <f t="shared" si="18"/>
        <v/>
      </c>
      <c r="AQ319" t="str">
        <f>IF(ISNUMBER($AN319),ABS(IF(ISNUMBER($G319),$G319,0)-Settings!$B$25),"")</f>
        <v/>
      </c>
      <c r="AR319" t="str">
        <f t="shared" si="19"/>
        <v/>
      </c>
      <c r="AS319" t="str">
        <f>IF($A319="","",IFERROR(INDEX(Company_List!$H$3:$H$207,MATCH($A319,Company_List!$A$3:$A$207,0)),"unassigned"))</f>
        <v>Energy</v>
      </c>
    </row>
    <row r="320" spans="1:45" x14ac:dyDescent="0.2">
      <c r="A320" s="1" t="s">
        <v>1407</v>
      </c>
      <c r="B320" s="120" t="s">
        <v>2049</v>
      </c>
      <c r="C320">
        <v>2025</v>
      </c>
      <c r="D320" t="s">
        <v>555</v>
      </c>
      <c r="E320" t="s">
        <v>2045</v>
      </c>
      <c r="F320" t="s">
        <v>1912</v>
      </c>
      <c r="G320">
        <v>0.3</v>
      </c>
      <c r="H320" t="s">
        <v>1919</v>
      </c>
      <c r="J320" s="165">
        <v>45962</v>
      </c>
      <c r="K320" s="165">
        <v>45947</v>
      </c>
      <c r="L320">
        <v>28.9</v>
      </c>
      <c r="M320" s="165">
        <v>45950</v>
      </c>
      <c r="N320">
        <v>29.34</v>
      </c>
      <c r="O320">
        <v>5.4900000000000001E-3</v>
      </c>
      <c r="P320">
        <v>2.8999999999999998E-3</v>
      </c>
      <c r="V320" t="s">
        <v>1183</v>
      </c>
      <c r="AG320" t="str">
        <f>IF($A320="","",IFERROR(INDEX(Company_List!$G$3:$G$207,MATCH($A320,Company_List!$A$3:$A$207,0)),"unassigned"))</f>
        <v>P3</v>
      </c>
      <c r="AK320" t="str">
        <f>IF($A320="","",IF(COUNTIFS(Human_Data_Entry!$A$3:$A$525,$A320)&gt;0,"YES","NO"))</f>
        <v>YES</v>
      </c>
      <c r="AL320" t="str">
        <f>IF($A320="","",IF(AND($C320&amp;"-"&amp;$D320&gt;=Settings!$B$19,$C320&amp;"-"&amp;$D320&lt;=Settings!$B$20),"IN","OUT"))</f>
        <v>IN</v>
      </c>
      <c r="AM320" t="str">
        <f t="shared" si="16"/>
        <v/>
      </c>
      <c r="AN320" t="str">
        <f t="shared" si="17"/>
        <v/>
      </c>
      <c r="AO320" t="str">
        <f>IF(ISNUMBER($AM320),ABS(IF(ISNUMBER($G320),$G320,0)-Settings!$B$25),"")</f>
        <v/>
      </c>
      <c r="AP320" t="str">
        <f t="shared" si="18"/>
        <v/>
      </c>
      <c r="AQ320" t="str">
        <f>IF(ISNUMBER($AN320),ABS(IF(ISNUMBER($G320),$G320,0)-Settings!$B$25),"")</f>
        <v/>
      </c>
      <c r="AR320" t="str">
        <f t="shared" si="19"/>
        <v/>
      </c>
      <c r="AS320" t="str">
        <f>IF($A320="","",IFERROR(INDEX(Company_List!$H$3:$H$207,MATCH($A320,Company_List!$A$3:$A$207,0)),"unassigned"))</f>
        <v>Consumer Discretionary</v>
      </c>
    </row>
    <row r="321" spans="1:45" x14ac:dyDescent="0.2">
      <c r="A321" s="1" t="s">
        <v>1397</v>
      </c>
      <c r="B321" s="120" t="s">
        <v>1399</v>
      </c>
      <c r="C321">
        <v>2025</v>
      </c>
      <c r="D321" t="s">
        <v>563</v>
      </c>
      <c r="E321" t="s">
        <v>2045</v>
      </c>
      <c r="F321" t="s">
        <v>1912</v>
      </c>
      <c r="G321">
        <v>0.27250000000000002</v>
      </c>
      <c r="H321" t="s">
        <v>1919</v>
      </c>
      <c r="J321" s="165">
        <v>45965</v>
      </c>
      <c r="K321" s="165">
        <v>45950</v>
      </c>
      <c r="L321">
        <v>164.71</v>
      </c>
      <c r="M321" s="165">
        <v>45951</v>
      </c>
      <c r="N321">
        <v>164.79</v>
      </c>
      <c r="O321">
        <v>8.2880000000000002E-3</v>
      </c>
      <c r="P321">
        <v>-5.7099999999999998E-2</v>
      </c>
      <c r="V321" t="s">
        <v>1183</v>
      </c>
      <c r="AG321" t="str">
        <f>IF($A321="","",IFERROR(INDEX(Company_List!$G$3:$G$207,MATCH($A321,Company_List!$A$3:$A$207,0)),"unassigned"))</f>
        <v>P3</v>
      </c>
      <c r="AK321" t="str">
        <f>IF($A321="","",IF(COUNTIFS(Human_Data_Entry!$A$3:$A$525,$A321)&gt;0,"YES","NO"))</f>
        <v>YES</v>
      </c>
      <c r="AL321" t="str">
        <f>IF($A321="","",IF(AND($C321&amp;"-"&amp;$D321&gt;=Settings!$B$19,$C321&amp;"-"&amp;$D321&lt;=Settings!$B$20),"IN","OUT"))</f>
        <v>IN</v>
      </c>
      <c r="AM321" t="str">
        <f t="shared" si="16"/>
        <v/>
      </c>
      <c r="AN321" t="str">
        <f t="shared" si="17"/>
        <v/>
      </c>
      <c r="AO321" t="str">
        <f>IF(ISNUMBER($AM321),ABS(IF(ISNUMBER($G321),$G321,0)-Settings!$B$25),"")</f>
        <v/>
      </c>
      <c r="AP321" t="str">
        <f t="shared" si="18"/>
        <v/>
      </c>
      <c r="AQ321" t="str">
        <f>IF(ISNUMBER($AN321),ABS(IF(ISNUMBER($G321),$G321,0)-Settings!$B$25),"")</f>
        <v/>
      </c>
      <c r="AR321" t="str">
        <f t="shared" si="19"/>
        <v/>
      </c>
      <c r="AS321" t="str">
        <f>IF($A321="","",IFERROR(INDEX(Company_List!$H$3:$H$207,MATCH($A321,Company_List!$A$3:$A$207,0)),"unassigned"))</f>
        <v>Information Technology</v>
      </c>
    </row>
    <row r="322" spans="1:45" x14ac:dyDescent="0.2">
      <c r="A322" s="1" t="s">
        <v>1521</v>
      </c>
      <c r="B322" s="120" t="s">
        <v>1523</v>
      </c>
      <c r="C322">
        <v>2025</v>
      </c>
      <c r="D322" t="s">
        <v>563</v>
      </c>
      <c r="E322" t="s">
        <v>2045</v>
      </c>
      <c r="F322" t="s">
        <v>1912</v>
      </c>
      <c r="G322">
        <v>-0.03</v>
      </c>
      <c r="H322" t="s">
        <v>1913</v>
      </c>
      <c r="J322" s="165">
        <v>45966</v>
      </c>
      <c r="K322" s="165">
        <v>45951</v>
      </c>
      <c r="L322">
        <v>222.89359999999999</v>
      </c>
      <c r="M322" s="165">
        <v>45952</v>
      </c>
      <c r="N322">
        <v>223.3364</v>
      </c>
      <c r="O322">
        <v>1.0409E-2</v>
      </c>
      <c r="P322">
        <v>-5.1999999999999998E-3</v>
      </c>
      <c r="V322" t="s">
        <v>1183</v>
      </c>
      <c r="AG322" t="str">
        <f>IF($A322="","",IFERROR(INDEX(Company_List!$G$3:$G$207,MATCH($A322,Company_List!$A$3:$A$207,0)),"unassigned"))</f>
        <v>P3</v>
      </c>
      <c r="AK322" t="str">
        <f>IF($A322="","",IF(COUNTIFS(Human_Data_Entry!$A$3:$A$525,$A322)&gt;0,"YES","NO"))</f>
        <v>YES</v>
      </c>
      <c r="AL322" t="str">
        <f>IF($A322="","",IF(AND($C322&amp;"-"&amp;$D322&gt;=Settings!$B$19,$C322&amp;"-"&amp;$D322&lt;=Settings!$B$20),"IN","OUT"))</f>
        <v>IN</v>
      </c>
      <c r="AM322" t="str">
        <f t="shared" si="16"/>
        <v/>
      </c>
      <c r="AN322" t="str">
        <f t="shared" si="17"/>
        <v/>
      </c>
      <c r="AO322" t="str">
        <f>IF(ISNUMBER($AM322),ABS(IF(ISNUMBER($G322),$G322,0)-Settings!$B$25),"")</f>
        <v/>
      </c>
      <c r="AP322" t="str">
        <f t="shared" si="18"/>
        <v/>
      </c>
      <c r="AQ322" t="str">
        <f>IF(ISNUMBER($AN322),ABS(IF(ISNUMBER($G322),$G322,0)-Settings!$B$25),"")</f>
        <v/>
      </c>
      <c r="AR322" t="str">
        <f t="shared" si="19"/>
        <v/>
      </c>
      <c r="AS322" t="str">
        <f>IF($A322="","",IFERROR(INDEX(Company_List!$H$3:$H$207,MATCH($A322,Company_List!$A$3:$A$207,0)),"unassigned"))</f>
        <v>Industrials</v>
      </c>
    </row>
    <row r="323" spans="1:45" x14ac:dyDescent="0.2">
      <c r="A323" s="1" t="s">
        <v>1235</v>
      </c>
      <c r="B323" s="120" t="s">
        <v>1236</v>
      </c>
      <c r="C323">
        <v>2025</v>
      </c>
      <c r="D323" t="s">
        <v>563</v>
      </c>
      <c r="E323" t="s">
        <v>2045</v>
      </c>
      <c r="F323" t="s">
        <v>1912</v>
      </c>
      <c r="G323">
        <v>0.4375</v>
      </c>
      <c r="H323" t="s">
        <v>1919</v>
      </c>
      <c r="J323" s="165">
        <v>45967</v>
      </c>
      <c r="K323" s="165">
        <v>45952</v>
      </c>
      <c r="L323">
        <v>154.21</v>
      </c>
      <c r="M323" s="165">
        <v>45953</v>
      </c>
      <c r="N323">
        <v>154.24</v>
      </c>
      <c r="O323">
        <v>8.5190000000000005E-3</v>
      </c>
      <c r="P323">
        <v>0.15429999999999999</v>
      </c>
      <c r="V323" t="s">
        <v>1183</v>
      </c>
      <c r="AG323" t="str">
        <f>IF($A323="","",IFERROR(INDEX(Company_List!$G$3:$G$207,MATCH($A323,Company_List!$A$3:$A$207,0)),"unassigned"))</f>
        <v>P3</v>
      </c>
      <c r="AK323" t="str">
        <f>IF($A323="","",IF(COUNTIFS(Human_Data_Entry!$A$3:$A$525,$A323)&gt;0,"YES","NO"))</f>
        <v>YES</v>
      </c>
      <c r="AL323" t="str">
        <f>IF($A323="","",IF(AND($C323&amp;"-"&amp;$D323&gt;=Settings!$B$19,$C323&amp;"-"&amp;$D323&lt;=Settings!$B$20),"IN","OUT"))</f>
        <v>IN</v>
      </c>
      <c r="AM323" t="str">
        <f t="shared" ref="AM323:AM386" si="20">IF(AND(OR($H323="BUY",$H323="SELL"),ISNUMBER($T323)),$T323,"")</f>
        <v/>
      </c>
      <c r="AN323" t="str">
        <f t="shared" ref="AN323:AN386" si="21">IF(AND(OR($H323="BUY",$H323="SELL"),ISNUMBER($AF323)),$AF323,"")</f>
        <v/>
      </c>
      <c r="AO323" t="str">
        <f>IF(ISNUMBER($AM323),ABS(IF(ISNUMBER($G323),$G323,0)-Settings!$B$25),"")</f>
        <v/>
      </c>
      <c r="AP323" t="str">
        <f t="shared" ref="AP323:AP386" si="22">IF(ISNUMBER($AO323),$AO323*$AM323,"")</f>
        <v/>
      </c>
      <c r="AQ323" t="str">
        <f>IF(ISNUMBER($AN323),ABS(IF(ISNUMBER($G323),$G323,0)-Settings!$B$25),"")</f>
        <v/>
      </c>
      <c r="AR323" t="str">
        <f t="shared" ref="AR323:AR386" si="23">IF(ISNUMBER($AQ323),$AQ323*$AN323,"")</f>
        <v/>
      </c>
      <c r="AS323" t="str">
        <f>IF($A323="","",IFERROR(INDEX(Company_List!$H$3:$H$207,MATCH($A323,Company_List!$A$3:$A$207,0)),"unassigned"))</f>
        <v>Information Technology</v>
      </c>
    </row>
    <row r="324" spans="1:45" x14ac:dyDescent="0.2">
      <c r="A324" s="1" t="s">
        <v>1660</v>
      </c>
      <c r="B324" s="120" t="s">
        <v>1662</v>
      </c>
      <c r="C324">
        <v>2025</v>
      </c>
      <c r="D324" t="s">
        <v>563</v>
      </c>
      <c r="E324" t="s">
        <v>2045</v>
      </c>
      <c r="F324" t="s">
        <v>1912</v>
      </c>
      <c r="G324">
        <v>0.3</v>
      </c>
      <c r="H324" t="s">
        <v>1919</v>
      </c>
      <c r="J324" s="165">
        <v>45968</v>
      </c>
      <c r="K324" s="165">
        <v>45953</v>
      </c>
      <c r="L324">
        <v>124.0262</v>
      </c>
      <c r="M324" s="165">
        <v>45954</v>
      </c>
      <c r="N324">
        <v>124.0652</v>
      </c>
      <c r="O324">
        <v>1.1467E-2</v>
      </c>
      <c r="P324">
        <v>-5.0000000000000001E-3</v>
      </c>
      <c r="V324" t="s">
        <v>1183</v>
      </c>
      <c r="AG324" t="str">
        <f>IF($A324="","",IFERROR(INDEX(Company_List!$G$3:$G$207,MATCH($A324,Company_List!$A$3:$A$207,0)),"unassigned"))</f>
        <v>P2</v>
      </c>
      <c r="AK324" t="str">
        <f>IF($A324="","",IF(COUNTIFS(Human_Data_Entry!$A$3:$A$525,$A324)&gt;0,"YES","NO"))</f>
        <v>YES</v>
      </c>
      <c r="AL324" t="str">
        <f>IF($A324="","",IF(AND($C324&amp;"-"&amp;$D324&gt;=Settings!$B$19,$C324&amp;"-"&amp;$D324&lt;=Settings!$B$20),"IN","OUT"))</f>
        <v>IN</v>
      </c>
      <c r="AM324" t="str">
        <f t="shared" si="20"/>
        <v/>
      </c>
      <c r="AN324" t="str">
        <f t="shared" si="21"/>
        <v/>
      </c>
      <c r="AO324" t="str">
        <f>IF(ISNUMBER($AM324),ABS(IF(ISNUMBER($G324),$G324,0)-Settings!$B$25),"")</f>
        <v/>
      </c>
      <c r="AP324" t="str">
        <f t="shared" si="22"/>
        <v/>
      </c>
      <c r="AQ324" t="str">
        <f>IF(ISNUMBER($AN324),ABS(IF(ISNUMBER($G324),$G324,0)-Settings!$B$25),"")</f>
        <v/>
      </c>
      <c r="AR324" t="str">
        <f t="shared" si="23"/>
        <v/>
      </c>
      <c r="AS324" t="str">
        <f>IF($A324="","",IFERROR(INDEX(Company_List!$H$3:$H$207,MATCH($A324,Company_List!$A$3:$A$207,0)),"unassigned"))</f>
        <v>Utilities</v>
      </c>
    </row>
    <row r="325" spans="1:45" x14ac:dyDescent="0.2">
      <c r="A325" s="1" t="s">
        <v>1530</v>
      </c>
      <c r="B325" s="120" t="s">
        <v>1532</v>
      </c>
      <c r="C325">
        <v>2025</v>
      </c>
      <c r="D325" t="s">
        <v>563</v>
      </c>
      <c r="E325" t="s">
        <v>2045</v>
      </c>
      <c r="F325" t="s">
        <v>1912</v>
      </c>
      <c r="G325">
        <v>-0.14000000000000001</v>
      </c>
      <c r="H325" t="s">
        <v>1923</v>
      </c>
      <c r="J325" s="165">
        <v>45979</v>
      </c>
      <c r="K325" s="165">
        <v>45964</v>
      </c>
      <c r="L325">
        <v>370.642</v>
      </c>
      <c r="M325" s="165">
        <v>45965</v>
      </c>
      <c r="N325">
        <v>369.66239999999999</v>
      </c>
      <c r="O325">
        <v>7.6709999999999999E-3</v>
      </c>
      <c r="P325">
        <v>-5.04E-2</v>
      </c>
      <c r="V325" t="s">
        <v>1183</v>
      </c>
      <c r="AG325" t="str">
        <f>IF($A325="","",IFERROR(INDEX(Company_List!$G$3:$G$207,MATCH($A325,Company_List!$A$3:$A$207,0)),"unassigned"))</f>
        <v>P3</v>
      </c>
      <c r="AK325" t="str">
        <f>IF($A325="","",IF(COUNTIFS(Human_Data_Entry!$A$3:$A$525,$A325)&gt;0,"YES","NO"))</f>
        <v>YES</v>
      </c>
      <c r="AL325" t="str">
        <f>IF($A325="","",IF(AND($C325&amp;"-"&amp;$D325&gt;=Settings!$B$19,$C325&amp;"-"&amp;$D325&lt;=Settings!$B$20),"IN","OUT"))</f>
        <v>IN</v>
      </c>
      <c r="AM325" t="str">
        <f t="shared" si="20"/>
        <v/>
      </c>
      <c r="AN325" t="str">
        <f t="shared" si="21"/>
        <v/>
      </c>
      <c r="AO325" t="str">
        <f>IF(ISNUMBER($AM325),ABS(IF(ISNUMBER($G325),$G325,0)-Settings!$B$25),"")</f>
        <v/>
      </c>
      <c r="AP325" t="str">
        <f t="shared" si="22"/>
        <v/>
      </c>
      <c r="AQ325" t="str">
        <f>IF(ISNUMBER($AN325),ABS(IF(ISNUMBER($G325),$G325,0)-Settings!$B$25),"")</f>
        <v/>
      </c>
      <c r="AR325" t="str">
        <f t="shared" si="23"/>
        <v/>
      </c>
      <c r="AS325" t="str">
        <f>IF($A325="","",IFERROR(INDEX(Company_List!$H$3:$H$207,MATCH($A325,Company_List!$A$3:$A$207,0)),"unassigned"))</f>
        <v>Consumer Discretionary</v>
      </c>
    </row>
    <row r="326" spans="1:45" x14ac:dyDescent="0.2">
      <c r="A326" s="1" t="s">
        <v>1536</v>
      </c>
      <c r="B326" s="120" t="s">
        <v>1538</v>
      </c>
      <c r="C326">
        <v>2025</v>
      </c>
      <c r="D326" t="s">
        <v>569</v>
      </c>
      <c r="E326" t="s">
        <v>2045</v>
      </c>
      <c r="F326" t="s">
        <v>1912</v>
      </c>
      <c r="G326">
        <v>0.21</v>
      </c>
      <c r="H326" t="s">
        <v>1913</v>
      </c>
      <c r="J326" s="165">
        <v>46001</v>
      </c>
      <c r="K326" s="165">
        <v>45986</v>
      </c>
      <c r="L326">
        <v>319.55</v>
      </c>
      <c r="M326" s="165">
        <v>45987</v>
      </c>
      <c r="N326">
        <v>319.2</v>
      </c>
      <c r="O326">
        <v>3.9620000000000002E-3</v>
      </c>
      <c r="P326">
        <v>-4.3E-3</v>
      </c>
      <c r="V326" t="s">
        <v>1183</v>
      </c>
      <c r="AG326" t="str">
        <f>IF($A326="","",IFERROR(INDEX(Company_List!$G$3:$G$207,MATCH($A326,Company_List!$A$3:$A$207,0)),"unassigned"))</f>
        <v>P3</v>
      </c>
      <c r="AK326" t="str">
        <f>IF($A326="","",IF(COUNTIFS(Human_Data_Entry!$A$3:$A$525,$A326)&gt;0,"YES","NO"))</f>
        <v>YES</v>
      </c>
      <c r="AL326" t="str">
        <f>IF($A326="","",IF(AND($C326&amp;"-"&amp;$D326&gt;=Settings!$B$19,$C326&amp;"-"&amp;$D326&lt;=Settings!$B$20),"IN","OUT"))</f>
        <v>IN</v>
      </c>
      <c r="AM326" t="str">
        <f t="shared" si="20"/>
        <v/>
      </c>
      <c r="AN326" t="str">
        <f t="shared" si="21"/>
        <v/>
      </c>
      <c r="AO326" t="str">
        <f>IF(ISNUMBER($AM326),ABS(IF(ISNUMBER($G326),$G326,0)-Settings!$B$25),"")</f>
        <v/>
      </c>
      <c r="AP326" t="str">
        <f t="shared" si="22"/>
        <v/>
      </c>
      <c r="AQ326" t="str">
        <f>IF(ISNUMBER($AN326),ABS(IF(ISNUMBER($G326),$G326,0)-Settings!$B$25),"")</f>
        <v/>
      </c>
      <c r="AR326" t="str">
        <f t="shared" si="23"/>
        <v/>
      </c>
      <c r="AS326" t="str">
        <f>IF($A326="","",IFERROR(INDEX(Company_List!$H$3:$H$207,MATCH($A326,Company_List!$A$3:$A$207,0)),"unassigned"))</f>
        <v>Information Technology</v>
      </c>
    </row>
    <row r="327" spans="1:45" x14ac:dyDescent="0.2">
      <c r="A327" s="1" t="s">
        <v>1381</v>
      </c>
      <c r="B327" s="120" t="s">
        <v>1385</v>
      </c>
      <c r="C327">
        <v>2026</v>
      </c>
      <c r="D327" t="s">
        <v>537</v>
      </c>
      <c r="E327" t="s">
        <v>2045</v>
      </c>
      <c r="F327" t="s">
        <v>1912</v>
      </c>
      <c r="G327">
        <v>0.1825</v>
      </c>
      <c r="H327" t="s">
        <v>1913</v>
      </c>
      <c r="J327" s="165">
        <v>46002</v>
      </c>
      <c r="K327" s="165">
        <v>45987</v>
      </c>
      <c r="L327">
        <v>904.26900000000001</v>
      </c>
      <c r="M327" s="165">
        <v>45989</v>
      </c>
      <c r="N327">
        <v>901.04319999999996</v>
      </c>
      <c r="O327">
        <v>8.6160000000000004E-3</v>
      </c>
      <c r="P327">
        <v>-1.2999999999999999E-3</v>
      </c>
      <c r="V327" t="s">
        <v>1183</v>
      </c>
      <c r="AG327" t="str">
        <f>IF($A327="","",IFERROR(INDEX(Company_List!$G$3:$G$207,MATCH($A327,Company_List!$A$3:$A$207,0)),"unassigned"))</f>
        <v>both</v>
      </c>
      <c r="AK327" t="str">
        <f>IF($A327="","",IF(COUNTIFS(Human_Data_Entry!$A$3:$A$525,$A327)&gt;0,"YES","NO"))</f>
        <v>YES</v>
      </c>
      <c r="AL327" t="str">
        <f>IF($A327="","",IF(AND($C327&amp;"-"&amp;$D327&gt;=Settings!$B$19,$C327&amp;"-"&amp;$D327&lt;=Settings!$B$20),"IN","OUT"))</f>
        <v>IN</v>
      </c>
      <c r="AM327" t="str">
        <f t="shared" si="20"/>
        <v/>
      </c>
      <c r="AN327" t="str">
        <f t="shared" si="21"/>
        <v/>
      </c>
      <c r="AO327" t="str">
        <f>IF(ISNUMBER($AM327),ABS(IF(ISNUMBER($G327),$G327,0)-Settings!$B$25),"")</f>
        <v/>
      </c>
      <c r="AP327" t="str">
        <f t="shared" si="22"/>
        <v/>
      </c>
      <c r="AQ327" t="str">
        <f>IF(ISNUMBER($AN327),ABS(IF(ISNUMBER($G327),$G327,0)-Settings!$B$25),"")</f>
        <v/>
      </c>
      <c r="AR327" t="str">
        <f t="shared" si="23"/>
        <v/>
      </c>
      <c r="AS327" t="str">
        <f>IF($A327="","",IFERROR(INDEX(Company_List!$H$3:$H$207,MATCH($A327,Company_List!$A$3:$A$207,0)),"unassigned"))</f>
        <v>Consumer Staples</v>
      </c>
    </row>
    <row r="328" spans="1:45" x14ac:dyDescent="0.2">
      <c r="A328" s="1" t="s">
        <v>1513</v>
      </c>
      <c r="B328" s="120" t="s">
        <v>1516</v>
      </c>
      <c r="C328">
        <v>2025</v>
      </c>
      <c r="D328" t="s">
        <v>569</v>
      </c>
      <c r="E328" t="s">
        <v>2045</v>
      </c>
      <c r="F328" t="s">
        <v>1912</v>
      </c>
      <c r="G328">
        <v>0.25</v>
      </c>
      <c r="H328" t="s">
        <v>1913</v>
      </c>
      <c r="J328" s="165">
        <v>46044</v>
      </c>
      <c r="K328" s="165">
        <v>46029</v>
      </c>
      <c r="L328">
        <v>55.106699999999996</v>
      </c>
      <c r="M328" s="165">
        <v>46030</v>
      </c>
      <c r="N328">
        <v>54.232900000000001</v>
      </c>
      <c r="O328">
        <v>1.6757000000000001E-2</v>
      </c>
      <c r="P328">
        <v>3.3E-3</v>
      </c>
      <c r="V328" t="s">
        <v>1183</v>
      </c>
      <c r="AG328" t="str">
        <f>IF($A328="","",IFERROR(INDEX(Company_List!$G$3:$G$207,MATCH($A328,Company_List!$A$3:$A$207,0)),"unassigned"))</f>
        <v>P3</v>
      </c>
      <c r="AK328" t="str">
        <f>IF($A328="","",IF(COUNTIFS(Human_Data_Entry!$A$3:$A$525,$A328)&gt;0,"YES","NO"))</f>
        <v>YES</v>
      </c>
      <c r="AL328" t="str">
        <f>IF($A328="","",IF(AND($C328&amp;"-"&amp;$D328&gt;=Settings!$B$19,$C328&amp;"-"&amp;$D328&lt;=Settings!$B$20),"IN","OUT"))</f>
        <v>IN</v>
      </c>
      <c r="AM328" t="str">
        <f t="shared" si="20"/>
        <v/>
      </c>
      <c r="AN328" t="str">
        <f t="shared" si="21"/>
        <v/>
      </c>
      <c r="AO328" t="str">
        <f>IF(ISNUMBER($AM328),ABS(IF(ISNUMBER($G328),$G328,0)-Settings!$B$25),"")</f>
        <v/>
      </c>
      <c r="AP328" t="str">
        <f t="shared" si="22"/>
        <v/>
      </c>
      <c r="AQ328" t="str">
        <f>IF(ISNUMBER($AN328),ABS(IF(ISNUMBER($G328),$G328,0)-Settings!$B$25),"")</f>
        <v/>
      </c>
      <c r="AR328" t="str">
        <f t="shared" si="23"/>
        <v/>
      </c>
      <c r="AS328" t="str">
        <f>IF($A328="","",IFERROR(INDEX(Company_List!$H$3:$H$207,MATCH($A328,Company_List!$A$3:$A$207,0)),"unassigned"))</f>
        <v>Materials</v>
      </c>
    </row>
    <row r="329" spans="1:45" x14ac:dyDescent="0.2">
      <c r="A329" s="1" t="s">
        <v>1835</v>
      </c>
      <c r="B329" s="120" t="s">
        <v>1836</v>
      </c>
      <c r="C329">
        <v>2025</v>
      </c>
      <c r="D329" t="s">
        <v>569</v>
      </c>
      <c r="E329" t="s">
        <v>2045</v>
      </c>
      <c r="F329" t="s">
        <v>1912</v>
      </c>
      <c r="G329">
        <v>0.16750000000000001</v>
      </c>
      <c r="H329" t="s">
        <v>1913</v>
      </c>
      <c r="J329" s="165">
        <v>46044</v>
      </c>
      <c r="K329" s="165">
        <v>46029</v>
      </c>
      <c r="L329">
        <v>42.63</v>
      </c>
      <c r="M329" s="165">
        <v>46030</v>
      </c>
      <c r="N329">
        <v>42.62</v>
      </c>
      <c r="O329">
        <v>1.0566000000000001E-2</v>
      </c>
      <c r="P329">
        <v>-0.13730000000000001</v>
      </c>
      <c r="V329" t="s">
        <v>1183</v>
      </c>
      <c r="AG329" t="str">
        <f>IF($A329="","",IFERROR(INDEX(Company_List!$G$3:$G$207,MATCH($A329,Company_List!$A$3:$A$207,0)),"unassigned"))</f>
        <v>P2</v>
      </c>
      <c r="AK329" t="str">
        <f>IF($A329="","",IF(COUNTIFS(Human_Data_Entry!$A$3:$A$525,$A329)&gt;0,"YES","NO"))</f>
        <v>YES</v>
      </c>
      <c r="AL329" t="str">
        <f>IF($A329="","",IF(AND($C329&amp;"-"&amp;$D329&gt;=Settings!$B$19,$C329&amp;"-"&amp;$D329&lt;=Settings!$B$20),"IN","OUT"))</f>
        <v>IN</v>
      </c>
      <c r="AM329" t="str">
        <f t="shared" si="20"/>
        <v/>
      </c>
      <c r="AN329" t="str">
        <f t="shared" si="21"/>
        <v/>
      </c>
      <c r="AO329" t="str">
        <f>IF(ISNUMBER($AM329),ABS(IF(ISNUMBER($G329),$G329,0)-Settings!$B$25),"")</f>
        <v/>
      </c>
      <c r="AP329" t="str">
        <f t="shared" si="22"/>
        <v/>
      </c>
      <c r="AQ329" t="str">
        <f>IF(ISNUMBER($AN329),ABS(IF(ISNUMBER($G329),$G329,0)-Settings!$B$25),"")</f>
        <v/>
      </c>
      <c r="AR329" t="str">
        <f t="shared" si="23"/>
        <v/>
      </c>
      <c r="AS329" t="str">
        <f>IF($A329="","",IFERROR(INDEX(Company_List!$H$3:$H$207,MATCH($A329,Company_List!$A$3:$A$207,0)),"unassigned"))</f>
        <v>Information Technology</v>
      </c>
    </row>
    <row r="330" spans="1:45" x14ac:dyDescent="0.2">
      <c r="A330" s="1" t="s">
        <v>1857</v>
      </c>
      <c r="B330" s="120" t="s">
        <v>1858</v>
      </c>
      <c r="C330">
        <v>2025</v>
      </c>
      <c r="D330" t="s">
        <v>569</v>
      </c>
      <c r="E330" t="s">
        <v>2045</v>
      </c>
      <c r="F330" t="s">
        <v>1912</v>
      </c>
      <c r="G330">
        <v>0.25</v>
      </c>
      <c r="H330" t="s">
        <v>1913</v>
      </c>
      <c r="J330" s="165">
        <v>46051</v>
      </c>
      <c r="K330" s="165">
        <v>46036</v>
      </c>
      <c r="L330">
        <v>544.9683</v>
      </c>
      <c r="M330" s="165">
        <v>46037</v>
      </c>
      <c r="N330">
        <v>546.66269999999997</v>
      </c>
      <c r="O330">
        <v>1.0761E-2</v>
      </c>
      <c r="P330">
        <v>0.02</v>
      </c>
      <c r="V330" t="s">
        <v>1183</v>
      </c>
      <c r="AG330" t="str">
        <f>IF($A330="","",IFERROR(INDEX(Company_List!$G$3:$G$207,MATCH($A330,Company_List!$A$3:$A$207,0)),"unassigned"))</f>
        <v>P2</v>
      </c>
      <c r="AK330" t="str">
        <f>IF($A330="","",IF(COUNTIFS(Human_Data_Entry!$A$3:$A$525,$A330)&gt;0,"YES","NO"))</f>
        <v>YES</v>
      </c>
      <c r="AL330" t="str">
        <f>IF($A330="","",IF(AND($C330&amp;"-"&amp;$D330&gt;=Settings!$B$19,$C330&amp;"-"&amp;$D330&lt;=Settings!$B$20),"IN","OUT"))</f>
        <v>IN</v>
      </c>
      <c r="AM330" t="str">
        <f t="shared" si="20"/>
        <v/>
      </c>
      <c r="AN330" t="str">
        <f t="shared" si="21"/>
        <v/>
      </c>
      <c r="AO330" t="str">
        <f>IF(ISNUMBER($AM330),ABS(IF(ISNUMBER($G330),$G330,0)-Settings!$B$25),"")</f>
        <v/>
      </c>
      <c r="AP330" t="str">
        <f t="shared" si="22"/>
        <v/>
      </c>
      <c r="AQ330" t="str">
        <f>IF(ISNUMBER($AN330),ABS(IF(ISNUMBER($G330),$G330,0)-Settings!$B$25),"")</f>
        <v/>
      </c>
      <c r="AR330" t="str">
        <f t="shared" si="23"/>
        <v/>
      </c>
      <c r="AS330" t="str">
        <f>IF($A330="","",IFERROR(INDEX(Company_List!$H$3:$H$207,MATCH($A330,Company_List!$A$3:$A$207,0)),"unassigned"))</f>
        <v>Financials</v>
      </c>
    </row>
    <row r="331" spans="1:45" x14ac:dyDescent="0.2">
      <c r="A331" s="1" t="s">
        <v>1793</v>
      </c>
      <c r="B331" s="120" t="s">
        <v>1796</v>
      </c>
      <c r="C331">
        <v>2025</v>
      </c>
      <c r="D331" t="s">
        <v>569</v>
      </c>
      <c r="E331" t="s">
        <v>2045</v>
      </c>
      <c r="F331" t="s">
        <v>1912</v>
      </c>
      <c r="G331">
        <v>0.25</v>
      </c>
      <c r="H331" t="s">
        <v>1913</v>
      </c>
      <c r="J331" s="165">
        <v>46052</v>
      </c>
      <c r="K331" s="165">
        <v>46037</v>
      </c>
      <c r="L331">
        <v>355.2713</v>
      </c>
      <c r="M331" s="165">
        <v>46038</v>
      </c>
      <c r="N331">
        <v>359.02910000000003</v>
      </c>
      <c r="O331">
        <v>8.0700000000000008E-3</v>
      </c>
      <c r="P331">
        <v>-9.7000000000000003E-3</v>
      </c>
      <c r="V331" t="s">
        <v>1183</v>
      </c>
      <c r="AG331" t="str">
        <f>IF($A331="","",IFERROR(INDEX(Company_List!$G$3:$G$207,MATCH($A331,Company_List!$A$3:$A$207,0)),"unassigned"))</f>
        <v>P2</v>
      </c>
      <c r="AK331" t="str">
        <f>IF($A331="","",IF(COUNTIFS(Human_Data_Entry!$A$3:$A$525,$A331)&gt;0,"YES","NO"))</f>
        <v>YES</v>
      </c>
      <c r="AL331" t="str">
        <f>IF($A331="","",IF(AND($C331&amp;"-"&amp;$D331&gt;=Settings!$B$19,$C331&amp;"-"&amp;$D331&lt;=Settings!$B$20),"IN","OUT"))</f>
        <v>IN</v>
      </c>
      <c r="AM331" t="str">
        <f t="shared" si="20"/>
        <v/>
      </c>
      <c r="AN331" t="str">
        <f t="shared" si="21"/>
        <v/>
      </c>
      <c r="AO331" t="str">
        <f>IF(ISNUMBER($AM331),ABS(IF(ISNUMBER($G331),$G331,0)-Settings!$B$25),"")</f>
        <v/>
      </c>
      <c r="AP331" t="str">
        <f t="shared" si="22"/>
        <v/>
      </c>
      <c r="AQ331" t="str">
        <f>IF(ISNUMBER($AN331),ABS(IF(ISNUMBER($G331),$G331,0)-Settings!$B$25),"")</f>
        <v/>
      </c>
      <c r="AR331" t="str">
        <f t="shared" si="23"/>
        <v/>
      </c>
      <c r="AS331" t="str">
        <f>IF($A331="","",IFERROR(INDEX(Company_List!$H$3:$H$207,MATCH($A331,Company_List!$A$3:$A$207,0)),"unassigned"))</f>
        <v>Financials</v>
      </c>
    </row>
    <row r="332" spans="1:45" x14ac:dyDescent="0.2">
      <c r="A332" s="1" t="s">
        <v>1814</v>
      </c>
      <c r="B332" s="120" t="s">
        <v>1815</v>
      </c>
      <c r="C332">
        <v>2025</v>
      </c>
      <c r="D332" t="s">
        <v>569</v>
      </c>
      <c r="E332" t="s">
        <v>2045</v>
      </c>
      <c r="F332" t="s">
        <v>1912</v>
      </c>
      <c r="G332">
        <v>0.25</v>
      </c>
      <c r="H332" t="s">
        <v>1913</v>
      </c>
      <c r="J332" s="165">
        <v>46052</v>
      </c>
      <c r="K332" s="165">
        <v>46037</v>
      </c>
      <c r="L332">
        <v>163.05690000000001</v>
      </c>
      <c r="M332" s="165">
        <v>46038</v>
      </c>
      <c r="N332">
        <v>163.47880000000001</v>
      </c>
      <c r="O332">
        <v>9.3349999999999995E-3</v>
      </c>
      <c r="P332">
        <v>8.3999999999999995E-3</v>
      </c>
      <c r="V332" t="s">
        <v>1183</v>
      </c>
      <c r="AG332" t="str">
        <f>IF($A332="","",IFERROR(INDEX(Company_List!$G$3:$G$207,MATCH($A332,Company_List!$A$3:$A$207,0)),"unassigned"))</f>
        <v>P2</v>
      </c>
      <c r="AK332" t="str">
        <f>IF($A332="","",IF(COUNTIFS(Human_Data_Entry!$A$3:$A$525,$A332)&gt;0,"YES","NO"))</f>
        <v>YES</v>
      </c>
      <c r="AL332" t="str">
        <f>IF($A332="","",IF(AND($C332&amp;"-"&amp;$D332&gt;=Settings!$B$19,$C332&amp;"-"&amp;$D332&lt;=Settings!$B$20),"IN","OUT"))</f>
        <v>IN</v>
      </c>
      <c r="AM332" t="str">
        <f t="shared" si="20"/>
        <v/>
      </c>
      <c r="AN332" t="str">
        <f t="shared" si="21"/>
        <v/>
      </c>
      <c r="AO332" t="str">
        <f>IF(ISNUMBER($AM332),ABS(IF(ISNUMBER($G332),$G332,0)-Settings!$B$25),"")</f>
        <v/>
      </c>
      <c r="AP332" t="str">
        <f t="shared" si="22"/>
        <v/>
      </c>
      <c r="AQ332" t="str">
        <f>IF(ISNUMBER($AN332),ABS(IF(ISNUMBER($G332),$G332,0)-Settings!$B$25),"")</f>
        <v/>
      </c>
      <c r="AR332" t="str">
        <f t="shared" si="23"/>
        <v/>
      </c>
      <c r="AS332" t="str">
        <f>IF($A332="","",IFERROR(INDEX(Company_List!$H$3:$H$207,MATCH($A332,Company_List!$A$3:$A$207,0)),"unassigned"))</f>
        <v>Energy</v>
      </c>
    </row>
    <row r="333" spans="1:45" x14ac:dyDescent="0.2">
      <c r="A333" s="1" t="s">
        <v>1176</v>
      </c>
      <c r="B333" s="120" t="s">
        <v>1179</v>
      </c>
      <c r="C333">
        <v>2025</v>
      </c>
      <c r="D333" t="s">
        <v>569</v>
      </c>
      <c r="E333" t="s">
        <v>2045</v>
      </c>
      <c r="F333" t="s">
        <v>1912</v>
      </c>
      <c r="G333">
        <v>0.19500000000000001</v>
      </c>
      <c r="H333" t="s">
        <v>1913</v>
      </c>
      <c r="J333" s="165">
        <v>46052</v>
      </c>
      <c r="K333" s="165">
        <v>46037</v>
      </c>
      <c r="L333">
        <v>82.834100000000007</v>
      </c>
      <c r="M333" s="165">
        <v>46038</v>
      </c>
      <c r="N333">
        <v>82.559100000000001</v>
      </c>
      <c r="O333">
        <v>6.4859999999999996E-3</v>
      </c>
      <c r="P333">
        <v>4.0599999999999997E-2</v>
      </c>
      <c r="V333" t="s">
        <v>1183</v>
      </c>
      <c r="AG333" t="str">
        <f>IF($A333="","",IFERROR(INDEX(Company_List!$G$3:$G$207,MATCH($A333,Company_List!$A$3:$A$207,0)),"unassigned"))</f>
        <v>P3</v>
      </c>
      <c r="AK333" t="str">
        <f>IF($A333="","",IF(COUNTIFS(Human_Data_Entry!$A$3:$A$525,$A333)&gt;0,"YES","NO"))</f>
        <v>YES</v>
      </c>
      <c r="AL333" t="str">
        <f>IF($A333="","",IF(AND($C333&amp;"-"&amp;$D333&gt;=Settings!$B$19,$C333&amp;"-"&amp;$D333&lt;=Settings!$B$20),"IN","OUT"))</f>
        <v>IN</v>
      </c>
      <c r="AM333" t="str">
        <f t="shared" si="20"/>
        <v/>
      </c>
      <c r="AN333" t="str">
        <f t="shared" si="21"/>
        <v/>
      </c>
      <c r="AO333" t="str">
        <f>IF(ISNUMBER($AM333),ABS(IF(ISNUMBER($G333),$G333,0)-Settings!$B$25),"")</f>
        <v/>
      </c>
      <c r="AP333" t="str">
        <f t="shared" si="22"/>
        <v/>
      </c>
      <c r="AQ333" t="str">
        <f>IF(ISNUMBER($AN333),ABS(IF(ISNUMBER($G333),$G333,0)-Settings!$B$25),"")</f>
        <v/>
      </c>
      <c r="AR333" t="str">
        <f t="shared" si="23"/>
        <v/>
      </c>
      <c r="AS333" t="str">
        <f>IF($A333="","",IFERROR(INDEX(Company_List!$H$3:$H$207,MATCH($A333,Company_List!$A$3:$A$207,0)),"unassigned"))</f>
        <v>Consumer Staples</v>
      </c>
    </row>
    <row r="334" spans="1:45" x14ac:dyDescent="0.2">
      <c r="A334" s="1" t="s">
        <v>1726</v>
      </c>
      <c r="B334" s="120" t="s">
        <v>1730</v>
      </c>
      <c r="C334">
        <v>2025</v>
      </c>
      <c r="D334" t="s">
        <v>569</v>
      </c>
      <c r="E334" t="s">
        <v>2045</v>
      </c>
      <c r="F334" t="s">
        <v>1912</v>
      </c>
      <c r="G334">
        <v>0.25</v>
      </c>
      <c r="H334" t="s">
        <v>1913</v>
      </c>
      <c r="J334" s="165">
        <v>46052</v>
      </c>
      <c r="K334" s="165">
        <v>46037</v>
      </c>
      <c r="L334">
        <v>127.4102</v>
      </c>
      <c r="M334" s="165">
        <v>46038</v>
      </c>
      <c r="N334">
        <v>127.1931</v>
      </c>
      <c r="O334">
        <v>1.0626999999999999E-2</v>
      </c>
      <c r="P334">
        <v>-1.26E-2</v>
      </c>
      <c r="V334" t="s">
        <v>1183</v>
      </c>
      <c r="AG334" t="str">
        <f>IF($A334="","",IFERROR(INDEX(Company_List!$G$3:$G$207,MATCH($A334,Company_List!$A$3:$A$207,0)),"unassigned"))</f>
        <v>P2</v>
      </c>
      <c r="AK334" t="str">
        <f>IF($A334="","",IF(COUNTIFS(Human_Data_Entry!$A$3:$A$525,$A334)&gt;0,"YES","NO"))</f>
        <v>YES</v>
      </c>
      <c r="AL334" t="str">
        <f>IF($A334="","",IF(AND($C334&amp;"-"&amp;$D334&gt;=Settings!$B$19,$C334&amp;"-"&amp;$D334&lt;=Settings!$B$20),"IN","OUT"))</f>
        <v>IN</v>
      </c>
      <c r="AM334" t="str">
        <f t="shared" si="20"/>
        <v/>
      </c>
      <c r="AN334" t="str">
        <f t="shared" si="21"/>
        <v/>
      </c>
      <c r="AO334" t="str">
        <f>IF(ISNUMBER($AM334),ABS(IF(ISNUMBER($G334),$G334,0)-Settings!$B$25),"")</f>
        <v/>
      </c>
      <c r="AP334" t="str">
        <f t="shared" si="22"/>
        <v/>
      </c>
      <c r="AQ334" t="str">
        <f>IF(ISNUMBER($AN334),ABS(IF(ISNUMBER($G334),$G334,0)-Settings!$B$25),"")</f>
        <v/>
      </c>
      <c r="AR334" t="str">
        <f t="shared" si="23"/>
        <v/>
      </c>
      <c r="AS334" t="str">
        <f>IF($A334="","",IFERROR(INDEX(Company_List!$H$3:$H$207,MATCH($A334,Company_List!$A$3:$A$207,0)),"unassigned"))</f>
        <v>Energy</v>
      </c>
    </row>
    <row r="335" spans="1:45" x14ac:dyDescent="0.2">
      <c r="A335" s="1" t="s">
        <v>1252</v>
      </c>
      <c r="B335" s="120" t="s">
        <v>2047</v>
      </c>
      <c r="C335">
        <v>2025</v>
      </c>
      <c r="D335" t="s">
        <v>569</v>
      </c>
      <c r="E335" t="s">
        <v>2045</v>
      </c>
      <c r="F335" t="s">
        <v>1912</v>
      </c>
      <c r="G335">
        <v>0.16750000000000001</v>
      </c>
      <c r="H335" t="s">
        <v>1913</v>
      </c>
      <c r="J335" s="165">
        <v>46054</v>
      </c>
      <c r="K335" s="165">
        <v>46041</v>
      </c>
      <c r="L335">
        <v>2201.9456</v>
      </c>
      <c r="M335" s="165">
        <v>46042</v>
      </c>
      <c r="N335">
        <v>2070.2646</v>
      </c>
      <c r="O335">
        <v>8.6669999999999994E-3</v>
      </c>
      <c r="P335">
        <v>-5.9802113185720873E-2</v>
      </c>
      <c r="Q335" t="s">
        <v>545</v>
      </c>
      <c r="R335" t="s">
        <v>546</v>
      </c>
      <c r="V335" t="s">
        <v>1183</v>
      </c>
      <c r="AG335" t="str">
        <f>IF($A335="","",IFERROR(INDEX(Company_List!$G$3:$G$207,MATCH($A335,Company_List!$A$3:$A$207,0)),"unassigned"))</f>
        <v>unassigned</v>
      </c>
      <c r="AK335" t="str">
        <f>IF($A335="","",IF(COUNTIFS(Human_Data_Entry!$A$3:$A$525,$A335)&gt;0,"YES","NO"))</f>
        <v>YES</v>
      </c>
      <c r="AL335" t="str">
        <f>IF($A335="","",IF(AND($C335&amp;"-"&amp;$D335&gt;=Settings!$B$19,$C335&amp;"-"&amp;$D335&lt;=Settings!$B$20),"IN","OUT"))</f>
        <v>IN</v>
      </c>
      <c r="AM335" t="str">
        <f t="shared" si="20"/>
        <v/>
      </c>
      <c r="AN335" t="str">
        <f t="shared" si="21"/>
        <v/>
      </c>
      <c r="AO335" t="str">
        <f>IF(ISNUMBER($AM335),ABS(IF(ISNUMBER($G335),$G335,0)-Settings!$B$25),"")</f>
        <v/>
      </c>
      <c r="AP335" t="str">
        <f t="shared" si="22"/>
        <v/>
      </c>
      <c r="AQ335" t="str">
        <f>IF(ISNUMBER($AN335),ABS(IF(ISNUMBER($G335),$G335,0)-Settings!$B$25),"")</f>
        <v/>
      </c>
      <c r="AR335" t="str">
        <f t="shared" si="23"/>
        <v/>
      </c>
      <c r="AS335" t="str">
        <f>IF($A335="","",IFERROR(INDEX(Company_List!$H$3:$H$207,MATCH($A335,Company_List!$A$3:$A$207,0)),"unassigned"))</f>
        <v>unassigned</v>
      </c>
    </row>
    <row r="336" spans="1:45" x14ac:dyDescent="0.2">
      <c r="A336" s="1" t="s">
        <v>1421</v>
      </c>
      <c r="B336" s="120" t="s">
        <v>2046</v>
      </c>
      <c r="C336">
        <v>2026</v>
      </c>
      <c r="D336" t="s">
        <v>537</v>
      </c>
      <c r="E336" t="s">
        <v>2045</v>
      </c>
      <c r="F336" t="s">
        <v>1912</v>
      </c>
      <c r="G336">
        <v>0.19500000000000001</v>
      </c>
      <c r="H336" t="s">
        <v>1913</v>
      </c>
      <c r="J336" s="165">
        <v>46054</v>
      </c>
      <c r="K336" s="165">
        <v>46042</v>
      </c>
      <c r="L336">
        <v>89.909899999999993</v>
      </c>
      <c r="M336" s="165">
        <v>46043</v>
      </c>
      <c r="N336">
        <v>89.410499999999999</v>
      </c>
      <c r="O336">
        <v>7.5919999999999998E-3</v>
      </c>
      <c r="P336">
        <v>2.4400000000000002E-2</v>
      </c>
      <c r="V336" t="s">
        <v>1183</v>
      </c>
      <c r="AG336" t="str">
        <f>IF($A336="","",IFERROR(INDEX(Company_List!$G$3:$G$207,MATCH($A336,Company_List!$A$3:$A$207,0)),"unassigned"))</f>
        <v>unassigned</v>
      </c>
      <c r="AK336" t="str">
        <f>IF($A336="","",IF(COUNTIFS(Human_Data_Entry!$A$3:$A$525,$A336)&gt;0,"YES","NO"))</f>
        <v>YES</v>
      </c>
      <c r="AL336" t="str">
        <f>IF($A336="","",IF(AND($C336&amp;"-"&amp;$D336&gt;=Settings!$B$19,$C336&amp;"-"&amp;$D336&lt;=Settings!$B$20),"IN","OUT"))</f>
        <v>IN</v>
      </c>
      <c r="AM336" t="str">
        <f t="shared" si="20"/>
        <v/>
      </c>
      <c r="AN336" t="str">
        <f t="shared" si="21"/>
        <v/>
      </c>
      <c r="AO336" t="str">
        <f>IF(ISNUMBER($AM336),ABS(IF(ISNUMBER($G336),$G336,0)-Settings!$B$25),"")</f>
        <v/>
      </c>
      <c r="AP336" t="str">
        <f t="shared" si="22"/>
        <v/>
      </c>
      <c r="AQ336" t="str">
        <f>IF(ISNUMBER($AN336),ABS(IF(ISNUMBER($G336),$G336,0)-Settings!$B$25),"")</f>
        <v/>
      </c>
      <c r="AR336" t="str">
        <f t="shared" si="23"/>
        <v/>
      </c>
      <c r="AS336" t="str">
        <f>IF($A336="","",IFERROR(INDEX(Company_List!$H$3:$H$207,MATCH($A336,Company_List!$A$3:$A$207,0)),"unassigned"))</f>
        <v>unassigned</v>
      </c>
    </row>
    <row r="337" spans="1:45" x14ac:dyDescent="0.2">
      <c r="A337" s="1" t="s">
        <v>1878</v>
      </c>
      <c r="B337" s="120" t="s">
        <v>2048</v>
      </c>
      <c r="C337">
        <v>2025</v>
      </c>
      <c r="D337" t="s">
        <v>569</v>
      </c>
      <c r="E337" t="s">
        <v>2045</v>
      </c>
      <c r="F337" t="s">
        <v>1912</v>
      </c>
      <c r="G337">
        <v>0.2225</v>
      </c>
      <c r="H337" t="s">
        <v>1913</v>
      </c>
      <c r="J337" s="165">
        <v>46054</v>
      </c>
      <c r="K337" s="165">
        <v>46042</v>
      </c>
      <c r="L337">
        <v>71.782399999999996</v>
      </c>
      <c r="M337" s="165">
        <v>46043</v>
      </c>
      <c r="N337">
        <v>72.042599999999993</v>
      </c>
      <c r="O337">
        <v>5.7559999999999998E-3</v>
      </c>
      <c r="P337">
        <v>-1.2800000000000001E-2</v>
      </c>
      <c r="V337" t="s">
        <v>1183</v>
      </c>
      <c r="AG337" t="str">
        <f>IF($A337="","",IFERROR(INDEX(Company_List!$G$3:$G$207,MATCH($A337,Company_List!$A$3:$A$207,0)),"unassigned"))</f>
        <v>P2</v>
      </c>
      <c r="AK337" t="str">
        <f>IF($A337="","",IF(COUNTIFS(Human_Data_Entry!$A$3:$A$525,$A337)&gt;0,"YES","NO"))</f>
        <v>YES</v>
      </c>
      <c r="AL337" t="str">
        <f>IF($A337="","",IF(AND($C337&amp;"-"&amp;$D337&gt;=Settings!$B$19,$C337&amp;"-"&amp;$D337&lt;=Settings!$B$20),"IN","OUT"))</f>
        <v>IN</v>
      </c>
      <c r="AM337" t="str">
        <f t="shared" si="20"/>
        <v/>
      </c>
      <c r="AN337" t="str">
        <f t="shared" si="21"/>
        <v/>
      </c>
      <c r="AO337" t="str">
        <f>IF(ISNUMBER($AM337),ABS(IF(ISNUMBER($G337),$G337,0)-Settings!$B$25),"")</f>
        <v/>
      </c>
      <c r="AP337" t="str">
        <f t="shared" si="22"/>
        <v/>
      </c>
      <c r="AQ337" t="str">
        <f>IF(ISNUMBER($AN337),ABS(IF(ISNUMBER($G337),$G337,0)-Settings!$B$25),"")</f>
        <v/>
      </c>
      <c r="AR337" t="str">
        <f t="shared" si="23"/>
        <v/>
      </c>
      <c r="AS337" t="str">
        <f>IF($A337="","",IFERROR(INDEX(Company_List!$H$3:$H$207,MATCH($A337,Company_List!$A$3:$A$207,0)),"unassigned"))</f>
        <v>Energy</v>
      </c>
    </row>
    <row r="338" spans="1:45" x14ac:dyDescent="0.2">
      <c r="A338" s="1" t="s">
        <v>1407</v>
      </c>
      <c r="B338" s="120" t="s">
        <v>2049</v>
      </c>
      <c r="C338">
        <v>2025</v>
      </c>
      <c r="D338" t="s">
        <v>563</v>
      </c>
      <c r="E338" t="s">
        <v>2045</v>
      </c>
      <c r="F338" t="s">
        <v>1912</v>
      </c>
      <c r="G338">
        <v>0.27750000000000002</v>
      </c>
      <c r="H338" t="s">
        <v>1919</v>
      </c>
      <c r="J338" s="165">
        <v>46054</v>
      </c>
      <c r="K338" s="165">
        <v>46042</v>
      </c>
      <c r="L338">
        <v>23.72</v>
      </c>
      <c r="M338" s="165">
        <v>46043</v>
      </c>
      <c r="N338">
        <v>23.5</v>
      </c>
      <c r="O338">
        <v>6.0540000000000004E-3</v>
      </c>
      <c r="P338">
        <v>-5.0000000000000001E-4</v>
      </c>
      <c r="V338" t="s">
        <v>1183</v>
      </c>
      <c r="AG338" t="str">
        <f>IF($A338="","",IFERROR(INDEX(Company_List!$G$3:$G$207,MATCH($A338,Company_List!$A$3:$A$207,0)),"unassigned"))</f>
        <v>P3</v>
      </c>
      <c r="AK338" t="str">
        <f>IF($A338="","",IF(COUNTIFS(Human_Data_Entry!$A$3:$A$525,$A338)&gt;0,"YES","NO"))</f>
        <v>YES</v>
      </c>
      <c r="AL338" t="str">
        <f>IF($A338="","",IF(AND($C338&amp;"-"&amp;$D338&gt;=Settings!$B$19,$C338&amp;"-"&amp;$D338&lt;=Settings!$B$20),"IN","OUT"))</f>
        <v>IN</v>
      </c>
      <c r="AM338" t="str">
        <f t="shared" si="20"/>
        <v/>
      </c>
      <c r="AN338" t="str">
        <f t="shared" si="21"/>
        <v/>
      </c>
      <c r="AO338" t="str">
        <f>IF(ISNUMBER($AM338),ABS(IF(ISNUMBER($G338),$G338,0)-Settings!$B$25),"")</f>
        <v/>
      </c>
      <c r="AP338" t="str">
        <f t="shared" si="22"/>
        <v/>
      </c>
      <c r="AQ338" t="str">
        <f>IF(ISNUMBER($AN338),ABS(IF(ISNUMBER($G338),$G338,0)-Settings!$B$25),"")</f>
        <v/>
      </c>
      <c r="AR338" t="str">
        <f t="shared" si="23"/>
        <v/>
      </c>
      <c r="AS338" t="str">
        <f>IF($A338="","",IFERROR(INDEX(Company_List!$H$3:$H$207,MATCH($A338,Company_List!$A$3:$A$207,0)),"unassigned"))</f>
        <v>Consumer Discretionary</v>
      </c>
    </row>
    <row r="339" spans="1:45" x14ac:dyDescent="0.2">
      <c r="A339" s="1" t="s">
        <v>1521</v>
      </c>
      <c r="B339" s="120" t="s">
        <v>1523</v>
      </c>
      <c r="C339">
        <v>2025</v>
      </c>
      <c r="D339" t="s">
        <v>569</v>
      </c>
      <c r="E339" t="s">
        <v>2045</v>
      </c>
      <c r="F339" t="s">
        <v>1912</v>
      </c>
      <c r="G339">
        <v>2.5000000000000001E-3</v>
      </c>
      <c r="H339" t="s">
        <v>1913</v>
      </c>
      <c r="J339" s="165">
        <v>46057</v>
      </c>
      <c r="K339" s="165">
        <v>46042</v>
      </c>
      <c r="L339">
        <v>219.39760000000001</v>
      </c>
      <c r="M339" s="165">
        <v>46043</v>
      </c>
      <c r="N339">
        <v>221.1592</v>
      </c>
      <c r="O339">
        <v>1.2343E-2</v>
      </c>
      <c r="P339">
        <v>4.4000000000000003E-3</v>
      </c>
      <c r="V339" t="s">
        <v>1183</v>
      </c>
      <c r="AG339" t="str">
        <f>IF($A339="","",IFERROR(INDEX(Company_List!$G$3:$G$207,MATCH($A339,Company_List!$A$3:$A$207,0)),"unassigned"))</f>
        <v>P3</v>
      </c>
      <c r="AK339" t="str">
        <f>IF($A339="","",IF(COUNTIFS(Human_Data_Entry!$A$3:$A$525,$A339)&gt;0,"YES","NO"))</f>
        <v>YES</v>
      </c>
      <c r="AL339" t="str">
        <f>IF($A339="","",IF(AND($C339&amp;"-"&amp;$D339&gt;=Settings!$B$19,$C339&amp;"-"&amp;$D339&lt;=Settings!$B$20),"IN","OUT"))</f>
        <v>IN</v>
      </c>
      <c r="AM339" t="str">
        <f t="shared" si="20"/>
        <v/>
      </c>
      <c r="AN339" t="str">
        <f t="shared" si="21"/>
        <v/>
      </c>
      <c r="AO339" t="str">
        <f>IF(ISNUMBER($AM339),ABS(IF(ISNUMBER($G339),$G339,0)-Settings!$B$25),"")</f>
        <v/>
      </c>
      <c r="AP339" t="str">
        <f t="shared" si="22"/>
        <v/>
      </c>
      <c r="AQ339" t="str">
        <f>IF(ISNUMBER($AN339),ABS(IF(ISNUMBER($G339),$G339,0)-Settings!$B$25),"")</f>
        <v/>
      </c>
      <c r="AR339" t="str">
        <f t="shared" si="23"/>
        <v/>
      </c>
      <c r="AS339" t="str">
        <f>IF($A339="","",IFERROR(INDEX(Company_List!$H$3:$H$207,MATCH($A339,Company_List!$A$3:$A$207,0)),"unassigned"))</f>
        <v>Industrials</v>
      </c>
    </row>
    <row r="340" spans="1:45" x14ac:dyDescent="0.2">
      <c r="A340" s="1" t="s">
        <v>1235</v>
      </c>
      <c r="B340" s="120" t="s">
        <v>1236</v>
      </c>
      <c r="C340">
        <v>2025</v>
      </c>
      <c r="D340" t="s">
        <v>569</v>
      </c>
      <c r="E340" t="s">
        <v>2045</v>
      </c>
      <c r="F340" t="s">
        <v>1912</v>
      </c>
      <c r="G340">
        <v>0.25</v>
      </c>
      <c r="H340" t="s">
        <v>1913</v>
      </c>
      <c r="J340" s="165">
        <v>46063</v>
      </c>
      <c r="K340" s="165">
        <v>46048</v>
      </c>
      <c r="L340">
        <v>136.63999999999999</v>
      </c>
      <c r="M340" s="165">
        <v>46049</v>
      </c>
      <c r="N340">
        <v>140.91999999999999</v>
      </c>
      <c r="O340">
        <v>9.3519999999999992E-3</v>
      </c>
      <c r="P340">
        <v>8.9200000000000002E-2</v>
      </c>
      <c r="V340" t="s">
        <v>1183</v>
      </c>
      <c r="AG340" t="str">
        <f>IF($A340="","",IFERROR(INDEX(Company_List!$G$3:$G$207,MATCH($A340,Company_List!$A$3:$A$207,0)),"unassigned"))</f>
        <v>P3</v>
      </c>
      <c r="AK340" t="str">
        <f>IF($A340="","",IF(COUNTIFS(Human_Data_Entry!$A$3:$A$525,$A340)&gt;0,"YES","NO"))</f>
        <v>YES</v>
      </c>
      <c r="AL340" t="str">
        <f>IF($A340="","",IF(AND($C340&amp;"-"&amp;$D340&gt;=Settings!$B$19,$C340&amp;"-"&amp;$D340&lt;=Settings!$B$20),"IN","OUT"))</f>
        <v>IN</v>
      </c>
      <c r="AM340" t="str">
        <f t="shared" si="20"/>
        <v/>
      </c>
      <c r="AN340" t="str">
        <f t="shared" si="21"/>
        <v/>
      </c>
      <c r="AO340" t="str">
        <f>IF(ISNUMBER($AM340),ABS(IF(ISNUMBER($G340),$G340,0)-Settings!$B$25),"")</f>
        <v/>
      </c>
      <c r="AP340" t="str">
        <f t="shared" si="22"/>
        <v/>
      </c>
      <c r="AQ340" t="str">
        <f>IF(ISNUMBER($AN340),ABS(IF(ISNUMBER($G340),$G340,0)-Settings!$B$25),"")</f>
        <v/>
      </c>
      <c r="AR340" t="str">
        <f t="shared" si="23"/>
        <v/>
      </c>
      <c r="AS340" t="str">
        <f>IF($A340="","",IFERROR(INDEX(Company_List!$H$3:$H$207,MATCH($A340,Company_List!$A$3:$A$207,0)),"unassigned"))</f>
        <v>Information Technology</v>
      </c>
    </row>
    <row r="341" spans="1:45" x14ac:dyDescent="0.2">
      <c r="A341" s="1" t="s">
        <v>1660</v>
      </c>
      <c r="B341" s="120" t="s">
        <v>1662</v>
      </c>
      <c r="C341">
        <v>2025</v>
      </c>
      <c r="D341" t="s">
        <v>569</v>
      </c>
      <c r="E341" t="s">
        <v>2045</v>
      </c>
      <c r="F341" t="s">
        <v>1912</v>
      </c>
      <c r="G341">
        <v>0.41499999999999998</v>
      </c>
      <c r="H341" t="s">
        <v>1919</v>
      </c>
      <c r="J341" s="165">
        <v>46063</v>
      </c>
      <c r="K341" s="165">
        <v>46048</v>
      </c>
      <c r="L341">
        <v>116.7679</v>
      </c>
      <c r="M341" s="165">
        <v>46049</v>
      </c>
      <c r="N341">
        <v>116.7679</v>
      </c>
      <c r="O341">
        <v>1.2388E-2</v>
      </c>
      <c r="P341">
        <v>5.0000000000000001E-3</v>
      </c>
      <c r="V341" t="s">
        <v>1183</v>
      </c>
      <c r="AG341" t="str">
        <f>IF($A341="","",IFERROR(INDEX(Company_List!$G$3:$G$207,MATCH($A341,Company_List!$A$3:$A$207,0)),"unassigned"))</f>
        <v>P2</v>
      </c>
      <c r="AK341" t="str">
        <f>IF($A341="","",IF(COUNTIFS(Human_Data_Entry!$A$3:$A$525,$A341)&gt;0,"YES","NO"))</f>
        <v>YES</v>
      </c>
      <c r="AL341" t="str">
        <f>IF($A341="","",IF(AND($C341&amp;"-"&amp;$D341&gt;=Settings!$B$19,$C341&amp;"-"&amp;$D341&lt;=Settings!$B$20),"IN","OUT"))</f>
        <v>IN</v>
      </c>
      <c r="AM341" t="str">
        <f t="shared" si="20"/>
        <v/>
      </c>
      <c r="AN341" t="str">
        <f t="shared" si="21"/>
        <v/>
      </c>
      <c r="AO341" t="str">
        <f>IF(ISNUMBER($AM341),ABS(IF(ISNUMBER($G341),$G341,0)-Settings!$B$25),"")</f>
        <v/>
      </c>
      <c r="AP341" t="str">
        <f t="shared" si="22"/>
        <v/>
      </c>
      <c r="AQ341" t="str">
        <f>IF(ISNUMBER($AN341),ABS(IF(ISNUMBER($G341),$G341,0)-Settings!$B$25),"")</f>
        <v/>
      </c>
      <c r="AR341" t="str">
        <f t="shared" si="23"/>
        <v/>
      </c>
      <c r="AS341" t="str">
        <f>IF($A341="","",IFERROR(INDEX(Company_List!$H$3:$H$207,MATCH($A341,Company_List!$A$3:$A$207,0)),"unassigned"))</f>
        <v>Utilities</v>
      </c>
    </row>
    <row r="342" spans="1:45" x14ac:dyDescent="0.2">
      <c r="A342" s="1" t="s">
        <v>1397</v>
      </c>
      <c r="B342" s="120" t="s">
        <v>1399</v>
      </c>
      <c r="C342">
        <v>2025</v>
      </c>
      <c r="D342" t="s">
        <v>569</v>
      </c>
      <c r="E342" t="s">
        <v>2045</v>
      </c>
      <c r="F342" t="s">
        <v>1912</v>
      </c>
      <c r="G342">
        <v>0.27750000000000002</v>
      </c>
      <c r="H342" t="s">
        <v>1919</v>
      </c>
      <c r="J342" s="165">
        <v>46064</v>
      </c>
      <c r="K342" s="165">
        <v>46049</v>
      </c>
      <c r="L342">
        <v>137.5</v>
      </c>
      <c r="M342" s="165">
        <v>46050</v>
      </c>
      <c r="N342">
        <v>138.715</v>
      </c>
      <c r="O342">
        <v>8.0999999999999996E-3</v>
      </c>
      <c r="P342">
        <v>9.1600000000000001E-2</v>
      </c>
      <c r="V342" t="s">
        <v>1183</v>
      </c>
      <c r="AG342" t="str">
        <f>IF($A342="","",IFERROR(INDEX(Company_List!$G$3:$G$207,MATCH($A342,Company_List!$A$3:$A$207,0)),"unassigned"))</f>
        <v>P3</v>
      </c>
      <c r="AK342" t="str">
        <f>IF($A342="","",IF(COUNTIFS(Human_Data_Entry!$A$3:$A$525,$A342)&gt;0,"YES","NO"))</f>
        <v>YES</v>
      </c>
      <c r="AL342" t="str">
        <f>IF($A342="","",IF(AND($C342&amp;"-"&amp;$D342&gt;=Settings!$B$19,$C342&amp;"-"&amp;$D342&lt;=Settings!$B$20),"IN","OUT"))</f>
        <v>IN</v>
      </c>
      <c r="AM342" t="str">
        <f t="shared" si="20"/>
        <v/>
      </c>
      <c r="AN342" t="str">
        <f t="shared" si="21"/>
        <v/>
      </c>
      <c r="AO342" t="str">
        <f>IF(ISNUMBER($AM342),ABS(IF(ISNUMBER($G342),$G342,0)-Settings!$B$25),"")</f>
        <v/>
      </c>
      <c r="AP342" t="str">
        <f t="shared" si="22"/>
        <v/>
      </c>
      <c r="AQ342" t="str">
        <f>IF(ISNUMBER($AN342),ABS(IF(ISNUMBER($G342),$G342,0)-Settings!$B$25),"")</f>
        <v/>
      </c>
      <c r="AR342" t="str">
        <f t="shared" si="23"/>
        <v/>
      </c>
      <c r="AS342" t="str">
        <f>IF($A342="","",IFERROR(INDEX(Company_List!$H$3:$H$207,MATCH($A342,Company_List!$A$3:$A$207,0)),"unassigned"))</f>
        <v>Information Technology</v>
      </c>
    </row>
    <row r="343" spans="1:45" x14ac:dyDescent="0.2">
      <c r="A343" s="1" t="s">
        <v>1530</v>
      </c>
      <c r="B343" s="120" t="s">
        <v>1532</v>
      </c>
      <c r="C343">
        <v>2025</v>
      </c>
      <c r="D343" t="s">
        <v>569</v>
      </c>
      <c r="E343" t="s">
        <v>2045</v>
      </c>
      <c r="F343" t="s">
        <v>1912</v>
      </c>
      <c r="G343">
        <v>-0.1</v>
      </c>
      <c r="H343" t="s">
        <v>1923</v>
      </c>
      <c r="J343" s="165">
        <v>46077</v>
      </c>
      <c r="K343" s="165">
        <v>46062</v>
      </c>
      <c r="L343">
        <v>375.65210000000002</v>
      </c>
      <c r="M343" s="165">
        <v>46063</v>
      </c>
      <c r="N343">
        <v>378.42259999999999</v>
      </c>
      <c r="O343">
        <v>8.6890000000000005E-3</v>
      </c>
      <c r="P343">
        <v>3.2099999999999997E-2</v>
      </c>
      <c r="V343" t="s">
        <v>1183</v>
      </c>
      <c r="AG343" t="str">
        <f>IF($A343="","",IFERROR(INDEX(Company_List!$G$3:$G$207,MATCH($A343,Company_List!$A$3:$A$207,0)),"unassigned"))</f>
        <v>P3</v>
      </c>
      <c r="AK343" t="str">
        <f>IF($A343="","",IF(COUNTIFS(Human_Data_Entry!$A$3:$A$525,$A343)&gt;0,"YES","NO"))</f>
        <v>YES</v>
      </c>
      <c r="AL343" t="str">
        <f>IF($A343="","",IF(AND($C343&amp;"-"&amp;$D343&gt;=Settings!$B$19,$C343&amp;"-"&amp;$D343&lt;=Settings!$B$20),"IN","OUT"))</f>
        <v>IN</v>
      </c>
      <c r="AM343" t="str">
        <f t="shared" si="20"/>
        <v/>
      </c>
      <c r="AN343" t="str">
        <f t="shared" si="21"/>
        <v/>
      </c>
      <c r="AO343" t="str">
        <f>IF(ISNUMBER($AM343),ABS(IF(ISNUMBER($G343),$G343,0)-Settings!$B$25),"")</f>
        <v/>
      </c>
      <c r="AP343" t="str">
        <f t="shared" si="22"/>
        <v/>
      </c>
      <c r="AQ343" t="str">
        <f>IF(ISNUMBER($AN343),ABS(IF(ISNUMBER($G343),$G343,0)-Settings!$B$25),"")</f>
        <v/>
      </c>
      <c r="AR343" t="str">
        <f t="shared" si="23"/>
        <v/>
      </c>
      <c r="AS343" t="str">
        <f>IF($A343="","",IFERROR(INDEX(Company_List!$H$3:$H$207,MATCH($A343,Company_List!$A$3:$A$207,0)),"unassigned"))</f>
        <v>Consumer Discretionary</v>
      </c>
    </row>
    <row r="344" spans="1:45" x14ac:dyDescent="0.2">
      <c r="A344" s="1" t="s">
        <v>1381</v>
      </c>
      <c r="B344" s="120" t="s">
        <v>1385</v>
      </c>
      <c r="C344">
        <v>2026</v>
      </c>
      <c r="D344" t="s">
        <v>555</v>
      </c>
      <c r="E344" t="s">
        <v>2045</v>
      </c>
      <c r="F344" t="s">
        <v>1912</v>
      </c>
      <c r="G344">
        <v>9.2499999999999999E-2</v>
      </c>
      <c r="H344" t="s">
        <v>1913</v>
      </c>
      <c r="J344" s="165">
        <v>46086</v>
      </c>
      <c r="K344" s="165">
        <v>46071</v>
      </c>
      <c r="L344">
        <v>993.05790000000002</v>
      </c>
      <c r="M344" s="165">
        <v>46072</v>
      </c>
      <c r="N344">
        <v>989.29930000000002</v>
      </c>
      <c r="O344">
        <v>8.3999999999999995E-3</v>
      </c>
      <c r="P344">
        <v>-1.5800000000000002E-2</v>
      </c>
      <c r="V344" t="s">
        <v>1183</v>
      </c>
      <c r="AG344" t="str">
        <f>IF($A344="","",IFERROR(INDEX(Company_List!$G$3:$G$207,MATCH($A344,Company_List!$A$3:$A$207,0)),"unassigned"))</f>
        <v>both</v>
      </c>
      <c r="AK344" t="str">
        <f>IF($A344="","",IF(COUNTIFS(Human_Data_Entry!$A$3:$A$525,$A344)&gt;0,"YES","NO"))</f>
        <v>YES</v>
      </c>
      <c r="AL344" t="str">
        <f>IF($A344="","",IF(AND($C344&amp;"-"&amp;$D344&gt;=Settings!$B$19,$C344&amp;"-"&amp;$D344&lt;=Settings!$B$20),"IN","OUT"))</f>
        <v>IN</v>
      </c>
      <c r="AM344" t="str">
        <f t="shared" si="20"/>
        <v/>
      </c>
      <c r="AN344" t="str">
        <f t="shared" si="21"/>
        <v/>
      </c>
      <c r="AO344" t="str">
        <f>IF(ISNUMBER($AM344),ABS(IF(ISNUMBER($G344),$G344,0)-Settings!$B$25),"")</f>
        <v/>
      </c>
      <c r="AP344" t="str">
        <f t="shared" si="22"/>
        <v/>
      </c>
      <c r="AQ344" t="str">
        <f>IF(ISNUMBER($AN344),ABS(IF(ISNUMBER($G344),$G344,0)-Settings!$B$25),"")</f>
        <v/>
      </c>
      <c r="AR344" t="str">
        <f t="shared" si="23"/>
        <v/>
      </c>
      <c r="AS344" t="str">
        <f>IF($A344="","",IFERROR(INDEX(Company_List!$H$3:$H$207,MATCH($A344,Company_List!$A$3:$A$207,0)),"unassigned"))</f>
        <v>Consumer Staples</v>
      </c>
    </row>
    <row r="345" spans="1:45" x14ac:dyDescent="0.2">
      <c r="A345" s="1" t="s">
        <v>1536</v>
      </c>
      <c r="B345" s="120" t="s">
        <v>1538</v>
      </c>
      <c r="C345">
        <v>2026</v>
      </c>
      <c r="D345" t="s">
        <v>537</v>
      </c>
      <c r="E345" t="s">
        <v>2045</v>
      </c>
      <c r="F345" t="s">
        <v>1912</v>
      </c>
      <c r="G345">
        <v>0.01</v>
      </c>
      <c r="H345" t="s">
        <v>1913</v>
      </c>
      <c r="J345" s="165">
        <v>46093</v>
      </c>
      <c r="K345" s="165">
        <v>46078</v>
      </c>
      <c r="L345">
        <v>257.81</v>
      </c>
      <c r="M345" s="165">
        <v>46079</v>
      </c>
      <c r="N345">
        <v>261.58999999999997</v>
      </c>
      <c r="O345">
        <v>8.1279999999999998E-3</v>
      </c>
      <c r="P345">
        <v>-7.6999999999999999E-2</v>
      </c>
      <c r="V345" t="s">
        <v>1183</v>
      </c>
      <c r="AG345" t="str">
        <f>IF($A345="","",IFERROR(INDEX(Company_List!$G$3:$G$207,MATCH($A345,Company_List!$A$3:$A$207,0)),"unassigned"))</f>
        <v>P3</v>
      </c>
      <c r="AK345" t="str">
        <f>IF($A345="","",IF(COUNTIFS(Human_Data_Entry!$A$3:$A$525,$A345)&gt;0,"YES","NO"))</f>
        <v>YES</v>
      </c>
      <c r="AL345" t="str">
        <f>IF($A345="","",IF(AND($C345&amp;"-"&amp;$D345&gt;=Settings!$B$19,$C345&amp;"-"&amp;$D345&lt;=Settings!$B$20),"IN","OUT"))</f>
        <v>IN</v>
      </c>
      <c r="AM345" t="str">
        <f t="shared" si="20"/>
        <v/>
      </c>
      <c r="AN345" t="str">
        <f t="shared" si="21"/>
        <v/>
      </c>
      <c r="AO345" t="str">
        <f>IF(ISNUMBER($AM345),ABS(IF(ISNUMBER($G345),$G345,0)-Settings!$B$25),"")</f>
        <v/>
      </c>
      <c r="AP345" t="str">
        <f t="shared" si="22"/>
        <v/>
      </c>
      <c r="AQ345" t="str">
        <f>IF(ISNUMBER($AN345),ABS(IF(ISNUMBER($G345),$G345,0)-Settings!$B$25),"")</f>
        <v/>
      </c>
      <c r="AR345" t="str">
        <f t="shared" si="23"/>
        <v/>
      </c>
      <c r="AS345" t="str">
        <f>IF($A345="","",IFERROR(INDEX(Company_List!$H$3:$H$207,MATCH($A345,Company_List!$A$3:$A$207,0)),"unassigned"))</f>
        <v>Information Technology</v>
      </c>
    </row>
    <row r="346" spans="1:45" x14ac:dyDescent="0.2">
      <c r="A346" s="1" t="s">
        <v>1793</v>
      </c>
      <c r="B346" s="120" t="s">
        <v>1796</v>
      </c>
      <c r="C346">
        <v>2026</v>
      </c>
      <c r="D346" t="s">
        <v>537</v>
      </c>
      <c r="E346" t="s">
        <v>2045</v>
      </c>
      <c r="F346" t="s">
        <v>1912</v>
      </c>
      <c r="G346">
        <v>2.5000000000000001E-3</v>
      </c>
      <c r="H346" t="s">
        <v>1913</v>
      </c>
      <c r="J346" s="165">
        <v>46135</v>
      </c>
      <c r="K346" s="165">
        <v>46120</v>
      </c>
      <c r="L346">
        <v>315.47640000000001</v>
      </c>
      <c r="M346" s="165">
        <v>46121</v>
      </c>
      <c r="N346">
        <v>313.452</v>
      </c>
      <c r="O346">
        <v>7.1999999999999998E-3</v>
      </c>
      <c r="P346">
        <v>-2.0999999999999999E-3</v>
      </c>
      <c r="V346" t="s">
        <v>1183</v>
      </c>
      <c r="AG346" t="str">
        <f>IF($A346="","",IFERROR(INDEX(Company_List!$G$3:$G$207,MATCH($A346,Company_List!$A$3:$A$207,0)),"unassigned"))</f>
        <v>P2</v>
      </c>
      <c r="AK346" t="str">
        <f>IF($A346="","",IF(COUNTIFS(Human_Data_Entry!$A$3:$A$525,$A346)&gt;0,"YES","NO"))</f>
        <v>YES</v>
      </c>
      <c r="AL346" t="str">
        <f>IF($A346="","",IF(AND($C346&amp;"-"&amp;$D346&gt;=Settings!$B$19,$C346&amp;"-"&amp;$D346&lt;=Settings!$B$20),"IN","OUT"))</f>
        <v>IN</v>
      </c>
      <c r="AM346" t="str">
        <f t="shared" si="20"/>
        <v/>
      </c>
      <c r="AN346" t="str">
        <f t="shared" si="21"/>
        <v/>
      </c>
      <c r="AO346" t="str">
        <f>IF(ISNUMBER($AM346),ABS(IF(ISNUMBER($G346),$G346,0)-Settings!$B$25),"")</f>
        <v/>
      </c>
      <c r="AP346" t="str">
        <f t="shared" si="22"/>
        <v/>
      </c>
      <c r="AQ346" t="str">
        <f>IF(ISNUMBER($AN346),ABS(IF(ISNUMBER($G346),$G346,0)-Settings!$B$25),"")</f>
        <v/>
      </c>
      <c r="AR346" t="str">
        <f t="shared" si="23"/>
        <v/>
      </c>
      <c r="AS346" t="str">
        <f>IF($A346="","",IFERROR(INDEX(Company_List!$H$3:$H$207,MATCH($A346,Company_List!$A$3:$A$207,0)),"unassigned"))</f>
        <v>Financials</v>
      </c>
    </row>
    <row r="347" spans="1:45" x14ac:dyDescent="0.2">
      <c r="A347" s="1" t="s">
        <v>1513</v>
      </c>
      <c r="B347" s="120" t="s">
        <v>1516</v>
      </c>
      <c r="C347">
        <v>2026</v>
      </c>
      <c r="D347" t="s">
        <v>537</v>
      </c>
      <c r="E347" t="s">
        <v>2045</v>
      </c>
      <c r="F347" t="s">
        <v>1912</v>
      </c>
      <c r="G347">
        <v>-0.41</v>
      </c>
      <c r="H347" t="s">
        <v>1923</v>
      </c>
      <c r="J347" s="165">
        <v>46135</v>
      </c>
      <c r="K347" s="165">
        <v>46120</v>
      </c>
      <c r="L347">
        <v>64.799700000000001</v>
      </c>
      <c r="M347" s="165">
        <v>46121</v>
      </c>
      <c r="N347">
        <v>64.899199999999993</v>
      </c>
      <c r="O347">
        <v>1.2905E-2</v>
      </c>
      <c r="P347">
        <v>-0.115</v>
      </c>
      <c r="V347" t="s">
        <v>1183</v>
      </c>
      <c r="AG347" t="str">
        <f>IF($A347="","",IFERROR(INDEX(Company_List!$G$3:$G$207,MATCH($A347,Company_List!$A$3:$A$207,0)),"unassigned"))</f>
        <v>P3</v>
      </c>
      <c r="AK347" t="str">
        <f>IF($A347="","",IF(COUNTIFS(Human_Data_Entry!$A$3:$A$525,$A347)&gt;0,"YES","NO"))</f>
        <v>YES</v>
      </c>
      <c r="AL347" t="str">
        <f>IF($A347="","",IF(AND($C347&amp;"-"&amp;$D347&gt;=Settings!$B$19,$C347&amp;"-"&amp;$D347&lt;=Settings!$B$20),"IN","OUT"))</f>
        <v>IN</v>
      </c>
      <c r="AM347" t="str">
        <f t="shared" si="20"/>
        <v/>
      </c>
      <c r="AN347" t="str">
        <f t="shared" si="21"/>
        <v/>
      </c>
      <c r="AO347" t="str">
        <f>IF(ISNUMBER($AM347),ABS(IF(ISNUMBER($G347),$G347,0)-Settings!$B$25),"")</f>
        <v/>
      </c>
      <c r="AP347" t="str">
        <f t="shared" si="22"/>
        <v/>
      </c>
      <c r="AQ347" t="str">
        <f>IF(ISNUMBER($AN347),ABS(IF(ISNUMBER($G347),$G347,0)-Settings!$B$25),"")</f>
        <v/>
      </c>
      <c r="AR347" t="str">
        <f t="shared" si="23"/>
        <v/>
      </c>
      <c r="AS347" t="str">
        <f>IF($A347="","",IFERROR(INDEX(Company_List!$H$3:$H$207,MATCH($A347,Company_List!$A$3:$A$207,0)),"unassigned"))</f>
        <v>Materials</v>
      </c>
    </row>
    <row r="348" spans="1:45" x14ac:dyDescent="0.2">
      <c r="A348" s="1" t="s">
        <v>1835</v>
      </c>
      <c r="B348" s="120" t="s">
        <v>1836</v>
      </c>
      <c r="C348">
        <v>2026</v>
      </c>
      <c r="D348" t="s">
        <v>537</v>
      </c>
      <c r="E348" t="s">
        <v>2045</v>
      </c>
      <c r="F348" t="s">
        <v>1912</v>
      </c>
      <c r="G348">
        <v>2.5000000000000001E-3</v>
      </c>
      <c r="H348" t="s">
        <v>1913</v>
      </c>
      <c r="J348" s="165">
        <v>46135</v>
      </c>
      <c r="K348" s="165">
        <v>46120</v>
      </c>
      <c r="L348">
        <v>58.95</v>
      </c>
      <c r="M348" s="165">
        <v>46121</v>
      </c>
      <c r="N348">
        <v>58.4</v>
      </c>
      <c r="O348">
        <v>5.8510000000000003E-3</v>
      </c>
      <c r="P348">
        <v>0.23089999999999999</v>
      </c>
      <c r="V348" t="s">
        <v>1183</v>
      </c>
      <c r="AG348" t="str">
        <f>IF($A348="","",IFERROR(INDEX(Company_List!$G$3:$G$207,MATCH($A348,Company_List!$A$3:$A$207,0)),"unassigned"))</f>
        <v>P2</v>
      </c>
      <c r="AK348" t="str">
        <f>IF($A348="","",IF(COUNTIFS(Human_Data_Entry!$A$3:$A$525,$A348)&gt;0,"YES","NO"))</f>
        <v>YES</v>
      </c>
      <c r="AL348" t="str">
        <f>IF($A348="","",IF(AND($C348&amp;"-"&amp;$D348&gt;=Settings!$B$19,$C348&amp;"-"&amp;$D348&lt;=Settings!$B$20),"IN","OUT"))</f>
        <v>IN</v>
      </c>
      <c r="AM348" t="str">
        <f t="shared" si="20"/>
        <v/>
      </c>
      <c r="AN348" t="str">
        <f t="shared" si="21"/>
        <v/>
      </c>
      <c r="AO348" t="str">
        <f>IF(ISNUMBER($AM348),ABS(IF(ISNUMBER($G348),$G348,0)-Settings!$B$25),"")</f>
        <v/>
      </c>
      <c r="AP348" t="str">
        <f t="shared" si="22"/>
        <v/>
      </c>
      <c r="AQ348" t="str">
        <f>IF(ISNUMBER($AN348),ABS(IF(ISNUMBER($G348),$G348,0)-Settings!$B$25),"")</f>
        <v/>
      </c>
      <c r="AR348" t="str">
        <f t="shared" si="23"/>
        <v/>
      </c>
      <c r="AS348" t="str">
        <f>IF($A348="","",IFERROR(INDEX(Company_List!$H$3:$H$207,MATCH($A348,Company_List!$A$3:$A$207,0)),"unassigned"))</f>
        <v>Information Technology</v>
      </c>
    </row>
    <row r="349" spans="1:45" x14ac:dyDescent="0.2">
      <c r="A349" s="1" t="s">
        <v>1176</v>
      </c>
      <c r="B349" s="120" t="s">
        <v>1179</v>
      </c>
      <c r="C349">
        <v>2026</v>
      </c>
      <c r="D349" t="s">
        <v>537</v>
      </c>
      <c r="E349" t="s">
        <v>2045</v>
      </c>
      <c r="F349" t="s">
        <v>1912</v>
      </c>
      <c r="G349">
        <v>-0.19</v>
      </c>
      <c r="H349" t="s">
        <v>1923</v>
      </c>
      <c r="J349" s="165">
        <v>46136</v>
      </c>
      <c r="K349" s="165">
        <v>46121</v>
      </c>
      <c r="L349">
        <v>85.021199999999993</v>
      </c>
      <c r="M349" s="165">
        <v>46122</v>
      </c>
      <c r="N349">
        <v>84.932199999999995</v>
      </c>
      <c r="O349">
        <v>4.7739999999999996E-3</v>
      </c>
      <c r="P349">
        <v>1.01E-2</v>
      </c>
      <c r="V349" t="s">
        <v>1183</v>
      </c>
      <c r="AG349" t="str">
        <f>IF($A349="","",IFERROR(INDEX(Company_List!$G$3:$G$207,MATCH($A349,Company_List!$A$3:$A$207,0)),"unassigned"))</f>
        <v>P3</v>
      </c>
      <c r="AK349" t="str">
        <f>IF($A349="","",IF(COUNTIFS(Human_Data_Entry!$A$3:$A$525,$A349)&gt;0,"YES","NO"))</f>
        <v>YES</v>
      </c>
      <c r="AL349" t="str">
        <f>IF($A349="","",IF(AND($C349&amp;"-"&amp;$D349&gt;=Settings!$B$19,$C349&amp;"-"&amp;$D349&lt;=Settings!$B$20),"IN","OUT"))</f>
        <v>IN</v>
      </c>
      <c r="AM349" t="str">
        <f t="shared" si="20"/>
        <v/>
      </c>
      <c r="AN349" t="str">
        <f t="shared" si="21"/>
        <v/>
      </c>
      <c r="AO349" t="str">
        <f>IF(ISNUMBER($AM349),ABS(IF(ISNUMBER($G349),$G349,0)-Settings!$B$25),"")</f>
        <v/>
      </c>
      <c r="AP349" t="str">
        <f t="shared" si="22"/>
        <v/>
      </c>
      <c r="AQ349" t="str">
        <f>IF(ISNUMBER($AN349),ABS(IF(ISNUMBER($G349),$G349,0)-Settings!$B$25),"")</f>
        <v/>
      </c>
      <c r="AR349" t="str">
        <f t="shared" si="23"/>
        <v/>
      </c>
      <c r="AS349" t="str">
        <f>IF($A349="","",IFERROR(INDEX(Company_List!$H$3:$H$207,MATCH($A349,Company_List!$A$3:$A$207,0)),"unassigned"))</f>
        <v>Consumer Staples</v>
      </c>
    </row>
    <row r="350" spans="1:45" x14ac:dyDescent="0.2">
      <c r="A350" s="1" t="s">
        <v>1244</v>
      </c>
      <c r="B350" s="120" t="s">
        <v>1245</v>
      </c>
      <c r="C350">
        <v>2026</v>
      </c>
      <c r="D350" t="s">
        <v>537</v>
      </c>
      <c r="E350" t="s">
        <v>2045</v>
      </c>
      <c r="F350" t="s">
        <v>1912</v>
      </c>
      <c r="G350">
        <v>2.5000000000000001E-3</v>
      </c>
      <c r="H350" t="s">
        <v>1913</v>
      </c>
      <c r="J350" s="165">
        <v>46141</v>
      </c>
      <c r="K350" s="165">
        <v>46126</v>
      </c>
      <c r="L350">
        <v>100.1224</v>
      </c>
      <c r="M350" s="165">
        <v>46127</v>
      </c>
      <c r="N350">
        <v>99.613799999999998</v>
      </c>
      <c r="O350">
        <v>5.731E-3</v>
      </c>
      <c r="P350">
        <v>-3.5799999999999998E-2</v>
      </c>
      <c r="V350" t="s">
        <v>1183</v>
      </c>
      <c r="AG350" t="str">
        <f>IF($A350="","",IFERROR(INDEX(Company_List!$G$3:$G$207,MATCH($A350,Company_List!$A$3:$A$207,0)),"unassigned"))</f>
        <v>P3</v>
      </c>
      <c r="AK350" t="str">
        <f>IF($A350="","",IF(COUNTIFS(Human_Data_Entry!$A$3:$A$525,$A350)&gt;0,"YES","NO"))</f>
        <v>YES</v>
      </c>
      <c r="AL350" t="str">
        <f>IF($A350="","",IF(AND($C350&amp;"-"&amp;$D350&gt;=Settings!$B$19,$C350&amp;"-"&amp;$D350&lt;=Settings!$B$20),"IN","OUT"))</f>
        <v>IN</v>
      </c>
      <c r="AM350" t="str">
        <f t="shared" si="20"/>
        <v/>
      </c>
      <c r="AN350" t="str">
        <f t="shared" si="21"/>
        <v/>
      </c>
      <c r="AO350" t="str">
        <f>IF(ISNUMBER($AM350),ABS(IF(ISNUMBER($G350),$G350,0)-Settings!$B$25),"")</f>
        <v/>
      </c>
      <c r="AP350" t="str">
        <f t="shared" si="22"/>
        <v/>
      </c>
      <c r="AQ350" t="str">
        <f>IF(ISNUMBER($AN350),ABS(IF(ISNUMBER($G350),$G350,0)-Settings!$B$25),"")</f>
        <v/>
      </c>
      <c r="AR350" t="str">
        <f t="shared" si="23"/>
        <v/>
      </c>
      <c r="AS350" t="str">
        <f>IF($A350="","",IFERROR(INDEX(Company_List!$H$3:$H$207,MATCH($A350,Company_List!$A$3:$A$207,0)),"unassigned"))</f>
        <v>Consumer Discretionary</v>
      </c>
    </row>
    <row r="351" spans="1:45" x14ac:dyDescent="0.2">
      <c r="A351" s="1" t="s">
        <v>1857</v>
      </c>
      <c r="B351" s="120" t="s">
        <v>1858</v>
      </c>
      <c r="C351">
        <v>2026</v>
      </c>
      <c r="D351" t="s">
        <v>537</v>
      </c>
      <c r="E351" t="s">
        <v>2045</v>
      </c>
      <c r="F351" t="s">
        <v>1912</v>
      </c>
      <c r="G351">
        <v>-0.08</v>
      </c>
      <c r="H351" t="s">
        <v>1923</v>
      </c>
      <c r="J351" s="165">
        <v>46142</v>
      </c>
      <c r="K351" s="165">
        <v>46127</v>
      </c>
      <c r="L351">
        <v>519.08979999999997</v>
      </c>
      <c r="M351" s="165">
        <v>46128</v>
      </c>
      <c r="N351">
        <v>517.16309999999999</v>
      </c>
      <c r="O351">
        <v>8.4309999999999993E-3</v>
      </c>
      <c r="P351">
        <v>-3.95E-2</v>
      </c>
      <c r="V351" t="s">
        <v>1183</v>
      </c>
      <c r="AG351" t="str">
        <f>IF($A351="","",IFERROR(INDEX(Company_List!$G$3:$G$207,MATCH($A351,Company_List!$A$3:$A$207,0)),"unassigned"))</f>
        <v>P2</v>
      </c>
      <c r="AK351" t="str">
        <f>IF($A351="","",IF(COUNTIFS(Human_Data_Entry!$A$3:$A$525,$A351)&gt;0,"YES","NO"))</f>
        <v>YES</v>
      </c>
      <c r="AL351" t="str">
        <f>IF($A351="","",IF(AND($C351&amp;"-"&amp;$D351&gt;=Settings!$B$19,$C351&amp;"-"&amp;$D351&lt;=Settings!$B$20),"IN","OUT"))</f>
        <v>IN</v>
      </c>
      <c r="AM351" t="str">
        <f t="shared" si="20"/>
        <v/>
      </c>
      <c r="AN351" t="str">
        <f t="shared" si="21"/>
        <v/>
      </c>
      <c r="AO351" t="str">
        <f>IF(ISNUMBER($AM351),ABS(IF(ISNUMBER($G351),$G351,0)-Settings!$B$25),"")</f>
        <v/>
      </c>
      <c r="AP351" t="str">
        <f t="shared" si="22"/>
        <v/>
      </c>
      <c r="AQ351" t="str">
        <f>IF(ISNUMBER($AN351),ABS(IF(ISNUMBER($G351),$G351,0)-Settings!$B$25),"")</f>
        <v/>
      </c>
      <c r="AR351" t="str">
        <f t="shared" si="23"/>
        <v/>
      </c>
      <c r="AS351" t="str">
        <f>IF($A351="","",IFERROR(INDEX(Company_List!$H$3:$H$207,MATCH($A351,Company_List!$A$3:$A$207,0)),"unassigned"))</f>
        <v>Financials</v>
      </c>
    </row>
    <row r="352" spans="1:45" x14ac:dyDescent="0.2">
      <c r="A352" s="1" t="s">
        <v>1814</v>
      </c>
      <c r="B352" s="120" t="s">
        <v>1815</v>
      </c>
      <c r="C352">
        <v>2026</v>
      </c>
      <c r="D352" t="s">
        <v>537</v>
      </c>
      <c r="E352" t="s">
        <v>2045</v>
      </c>
      <c r="F352" t="s">
        <v>1912</v>
      </c>
      <c r="G352">
        <v>-2.5000000000000001E-2</v>
      </c>
      <c r="H352" t="s">
        <v>1913</v>
      </c>
      <c r="J352" s="165">
        <v>46143</v>
      </c>
      <c r="K352" s="165">
        <v>46128</v>
      </c>
      <c r="L352">
        <v>186.44229999999999</v>
      </c>
      <c r="M352" s="165">
        <v>46129</v>
      </c>
      <c r="N352">
        <v>180.23920000000001</v>
      </c>
      <c r="O352">
        <v>3.9309999999999996E-3</v>
      </c>
      <c r="P352">
        <v>-1.04E-2</v>
      </c>
      <c r="V352" t="s">
        <v>1183</v>
      </c>
      <c r="AG352" t="str">
        <f>IF($A352="","",IFERROR(INDEX(Company_List!$G$3:$G$207,MATCH($A352,Company_List!$A$3:$A$207,0)),"unassigned"))</f>
        <v>P2</v>
      </c>
      <c r="AK352" t="str">
        <f>IF($A352="","",IF(COUNTIFS(Human_Data_Entry!$A$3:$A$525,$A352)&gt;0,"YES","NO"))</f>
        <v>YES</v>
      </c>
      <c r="AL352" t="str">
        <f>IF($A352="","",IF(AND($C352&amp;"-"&amp;$D352&gt;=Settings!$B$19,$C352&amp;"-"&amp;$D352&lt;=Settings!$B$20),"IN","OUT"))</f>
        <v>IN</v>
      </c>
      <c r="AM352" t="str">
        <f t="shared" si="20"/>
        <v/>
      </c>
      <c r="AN352" t="str">
        <f t="shared" si="21"/>
        <v/>
      </c>
      <c r="AO352" t="str">
        <f>IF(ISNUMBER($AM352),ABS(IF(ISNUMBER($G352),$G352,0)-Settings!$B$25),"")</f>
        <v/>
      </c>
      <c r="AP352" t="str">
        <f t="shared" si="22"/>
        <v/>
      </c>
      <c r="AQ352" t="str">
        <f>IF(ISNUMBER($AN352),ABS(IF(ISNUMBER($G352),$G352,0)-Settings!$B$25),"")</f>
        <v/>
      </c>
      <c r="AR352" t="str">
        <f t="shared" si="23"/>
        <v/>
      </c>
      <c r="AS352" t="str">
        <f>IF($A352="","",IFERROR(INDEX(Company_List!$H$3:$H$207,MATCH($A352,Company_List!$A$3:$A$207,0)),"unassigned"))</f>
        <v>Energy</v>
      </c>
    </row>
    <row r="353" spans="1:45" x14ac:dyDescent="0.2">
      <c r="A353" s="1" t="s">
        <v>1726</v>
      </c>
      <c r="B353" s="120" t="s">
        <v>1730</v>
      </c>
      <c r="C353">
        <v>2026</v>
      </c>
      <c r="D353" t="s">
        <v>537</v>
      </c>
      <c r="E353" t="s">
        <v>2045</v>
      </c>
      <c r="F353" t="s">
        <v>1912</v>
      </c>
      <c r="G353">
        <v>2.5000000000000001E-3</v>
      </c>
      <c r="H353" t="s">
        <v>1913</v>
      </c>
      <c r="J353" s="165">
        <v>46143</v>
      </c>
      <c r="K353" s="165">
        <v>46128</v>
      </c>
      <c r="L353">
        <v>150.9554</v>
      </c>
      <c r="M353" s="165">
        <v>46129</v>
      </c>
      <c r="N353">
        <v>143.88339999999999</v>
      </c>
      <c r="O353">
        <v>1.0348E-2</v>
      </c>
      <c r="P353">
        <v>-1.12E-2</v>
      </c>
      <c r="V353" t="s">
        <v>1183</v>
      </c>
      <c r="AG353" t="str">
        <f>IF($A353="","",IFERROR(INDEX(Company_List!$G$3:$G$207,MATCH($A353,Company_List!$A$3:$A$207,0)),"unassigned"))</f>
        <v>P2</v>
      </c>
      <c r="AK353" t="str">
        <f>IF($A353="","",IF(COUNTIFS(Human_Data_Entry!$A$3:$A$525,$A353)&gt;0,"YES","NO"))</f>
        <v>YES</v>
      </c>
      <c r="AL353" t="str">
        <f>IF($A353="","",IF(AND($C353&amp;"-"&amp;$D353&gt;=Settings!$B$19,$C353&amp;"-"&amp;$D353&lt;=Settings!$B$20),"IN","OUT"))</f>
        <v>IN</v>
      </c>
      <c r="AM353" t="str">
        <f t="shared" si="20"/>
        <v/>
      </c>
      <c r="AN353" t="str">
        <f t="shared" si="21"/>
        <v/>
      </c>
      <c r="AO353" t="str">
        <f>IF(ISNUMBER($AM353),ABS(IF(ISNUMBER($G353),$G353,0)-Settings!$B$25),"")</f>
        <v/>
      </c>
      <c r="AP353" t="str">
        <f t="shared" si="22"/>
        <v/>
      </c>
      <c r="AQ353" t="str">
        <f>IF(ISNUMBER($AN353),ABS(IF(ISNUMBER($G353),$G353,0)-Settings!$B$25),"")</f>
        <v/>
      </c>
      <c r="AR353" t="str">
        <f t="shared" si="23"/>
        <v/>
      </c>
      <c r="AS353" t="str">
        <f>IF($A353="","",IFERROR(INDEX(Company_List!$H$3:$H$207,MATCH($A353,Company_List!$A$3:$A$207,0)),"unassigned"))</f>
        <v>Energy</v>
      </c>
    </row>
    <row r="354" spans="1:45" x14ac:dyDescent="0.2">
      <c r="A354" s="1" t="s">
        <v>1878</v>
      </c>
      <c r="B354" s="120" t="s">
        <v>2048</v>
      </c>
      <c r="C354">
        <v>2026</v>
      </c>
      <c r="D354" t="s">
        <v>537</v>
      </c>
      <c r="E354" t="s">
        <v>2045</v>
      </c>
      <c r="F354" t="s">
        <v>1912</v>
      </c>
      <c r="G354">
        <v>2.5000000000000001E-3</v>
      </c>
      <c r="H354" t="s">
        <v>1913</v>
      </c>
      <c r="J354" s="165">
        <v>46143</v>
      </c>
      <c r="K354" s="165">
        <v>46128</v>
      </c>
      <c r="L354">
        <v>90.677700000000002</v>
      </c>
      <c r="M354" s="165">
        <v>46129</v>
      </c>
      <c r="N354">
        <v>86.456000000000003</v>
      </c>
      <c r="O354">
        <v>5.5919999999999997E-3</v>
      </c>
      <c r="P354">
        <v>-5.3E-3</v>
      </c>
      <c r="V354" t="s">
        <v>1183</v>
      </c>
      <c r="AG354" t="str">
        <f>IF($A354="","",IFERROR(INDEX(Company_List!$G$3:$G$207,MATCH($A354,Company_List!$A$3:$A$207,0)),"unassigned"))</f>
        <v>P2</v>
      </c>
      <c r="AK354" t="str">
        <f>IF($A354="","",IF(COUNTIFS(Human_Data_Entry!$A$3:$A$525,$A354)&gt;0,"YES","NO"))</f>
        <v>YES</v>
      </c>
      <c r="AL354" t="str">
        <f>IF($A354="","",IF(AND($C354&amp;"-"&amp;$D354&gt;=Settings!$B$19,$C354&amp;"-"&amp;$D354&lt;=Settings!$B$20),"IN","OUT"))</f>
        <v>IN</v>
      </c>
      <c r="AM354" t="str">
        <f t="shared" si="20"/>
        <v/>
      </c>
      <c r="AN354" t="str">
        <f t="shared" si="21"/>
        <v/>
      </c>
      <c r="AO354" t="str">
        <f>IF(ISNUMBER($AM354),ABS(IF(ISNUMBER($G354),$G354,0)-Settings!$B$25),"")</f>
        <v/>
      </c>
      <c r="AP354" t="str">
        <f t="shared" si="22"/>
        <v/>
      </c>
      <c r="AQ354" t="str">
        <f>IF(ISNUMBER($AN354),ABS(IF(ISNUMBER($G354),$G354,0)-Settings!$B$25),"")</f>
        <v/>
      </c>
      <c r="AR354" t="str">
        <f t="shared" si="23"/>
        <v/>
      </c>
      <c r="AS354" t="str">
        <f>IF($A354="","",IFERROR(INDEX(Company_List!$H$3:$H$207,MATCH($A354,Company_List!$A$3:$A$207,0)),"unassigned"))</f>
        <v>Energy</v>
      </c>
    </row>
    <row r="355" spans="1:45" x14ac:dyDescent="0.2">
      <c r="A355" s="1" t="s">
        <v>1660</v>
      </c>
      <c r="B355" s="120" t="s">
        <v>1662</v>
      </c>
      <c r="C355">
        <v>2026</v>
      </c>
      <c r="D355" t="s">
        <v>537</v>
      </c>
      <c r="E355" t="s">
        <v>2045</v>
      </c>
      <c r="F355" t="s">
        <v>1912</v>
      </c>
      <c r="G355">
        <v>2.5000000000000001E-3</v>
      </c>
      <c r="H355" t="s">
        <v>1913</v>
      </c>
      <c r="J355" s="165">
        <v>46147</v>
      </c>
      <c r="K355" s="165">
        <v>46132</v>
      </c>
      <c r="L355">
        <v>126.7646</v>
      </c>
      <c r="M355" s="165">
        <v>46133</v>
      </c>
      <c r="N355">
        <v>127.3694</v>
      </c>
      <c r="O355">
        <v>9.8200000000000006E-3</v>
      </c>
      <c r="P355">
        <v>-4.3E-3</v>
      </c>
      <c r="V355" t="s">
        <v>1183</v>
      </c>
      <c r="AG355" t="str">
        <f>IF($A355="","",IFERROR(INDEX(Company_List!$G$3:$G$207,MATCH($A355,Company_List!$A$3:$A$207,0)),"unassigned"))</f>
        <v>P2</v>
      </c>
      <c r="AK355" t="str">
        <f>IF($A355="","",IF(COUNTIFS(Human_Data_Entry!$A$3:$A$525,$A355)&gt;0,"YES","NO"))</f>
        <v>YES</v>
      </c>
      <c r="AL355" t="str">
        <f>IF($A355="","",IF(AND($C355&amp;"-"&amp;$D355&gt;=Settings!$B$19,$C355&amp;"-"&amp;$D355&lt;=Settings!$B$20),"IN","OUT"))</f>
        <v>IN</v>
      </c>
      <c r="AM355" t="str">
        <f t="shared" si="20"/>
        <v/>
      </c>
      <c r="AN355" t="str">
        <f t="shared" si="21"/>
        <v/>
      </c>
      <c r="AO355" t="str">
        <f>IF(ISNUMBER($AM355),ABS(IF(ISNUMBER($G355),$G355,0)-Settings!$B$25),"")</f>
        <v/>
      </c>
      <c r="AP355" t="str">
        <f t="shared" si="22"/>
        <v/>
      </c>
      <c r="AQ355" t="str">
        <f>IF(ISNUMBER($AN355),ABS(IF(ISNUMBER($G355),$G355,0)-Settings!$B$25),"")</f>
        <v/>
      </c>
      <c r="AR355" t="str">
        <f t="shared" si="23"/>
        <v/>
      </c>
      <c r="AS355" t="str">
        <f>IF($A355="","",IFERROR(INDEX(Company_List!$H$3:$H$207,MATCH($A355,Company_List!$A$3:$A$207,0)),"unassigned"))</f>
        <v>Utilities</v>
      </c>
    </row>
    <row r="356" spans="1:45" x14ac:dyDescent="0.2">
      <c r="A356" s="1" t="s">
        <v>1397</v>
      </c>
      <c r="B356" s="120" t="s">
        <v>1399</v>
      </c>
      <c r="C356">
        <v>2026</v>
      </c>
      <c r="D356" t="s">
        <v>537</v>
      </c>
      <c r="E356" t="s">
        <v>2045</v>
      </c>
      <c r="F356" t="s">
        <v>1912</v>
      </c>
      <c r="G356">
        <v>2.5000000000000001E-3</v>
      </c>
      <c r="H356" t="s">
        <v>1913</v>
      </c>
      <c r="J356" s="165">
        <v>46147</v>
      </c>
      <c r="K356" s="165">
        <v>46132</v>
      </c>
      <c r="L356">
        <v>135.13999999999999</v>
      </c>
      <c r="M356" s="165">
        <v>46133</v>
      </c>
      <c r="N356">
        <v>135.215</v>
      </c>
      <c r="O356">
        <v>9.2010000000000008E-3</v>
      </c>
      <c r="P356">
        <v>-9.0200000000000002E-2</v>
      </c>
      <c r="V356" t="s">
        <v>1183</v>
      </c>
      <c r="AG356" t="str">
        <f>IF($A356="","",IFERROR(INDEX(Company_List!$G$3:$G$207,MATCH($A356,Company_List!$A$3:$A$207,0)),"unassigned"))</f>
        <v>P3</v>
      </c>
      <c r="AK356" t="str">
        <f>IF($A356="","",IF(COUNTIFS(Human_Data_Entry!$A$3:$A$525,$A356)&gt;0,"YES","NO"))</f>
        <v>YES</v>
      </c>
      <c r="AL356" t="str">
        <f>IF($A356="","",IF(AND($C356&amp;"-"&amp;$D356&gt;=Settings!$B$19,$C356&amp;"-"&amp;$D356&lt;=Settings!$B$20),"IN","OUT"))</f>
        <v>IN</v>
      </c>
      <c r="AM356" t="str">
        <f t="shared" si="20"/>
        <v/>
      </c>
      <c r="AN356" t="str">
        <f t="shared" si="21"/>
        <v/>
      </c>
      <c r="AO356" t="str">
        <f>IF(ISNUMBER($AM356),ABS(IF(ISNUMBER($G356),$G356,0)-Settings!$B$25),"")</f>
        <v/>
      </c>
      <c r="AP356" t="str">
        <f t="shared" si="22"/>
        <v/>
      </c>
      <c r="AQ356" t="str">
        <f>IF(ISNUMBER($AN356),ABS(IF(ISNUMBER($G356),$G356,0)-Settings!$B$25),"")</f>
        <v/>
      </c>
      <c r="AR356" t="str">
        <f t="shared" si="23"/>
        <v/>
      </c>
      <c r="AS356" t="str">
        <f>IF($A356="","",IFERROR(INDEX(Company_List!$H$3:$H$207,MATCH($A356,Company_List!$A$3:$A$207,0)),"unassigned"))</f>
        <v>Information Technology</v>
      </c>
    </row>
    <row r="357" spans="1:45" x14ac:dyDescent="0.2">
      <c r="A357" s="1" t="s">
        <v>1521</v>
      </c>
      <c r="B357" s="120" t="s">
        <v>1523</v>
      </c>
      <c r="C357">
        <v>2026</v>
      </c>
      <c r="D357" t="s">
        <v>537</v>
      </c>
      <c r="E357" t="s">
        <v>2045</v>
      </c>
      <c r="F357" t="s">
        <v>1912</v>
      </c>
      <c r="G357">
        <v>-5.2499999999999998E-2</v>
      </c>
      <c r="H357" t="s">
        <v>1923</v>
      </c>
      <c r="J357" s="165">
        <v>46148</v>
      </c>
      <c r="K357" s="165">
        <v>46133</v>
      </c>
      <c r="L357">
        <v>249.95140000000001</v>
      </c>
      <c r="M357" s="165">
        <v>46134</v>
      </c>
      <c r="N357">
        <v>251.93109999999999</v>
      </c>
      <c r="O357">
        <v>8.1499999999999993E-3</v>
      </c>
      <c r="P357">
        <v>5.4000000000000003E-3</v>
      </c>
      <c r="V357" t="s">
        <v>1183</v>
      </c>
      <c r="AG357" t="str">
        <f>IF($A357="","",IFERROR(INDEX(Company_List!$G$3:$G$207,MATCH($A357,Company_List!$A$3:$A$207,0)),"unassigned"))</f>
        <v>P3</v>
      </c>
      <c r="AK357" t="str">
        <f>IF($A357="","",IF(COUNTIFS(Human_Data_Entry!$A$3:$A$525,$A357)&gt;0,"YES","NO"))</f>
        <v>YES</v>
      </c>
      <c r="AL357" t="str">
        <f>IF($A357="","",IF(AND($C357&amp;"-"&amp;$D357&gt;=Settings!$B$19,$C357&amp;"-"&amp;$D357&lt;=Settings!$B$20),"IN","OUT"))</f>
        <v>IN</v>
      </c>
      <c r="AM357" t="str">
        <f t="shared" si="20"/>
        <v/>
      </c>
      <c r="AN357" t="str">
        <f t="shared" si="21"/>
        <v/>
      </c>
      <c r="AO357" t="str">
        <f>IF(ISNUMBER($AM357),ABS(IF(ISNUMBER($G357),$G357,0)-Settings!$B$25),"")</f>
        <v/>
      </c>
      <c r="AP357" t="str">
        <f t="shared" si="22"/>
        <v/>
      </c>
      <c r="AQ357" t="str">
        <f>IF(ISNUMBER($AN357),ABS(IF(ISNUMBER($G357),$G357,0)-Settings!$B$25),"")</f>
        <v/>
      </c>
      <c r="AR357" t="str">
        <f t="shared" si="23"/>
        <v/>
      </c>
      <c r="AS357" t="str">
        <f>IF($A357="","",IFERROR(INDEX(Company_List!$H$3:$H$207,MATCH($A357,Company_List!$A$3:$A$207,0)),"unassigned"))</f>
        <v>Industrials</v>
      </c>
    </row>
    <row r="358" spans="1:45" x14ac:dyDescent="0.2">
      <c r="A358" s="1" t="s">
        <v>1235</v>
      </c>
      <c r="B358" s="120" t="s">
        <v>1236</v>
      </c>
      <c r="C358">
        <v>2026</v>
      </c>
      <c r="D358" t="s">
        <v>537</v>
      </c>
      <c r="E358" t="s">
        <v>2045</v>
      </c>
      <c r="F358" t="s">
        <v>1912</v>
      </c>
      <c r="G358">
        <v>0.16750000000000001</v>
      </c>
      <c r="H358" t="s">
        <v>1913</v>
      </c>
      <c r="J358" s="165">
        <v>46149</v>
      </c>
      <c r="K358" s="165">
        <v>46134</v>
      </c>
      <c r="L358">
        <v>132.13999999999999</v>
      </c>
      <c r="M358" s="165">
        <v>46135</v>
      </c>
      <c r="N358">
        <v>127.83</v>
      </c>
      <c r="O358">
        <v>7.6010000000000001E-3</v>
      </c>
      <c r="P358">
        <v>0.30809999999999998</v>
      </c>
      <c r="V358" t="s">
        <v>1183</v>
      </c>
      <c r="AG358" t="str">
        <f>IF($A358="","",IFERROR(INDEX(Company_List!$G$3:$G$207,MATCH($A358,Company_List!$A$3:$A$207,0)),"unassigned"))</f>
        <v>P3</v>
      </c>
      <c r="AK358" t="str">
        <f>IF($A358="","",IF(COUNTIFS(Human_Data_Entry!$A$3:$A$525,$A358)&gt;0,"YES","NO"))</f>
        <v>YES</v>
      </c>
      <c r="AL358" t="str">
        <f>IF($A358="","",IF(AND($C358&amp;"-"&amp;$D358&gt;=Settings!$B$19,$C358&amp;"-"&amp;$D358&lt;=Settings!$B$20),"IN","OUT"))</f>
        <v>IN</v>
      </c>
      <c r="AM358" t="str">
        <f t="shared" si="20"/>
        <v/>
      </c>
      <c r="AN358" t="str">
        <f t="shared" si="21"/>
        <v/>
      </c>
      <c r="AO358" t="str">
        <f>IF(ISNUMBER($AM358),ABS(IF(ISNUMBER($G358),$G358,0)-Settings!$B$25),"")</f>
        <v/>
      </c>
      <c r="AP358" t="str">
        <f t="shared" si="22"/>
        <v/>
      </c>
      <c r="AQ358" t="str">
        <f>IF(ISNUMBER($AN358),ABS(IF(ISNUMBER($G358),$G358,0)-Settings!$B$25),"")</f>
        <v/>
      </c>
      <c r="AR358" t="str">
        <f t="shared" si="23"/>
        <v/>
      </c>
      <c r="AS358" t="str">
        <f>IF($A358="","",IFERROR(INDEX(Company_List!$H$3:$H$207,MATCH($A358,Company_List!$A$3:$A$207,0)),"unassigned"))</f>
        <v>Information Technology</v>
      </c>
    </row>
    <row r="359" spans="1:45" x14ac:dyDescent="0.2">
      <c r="A359" s="1" t="s">
        <v>1530</v>
      </c>
      <c r="B359" s="120" t="s">
        <v>1532</v>
      </c>
      <c r="C359">
        <v>2026</v>
      </c>
      <c r="D359" t="s">
        <v>537</v>
      </c>
      <c r="E359" t="s">
        <v>2045</v>
      </c>
      <c r="F359" t="s">
        <v>1912</v>
      </c>
      <c r="G359">
        <v>-0.13500000000000001</v>
      </c>
      <c r="H359" t="s">
        <v>1923</v>
      </c>
      <c r="J359" s="165">
        <v>46161</v>
      </c>
      <c r="K359" s="165">
        <v>46146</v>
      </c>
      <c r="L359">
        <v>310.09410000000003</v>
      </c>
      <c r="M359" s="165">
        <v>46147</v>
      </c>
      <c r="N359">
        <v>311.07670000000002</v>
      </c>
      <c r="O359">
        <v>8.0350000000000005E-3</v>
      </c>
      <c r="P359">
        <v>-2.6499999999999999E-2</v>
      </c>
      <c r="V359" t="s">
        <v>1183</v>
      </c>
      <c r="AG359" t="str">
        <f>IF($A359="","",IFERROR(INDEX(Company_List!$G$3:$G$207,MATCH($A359,Company_List!$A$3:$A$207,0)),"unassigned"))</f>
        <v>P3</v>
      </c>
      <c r="AK359" t="str">
        <f>IF($A359="","",IF(COUNTIFS(Human_Data_Entry!$A$3:$A$525,$A359)&gt;0,"YES","NO"))</f>
        <v>YES</v>
      </c>
      <c r="AL359" t="str">
        <f>IF($A359="","",IF(AND($C359&amp;"-"&amp;$D359&gt;=Settings!$B$19,$C359&amp;"-"&amp;$D359&lt;=Settings!$B$20),"IN","OUT"))</f>
        <v>IN</v>
      </c>
      <c r="AM359" t="str">
        <f t="shared" si="20"/>
        <v/>
      </c>
      <c r="AN359" t="str">
        <f t="shared" si="21"/>
        <v/>
      </c>
      <c r="AO359" t="str">
        <f>IF(ISNUMBER($AM359),ABS(IF(ISNUMBER($G359),$G359,0)-Settings!$B$25),"")</f>
        <v/>
      </c>
      <c r="AP359" t="str">
        <f t="shared" si="22"/>
        <v/>
      </c>
      <c r="AQ359" t="str">
        <f>IF(ISNUMBER($AN359),ABS(IF(ISNUMBER($G359),$G359,0)-Settings!$B$25),"")</f>
        <v/>
      </c>
      <c r="AR359" t="str">
        <f t="shared" si="23"/>
        <v/>
      </c>
      <c r="AS359" t="str">
        <f>IF($A359="","",IFERROR(INDEX(Company_List!$H$3:$H$207,MATCH($A359,Company_List!$A$3:$A$207,0)),"unassigned"))</f>
        <v>Consumer Discretionary</v>
      </c>
    </row>
    <row r="360" spans="1:45" x14ac:dyDescent="0.2">
      <c r="A360" s="1" t="s">
        <v>1381</v>
      </c>
      <c r="B360" s="120" t="s">
        <v>1385</v>
      </c>
      <c r="C360">
        <v>2026</v>
      </c>
      <c r="D360" t="s">
        <v>563</v>
      </c>
      <c r="E360" t="s">
        <v>2045</v>
      </c>
      <c r="F360" t="s">
        <v>1912</v>
      </c>
      <c r="G360">
        <v>-2.5000000000000001E-2</v>
      </c>
      <c r="H360" t="s">
        <v>1913</v>
      </c>
      <c r="J360" s="165">
        <v>46170</v>
      </c>
      <c r="K360" s="165">
        <v>46155</v>
      </c>
      <c r="L360">
        <v>1031.4401</v>
      </c>
      <c r="M360" s="165">
        <v>46156</v>
      </c>
      <c r="N360">
        <v>1033.3071</v>
      </c>
      <c r="O360">
        <v>7.79E-3</v>
      </c>
      <c r="P360">
        <v>-8.6999999999999994E-3</v>
      </c>
      <c r="V360" t="s">
        <v>1183</v>
      </c>
      <c r="AG360" t="str">
        <f>IF($A360="","",IFERROR(INDEX(Company_List!$G$3:$G$207,MATCH($A360,Company_List!$A$3:$A$207,0)),"unassigned"))</f>
        <v>both</v>
      </c>
      <c r="AK360" t="str">
        <f>IF($A360="","",IF(COUNTIFS(Human_Data_Entry!$A$3:$A$525,$A360)&gt;0,"YES","NO"))</f>
        <v>YES</v>
      </c>
      <c r="AL360" t="str">
        <f>IF($A360="","",IF(AND($C360&amp;"-"&amp;$D360&gt;=Settings!$B$19,$C360&amp;"-"&amp;$D360&lt;=Settings!$B$20),"IN","OUT"))</f>
        <v>IN</v>
      </c>
      <c r="AM360" t="str">
        <f t="shared" si="20"/>
        <v/>
      </c>
      <c r="AN360" t="str">
        <f t="shared" si="21"/>
        <v/>
      </c>
      <c r="AO360" t="str">
        <f>IF(ISNUMBER($AM360),ABS(IF(ISNUMBER($G360),$G360,0)-Settings!$B$25),"")</f>
        <v/>
      </c>
      <c r="AP360" t="str">
        <f t="shared" si="22"/>
        <v/>
      </c>
      <c r="AQ360" t="str">
        <f>IF(ISNUMBER($AN360),ABS(IF(ISNUMBER($G360),$G360,0)-Settings!$B$25),"")</f>
        <v/>
      </c>
      <c r="AR360" t="str">
        <f t="shared" si="23"/>
        <v/>
      </c>
      <c r="AS360" t="str">
        <f>IF($A360="","",IFERROR(INDEX(Company_List!$H$3:$H$207,MATCH($A360,Company_List!$A$3:$A$207,0)),"unassigned"))</f>
        <v>Consumer Staples</v>
      </c>
    </row>
    <row r="361" spans="1:45" x14ac:dyDescent="0.2">
      <c r="A361" s="1" t="s">
        <v>1536</v>
      </c>
      <c r="B361" s="120" t="s">
        <v>1538</v>
      </c>
      <c r="C361">
        <v>2026</v>
      </c>
      <c r="D361" t="s">
        <v>555</v>
      </c>
      <c r="E361" t="s">
        <v>2045</v>
      </c>
      <c r="F361" t="s">
        <v>1912</v>
      </c>
      <c r="G361">
        <v>5.7500000000000002E-2</v>
      </c>
      <c r="H361" t="s">
        <v>1913</v>
      </c>
      <c r="J361" s="165">
        <v>46184</v>
      </c>
      <c r="K361" s="165">
        <v>46169</v>
      </c>
      <c r="L361">
        <v>238.24</v>
      </c>
      <c r="M361" s="165">
        <v>46170</v>
      </c>
      <c r="N361">
        <v>239.57</v>
      </c>
      <c r="O361">
        <v>8.5800000000000008E-3</v>
      </c>
      <c r="P361">
        <v>-7.4999999999999997E-2</v>
      </c>
      <c r="V361" t="s">
        <v>1183</v>
      </c>
      <c r="AG361" t="str">
        <f>IF($A361="","",IFERROR(INDEX(Company_List!$G$3:$G$207,MATCH($A361,Company_List!$A$3:$A$207,0)),"unassigned"))</f>
        <v>P3</v>
      </c>
      <c r="AK361" t="str">
        <f>IF($A361="","",IF(COUNTIFS(Human_Data_Entry!$A$3:$A$525,$A361)&gt;0,"YES","NO"))</f>
        <v>YES</v>
      </c>
      <c r="AL361" t="str">
        <f>IF($A361="","",IF(AND($C361&amp;"-"&amp;$D361&gt;=Settings!$B$19,$C361&amp;"-"&amp;$D361&lt;=Settings!$B$20),"IN","OUT"))</f>
        <v>IN</v>
      </c>
      <c r="AM361" t="str">
        <f t="shared" si="20"/>
        <v/>
      </c>
      <c r="AN361" t="str">
        <f t="shared" si="21"/>
        <v/>
      </c>
      <c r="AO361" t="str">
        <f>IF(ISNUMBER($AM361),ABS(IF(ISNUMBER($G361),$G361,0)-Settings!$B$25),"")</f>
        <v/>
      </c>
      <c r="AP361" t="str">
        <f t="shared" si="22"/>
        <v/>
      </c>
      <c r="AQ361" t="str">
        <f>IF(ISNUMBER($AN361),ABS(IF(ISNUMBER($G361),$G361,0)-Settings!$B$25),"")</f>
        <v/>
      </c>
      <c r="AR361" t="str">
        <f t="shared" si="23"/>
        <v/>
      </c>
      <c r="AS361" t="str">
        <f>IF($A361="","",IFERROR(INDEX(Company_List!$H$3:$H$207,MATCH($A361,Company_List!$A$3:$A$207,0)),"unassigned"))</f>
        <v>Information Technology</v>
      </c>
    </row>
    <row r="362" spans="1:45" x14ac:dyDescent="0.2">
      <c r="A362" s="1" t="s">
        <v>1176</v>
      </c>
      <c r="B362" s="120" t="s">
        <v>1179</v>
      </c>
      <c r="C362">
        <v>2026</v>
      </c>
      <c r="D362" t="s">
        <v>555</v>
      </c>
      <c r="E362" t="s">
        <v>2045</v>
      </c>
      <c r="F362" t="s">
        <v>1912</v>
      </c>
      <c r="G362">
        <v>2.5000000000000001E-3</v>
      </c>
      <c r="H362" t="s">
        <v>1913</v>
      </c>
      <c r="J362" s="165">
        <v>46234</v>
      </c>
      <c r="K362" s="165">
        <v>46219</v>
      </c>
      <c r="L362">
        <v>93.533799999999999</v>
      </c>
      <c r="M362" s="165">
        <v>46220</v>
      </c>
      <c r="N362">
        <v>94.140299999999996</v>
      </c>
      <c r="O362">
        <v>5.6670000000000002E-3</v>
      </c>
      <c r="P362">
        <v>-8.2000000000000007E-3</v>
      </c>
      <c r="V362" t="s">
        <v>1183</v>
      </c>
      <c r="AG362" t="str">
        <f>IF($A362="","",IFERROR(INDEX(Company_List!$G$3:$G$207,MATCH($A362,Company_List!$A$3:$A$207,0)),"unassigned"))</f>
        <v>P3</v>
      </c>
      <c r="AK362" t="str">
        <f>IF($A362="","",IF(COUNTIFS(Human_Data_Entry!$A$3:$A$525,$A362)&gt;0,"YES","NO"))</f>
        <v>YES</v>
      </c>
      <c r="AL362" t="str">
        <f>IF($A362="","",IF(AND($C362&amp;"-"&amp;$D362&gt;=Settings!$B$19,$C362&amp;"-"&amp;$D362&lt;=Settings!$B$20),"IN","OUT"))</f>
        <v>IN</v>
      </c>
      <c r="AM362" t="str">
        <f t="shared" si="20"/>
        <v/>
      </c>
      <c r="AN362" t="str">
        <f t="shared" si="21"/>
        <v/>
      </c>
      <c r="AO362" t="str">
        <f>IF(ISNUMBER($AM362),ABS(IF(ISNUMBER($G362),$G362,0)-Settings!$B$25),"")</f>
        <v/>
      </c>
      <c r="AP362" t="str">
        <f t="shared" si="22"/>
        <v/>
      </c>
      <c r="AQ362" t="str">
        <f>IF(ISNUMBER($AN362),ABS(IF(ISNUMBER($G362),$G362,0)-Settings!$B$25),"")</f>
        <v/>
      </c>
      <c r="AR362" t="str">
        <f t="shared" si="23"/>
        <v/>
      </c>
      <c r="AS362" t="str">
        <f>IF($A362="","",IFERROR(INDEX(Company_List!$H$3:$H$207,MATCH($A362,Company_List!$A$3:$A$207,0)),"unassigned"))</f>
        <v>Consumer Staples</v>
      </c>
    </row>
    <row r="363" spans="1:45" x14ac:dyDescent="0.2">
      <c r="A363" s="1" t="s">
        <v>1407</v>
      </c>
      <c r="B363" s="120" t="s">
        <v>2049</v>
      </c>
      <c r="C363">
        <v>2026</v>
      </c>
      <c r="D363" t="s">
        <v>537</v>
      </c>
      <c r="E363" t="s">
        <v>2045</v>
      </c>
      <c r="F363" t="s">
        <v>1912</v>
      </c>
      <c r="G363">
        <v>0.03</v>
      </c>
      <c r="H363" t="s">
        <v>1913</v>
      </c>
      <c r="J363" s="165">
        <v>46235</v>
      </c>
      <c r="K363" s="165">
        <v>46220</v>
      </c>
      <c r="L363">
        <v>21.12</v>
      </c>
      <c r="M363" s="165">
        <v>46223</v>
      </c>
      <c r="N363">
        <v>21.33</v>
      </c>
      <c r="O363">
        <v>6.0109999999999999E-3</v>
      </c>
      <c r="P363">
        <v>-2.41E-2</v>
      </c>
      <c r="V363" t="s">
        <v>1183</v>
      </c>
      <c r="AG363" t="str">
        <f>IF($A363="","",IFERROR(INDEX(Company_List!$G$3:$G$207,MATCH($A363,Company_List!$A$3:$A$207,0)),"unassigned"))</f>
        <v>P3</v>
      </c>
      <c r="AK363" t="str">
        <f>IF($A363="","",IF(COUNTIFS(Human_Data_Entry!$A$3:$A$525,$A363)&gt;0,"YES","NO"))</f>
        <v>YES</v>
      </c>
      <c r="AL363" t="str">
        <f>IF($A363="","",IF(AND($C363&amp;"-"&amp;$D363&gt;=Settings!$B$19,$C363&amp;"-"&amp;$D363&lt;=Settings!$B$20),"IN","OUT"))</f>
        <v>IN</v>
      </c>
      <c r="AM363" t="str">
        <f t="shared" si="20"/>
        <v/>
      </c>
      <c r="AN363" t="str">
        <f t="shared" si="21"/>
        <v/>
      </c>
      <c r="AO363" t="str">
        <f>IF(ISNUMBER($AM363),ABS(IF(ISNUMBER($G363),$G363,0)-Settings!$B$25),"")</f>
        <v/>
      </c>
      <c r="AP363" t="str">
        <f t="shared" si="22"/>
        <v/>
      </c>
      <c r="AQ363" t="str">
        <f>IF(ISNUMBER($AN363),ABS(IF(ISNUMBER($G363),$G363,0)-Settings!$B$25),"")</f>
        <v/>
      </c>
      <c r="AR363" t="str">
        <f t="shared" si="23"/>
        <v/>
      </c>
      <c r="AS363" t="str">
        <f>IF($A363="","",IFERROR(INDEX(Company_List!$H$3:$H$207,MATCH($A363,Company_List!$A$3:$A$207,0)),"unassigned"))</f>
        <v>Consumer Discretionary</v>
      </c>
    </row>
    <row r="364" spans="1:45" x14ac:dyDescent="0.2">
      <c r="A364" s="1"/>
      <c r="B364" s="120"/>
      <c r="AG364" t="str">
        <f>IF($A364="","",IFERROR(INDEX(Company_List!$G$3:$G$207,MATCH($A364,Company_List!$A$3:$A$207,0)),"unassigned"))</f>
        <v/>
      </c>
      <c r="AK364" t="str">
        <f>IF($A364="","",IF(COUNTIFS(Human_Data_Entry!$A$3:$A$525,$A364)&gt;0,"YES","NO"))</f>
        <v/>
      </c>
      <c r="AL364" t="str">
        <f>IF($A364="","",IF(AND($C364&amp;"-"&amp;$D364&gt;=Settings!$B$19,$C364&amp;"-"&amp;$D364&lt;=Settings!$B$20),"IN","OUT"))</f>
        <v/>
      </c>
      <c r="AM364" t="str">
        <f t="shared" si="20"/>
        <v/>
      </c>
      <c r="AN364" t="str">
        <f t="shared" si="21"/>
        <v/>
      </c>
      <c r="AO364" t="str">
        <f>IF(ISNUMBER($AM364),ABS(IF(ISNUMBER($G364),$G364,0)-Settings!$B$25),"")</f>
        <v/>
      </c>
      <c r="AP364" t="str">
        <f t="shared" si="22"/>
        <v/>
      </c>
      <c r="AQ364" t="str">
        <f>IF(ISNUMBER($AN364),ABS(IF(ISNUMBER($G364),$G364,0)-Settings!$B$25),"")</f>
        <v/>
      </c>
      <c r="AR364" t="str">
        <f t="shared" si="23"/>
        <v/>
      </c>
      <c r="AS364" t="str">
        <f>IF($A364="","",IFERROR(INDEX(Company_List!$H$3:$H$207,MATCH($A364,Company_List!$A$3:$A$207,0)),"unassigned"))</f>
        <v/>
      </c>
    </row>
    <row r="365" spans="1:45" x14ac:dyDescent="0.2">
      <c r="A365" s="1"/>
      <c r="B365" s="120"/>
      <c r="AG365" t="str">
        <f>IF($A365="","",IFERROR(INDEX(Company_List!$G$3:$G$207,MATCH($A365,Company_List!$A$3:$A$207,0)),"unassigned"))</f>
        <v/>
      </c>
      <c r="AK365" t="str">
        <f>IF($A365="","",IF(COUNTIFS(Human_Data_Entry!$A$3:$A$525,$A365)&gt;0,"YES","NO"))</f>
        <v/>
      </c>
      <c r="AL365" t="str">
        <f>IF($A365="","",IF(AND($C365&amp;"-"&amp;$D365&gt;=Settings!$B$19,$C365&amp;"-"&amp;$D365&lt;=Settings!$B$20),"IN","OUT"))</f>
        <v/>
      </c>
      <c r="AM365" t="str">
        <f t="shared" si="20"/>
        <v/>
      </c>
      <c r="AN365" t="str">
        <f t="shared" si="21"/>
        <v/>
      </c>
      <c r="AO365" t="str">
        <f>IF(ISNUMBER($AM365),ABS(IF(ISNUMBER($G365),$G365,0)-Settings!$B$25),"")</f>
        <v/>
      </c>
      <c r="AP365" t="str">
        <f t="shared" si="22"/>
        <v/>
      </c>
      <c r="AQ365" t="str">
        <f>IF(ISNUMBER($AN365),ABS(IF(ISNUMBER($G365),$G365,0)-Settings!$B$25),"")</f>
        <v/>
      </c>
      <c r="AR365" t="str">
        <f t="shared" si="23"/>
        <v/>
      </c>
      <c r="AS365" t="str">
        <f>IF($A365="","",IFERROR(INDEX(Company_List!$H$3:$H$207,MATCH($A365,Company_List!$A$3:$A$207,0)),"unassigned"))</f>
        <v/>
      </c>
    </row>
    <row r="366" spans="1:45" x14ac:dyDescent="0.2">
      <c r="A366" s="1"/>
      <c r="B366" s="120"/>
      <c r="AG366" t="str">
        <f>IF($A366="","",IFERROR(INDEX(Company_List!$G$3:$G$207,MATCH($A366,Company_List!$A$3:$A$207,0)),"unassigned"))</f>
        <v/>
      </c>
      <c r="AK366" t="str">
        <f>IF($A366="","",IF(COUNTIFS(Human_Data_Entry!$A$3:$A$525,$A366)&gt;0,"YES","NO"))</f>
        <v/>
      </c>
      <c r="AL366" t="str">
        <f>IF($A366="","",IF(AND($C366&amp;"-"&amp;$D366&gt;=Settings!$B$19,$C366&amp;"-"&amp;$D366&lt;=Settings!$B$20),"IN","OUT"))</f>
        <v/>
      </c>
      <c r="AM366" t="str">
        <f t="shared" si="20"/>
        <v/>
      </c>
      <c r="AN366" t="str">
        <f t="shared" si="21"/>
        <v/>
      </c>
      <c r="AO366" t="str">
        <f>IF(ISNUMBER($AM366),ABS(IF(ISNUMBER($G366),$G366,0)-Settings!$B$25),"")</f>
        <v/>
      </c>
      <c r="AP366" t="str">
        <f t="shared" si="22"/>
        <v/>
      </c>
      <c r="AQ366" t="str">
        <f>IF(ISNUMBER($AN366),ABS(IF(ISNUMBER($G366),$G366,0)-Settings!$B$25),"")</f>
        <v/>
      </c>
      <c r="AR366" t="str">
        <f t="shared" si="23"/>
        <v/>
      </c>
      <c r="AS366" t="str">
        <f>IF($A366="","",IFERROR(INDEX(Company_List!$H$3:$H$207,MATCH($A366,Company_List!$A$3:$A$207,0)),"unassigned"))</f>
        <v/>
      </c>
    </row>
    <row r="367" spans="1:45" x14ac:dyDescent="0.2">
      <c r="A367" s="1"/>
      <c r="B367" s="120"/>
      <c r="AG367" t="str">
        <f>IF($A367="","",IFERROR(INDEX(Company_List!$G$3:$G$207,MATCH($A367,Company_List!$A$3:$A$207,0)),"unassigned"))</f>
        <v/>
      </c>
      <c r="AK367" t="str">
        <f>IF($A367="","",IF(COUNTIFS(Human_Data_Entry!$A$3:$A$525,$A367)&gt;0,"YES","NO"))</f>
        <v/>
      </c>
      <c r="AL367" t="str">
        <f>IF($A367="","",IF(AND($C367&amp;"-"&amp;$D367&gt;=Settings!$B$19,$C367&amp;"-"&amp;$D367&lt;=Settings!$B$20),"IN","OUT"))</f>
        <v/>
      </c>
      <c r="AM367" t="str">
        <f t="shared" si="20"/>
        <v/>
      </c>
      <c r="AN367" t="str">
        <f t="shared" si="21"/>
        <v/>
      </c>
      <c r="AO367" t="str">
        <f>IF(ISNUMBER($AM367),ABS(IF(ISNUMBER($G367),$G367,0)-Settings!$B$25),"")</f>
        <v/>
      </c>
      <c r="AP367" t="str">
        <f t="shared" si="22"/>
        <v/>
      </c>
      <c r="AQ367" t="str">
        <f>IF(ISNUMBER($AN367),ABS(IF(ISNUMBER($G367),$G367,0)-Settings!$B$25),"")</f>
        <v/>
      </c>
      <c r="AR367" t="str">
        <f t="shared" si="23"/>
        <v/>
      </c>
      <c r="AS367" t="str">
        <f>IF($A367="","",IFERROR(INDEX(Company_List!$H$3:$H$207,MATCH($A367,Company_List!$A$3:$A$207,0)),"unassigned"))</f>
        <v/>
      </c>
    </row>
    <row r="368" spans="1:45" x14ac:dyDescent="0.2">
      <c r="A368" s="1"/>
      <c r="B368" s="120"/>
      <c r="AG368" t="str">
        <f>IF($A368="","",IFERROR(INDEX(Company_List!$G$3:$G$207,MATCH($A368,Company_List!$A$3:$A$207,0)),"unassigned"))</f>
        <v/>
      </c>
      <c r="AK368" t="str">
        <f>IF($A368="","",IF(COUNTIFS(Human_Data_Entry!$A$3:$A$525,$A368)&gt;0,"YES","NO"))</f>
        <v/>
      </c>
      <c r="AL368" t="str">
        <f>IF($A368="","",IF(AND($C368&amp;"-"&amp;$D368&gt;=Settings!$B$19,$C368&amp;"-"&amp;$D368&lt;=Settings!$B$20),"IN","OUT"))</f>
        <v/>
      </c>
      <c r="AM368" t="str">
        <f t="shared" si="20"/>
        <v/>
      </c>
      <c r="AN368" t="str">
        <f t="shared" si="21"/>
        <v/>
      </c>
      <c r="AO368" t="str">
        <f>IF(ISNUMBER($AM368),ABS(IF(ISNUMBER($G368),$G368,0)-Settings!$B$25),"")</f>
        <v/>
      </c>
      <c r="AP368" t="str">
        <f t="shared" si="22"/>
        <v/>
      </c>
      <c r="AQ368" t="str">
        <f>IF(ISNUMBER($AN368),ABS(IF(ISNUMBER($G368),$G368,0)-Settings!$B$25),"")</f>
        <v/>
      </c>
      <c r="AR368" t="str">
        <f t="shared" si="23"/>
        <v/>
      </c>
      <c r="AS368" t="str">
        <f>IF($A368="","",IFERROR(INDEX(Company_List!$H$3:$H$207,MATCH($A368,Company_List!$A$3:$A$207,0)),"unassigned"))</f>
        <v/>
      </c>
    </row>
    <row r="369" spans="1:45" x14ac:dyDescent="0.2">
      <c r="A369" s="1"/>
      <c r="B369" s="120"/>
      <c r="AG369" t="str">
        <f>IF($A369="","",IFERROR(INDEX(Company_List!$G$3:$G$207,MATCH($A369,Company_List!$A$3:$A$207,0)),"unassigned"))</f>
        <v/>
      </c>
      <c r="AK369" t="str">
        <f>IF($A369="","",IF(COUNTIFS(Human_Data_Entry!$A$3:$A$525,$A369)&gt;0,"YES","NO"))</f>
        <v/>
      </c>
      <c r="AL369" t="str">
        <f>IF($A369="","",IF(AND($C369&amp;"-"&amp;$D369&gt;=Settings!$B$19,$C369&amp;"-"&amp;$D369&lt;=Settings!$B$20),"IN","OUT"))</f>
        <v/>
      </c>
      <c r="AM369" t="str">
        <f t="shared" si="20"/>
        <v/>
      </c>
      <c r="AN369" t="str">
        <f t="shared" si="21"/>
        <v/>
      </c>
      <c r="AO369" t="str">
        <f>IF(ISNUMBER($AM369),ABS(IF(ISNUMBER($G369),$G369,0)-Settings!$B$25),"")</f>
        <v/>
      </c>
      <c r="AP369" t="str">
        <f t="shared" si="22"/>
        <v/>
      </c>
      <c r="AQ369" t="str">
        <f>IF(ISNUMBER($AN369),ABS(IF(ISNUMBER($G369),$G369,0)-Settings!$B$25),"")</f>
        <v/>
      </c>
      <c r="AR369" t="str">
        <f t="shared" si="23"/>
        <v/>
      </c>
      <c r="AS369" t="str">
        <f>IF($A369="","",IFERROR(INDEX(Company_List!$H$3:$H$207,MATCH($A369,Company_List!$A$3:$A$207,0)),"unassigned"))</f>
        <v/>
      </c>
    </row>
    <row r="370" spans="1:45" x14ac:dyDescent="0.2">
      <c r="A370" s="1"/>
      <c r="B370" s="120"/>
      <c r="AG370" t="str">
        <f>IF($A370="","",IFERROR(INDEX(Company_List!$G$3:$G$207,MATCH($A370,Company_List!$A$3:$A$207,0)),"unassigned"))</f>
        <v/>
      </c>
      <c r="AK370" t="str">
        <f>IF($A370="","",IF(COUNTIFS(Human_Data_Entry!$A$3:$A$525,$A370)&gt;0,"YES","NO"))</f>
        <v/>
      </c>
      <c r="AL370" t="str">
        <f>IF($A370="","",IF(AND($C370&amp;"-"&amp;$D370&gt;=Settings!$B$19,$C370&amp;"-"&amp;$D370&lt;=Settings!$B$20),"IN","OUT"))</f>
        <v/>
      </c>
      <c r="AM370" t="str">
        <f t="shared" si="20"/>
        <v/>
      </c>
      <c r="AN370" t="str">
        <f t="shared" si="21"/>
        <v/>
      </c>
      <c r="AO370" t="str">
        <f>IF(ISNUMBER($AM370),ABS(IF(ISNUMBER($G370),$G370,0)-Settings!$B$25),"")</f>
        <v/>
      </c>
      <c r="AP370" t="str">
        <f t="shared" si="22"/>
        <v/>
      </c>
      <c r="AQ370" t="str">
        <f>IF(ISNUMBER($AN370),ABS(IF(ISNUMBER($G370),$G370,0)-Settings!$B$25),"")</f>
        <v/>
      </c>
      <c r="AR370" t="str">
        <f t="shared" si="23"/>
        <v/>
      </c>
      <c r="AS370" t="str">
        <f>IF($A370="","",IFERROR(INDEX(Company_List!$H$3:$H$207,MATCH($A370,Company_List!$A$3:$A$207,0)),"unassigned"))</f>
        <v/>
      </c>
    </row>
    <row r="371" spans="1:45" x14ac:dyDescent="0.2">
      <c r="A371" s="1"/>
      <c r="B371" s="120"/>
      <c r="AG371" t="str">
        <f>IF($A371="","",IFERROR(INDEX(Company_List!$G$3:$G$207,MATCH($A371,Company_List!$A$3:$A$207,0)),"unassigned"))</f>
        <v/>
      </c>
      <c r="AK371" t="str">
        <f>IF($A371="","",IF(COUNTIFS(Human_Data_Entry!$A$3:$A$525,$A371)&gt;0,"YES","NO"))</f>
        <v/>
      </c>
      <c r="AL371" t="str">
        <f>IF($A371="","",IF(AND($C371&amp;"-"&amp;$D371&gt;=Settings!$B$19,$C371&amp;"-"&amp;$D371&lt;=Settings!$B$20),"IN","OUT"))</f>
        <v/>
      </c>
      <c r="AM371" t="str">
        <f t="shared" si="20"/>
        <v/>
      </c>
      <c r="AN371" t="str">
        <f t="shared" si="21"/>
        <v/>
      </c>
      <c r="AO371" t="str">
        <f>IF(ISNUMBER($AM371),ABS(IF(ISNUMBER($G371),$G371,0)-Settings!$B$25),"")</f>
        <v/>
      </c>
      <c r="AP371" t="str">
        <f t="shared" si="22"/>
        <v/>
      </c>
      <c r="AQ371" t="str">
        <f>IF(ISNUMBER($AN371),ABS(IF(ISNUMBER($G371),$G371,0)-Settings!$B$25),"")</f>
        <v/>
      </c>
      <c r="AR371" t="str">
        <f t="shared" si="23"/>
        <v/>
      </c>
      <c r="AS371" t="str">
        <f>IF($A371="","",IFERROR(INDEX(Company_List!$H$3:$H$207,MATCH($A371,Company_List!$A$3:$A$207,0)),"unassigned"))</f>
        <v/>
      </c>
    </row>
    <row r="372" spans="1:45" x14ac:dyDescent="0.2">
      <c r="A372" s="1"/>
      <c r="B372" s="120"/>
      <c r="AG372" t="str">
        <f>IF($A372="","",IFERROR(INDEX(Company_List!$G$3:$G$207,MATCH($A372,Company_List!$A$3:$A$207,0)),"unassigned"))</f>
        <v/>
      </c>
      <c r="AK372" t="str">
        <f>IF($A372="","",IF(COUNTIFS(Human_Data_Entry!$A$3:$A$525,$A372)&gt;0,"YES","NO"))</f>
        <v/>
      </c>
      <c r="AL372" t="str">
        <f>IF($A372="","",IF(AND($C372&amp;"-"&amp;$D372&gt;=Settings!$B$19,$C372&amp;"-"&amp;$D372&lt;=Settings!$B$20),"IN","OUT"))</f>
        <v/>
      </c>
      <c r="AM372" t="str">
        <f t="shared" si="20"/>
        <v/>
      </c>
      <c r="AN372" t="str">
        <f t="shared" si="21"/>
        <v/>
      </c>
      <c r="AO372" t="str">
        <f>IF(ISNUMBER($AM372),ABS(IF(ISNUMBER($G372),$G372,0)-Settings!$B$25),"")</f>
        <v/>
      </c>
      <c r="AP372" t="str">
        <f t="shared" si="22"/>
        <v/>
      </c>
      <c r="AQ372" t="str">
        <f>IF(ISNUMBER($AN372),ABS(IF(ISNUMBER($G372),$G372,0)-Settings!$B$25),"")</f>
        <v/>
      </c>
      <c r="AR372" t="str">
        <f t="shared" si="23"/>
        <v/>
      </c>
      <c r="AS372" t="str">
        <f>IF($A372="","",IFERROR(INDEX(Company_List!$H$3:$H$207,MATCH($A372,Company_List!$A$3:$A$207,0)),"unassigned"))</f>
        <v/>
      </c>
    </row>
    <row r="373" spans="1:45" x14ac:dyDescent="0.2">
      <c r="A373" s="1"/>
      <c r="B373" s="120"/>
      <c r="AG373" t="str">
        <f>IF($A373="","",IFERROR(INDEX(Company_List!$G$3:$G$207,MATCH($A373,Company_List!$A$3:$A$207,0)),"unassigned"))</f>
        <v/>
      </c>
      <c r="AK373" t="str">
        <f>IF($A373="","",IF(COUNTIFS(Human_Data_Entry!$A$3:$A$525,$A373)&gt;0,"YES","NO"))</f>
        <v/>
      </c>
      <c r="AL373" t="str">
        <f>IF($A373="","",IF(AND($C373&amp;"-"&amp;$D373&gt;=Settings!$B$19,$C373&amp;"-"&amp;$D373&lt;=Settings!$B$20),"IN","OUT"))</f>
        <v/>
      </c>
      <c r="AM373" t="str">
        <f t="shared" si="20"/>
        <v/>
      </c>
      <c r="AN373" t="str">
        <f t="shared" si="21"/>
        <v/>
      </c>
      <c r="AO373" t="str">
        <f>IF(ISNUMBER($AM373),ABS(IF(ISNUMBER($G373),$G373,0)-Settings!$B$25),"")</f>
        <v/>
      </c>
      <c r="AP373" t="str">
        <f t="shared" si="22"/>
        <v/>
      </c>
      <c r="AQ373" t="str">
        <f>IF(ISNUMBER($AN373),ABS(IF(ISNUMBER($G373),$G373,0)-Settings!$B$25),"")</f>
        <v/>
      </c>
      <c r="AR373" t="str">
        <f t="shared" si="23"/>
        <v/>
      </c>
      <c r="AS373" t="str">
        <f>IF($A373="","",IFERROR(INDEX(Company_List!$H$3:$H$207,MATCH($A373,Company_List!$A$3:$A$207,0)),"unassigned"))</f>
        <v/>
      </c>
    </row>
    <row r="374" spans="1:45" x14ac:dyDescent="0.2">
      <c r="A374" s="1"/>
      <c r="B374" s="120"/>
      <c r="AG374" t="str">
        <f>IF($A374="","",IFERROR(INDEX(Company_List!$G$3:$G$207,MATCH($A374,Company_List!$A$3:$A$207,0)),"unassigned"))</f>
        <v/>
      </c>
      <c r="AK374" t="str">
        <f>IF($A374="","",IF(COUNTIFS(Human_Data_Entry!$A$3:$A$525,$A374)&gt;0,"YES","NO"))</f>
        <v/>
      </c>
      <c r="AL374" t="str">
        <f>IF($A374="","",IF(AND($C374&amp;"-"&amp;$D374&gt;=Settings!$B$19,$C374&amp;"-"&amp;$D374&lt;=Settings!$B$20),"IN","OUT"))</f>
        <v/>
      </c>
      <c r="AM374" t="str">
        <f t="shared" si="20"/>
        <v/>
      </c>
      <c r="AN374" t="str">
        <f t="shared" si="21"/>
        <v/>
      </c>
      <c r="AO374" t="str">
        <f>IF(ISNUMBER($AM374),ABS(IF(ISNUMBER($G374),$G374,0)-Settings!$B$25),"")</f>
        <v/>
      </c>
      <c r="AP374" t="str">
        <f t="shared" si="22"/>
        <v/>
      </c>
      <c r="AQ374" t="str">
        <f>IF(ISNUMBER($AN374),ABS(IF(ISNUMBER($G374),$G374,0)-Settings!$B$25),"")</f>
        <v/>
      </c>
      <c r="AR374" t="str">
        <f t="shared" si="23"/>
        <v/>
      </c>
      <c r="AS374" t="str">
        <f>IF($A374="","",IFERROR(INDEX(Company_List!$H$3:$H$207,MATCH($A374,Company_List!$A$3:$A$207,0)),"unassigned"))</f>
        <v/>
      </c>
    </row>
    <row r="375" spans="1:45" x14ac:dyDescent="0.2">
      <c r="A375" s="1"/>
      <c r="B375" s="120"/>
      <c r="AG375" t="str">
        <f>IF($A375="","",IFERROR(INDEX(Company_List!$G$3:$G$207,MATCH($A375,Company_List!$A$3:$A$207,0)),"unassigned"))</f>
        <v/>
      </c>
      <c r="AK375" t="str">
        <f>IF($A375="","",IF(COUNTIFS(Human_Data_Entry!$A$3:$A$525,$A375)&gt;0,"YES","NO"))</f>
        <v/>
      </c>
      <c r="AL375" t="str">
        <f>IF($A375="","",IF(AND($C375&amp;"-"&amp;$D375&gt;=Settings!$B$19,$C375&amp;"-"&amp;$D375&lt;=Settings!$B$20),"IN","OUT"))</f>
        <v/>
      </c>
      <c r="AM375" t="str">
        <f t="shared" si="20"/>
        <v/>
      </c>
      <c r="AN375" t="str">
        <f t="shared" si="21"/>
        <v/>
      </c>
      <c r="AO375" t="str">
        <f>IF(ISNUMBER($AM375),ABS(IF(ISNUMBER($G375),$G375,0)-Settings!$B$25),"")</f>
        <v/>
      </c>
      <c r="AP375" t="str">
        <f t="shared" si="22"/>
        <v/>
      </c>
      <c r="AQ375" t="str">
        <f>IF(ISNUMBER($AN375),ABS(IF(ISNUMBER($G375),$G375,0)-Settings!$B$25),"")</f>
        <v/>
      </c>
      <c r="AR375" t="str">
        <f t="shared" si="23"/>
        <v/>
      </c>
      <c r="AS375" t="str">
        <f>IF($A375="","",IFERROR(INDEX(Company_List!$H$3:$H$207,MATCH($A375,Company_List!$A$3:$A$207,0)),"unassigned"))</f>
        <v/>
      </c>
    </row>
    <row r="376" spans="1:45" x14ac:dyDescent="0.2">
      <c r="A376" s="1"/>
      <c r="B376" s="120"/>
      <c r="AG376" t="str">
        <f>IF($A376="","",IFERROR(INDEX(Company_List!$G$3:$G$207,MATCH($A376,Company_List!$A$3:$A$207,0)),"unassigned"))</f>
        <v/>
      </c>
      <c r="AK376" t="str">
        <f>IF($A376="","",IF(COUNTIFS(Human_Data_Entry!$A$3:$A$525,$A376)&gt;0,"YES","NO"))</f>
        <v/>
      </c>
      <c r="AL376" t="str">
        <f>IF($A376="","",IF(AND($C376&amp;"-"&amp;$D376&gt;=Settings!$B$19,$C376&amp;"-"&amp;$D376&lt;=Settings!$B$20),"IN","OUT"))</f>
        <v/>
      </c>
      <c r="AM376" t="str">
        <f t="shared" si="20"/>
        <v/>
      </c>
      <c r="AN376" t="str">
        <f t="shared" si="21"/>
        <v/>
      </c>
      <c r="AO376" t="str">
        <f>IF(ISNUMBER($AM376),ABS(IF(ISNUMBER($G376),$G376,0)-Settings!$B$25),"")</f>
        <v/>
      </c>
      <c r="AP376" t="str">
        <f t="shared" si="22"/>
        <v/>
      </c>
      <c r="AQ376" t="str">
        <f>IF(ISNUMBER($AN376),ABS(IF(ISNUMBER($G376),$G376,0)-Settings!$B$25),"")</f>
        <v/>
      </c>
      <c r="AR376" t="str">
        <f t="shared" si="23"/>
        <v/>
      </c>
      <c r="AS376" t="str">
        <f>IF($A376="","",IFERROR(INDEX(Company_List!$H$3:$H$207,MATCH($A376,Company_List!$A$3:$A$207,0)),"unassigned"))</f>
        <v/>
      </c>
    </row>
    <row r="377" spans="1:45" x14ac:dyDescent="0.2">
      <c r="A377" s="1"/>
      <c r="B377" s="120"/>
      <c r="AG377" t="str">
        <f>IF($A377="","",IFERROR(INDEX(Company_List!$G$3:$G$207,MATCH($A377,Company_List!$A$3:$A$207,0)),"unassigned"))</f>
        <v/>
      </c>
      <c r="AK377" t="str">
        <f>IF($A377="","",IF(COUNTIFS(Human_Data_Entry!$A$3:$A$525,$A377)&gt;0,"YES","NO"))</f>
        <v/>
      </c>
      <c r="AL377" t="str">
        <f>IF($A377="","",IF(AND($C377&amp;"-"&amp;$D377&gt;=Settings!$B$19,$C377&amp;"-"&amp;$D377&lt;=Settings!$B$20),"IN","OUT"))</f>
        <v/>
      </c>
      <c r="AM377" t="str">
        <f t="shared" si="20"/>
        <v/>
      </c>
      <c r="AN377" t="str">
        <f t="shared" si="21"/>
        <v/>
      </c>
      <c r="AO377" t="str">
        <f>IF(ISNUMBER($AM377),ABS(IF(ISNUMBER($G377),$G377,0)-Settings!$B$25),"")</f>
        <v/>
      </c>
      <c r="AP377" t="str">
        <f t="shared" si="22"/>
        <v/>
      </c>
      <c r="AQ377" t="str">
        <f>IF(ISNUMBER($AN377),ABS(IF(ISNUMBER($G377),$G377,0)-Settings!$B$25),"")</f>
        <v/>
      </c>
      <c r="AR377" t="str">
        <f t="shared" si="23"/>
        <v/>
      </c>
      <c r="AS377" t="str">
        <f>IF($A377="","",IFERROR(INDEX(Company_List!$H$3:$H$207,MATCH($A377,Company_List!$A$3:$A$207,0)),"unassigned"))</f>
        <v/>
      </c>
    </row>
    <row r="378" spans="1:45" x14ac:dyDescent="0.2">
      <c r="A378" s="1"/>
      <c r="B378" s="120"/>
      <c r="AG378" t="str">
        <f>IF($A378="","",IFERROR(INDEX(Company_List!$G$3:$G$207,MATCH($A378,Company_List!$A$3:$A$207,0)),"unassigned"))</f>
        <v/>
      </c>
      <c r="AK378" t="str">
        <f>IF($A378="","",IF(COUNTIFS(Human_Data_Entry!$A$3:$A$525,$A378)&gt;0,"YES","NO"))</f>
        <v/>
      </c>
      <c r="AL378" t="str">
        <f>IF($A378="","",IF(AND($C378&amp;"-"&amp;$D378&gt;=Settings!$B$19,$C378&amp;"-"&amp;$D378&lt;=Settings!$B$20),"IN","OUT"))</f>
        <v/>
      </c>
      <c r="AM378" t="str">
        <f t="shared" si="20"/>
        <v/>
      </c>
      <c r="AN378" t="str">
        <f t="shared" si="21"/>
        <v/>
      </c>
      <c r="AO378" t="str">
        <f>IF(ISNUMBER($AM378),ABS(IF(ISNUMBER($G378),$G378,0)-Settings!$B$25),"")</f>
        <v/>
      </c>
      <c r="AP378" t="str">
        <f t="shared" si="22"/>
        <v/>
      </c>
      <c r="AQ378" t="str">
        <f>IF(ISNUMBER($AN378),ABS(IF(ISNUMBER($G378),$G378,0)-Settings!$B$25),"")</f>
        <v/>
      </c>
      <c r="AR378" t="str">
        <f t="shared" si="23"/>
        <v/>
      </c>
      <c r="AS378" t="str">
        <f>IF($A378="","",IFERROR(INDEX(Company_List!$H$3:$H$207,MATCH($A378,Company_List!$A$3:$A$207,0)),"unassigned"))</f>
        <v/>
      </c>
    </row>
    <row r="379" spans="1:45" x14ac:dyDescent="0.2">
      <c r="A379" s="1"/>
      <c r="B379" s="120"/>
      <c r="AG379" t="str">
        <f>IF($A379="","",IFERROR(INDEX(Company_List!$G$3:$G$207,MATCH($A379,Company_List!$A$3:$A$207,0)),"unassigned"))</f>
        <v/>
      </c>
      <c r="AK379" t="str">
        <f>IF($A379="","",IF(COUNTIFS(Human_Data_Entry!$A$3:$A$525,$A379)&gt;0,"YES","NO"))</f>
        <v/>
      </c>
      <c r="AL379" t="str">
        <f>IF($A379="","",IF(AND($C379&amp;"-"&amp;$D379&gt;=Settings!$B$19,$C379&amp;"-"&amp;$D379&lt;=Settings!$B$20),"IN","OUT"))</f>
        <v/>
      </c>
      <c r="AM379" t="str">
        <f t="shared" si="20"/>
        <v/>
      </c>
      <c r="AN379" t="str">
        <f t="shared" si="21"/>
        <v/>
      </c>
      <c r="AO379" t="str">
        <f>IF(ISNUMBER($AM379),ABS(IF(ISNUMBER($G379),$G379,0)-Settings!$B$25),"")</f>
        <v/>
      </c>
      <c r="AP379" t="str">
        <f t="shared" si="22"/>
        <v/>
      </c>
      <c r="AQ379" t="str">
        <f>IF(ISNUMBER($AN379),ABS(IF(ISNUMBER($G379),$G379,0)-Settings!$B$25),"")</f>
        <v/>
      </c>
      <c r="AR379" t="str">
        <f t="shared" si="23"/>
        <v/>
      </c>
      <c r="AS379" t="str">
        <f>IF($A379="","",IFERROR(INDEX(Company_List!$H$3:$H$207,MATCH($A379,Company_List!$A$3:$A$207,0)),"unassigned"))</f>
        <v/>
      </c>
    </row>
    <row r="380" spans="1:45" x14ac:dyDescent="0.2">
      <c r="A380" s="1"/>
      <c r="B380" s="120"/>
      <c r="AG380" t="str">
        <f>IF($A380="","",IFERROR(INDEX(Company_List!$G$3:$G$207,MATCH($A380,Company_List!$A$3:$A$207,0)),"unassigned"))</f>
        <v/>
      </c>
      <c r="AK380" t="str">
        <f>IF($A380="","",IF(COUNTIFS(Human_Data_Entry!$A$3:$A$525,$A380)&gt;0,"YES","NO"))</f>
        <v/>
      </c>
      <c r="AL380" t="str">
        <f>IF($A380="","",IF(AND($C380&amp;"-"&amp;$D380&gt;=Settings!$B$19,$C380&amp;"-"&amp;$D380&lt;=Settings!$B$20),"IN","OUT"))</f>
        <v/>
      </c>
      <c r="AM380" t="str">
        <f t="shared" si="20"/>
        <v/>
      </c>
      <c r="AN380" t="str">
        <f t="shared" si="21"/>
        <v/>
      </c>
      <c r="AO380" t="str">
        <f>IF(ISNUMBER($AM380),ABS(IF(ISNUMBER($G380),$G380,0)-Settings!$B$25),"")</f>
        <v/>
      </c>
      <c r="AP380" t="str">
        <f t="shared" si="22"/>
        <v/>
      </c>
      <c r="AQ380" t="str">
        <f>IF(ISNUMBER($AN380),ABS(IF(ISNUMBER($G380),$G380,0)-Settings!$B$25),"")</f>
        <v/>
      </c>
      <c r="AR380" t="str">
        <f t="shared" si="23"/>
        <v/>
      </c>
      <c r="AS380" t="str">
        <f>IF($A380="","",IFERROR(INDEX(Company_List!$H$3:$H$207,MATCH($A380,Company_List!$A$3:$A$207,0)),"unassigned"))</f>
        <v/>
      </c>
    </row>
    <row r="381" spans="1:45" x14ac:dyDescent="0.2">
      <c r="A381" s="1"/>
      <c r="B381" s="120"/>
      <c r="AG381" t="str">
        <f>IF($A381="","",IFERROR(INDEX(Company_List!$G$3:$G$207,MATCH($A381,Company_List!$A$3:$A$207,0)),"unassigned"))</f>
        <v/>
      </c>
      <c r="AK381" t="str">
        <f>IF($A381="","",IF(COUNTIFS(Human_Data_Entry!$A$3:$A$525,$A381)&gt;0,"YES","NO"))</f>
        <v/>
      </c>
      <c r="AL381" t="str">
        <f>IF($A381="","",IF(AND($C381&amp;"-"&amp;$D381&gt;=Settings!$B$19,$C381&amp;"-"&amp;$D381&lt;=Settings!$B$20),"IN","OUT"))</f>
        <v/>
      </c>
      <c r="AM381" t="str">
        <f t="shared" si="20"/>
        <v/>
      </c>
      <c r="AN381" t="str">
        <f t="shared" si="21"/>
        <v/>
      </c>
      <c r="AO381" t="str">
        <f>IF(ISNUMBER($AM381),ABS(IF(ISNUMBER($G381),$G381,0)-Settings!$B$25),"")</f>
        <v/>
      </c>
      <c r="AP381" t="str">
        <f t="shared" si="22"/>
        <v/>
      </c>
      <c r="AQ381" t="str">
        <f>IF(ISNUMBER($AN381),ABS(IF(ISNUMBER($G381),$G381,0)-Settings!$B$25),"")</f>
        <v/>
      </c>
      <c r="AR381" t="str">
        <f t="shared" si="23"/>
        <v/>
      </c>
      <c r="AS381" t="str">
        <f>IF($A381="","",IFERROR(INDEX(Company_List!$H$3:$H$207,MATCH($A381,Company_List!$A$3:$A$207,0)),"unassigned"))</f>
        <v/>
      </c>
    </row>
    <row r="382" spans="1:45" x14ac:dyDescent="0.2">
      <c r="A382" s="1"/>
      <c r="B382" s="120"/>
      <c r="AG382" t="str">
        <f>IF($A382="","",IFERROR(INDEX(Company_List!$G$3:$G$207,MATCH($A382,Company_List!$A$3:$A$207,0)),"unassigned"))</f>
        <v/>
      </c>
      <c r="AK382" t="str">
        <f>IF($A382="","",IF(COUNTIFS(Human_Data_Entry!$A$3:$A$525,$A382)&gt;0,"YES","NO"))</f>
        <v/>
      </c>
      <c r="AL382" t="str">
        <f>IF($A382="","",IF(AND($C382&amp;"-"&amp;$D382&gt;=Settings!$B$19,$C382&amp;"-"&amp;$D382&lt;=Settings!$B$20),"IN","OUT"))</f>
        <v/>
      </c>
      <c r="AM382" t="str">
        <f t="shared" si="20"/>
        <v/>
      </c>
      <c r="AN382" t="str">
        <f t="shared" si="21"/>
        <v/>
      </c>
      <c r="AO382" t="str">
        <f>IF(ISNUMBER($AM382),ABS(IF(ISNUMBER($G382),$G382,0)-Settings!$B$25),"")</f>
        <v/>
      </c>
      <c r="AP382" t="str">
        <f t="shared" si="22"/>
        <v/>
      </c>
      <c r="AQ382" t="str">
        <f>IF(ISNUMBER($AN382),ABS(IF(ISNUMBER($G382),$G382,0)-Settings!$B$25),"")</f>
        <v/>
      </c>
      <c r="AR382" t="str">
        <f t="shared" si="23"/>
        <v/>
      </c>
      <c r="AS382" t="str">
        <f>IF($A382="","",IFERROR(INDEX(Company_List!$H$3:$H$207,MATCH($A382,Company_List!$A$3:$A$207,0)),"unassigned"))</f>
        <v/>
      </c>
    </row>
    <row r="383" spans="1:45" x14ac:dyDescent="0.2">
      <c r="A383" s="1"/>
      <c r="B383" s="120"/>
      <c r="AG383" t="str">
        <f>IF($A383="","",IFERROR(INDEX(Company_List!$G$3:$G$207,MATCH($A383,Company_List!$A$3:$A$207,0)),"unassigned"))</f>
        <v/>
      </c>
      <c r="AK383" t="str">
        <f>IF($A383="","",IF(COUNTIFS(Human_Data_Entry!$A$3:$A$525,$A383)&gt;0,"YES","NO"))</f>
        <v/>
      </c>
      <c r="AL383" t="str">
        <f>IF($A383="","",IF(AND($C383&amp;"-"&amp;$D383&gt;=Settings!$B$19,$C383&amp;"-"&amp;$D383&lt;=Settings!$B$20),"IN","OUT"))</f>
        <v/>
      </c>
      <c r="AM383" t="str">
        <f t="shared" si="20"/>
        <v/>
      </c>
      <c r="AN383" t="str">
        <f t="shared" si="21"/>
        <v/>
      </c>
      <c r="AO383" t="str">
        <f>IF(ISNUMBER($AM383),ABS(IF(ISNUMBER($G383),$G383,0)-Settings!$B$25),"")</f>
        <v/>
      </c>
      <c r="AP383" t="str">
        <f t="shared" si="22"/>
        <v/>
      </c>
      <c r="AQ383" t="str">
        <f>IF(ISNUMBER($AN383),ABS(IF(ISNUMBER($G383),$G383,0)-Settings!$B$25),"")</f>
        <v/>
      </c>
      <c r="AR383" t="str">
        <f t="shared" si="23"/>
        <v/>
      </c>
      <c r="AS383" t="str">
        <f>IF($A383="","",IFERROR(INDEX(Company_List!$H$3:$H$207,MATCH($A383,Company_List!$A$3:$A$207,0)),"unassigned"))</f>
        <v/>
      </c>
    </row>
    <row r="384" spans="1:45" x14ac:dyDescent="0.2">
      <c r="A384" s="1"/>
      <c r="B384" s="120"/>
      <c r="AG384" t="str">
        <f>IF($A384="","",IFERROR(INDEX(Company_List!$G$3:$G$207,MATCH($A384,Company_List!$A$3:$A$207,0)),"unassigned"))</f>
        <v/>
      </c>
      <c r="AK384" t="str">
        <f>IF($A384="","",IF(COUNTIFS(Human_Data_Entry!$A$3:$A$525,$A384)&gt;0,"YES","NO"))</f>
        <v/>
      </c>
      <c r="AL384" t="str">
        <f>IF($A384="","",IF(AND($C384&amp;"-"&amp;$D384&gt;=Settings!$B$19,$C384&amp;"-"&amp;$D384&lt;=Settings!$B$20),"IN","OUT"))</f>
        <v/>
      </c>
      <c r="AM384" t="str">
        <f t="shared" si="20"/>
        <v/>
      </c>
      <c r="AN384" t="str">
        <f t="shared" si="21"/>
        <v/>
      </c>
      <c r="AO384" t="str">
        <f>IF(ISNUMBER($AM384),ABS(IF(ISNUMBER($G384),$G384,0)-Settings!$B$25),"")</f>
        <v/>
      </c>
      <c r="AP384" t="str">
        <f t="shared" si="22"/>
        <v/>
      </c>
      <c r="AQ384" t="str">
        <f>IF(ISNUMBER($AN384),ABS(IF(ISNUMBER($G384),$G384,0)-Settings!$B$25),"")</f>
        <v/>
      </c>
      <c r="AR384" t="str">
        <f t="shared" si="23"/>
        <v/>
      </c>
      <c r="AS384" t="str">
        <f>IF($A384="","",IFERROR(INDEX(Company_List!$H$3:$H$207,MATCH($A384,Company_List!$A$3:$A$207,0)),"unassigned"))</f>
        <v/>
      </c>
    </row>
    <row r="385" spans="1:45" x14ac:dyDescent="0.2">
      <c r="A385" s="1"/>
      <c r="B385" s="120"/>
      <c r="AG385" t="str">
        <f>IF($A385="","",IFERROR(INDEX(Company_List!$G$3:$G$207,MATCH($A385,Company_List!$A$3:$A$207,0)),"unassigned"))</f>
        <v/>
      </c>
      <c r="AK385" t="str">
        <f>IF($A385="","",IF(COUNTIFS(Human_Data_Entry!$A$3:$A$525,$A385)&gt;0,"YES","NO"))</f>
        <v/>
      </c>
      <c r="AL385" t="str">
        <f>IF($A385="","",IF(AND($C385&amp;"-"&amp;$D385&gt;=Settings!$B$19,$C385&amp;"-"&amp;$D385&lt;=Settings!$B$20),"IN","OUT"))</f>
        <v/>
      </c>
      <c r="AM385" t="str">
        <f t="shared" si="20"/>
        <v/>
      </c>
      <c r="AN385" t="str">
        <f t="shared" si="21"/>
        <v/>
      </c>
      <c r="AO385" t="str">
        <f>IF(ISNUMBER($AM385),ABS(IF(ISNUMBER($G385),$G385,0)-Settings!$B$25),"")</f>
        <v/>
      </c>
      <c r="AP385" t="str">
        <f t="shared" si="22"/>
        <v/>
      </c>
      <c r="AQ385" t="str">
        <f>IF(ISNUMBER($AN385),ABS(IF(ISNUMBER($G385),$G385,0)-Settings!$B$25),"")</f>
        <v/>
      </c>
      <c r="AR385" t="str">
        <f t="shared" si="23"/>
        <v/>
      </c>
      <c r="AS385" t="str">
        <f>IF($A385="","",IFERROR(INDEX(Company_List!$H$3:$H$207,MATCH($A385,Company_List!$A$3:$A$207,0)),"unassigned"))</f>
        <v/>
      </c>
    </row>
    <row r="386" spans="1:45" x14ac:dyDescent="0.2">
      <c r="A386" s="1"/>
      <c r="B386" s="120"/>
      <c r="AG386" t="str">
        <f>IF($A386="","",IFERROR(INDEX(Company_List!$G$3:$G$207,MATCH($A386,Company_List!$A$3:$A$207,0)),"unassigned"))</f>
        <v/>
      </c>
      <c r="AK386" t="str">
        <f>IF($A386="","",IF(COUNTIFS(Human_Data_Entry!$A$3:$A$525,$A386)&gt;0,"YES","NO"))</f>
        <v/>
      </c>
      <c r="AL386" t="str">
        <f>IF($A386="","",IF(AND($C386&amp;"-"&amp;$D386&gt;=Settings!$B$19,$C386&amp;"-"&amp;$D386&lt;=Settings!$B$20),"IN","OUT"))</f>
        <v/>
      </c>
      <c r="AM386" t="str">
        <f t="shared" si="20"/>
        <v/>
      </c>
      <c r="AN386" t="str">
        <f t="shared" si="21"/>
        <v/>
      </c>
      <c r="AO386" t="str">
        <f>IF(ISNUMBER($AM386),ABS(IF(ISNUMBER($G386),$G386,0)-Settings!$B$25),"")</f>
        <v/>
      </c>
      <c r="AP386" t="str">
        <f t="shared" si="22"/>
        <v/>
      </c>
      <c r="AQ386" t="str">
        <f>IF(ISNUMBER($AN386),ABS(IF(ISNUMBER($G386),$G386,0)-Settings!$B$25),"")</f>
        <v/>
      </c>
      <c r="AR386" t="str">
        <f t="shared" si="23"/>
        <v/>
      </c>
      <c r="AS386" t="str">
        <f>IF($A386="","",IFERROR(INDEX(Company_List!$H$3:$H$207,MATCH($A386,Company_List!$A$3:$A$207,0)),"unassigned"))</f>
        <v/>
      </c>
    </row>
    <row r="387" spans="1:45" x14ac:dyDescent="0.2">
      <c r="A387" s="1"/>
      <c r="B387" s="120"/>
      <c r="AG387" t="str">
        <f>IF($A387="","",IFERROR(INDEX(Company_List!$G$3:$G$207,MATCH($A387,Company_List!$A$3:$A$207,0)),"unassigned"))</f>
        <v/>
      </c>
      <c r="AK387" t="str">
        <f>IF($A387="","",IF(COUNTIFS(Human_Data_Entry!$A$3:$A$525,$A387)&gt;0,"YES","NO"))</f>
        <v/>
      </c>
      <c r="AL387" t="str">
        <f>IF($A387="","",IF(AND($C387&amp;"-"&amp;$D387&gt;=Settings!$B$19,$C387&amp;"-"&amp;$D387&lt;=Settings!$B$20),"IN","OUT"))</f>
        <v/>
      </c>
      <c r="AM387" t="str">
        <f t="shared" ref="AM387:AM430" si="24">IF(AND(OR($H387="BUY",$H387="SELL"),ISNUMBER($T387)),$T387,"")</f>
        <v/>
      </c>
      <c r="AN387" t="str">
        <f t="shared" ref="AN387:AN430" si="25">IF(AND(OR($H387="BUY",$H387="SELL"),ISNUMBER($AF387)),$AF387,"")</f>
        <v/>
      </c>
      <c r="AO387" t="str">
        <f>IF(ISNUMBER($AM387),ABS(IF(ISNUMBER($G387),$G387,0)-Settings!$B$25),"")</f>
        <v/>
      </c>
      <c r="AP387" t="str">
        <f t="shared" ref="AP387:AP430" si="26">IF(ISNUMBER($AO387),$AO387*$AM387,"")</f>
        <v/>
      </c>
      <c r="AQ387" t="str">
        <f>IF(ISNUMBER($AN387),ABS(IF(ISNUMBER($G387),$G387,0)-Settings!$B$25),"")</f>
        <v/>
      </c>
      <c r="AR387" t="str">
        <f t="shared" ref="AR387:AR430" si="27">IF(ISNUMBER($AQ387),$AQ387*$AN387,"")</f>
        <v/>
      </c>
      <c r="AS387" t="str">
        <f>IF($A387="","",IFERROR(INDEX(Company_List!$H$3:$H$207,MATCH($A387,Company_List!$A$3:$A$207,0)),"unassigned"))</f>
        <v/>
      </c>
    </row>
    <row r="388" spans="1:45" x14ac:dyDescent="0.2">
      <c r="A388" s="1"/>
      <c r="B388" s="120"/>
      <c r="AG388" t="str">
        <f>IF($A388="","",IFERROR(INDEX(Company_List!$G$3:$G$207,MATCH($A388,Company_List!$A$3:$A$207,0)),"unassigned"))</f>
        <v/>
      </c>
      <c r="AK388" t="str">
        <f>IF($A388="","",IF(COUNTIFS(Human_Data_Entry!$A$3:$A$525,$A388)&gt;0,"YES","NO"))</f>
        <v/>
      </c>
      <c r="AL388" t="str">
        <f>IF($A388="","",IF(AND($C388&amp;"-"&amp;$D388&gt;=Settings!$B$19,$C388&amp;"-"&amp;$D388&lt;=Settings!$B$20),"IN","OUT"))</f>
        <v/>
      </c>
      <c r="AM388" t="str">
        <f t="shared" si="24"/>
        <v/>
      </c>
      <c r="AN388" t="str">
        <f t="shared" si="25"/>
        <v/>
      </c>
      <c r="AO388" t="str">
        <f>IF(ISNUMBER($AM388),ABS(IF(ISNUMBER($G388),$G388,0)-Settings!$B$25),"")</f>
        <v/>
      </c>
      <c r="AP388" t="str">
        <f t="shared" si="26"/>
        <v/>
      </c>
      <c r="AQ388" t="str">
        <f>IF(ISNUMBER($AN388),ABS(IF(ISNUMBER($G388),$G388,0)-Settings!$B$25),"")</f>
        <v/>
      </c>
      <c r="AR388" t="str">
        <f t="shared" si="27"/>
        <v/>
      </c>
      <c r="AS388" t="str">
        <f>IF($A388="","",IFERROR(INDEX(Company_List!$H$3:$H$207,MATCH($A388,Company_List!$A$3:$A$207,0)),"unassigned"))</f>
        <v/>
      </c>
    </row>
    <row r="389" spans="1:45" x14ac:dyDescent="0.2">
      <c r="A389" s="1"/>
      <c r="B389" s="120"/>
      <c r="AG389" t="str">
        <f>IF($A389="","",IFERROR(INDEX(Company_List!$G$3:$G$207,MATCH($A389,Company_List!$A$3:$A$207,0)),"unassigned"))</f>
        <v/>
      </c>
      <c r="AK389" t="str">
        <f>IF($A389="","",IF(COUNTIFS(Human_Data_Entry!$A$3:$A$525,$A389)&gt;0,"YES","NO"))</f>
        <v/>
      </c>
      <c r="AL389" t="str">
        <f>IF($A389="","",IF(AND($C389&amp;"-"&amp;$D389&gt;=Settings!$B$19,$C389&amp;"-"&amp;$D389&lt;=Settings!$B$20),"IN","OUT"))</f>
        <v/>
      </c>
      <c r="AM389" t="str">
        <f t="shared" si="24"/>
        <v/>
      </c>
      <c r="AN389" t="str">
        <f t="shared" si="25"/>
        <v/>
      </c>
      <c r="AO389" t="str">
        <f>IF(ISNUMBER($AM389),ABS(IF(ISNUMBER($G389),$G389,0)-Settings!$B$25),"")</f>
        <v/>
      </c>
      <c r="AP389" t="str">
        <f t="shared" si="26"/>
        <v/>
      </c>
      <c r="AQ389" t="str">
        <f>IF(ISNUMBER($AN389),ABS(IF(ISNUMBER($G389),$G389,0)-Settings!$B$25),"")</f>
        <v/>
      </c>
      <c r="AR389" t="str">
        <f t="shared" si="27"/>
        <v/>
      </c>
      <c r="AS389" t="str">
        <f>IF($A389="","",IFERROR(INDEX(Company_List!$H$3:$H$207,MATCH($A389,Company_List!$A$3:$A$207,0)),"unassigned"))</f>
        <v/>
      </c>
    </row>
    <row r="390" spans="1:45" x14ac:dyDescent="0.2">
      <c r="A390" s="1"/>
      <c r="B390" s="120"/>
      <c r="AG390" t="str">
        <f>IF($A390="","",IFERROR(INDEX(Company_List!$G$3:$G$207,MATCH($A390,Company_List!$A$3:$A$207,0)),"unassigned"))</f>
        <v/>
      </c>
      <c r="AK390" t="str">
        <f>IF($A390="","",IF(COUNTIFS(Human_Data_Entry!$A$3:$A$525,$A390)&gt;0,"YES","NO"))</f>
        <v/>
      </c>
      <c r="AL390" t="str">
        <f>IF($A390="","",IF(AND($C390&amp;"-"&amp;$D390&gt;=Settings!$B$19,$C390&amp;"-"&amp;$D390&lt;=Settings!$B$20),"IN","OUT"))</f>
        <v/>
      </c>
      <c r="AM390" t="str">
        <f t="shared" si="24"/>
        <v/>
      </c>
      <c r="AN390" t="str">
        <f t="shared" si="25"/>
        <v/>
      </c>
      <c r="AO390" t="str">
        <f>IF(ISNUMBER($AM390),ABS(IF(ISNUMBER($G390),$G390,0)-Settings!$B$25),"")</f>
        <v/>
      </c>
      <c r="AP390" t="str">
        <f t="shared" si="26"/>
        <v/>
      </c>
      <c r="AQ390" t="str">
        <f>IF(ISNUMBER($AN390),ABS(IF(ISNUMBER($G390),$G390,0)-Settings!$B$25),"")</f>
        <v/>
      </c>
      <c r="AR390" t="str">
        <f t="shared" si="27"/>
        <v/>
      </c>
      <c r="AS390" t="str">
        <f>IF($A390="","",IFERROR(INDEX(Company_List!$H$3:$H$207,MATCH($A390,Company_List!$A$3:$A$207,0)),"unassigned"))</f>
        <v/>
      </c>
    </row>
    <row r="391" spans="1:45" x14ac:dyDescent="0.2">
      <c r="A391" s="1"/>
      <c r="B391" s="120"/>
      <c r="AG391" t="str">
        <f>IF($A391="","",IFERROR(INDEX(Company_List!$G$3:$G$207,MATCH($A391,Company_List!$A$3:$A$207,0)),"unassigned"))</f>
        <v/>
      </c>
      <c r="AK391" t="str">
        <f>IF($A391="","",IF(COUNTIFS(Human_Data_Entry!$A$3:$A$525,$A391)&gt;0,"YES","NO"))</f>
        <v/>
      </c>
      <c r="AL391" t="str">
        <f>IF($A391="","",IF(AND($C391&amp;"-"&amp;$D391&gt;=Settings!$B$19,$C391&amp;"-"&amp;$D391&lt;=Settings!$B$20),"IN","OUT"))</f>
        <v/>
      </c>
      <c r="AM391" t="str">
        <f t="shared" si="24"/>
        <v/>
      </c>
      <c r="AN391" t="str">
        <f t="shared" si="25"/>
        <v/>
      </c>
      <c r="AO391" t="str">
        <f>IF(ISNUMBER($AM391),ABS(IF(ISNUMBER($G391),$G391,0)-Settings!$B$25),"")</f>
        <v/>
      </c>
      <c r="AP391" t="str">
        <f t="shared" si="26"/>
        <v/>
      </c>
      <c r="AQ391" t="str">
        <f>IF(ISNUMBER($AN391),ABS(IF(ISNUMBER($G391),$G391,0)-Settings!$B$25),"")</f>
        <v/>
      </c>
      <c r="AR391" t="str">
        <f t="shared" si="27"/>
        <v/>
      </c>
      <c r="AS391" t="str">
        <f>IF($A391="","",IFERROR(INDEX(Company_List!$H$3:$H$207,MATCH($A391,Company_List!$A$3:$A$207,0)),"unassigned"))</f>
        <v/>
      </c>
    </row>
    <row r="392" spans="1:45" x14ac:dyDescent="0.2">
      <c r="A392" s="1"/>
      <c r="B392" s="120"/>
      <c r="AG392" t="str">
        <f>IF($A392="","",IFERROR(INDEX(Company_List!$G$3:$G$207,MATCH($A392,Company_List!$A$3:$A$207,0)),"unassigned"))</f>
        <v/>
      </c>
      <c r="AK392" t="str">
        <f>IF($A392="","",IF(COUNTIFS(Human_Data_Entry!$A$3:$A$525,$A392)&gt;0,"YES","NO"))</f>
        <v/>
      </c>
      <c r="AL392" t="str">
        <f>IF($A392="","",IF(AND($C392&amp;"-"&amp;$D392&gt;=Settings!$B$19,$C392&amp;"-"&amp;$D392&lt;=Settings!$B$20),"IN","OUT"))</f>
        <v/>
      </c>
      <c r="AM392" t="str">
        <f t="shared" si="24"/>
        <v/>
      </c>
      <c r="AN392" t="str">
        <f t="shared" si="25"/>
        <v/>
      </c>
      <c r="AO392" t="str">
        <f>IF(ISNUMBER($AM392),ABS(IF(ISNUMBER($G392),$G392,0)-Settings!$B$25),"")</f>
        <v/>
      </c>
      <c r="AP392" t="str">
        <f t="shared" si="26"/>
        <v/>
      </c>
      <c r="AQ392" t="str">
        <f>IF(ISNUMBER($AN392),ABS(IF(ISNUMBER($G392),$G392,0)-Settings!$B$25),"")</f>
        <v/>
      </c>
      <c r="AR392" t="str">
        <f t="shared" si="27"/>
        <v/>
      </c>
      <c r="AS392" t="str">
        <f>IF($A392="","",IFERROR(INDEX(Company_List!$H$3:$H$207,MATCH($A392,Company_List!$A$3:$A$207,0)),"unassigned"))</f>
        <v/>
      </c>
    </row>
    <row r="393" spans="1:45" x14ac:dyDescent="0.2">
      <c r="A393" s="1"/>
      <c r="B393" s="120"/>
      <c r="AG393" t="str">
        <f>IF($A393="","",IFERROR(INDEX(Company_List!$G$3:$G$207,MATCH($A393,Company_List!$A$3:$A$207,0)),"unassigned"))</f>
        <v/>
      </c>
      <c r="AK393" t="str">
        <f>IF($A393="","",IF(COUNTIFS(Human_Data_Entry!$A$3:$A$525,$A393)&gt;0,"YES","NO"))</f>
        <v/>
      </c>
      <c r="AL393" t="str">
        <f>IF($A393="","",IF(AND($C393&amp;"-"&amp;$D393&gt;=Settings!$B$19,$C393&amp;"-"&amp;$D393&lt;=Settings!$B$20),"IN","OUT"))</f>
        <v/>
      </c>
      <c r="AM393" t="str">
        <f t="shared" si="24"/>
        <v/>
      </c>
      <c r="AN393" t="str">
        <f t="shared" si="25"/>
        <v/>
      </c>
      <c r="AO393" t="str">
        <f>IF(ISNUMBER($AM393),ABS(IF(ISNUMBER($G393),$G393,0)-Settings!$B$25),"")</f>
        <v/>
      </c>
      <c r="AP393" t="str">
        <f t="shared" si="26"/>
        <v/>
      </c>
      <c r="AQ393" t="str">
        <f>IF(ISNUMBER($AN393),ABS(IF(ISNUMBER($G393),$G393,0)-Settings!$B$25),"")</f>
        <v/>
      </c>
      <c r="AR393" t="str">
        <f t="shared" si="27"/>
        <v/>
      </c>
      <c r="AS393" t="str">
        <f>IF($A393="","",IFERROR(INDEX(Company_List!$H$3:$H$207,MATCH($A393,Company_List!$A$3:$A$207,0)),"unassigned"))</f>
        <v/>
      </c>
    </row>
    <row r="394" spans="1:45" x14ac:dyDescent="0.2">
      <c r="A394" s="1"/>
      <c r="B394" s="120"/>
      <c r="AG394" t="str">
        <f>IF($A394="","",IFERROR(INDEX(Company_List!$G$3:$G$207,MATCH($A394,Company_List!$A$3:$A$207,0)),"unassigned"))</f>
        <v/>
      </c>
      <c r="AK394" t="str">
        <f>IF($A394="","",IF(COUNTIFS(Human_Data_Entry!$A$3:$A$525,$A394)&gt;0,"YES","NO"))</f>
        <v/>
      </c>
      <c r="AL394" t="str">
        <f>IF($A394="","",IF(AND($C394&amp;"-"&amp;$D394&gt;=Settings!$B$19,$C394&amp;"-"&amp;$D394&lt;=Settings!$B$20),"IN","OUT"))</f>
        <v/>
      </c>
      <c r="AM394" t="str">
        <f t="shared" si="24"/>
        <v/>
      </c>
      <c r="AN394" t="str">
        <f t="shared" si="25"/>
        <v/>
      </c>
      <c r="AO394" t="str">
        <f>IF(ISNUMBER($AM394),ABS(IF(ISNUMBER($G394),$G394,0)-Settings!$B$25),"")</f>
        <v/>
      </c>
      <c r="AP394" t="str">
        <f t="shared" si="26"/>
        <v/>
      </c>
      <c r="AQ394" t="str">
        <f>IF(ISNUMBER($AN394),ABS(IF(ISNUMBER($G394),$G394,0)-Settings!$B$25),"")</f>
        <v/>
      </c>
      <c r="AR394" t="str">
        <f t="shared" si="27"/>
        <v/>
      </c>
      <c r="AS394" t="str">
        <f>IF($A394="","",IFERROR(INDEX(Company_List!$H$3:$H$207,MATCH($A394,Company_List!$A$3:$A$207,0)),"unassigned"))</f>
        <v/>
      </c>
    </row>
    <row r="395" spans="1:45" x14ac:dyDescent="0.2">
      <c r="A395" s="1"/>
      <c r="B395" s="120"/>
      <c r="AG395" t="str">
        <f>IF($A395="","",IFERROR(INDEX(Company_List!$G$3:$G$207,MATCH($A395,Company_List!$A$3:$A$207,0)),"unassigned"))</f>
        <v/>
      </c>
      <c r="AK395" t="str">
        <f>IF($A395="","",IF(COUNTIFS(Human_Data_Entry!$A$3:$A$525,$A395)&gt;0,"YES","NO"))</f>
        <v/>
      </c>
      <c r="AL395" t="str">
        <f>IF($A395="","",IF(AND($C395&amp;"-"&amp;$D395&gt;=Settings!$B$19,$C395&amp;"-"&amp;$D395&lt;=Settings!$B$20),"IN","OUT"))</f>
        <v/>
      </c>
      <c r="AM395" t="str">
        <f t="shared" si="24"/>
        <v/>
      </c>
      <c r="AN395" t="str">
        <f t="shared" si="25"/>
        <v/>
      </c>
      <c r="AO395" t="str">
        <f>IF(ISNUMBER($AM395),ABS(IF(ISNUMBER($G395),$G395,0)-Settings!$B$25),"")</f>
        <v/>
      </c>
      <c r="AP395" t="str">
        <f t="shared" si="26"/>
        <v/>
      </c>
      <c r="AQ395" t="str">
        <f>IF(ISNUMBER($AN395),ABS(IF(ISNUMBER($G395),$G395,0)-Settings!$B$25),"")</f>
        <v/>
      </c>
      <c r="AR395" t="str">
        <f t="shared" si="27"/>
        <v/>
      </c>
      <c r="AS395" t="str">
        <f>IF($A395="","",IFERROR(INDEX(Company_List!$H$3:$H$207,MATCH($A395,Company_List!$A$3:$A$207,0)),"unassigned"))</f>
        <v/>
      </c>
    </row>
    <row r="396" spans="1:45" x14ac:dyDescent="0.2">
      <c r="A396" s="1"/>
      <c r="B396" s="120"/>
      <c r="AG396" t="str">
        <f>IF($A396="","",IFERROR(INDEX(Company_List!$G$3:$G$207,MATCH($A396,Company_List!$A$3:$A$207,0)),"unassigned"))</f>
        <v/>
      </c>
      <c r="AK396" t="str">
        <f>IF($A396="","",IF(COUNTIFS(Human_Data_Entry!$A$3:$A$525,$A396)&gt;0,"YES","NO"))</f>
        <v/>
      </c>
      <c r="AL396" t="str">
        <f>IF($A396="","",IF(AND($C396&amp;"-"&amp;$D396&gt;=Settings!$B$19,$C396&amp;"-"&amp;$D396&lt;=Settings!$B$20),"IN","OUT"))</f>
        <v/>
      </c>
      <c r="AM396" t="str">
        <f t="shared" si="24"/>
        <v/>
      </c>
      <c r="AN396" t="str">
        <f t="shared" si="25"/>
        <v/>
      </c>
      <c r="AO396" t="str">
        <f>IF(ISNUMBER($AM396),ABS(IF(ISNUMBER($G396),$G396,0)-Settings!$B$25),"")</f>
        <v/>
      </c>
      <c r="AP396" t="str">
        <f t="shared" si="26"/>
        <v/>
      </c>
      <c r="AQ396" t="str">
        <f>IF(ISNUMBER($AN396),ABS(IF(ISNUMBER($G396),$G396,0)-Settings!$B$25),"")</f>
        <v/>
      </c>
      <c r="AR396" t="str">
        <f t="shared" si="27"/>
        <v/>
      </c>
      <c r="AS396" t="str">
        <f>IF($A396="","",IFERROR(INDEX(Company_List!$H$3:$H$207,MATCH($A396,Company_List!$A$3:$A$207,0)),"unassigned"))</f>
        <v/>
      </c>
    </row>
    <row r="397" spans="1:45" x14ac:dyDescent="0.2">
      <c r="A397" s="1"/>
      <c r="B397" s="120"/>
      <c r="AG397" t="str">
        <f>IF($A397="","",IFERROR(INDEX(Company_List!$G$3:$G$207,MATCH($A397,Company_List!$A$3:$A$207,0)),"unassigned"))</f>
        <v/>
      </c>
      <c r="AK397" t="str">
        <f>IF($A397="","",IF(COUNTIFS(Human_Data_Entry!$A$3:$A$525,$A397)&gt;0,"YES","NO"))</f>
        <v/>
      </c>
      <c r="AL397" t="str">
        <f>IF($A397="","",IF(AND($C397&amp;"-"&amp;$D397&gt;=Settings!$B$19,$C397&amp;"-"&amp;$D397&lt;=Settings!$B$20),"IN","OUT"))</f>
        <v/>
      </c>
      <c r="AM397" t="str">
        <f t="shared" si="24"/>
        <v/>
      </c>
      <c r="AN397" t="str">
        <f t="shared" si="25"/>
        <v/>
      </c>
      <c r="AO397" t="str">
        <f>IF(ISNUMBER($AM397),ABS(IF(ISNUMBER($G397),$G397,0)-Settings!$B$25),"")</f>
        <v/>
      </c>
      <c r="AP397" t="str">
        <f t="shared" si="26"/>
        <v/>
      </c>
      <c r="AQ397" t="str">
        <f>IF(ISNUMBER($AN397),ABS(IF(ISNUMBER($G397),$G397,0)-Settings!$B$25),"")</f>
        <v/>
      </c>
      <c r="AR397" t="str">
        <f t="shared" si="27"/>
        <v/>
      </c>
      <c r="AS397" t="str">
        <f>IF($A397="","",IFERROR(INDEX(Company_List!$H$3:$H$207,MATCH($A397,Company_List!$A$3:$A$207,0)),"unassigned"))</f>
        <v/>
      </c>
    </row>
    <row r="398" spans="1:45" x14ac:dyDescent="0.2">
      <c r="A398" s="1"/>
      <c r="B398" s="120"/>
      <c r="AG398" t="str">
        <f>IF($A398="","",IFERROR(INDEX(Company_List!$G$3:$G$207,MATCH($A398,Company_List!$A$3:$A$207,0)),"unassigned"))</f>
        <v/>
      </c>
      <c r="AK398" t="str">
        <f>IF($A398="","",IF(COUNTIFS(Human_Data_Entry!$A$3:$A$525,$A398)&gt;0,"YES","NO"))</f>
        <v/>
      </c>
      <c r="AL398" t="str">
        <f>IF($A398="","",IF(AND($C398&amp;"-"&amp;$D398&gt;=Settings!$B$19,$C398&amp;"-"&amp;$D398&lt;=Settings!$B$20),"IN","OUT"))</f>
        <v/>
      </c>
      <c r="AM398" t="str">
        <f t="shared" si="24"/>
        <v/>
      </c>
      <c r="AN398" t="str">
        <f t="shared" si="25"/>
        <v/>
      </c>
      <c r="AO398" t="str">
        <f>IF(ISNUMBER($AM398),ABS(IF(ISNUMBER($G398),$G398,0)-Settings!$B$25),"")</f>
        <v/>
      </c>
      <c r="AP398" t="str">
        <f t="shared" si="26"/>
        <v/>
      </c>
      <c r="AQ398" t="str">
        <f>IF(ISNUMBER($AN398),ABS(IF(ISNUMBER($G398),$G398,0)-Settings!$B$25),"")</f>
        <v/>
      </c>
      <c r="AR398" t="str">
        <f t="shared" si="27"/>
        <v/>
      </c>
      <c r="AS398" t="str">
        <f>IF($A398="","",IFERROR(INDEX(Company_List!$H$3:$H$207,MATCH($A398,Company_List!$A$3:$A$207,0)),"unassigned"))</f>
        <v/>
      </c>
    </row>
    <row r="399" spans="1:45" x14ac:dyDescent="0.2">
      <c r="A399" s="1"/>
      <c r="B399" s="120"/>
      <c r="AG399" t="str">
        <f>IF($A399="","",IFERROR(INDEX(Company_List!$G$3:$G$207,MATCH($A399,Company_List!$A$3:$A$207,0)),"unassigned"))</f>
        <v/>
      </c>
      <c r="AK399" t="str">
        <f>IF($A399="","",IF(COUNTIFS(Human_Data_Entry!$A$3:$A$525,$A399)&gt;0,"YES","NO"))</f>
        <v/>
      </c>
      <c r="AL399" t="str">
        <f>IF($A399="","",IF(AND($C399&amp;"-"&amp;$D399&gt;=Settings!$B$19,$C399&amp;"-"&amp;$D399&lt;=Settings!$B$20),"IN","OUT"))</f>
        <v/>
      </c>
      <c r="AM399" t="str">
        <f t="shared" si="24"/>
        <v/>
      </c>
      <c r="AN399" t="str">
        <f t="shared" si="25"/>
        <v/>
      </c>
      <c r="AO399" t="str">
        <f>IF(ISNUMBER($AM399),ABS(IF(ISNUMBER($G399),$G399,0)-Settings!$B$25),"")</f>
        <v/>
      </c>
      <c r="AP399" t="str">
        <f t="shared" si="26"/>
        <v/>
      </c>
      <c r="AQ399" t="str">
        <f>IF(ISNUMBER($AN399),ABS(IF(ISNUMBER($G399),$G399,0)-Settings!$B$25),"")</f>
        <v/>
      </c>
      <c r="AR399" t="str">
        <f t="shared" si="27"/>
        <v/>
      </c>
      <c r="AS399" t="str">
        <f>IF($A399="","",IFERROR(INDEX(Company_List!$H$3:$H$207,MATCH($A399,Company_List!$A$3:$A$207,0)),"unassigned"))</f>
        <v/>
      </c>
    </row>
    <row r="400" spans="1:45" x14ac:dyDescent="0.2">
      <c r="A400" s="1"/>
      <c r="B400" s="120"/>
      <c r="AG400" t="str">
        <f>IF($A400="","",IFERROR(INDEX(Company_List!$G$3:$G$207,MATCH($A400,Company_List!$A$3:$A$207,0)),"unassigned"))</f>
        <v/>
      </c>
      <c r="AK400" t="str">
        <f>IF($A400="","",IF(COUNTIFS(Human_Data_Entry!$A$3:$A$525,$A400)&gt;0,"YES","NO"))</f>
        <v/>
      </c>
      <c r="AL400" t="str">
        <f>IF($A400="","",IF(AND($C400&amp;"-"&amp;$D400&gt;=Settings!$B$19,$C400&amp;"-"&amp;$D400&lt;=Settings!$B$20),"IN","OUT"))</f>
        <v/>
      </c>
      <c r="AM400" t="str">
        <f t="shared" si="24"/>
        <v/>
      </c>
      <c r="AN400" t="str">
        <f t="shared" si="25"/>
        <v/>
      </c>
      <c r="AO400" t="str">
        <f>IF(ISNUMBER($AM400),ABS(IF(ISNUMBER($G400),$G400,0)-Settings!$B$25),"")</f>
        <v/>
      </c>
      <c r="AP400" t="str">
        <f t="shared" si="26"/>
        <v/>
      </c>
      <c r="AQ400" t="str">
        <f>IF(ISNUMBER($AN400),ABS(IF(ISNUMBER($G400),$G400,0)-Settings!$B$25),"")</f>
        <v/>
      </c>
      <c r="AR400" t="str">
        <f t="shared" si="27"/>
        <v/>
      </c>
      <c r="AS400" t="str">
        <f>IF($A400="","",IFERROR(INDEX(Company_List!$H$3:$H$207,MATCH($A400,Company_List!$A$3:$A$207,0)),"unassigned"))</f>
        <v/>
      </c>
    </row>
    <row r="401" spans="1:45" x14ac:dyDescent="0.2">
      <c r="A401" s="1"/>
      <c r="B401" s="120"/>
      <c r="AG401" t="str">
        <f>IF($A401="","",IFERROR(INDEX(Company_List!$G$3:$G$207,MATCH($A401,Company_List!$A$3:$A$207,0)),"unassigned"))</f>
        <v/>
      </c>
      <c r="AK401" t="str">
        <f>IF($A401="","",IF(COUNTIFS(Human_Data_Entry!$A$3:$A$525,$A401)&gt;0,"YES","NO"))</f>
        <v/>
      </c>
      <c r="AL401" t="str">
        <f>IF($A401="","",IF(AND($C401&amp;"-"&amp;$D401&gt;=Settings!$B$19,$C401&amp;"-"&amp;$D401&lt;=Settings!$B$20),"IN","OUT"))</f>
        <v/>
      </c>
      <c r="AM401" t="str">
        <f t="shared" si="24"/>
        <v/>
      </c>
      <c r="AN401" t="str">
        <f t="shared" si="25"/>
        <v/>
      </c>
      <c r="AO401" t="str">
        <f>IF(ISNUMBER($AM401),ABS(IF(ISNUMBER($G401),$G401,0)-Settings!$B$25),"")</f>
        <v/>
      </c>
      <c r="AP401" t="str">
        <f t="shared" si="26"/>
        <v/>
      </c>
      <c r="AQ401" t="str">
        <f>IF(ISNUMBER($AN401),ABS(IF(ISNUMBER($G401),$G401,0)-Settings!$B$25),"")</f>
        <v/>
      </c>
      <c r="AR401" t="str">
        <f t="shared" si="27"/>
        <v/>
      </c>
      <c r="AS401" t="str">
        <f>IF($A401="","",IFERROR(INDEX(Company_List!$H$3:$H$207,MATCH($A401,Company_List!$A$3:$A$207,0)),"unassigned"))</f>
        <v/>
      </c>
    </row>
    <row r="402" spans="1:45" x14ac:dyDescent="0.2">
      <c r="A402" s="1"/>
      <c r="B402" s="120"/>
      <c r="AG402" t="str">
        <f>IF($A402="","",IFERROR(INDEX(Company_List!$G$3:$G$207,MATCH($A402,Company_List!$A$3:$A$207,0)),"unassigned"))</f>
        <v/>
      </c>
      <c r="AK402" t="str">
        <f>IF($A402="","",IF(COUNTIFS(Human_Data_Entry!$A$3:$A$525,$A402)&gt;0,"YES","NO"))</f>
        <v/>
      </c>
      <c r="AL402" t="str">
        <f>IF($A402="","",IF(AND($C402&amp;"-"&amp;$D402&gt;=Settings!$B$19,$C402&amp;"-"&amp;$D402&lt;=Settings!$B$20),"IN","OUT"))</f>
        <v/>
      </c>
      <c r="AM402" t="str">
        <f t="shared" si="24"/>
        <v/>
      </c>
      <c r="AN402" t="str">
        <f t="shared" si="25"/>
        <v/>
      </c>
      <c r="AO402" t="str">
        <f>IF(ISNUMBER($AM402),ABS(IF(ISNUMBER($G402),$G402,0)-Settings!$B$25),"")</f>
        <v/>
      </c>
      <c r="AP402" t="str">
        <f t="shared" si="26"/>
        <v/>
      </c>
      <c r="AQ402" t="str">
        <f>IF(ISNUMBER($AN402),ABS(IF(ISNUMBER($G402),$G402,0)-Settings!$B$25),"")</f>
        <v/>
      </c>
      <c r="AR402" t="str">
        <f t="shared" si="27"/>
        <v/>
      </c>
      <c r="AS402" t="str">
        <f>IF($A402="","",IFERROR(INDEX(Company_List!$H$3:$H$207,MATCH($A402,Company_List!$A$3:$A$207,0)),"unassigned"))</f>
        <v/>
      </c>
    </row>
    <row r="403" spans="1:45" x14ac:dyDescent="0.2">
      <c r="A403" s="1"/>
      <c r="B403" s="120"/>
      <c r="AG403" t="str">
        <f>IF($A403="","",IFERROR(INDEX(Company_List!$G$3:$G$207,MATCH($A403,Company_List!$A$3:$A$207,0)),"unassigned"))</f>
        <v/>
      </c>
      <c r="AK403" t="str">
        <f>IF($A403="","",IF(COUNTIFS(Human_Data_Entry!$A$3:$A$525,$A403)&gt;0,"YES","NO"))</f>
        <v/>
      </c>
      <c r="AL403" t="str">
        <f>IF($A403="","",IF(AND($C403&amp;"-"&amp;$D403&gt;=Settings!$B$19,$C403&amp;"-"&amp;$D403&lt;=Settings!$B$20),"IN","OUT"))</f>
        <v/>
      </c>
      <c r="AM403" t="str">
        <f t="shared" si="24"/>
        <v/>
      </c>
      <c r="AN403" t="str">
        <f t="shared" si="25"/>
        <v/>
      </c>
      <c r="AO403" t="str">
        <f>IF(ISNUMBER($AM403),ABS(IF(ISNUMBER($G403),$G403,0)-Settings!$B$25),"")</f>
        <v/>
      </c>
      <c r="AP403" t="str">
        <f t="shared" si="26"/>
        <v/>
      </c>
      <c r="AQ403" t="str">
        <f>IF(ISNUMBER($AN403),ABS(IF(ISNUMBER($G403),$G403,0)-Settings!$B$25),"")</f>
        <v/>
      </c>
      <c r="AR403" t="str">
        <f t="shared" si="27"/>
        <v/>
      </c>
      <c r="AS403" t="str">
        <f>IF($A403="","",IFERROR(INDEX(Company_List!$H$3:$H$207,MATCH($A403,Company_List!$A$3:$A$207,0)),"unassigned"))</f>
        <v/>
      </c>
    </row>
    <row r="404" spans="1:45" x14ac:dyDescent="0.2">
      <c r="A404" s="1"/>
      <c r="B404" s="120"/>
      <c r="AG404" t="str">
        <f>IF($A404="","",IFERROR(INDEX(Company_List!$G$3:$G$207,MATCH($A404,Company_List!$A$3:$A$207,0)),"unassigned"))</f>
        <v/>
      </c>
      <c r="AK404" t="str">
        <f>IF($A404="","",IF(COUNTIFS(Human_Data_Entry!$A$3:$A$525,$A404)&gt;0,"YES","NO"))</f>
        <v/>
      </c>
      <c r="AL404" t="str">
        <f>IF($A404="","",IF(AND($C404&amp;"-"&amp;$D404&gt;=Settings!$B$19,$C404&amp;"-"&amp;$D404&lt;=Settings!$B$20),"IN","OUT"))</f>
        <v/>
      </c>
      <c r="AM404" t="str">
        <f t="shared" si="24"/>
        <v/>
      </c>
      <c r="AN404" t="str">
        <f t="shared" si="25"/>
        <v/>
      </c>
      <c r="AO404" t="str">
        <f>IF(ISNUMBER($AM404),ABS(IF(ISNUMBER($G404),$G404,0)-Settings!$B$25),"")</f>
        <v/>
      </c>
      <c r="AP404" t="str">
        <f t="shared" si="26"/>
        <v/>
      </c>
      <c r="AQ404" t="str">
        <f>IF(ISNUMBER($AN404),ABS(IF(ISNUMBER($G404),$G404,0)-Settings!$B$25),"")</f>
        <v/>
      </c>
      <c r="AR404" t="str">
        <f t="shared" si="27"/>
        <v/>
      </c>
      <c r="AS404" t="str">
        <f>IF($A404="","",IFERROR(INDEX(Company_List!$H$3:$H$207,MATCH($A404,Company_List!$A$3:$A$207,0)),"unassigned"))</f>
        <v/>
      </c>
    </row>
    <row r="405" spans="1:45" x14ac:dyDescent="0.2">
      <c r="A405" s="1"/>
      <c r="B405" s="120"/>
      <c r="AG405" t="str">
        <f>IF($A405="","",IFERROR(INDEX(Company_List!$G$3:$G$207,MATCH($A405,Company_List!$A$3:$A$207,0)),"unassigned"))</f>
        <v/>
      </c>
      <c r="AK405" t="str">
        <f>IF($A405="","",IF(COUNTIFS(Human_Data_Entry!$A$3:$A$525,$A405)&gt;0,"YES","NO"))</f>
        <v/>
      </c>
      <c r="AL405" t="str">
        <f>IF($A405="","",IF(AND($C405&amp;"-"&amp;$D405&gt;=Settings!$B$19,$C405&amp;"-"&amp;$D405&lt;=Settings!$B$20),"IN","OUT"))</f>
        <v/>
      </c>
      <c r="AM405" t="str">
        <f t="shared" si="24"/>
        <v/>
      </c>
      <c r="AN405" t="str">
        <f t="shared" si="25"/>
        <v/>
      </c>
      <c r="AO405" t="str">
        <f>IF(ISNUMBER($AM405),ABS(IF(ISNUMBER($G405),$G405,0)-Settings!$B$25),"")</f>
        <v/>
      </c>
      <c r="AP405" t="str">
        <f t="shared" si="26"/>
        <v/>
      </c>
      <c r="AQ405" t="str">
        <f>IF(ISNUMBER($AN405),ABS(IF(ISNUMBER($G405),$G405,0)-Settings!$B$25),"")</f>
        <v/>
      </c>
      <c r="AR405" t="str">
        <f t="shared" si="27"/>
        <v/>
      </c>
      <c r="AS405" t="str">
        <f>IF($A405="","",IFERROR(INDEX(Company_List!$H$3:$H$207,MATCH($A405,Company_List!$A$3:$A$207,0)),"unassigned"))</f>
        <v/>
      </c>
    </row>
    <row r="406" spans="1:45" x14ac:dyDescent="0.2">
      <c r="A406" s="1"/>
      <c r="B406" s="120"/>
      <c r="AG406" t="str">
        <f>IF($A406="","",IFERROR(INDEX(Company_List!$G$3:$G$207,MATCH($A406,Company_List!$A$3:$A$207,0)),"unassigned"))</f>
        <v/>
      </c>
      <c r="AK406" t="str">
        <f>IF($A406="","",IF(COUNTIFS(Human_Data_Entry!$A$3:$A$525,$A406)&gt;0,"YES","NO"))</f>
        <v/>
      </c>
      <c r="AL406" t="str">
        <f>IF($A406="","",IF(AND($C406&amp;"-"&amp;$D406&gt;=Settings!$B$19,$C406&amp;"-"&amp;$D406&lt;=Settings!$B$20),"IN","OUT"))</f>
        <v/>
      </c>
      <c r="AM406" t="str">
        <f t="shared" si="24"/>
        <v/>
      </c>
      <c r="AN406" t="str">
        <f t="shared" si="25"/>
        <v/>
      </c>
      <c r="AO406" t="str">
        <f>IF(ISNUMBER($AM406),ABS(IF(ISNUMBER($G406),$G406,0)-Settings!$B$25),"")</f>
        <v/>
      </c>
      <c r="AP406" t="str">
        <f t="shared" si="26"/>
        <v/>
      </c>
      <c r="AQ406" t="str">
        <f>IF(ISNUMBER($AN406),ABS(IF(ISNUMBER($G406),$G406,0)-Settings!$B$25),"")</f>
        <v/>
      </c>
      <c r="AR406" t="str">
        <f t="shared" si="27"/>
        <v/>
      </c>
      <c r="AS406" t="str">
        <f>IF($A406="","",IFERROR(INDEX(Company_List!$H$3:$H$207,MATCH($A406,Company_List!$A$3:$A$207,0)),"unassigned"))</f>
        <v/>
      </c>
    </row>
    <row r="407" spans="1:45" x14ac:dyDescent="0.2">
      <c r="A407" s="1"/>
      <c r="B407" s="120"/>
      <c r="AG407" t="str">
        <f>IF($A407="","",IFERROR(INDEX(Company_List!$G$3:$G$207,MATCH($A407,Company_List!$A$3:$A$207,0)),"unassigned"))</f>
        <v/>
      </c>
      <c r="AK407" t="str">
        <f>IF($A407="","",IF(COUNTIFS(Human_Data_Entry!$A$3:$A$525,$A407)&gt;0,"YES","NO"))</f>
        <v/>
      </c>
      <c r="AL407" t="str">
        <f>IF($A407="","",IF(AND($C407&amp;"-"&amp;$D407&gt;=Settings!$B$19,$C407&amp;"-"&amp;$D407&lt;=Settings!$B$20),"IN","OUT"))</f>
        <v/>
      </c>
      <c r="AM407" t="str">
        <f t="shared" si="24"/>
        <v/>
      </c>
      <c r="AN407" t="str">
        <f t="shared" si="25"/>
        <v/>
      </c>
      <c r="AO407" t="str">
        <f>IF(ISNUMBER($AM407),ABS(IF(ISNUMBER($G407),$G407,0)-Settings!$B$25),"")</f>
        <v/>
      </c>
      <c r="AP407" t="str">
        <f t="shared" si="26"/>
        <v/>
      </c>
      <c r="AQ407" t="str">
        <f>IF(ISNUMBER($AN407),ABS(IF(ISNUMBER($G407),$G407,0)-Settings!$B$25),"")</f>
        <v/>
      </c>
      <c r="AR407" t="str">
        <f t="shared" si="27"/>
        <v/>
      </c>
      <c r="AS407" t="str">
        <f>IF($A407="","",IFERROR(INDEX(Company_List!$H$3:$H$207,MATCH($A407,Company_List!$A$3:$A$207,0)),"unassigned"))</f>
        <v/>
      </c>
    </row>
    <row r="408" spans="1:45" x14ac:dyDescent="0.2">
      <c r="A408" s="1"/>
      <c r="B408" s="120"/>
      <c r="AG408" t="str">
        <f>IF($A408="","",IFERROR(INDEX(Company_List!$G$3:$G$207,MATCH($A408,Company_List!$A$3:$A$207,0)),"unassigned"))</f>
        <v/>
      </c>
      <c r="AK408" t="str">
        <f>IF($A408="","",IF(COUNTIFS(Human_Data_Entry!$A$3:$A$525,$A408)&gt;0,"YES","NO"))</f>
        <v/>
      </c>
      <c r="AL408" t="str">
        <f>IF($A408="","",IF(AND($C408&amp;"-"&amp;$D408&gt;=Settings!$B$19,$C408&amp;"-"&amp;$D408&lt;=Settings!$B$20),"IN","OUT"))</f>
        <v/>
      </c>
      <c r="AM408" t="str">
        <f t="shared" si="24"/>
        <v/>
      </c>
      <c r="AN408" t="str">
        <f t="shared" si="25"/>
        <v/>
      </c>
      <c r="AO408" t="str">
        <f>IF(ISNUMBER($AM408),ABS(IF(ISNUMBER($G408),$G408,0)-Settings!$B$25),"")</f>
        <v/>
      </c>
      <c r="AP408" t="str">
        <f t="shared" si="26"/>
        <v/>
      </c>
      <c r="AQ408" t="str">
        <f>IF(ISNUMBER($AN408),ABS(IF(ISNUMBER($G408),$G408,0)-Settings!$B$25),"")</f>
        <v/>
      </c>
      <c r="AR408" t="str">
        <f t="shared" si="27"/>
        <v/>
      </c>
      <c r="AS408" t="str">
        <f>IF($A408="","",IFERROR(INDEX(Company_List!$H$3:$H$207,MATCH($A408,Company_List!$A$3:$A$207,0)),"unassigned"))</f>
        <v/>
      </c>
    </row>
    <row r="409" spans="1:45" x14ac:dyDescent="0.2">
      <c r="A409" s="1"/>
      <c r="B409" s="120"/>
      <c r="AG409" t="str">
        <f>IF($A409="","",IFERROR(INDEX(Company_List!$G$3:$G$207,MATCH($A409,Company_List!$A$3:$A$207,0)),"unassigned"))</f>
        <v/>
      </c>
      <c r="AK409" t="str">
        <f>IF($A409="","",IF(COUNTIFS(Human_Data_Entry!$A$3:$A$525,$A409)&gt;0,"YES","NO"))</f>
        <v/>
      </c>
      <c r="AL409" t="str">
        <f>IF($A409="","",IF(AND($C409&amp;"-"&amp;$D409&gt;=Settings!$B$19,$C409&amp;"-"&amp;$D409&lt;=Settings!$B$20),"IN","OUT"))</f>
        <v/>
      </c>
      <c r="AM409" t="str">
        <f t="shared" si="24"/>
        <v/>
      </c>
      <c r="AN409" t="str">
        <f t="shared" si="25"/>
        <v/>
      </c>
      <c r="AO409" t="str">
        <f>IF(ISNUMBER($AM409),ABS(IF(ISNUMBER($G409),$G409,0)-Settings!$B$25),"")</f>
        <v/>
      </c>
      <c r="AP409" t="str">
        <f t="shared" si="26"/>
        <v/>
      </c>
      <c r="AQ409" t="str">
        <f>IF(ISNUMBER($AN409),ABS(IF(ISNUMBER($G409),$G409,0)-Settings!$B$25),"")</f>
        <v/>
      </c>
      <c r="AR409" t="str">
        <f t="shared" si="27"/>
        <v/>
      </c>
      <c r="AS409" t="str">
        <f>IF($A409="","",IFERROR(INDEX(Company_List!$H$3:$H$207,MATCH($A409,Company_List!$A$3:$A$207,0)),"unassigned"))</f>
        <v/>
      </c>
    </row>
    <row r="410" spans="1:45" x14ac:dyDescent="0.2">
      <c r="A410" s="1"/>
      <c r="B410" s="120"/>
      <c r="AG410" t="str">
        <f>IF($A410="","",IFERROR(INDEX(Company_List!$G$3:$G$207,MATCH($A410,Company_List!$A$3:$A$207,0)),"unassigned"))</f>
        <v/>
      </c>
      <c r="AK410" t="str">
        <f>IF($A410="","",IF(COUNTIFS(Human_Data_Entry!$A$3:$A$525,$A410)&gt;0,"YES","NO"))</f>
        <v/>
      </c>
      <c r="AL410" t="str">
        <f>IF($A410="","",IF(AND($C410&amp;"-"&amp;$D410&gt;=Settings!$B$19,$C410&amp;"-"&amp;$D410&lt;=Settings!$B$20),"IN","OUT"))</f>
        <v/>
      </c>
      <c r="AM410" t="str">
        <f t="shared" si="24"/>
        <v/>
      </c>
      <c r="AN410" t="str">
        <f t="shared" si="25"/>
        <v/>
      </c>
      <c r="AO410" t="str">
        <f>IF(ISNUMBER($AM410),ABS(IF(ISNUMBER($G410),$G410,0)-Settings!$B$25),"")</f>
        <v/>
      </c>
      <c r="AP410" t="str">
        <f t="shared" si="26"/>
        <v/>
      </c>
      <c r="AQ410" t="str">
        <f>IF(ISNUMBER($AN410),ABS(IF(ISNUMBER($G410),$G410,0)-Settings!$B$25),"")</f>
        <v/>
      </c>
      <c r="AR410" t="str">
        <f t="shared" si="27"/>
        <v/>
      </c>
      <c r="AS410" t="str">
        <f>IF($A410="","",IFERROR(INDEX(Company_List!$H$3:$H$207,MATCH($A410,Company_List!$A$3:$A$207,0)),"unassigned"))</f>
        <v/>
      </c>
    </row>
    <row r="411" spans="1:45" x14ac:dyDescent="0.2">
      <c r="A411" s="1"/>
      <c r="B411" s="120"/>
      <c r="AG411" t="str">
        <f>IF($A411="","",IFERROR(INDEX(Company_List!$G$3:$G$207,MATCH($A411,Company_List!$A$3:$A$207,0)),"unassigned"))</f>
        <v/>
      </c>
      <c r="AK411" t="str">
        <f>IF($A411="","",IF(COUNTIFS(Human_Data_Entry!$A$3:$A$525,$A411)&gt;0,"YES","NO"))</f>
        <v/>
      </c>
      <c r="AL411" t="str">
        <f>IF($A411="","",IF(AND($C411&amp;"-"&amp;$D411&gt;=Settings!$B$19,$C411&amp;"-"&amp;$D411&lt;=Settings!$B$20),"IN","OUT"))</f>
        <v/>
      </c>
      <c r="AM411" t="str">
        <f t="shared" si="24"/>
        <v/>
      </c>
      <c r="AN411" t="str">
        <f t="shared" si="25"/>
        <v/>
      </c>
      <c r="AO411" t="str">
        <f>IF(ISNUMBER($AM411),ABS(IF(ISNUMBER($G411),$G411,0)-Settings!$B$25),"")</f>
        <v/>
      </c>
      <c r="AP411" t="str">
        <f t="shared" si="26"/>
        <v/>
      </c>
      <c r="AQ411" t="str">
        <f>IF(ISNUMBER($AN411),ABS(IF(ISNUMBER($G411),$G411,0)-Settings!$B$25),"")</f>
        <v/>
      </c>
      <c r="AR411" t="str">
        <f t="shared" si="27"/>
        <v/>
      </c>
      <c r="AS411" t="str">
        <f>IF($A411="","",IFERROR(INDEX(Company_List!$H$3:$H$207,MATCH($A411,Company_List!$A$3:$A$207,0)),"unassigned"))</f>
        <v/>
      </c>
    </row>
    <row r="412" spans="1:45" x14ac:dyDescent="0.2">
      <c r="A412" s="1"/>
      <c r="B412" s="120"/>
      <c r="AG412" t="str">
        <f>IF($A412="","",IFERROR(INDEX(Company_List!$G$3:$G$207,MATCH($A412,Company_List!$A$3:$A$207,0)),"unassigned"))</f>
        <v/>
      </c>
      <c r="AK412" t="str">
        <f>IF($A412="","",IF(COUNTIFS(Human_Data_Entry!$A$3:$A$525,$A412)&gt;0,"YES","NO"))</f>
        <v/>
      </c>
      <c r="AL412" t="str">
        <f>IF($A412="","",IF(AND($C412&amp;"-"&amp;$D412&gt;=Settings!$B$19,$C412&amp;"-"&amp;$D412&lt;=Settings!$B$20),"IN","OUT"))</f>
        <v/>
      </c>
      <c r="AM412" t="str">
        <f t="shared" si="24"/>
        <v/>
      </c>
      <c r="AN412" t="str">
        <f t="shared" si="25"/>
        <v/>
      </c>
      <c r="AO412" t="str">
        <f>IF(ISNUMBER($AM412),ABS(IF(ISNUMBER($G412),$G412,0)-Settings!$B$25),"")</f>
        <v/>
      </c>
      <c r="AP412" t="str">
        <f t="shared" si="26"/>
        <v/>
      </c>
      <c r="AQ412" t="str">
        <f>IF(ISNUMBER($AN412),ABS(IF(ISNUMBER($G412),$G412,0)-Settings!$B$25),"")</f>
        <v/>
      </c>
      <c r="AR412" t="str">
        <f t="shared" si="27"/>
        <v/>
      </c>
      <c r="AS412" t="str">
        <f>IF($A412="","",IFERROR(INDEX(Company_List!$H$3:$H$207,MATCH($A412,Company_List!$A$3:$A$207,0)),"unassigned"))</f>
        <v/>
      </c>
    </row>
    <row r="413" spans="1:45" x14ac:dyDescent="0.2">
      <c r="A413" s="1"/>
      <c r="B413" s="120"/>
      <c r="AG413" t="str">
        <f>IF($A413="","",IFERROR(INDEX(Company_List!$G$3:$G$207,MATCH($A413,Company_List!$A$3:$A$207,0)),"unassigned"))</f>
        <v/>
      </c>
      <c r="AK413" t="str">
        <f>IF($A413="","",IF(COUNTIFS(Human_Data_Entry!$A$3:$A$525,$A413)&gt;0,"YES","NO"))</f>
        <v/>
      </c>
      <c r="AL413" t="str">
        <f>IF($A413="","",IF(AND($C413&amp;"-"&amp;$D413&gt;=Settings!$B$19,$C413&amp;"-"&amp;$D413&lt;=Settings!$B$20),"IN","OUT"))</f>
        <v/>
      </c>
      <c r="AM413" t="str">
        <f t="shared" si="24"/>
        <v/>
      </c>
      <c r="AN413" t="str">
        <f t="shared" si="25"/>
        <v/>
      </c>
      <c r="AO413" t="str">
        <f>IF(ISNUMBER($AM413),ABS(IF(ISNUMBER($G413),$G413,0)-Settings!$B$25),"")</f>
        <v/>
      </c>
      <c r="AP413" t="str">
        <f t="shared" si="26"/>
        <v/>
      </c>
      <c r="AQ413" t="str">
        <f>IF(ISNUMBER($AN413),ABS(IF(ISNUMBER($G413),$G413,0)-Settings!$B$25),"")</f>
        <v/>
      </c>
      <c r="AR413" t="str">
        <f t="shared" si="27"/>
        <v/>
      </c>
      <c r="AS413" t="str">
        <f>IF($A413="","",IFERROR(INDEX(Company_List!$H$3:$H$207,MATCH($A413,Company_List!$A$3:$A$207,0)),"unassigned"))</f>
        <v/>
      </c>
    </row>
    <row r="414" spans="1:45" x14ac:dyDescent="0.2">
      <c r="A414" s="1"/>
      <c r="B414" s="120"/>
      <c r="AG414" t="str">
        <f>IF($A414="","",IFERROR(INDEX(Company_List!$G$3:$G$207,MATCH($A414,Company_List!$A$3:$A$207,0)),"unassigned"))</f>
        <v/>
      </c>
      <c r="AK414" t="str">
        <f>IF($A414="","",IF(COUNTIFS(Human_Data_Entry!$A$3:$A$525,$A414)&gt;0,"YES","NO"))</f>
        <v/>
      </c>
      <c r="AL414" t="str">
        <f>IF($A414="","",IF(AND($C414&amp;"-"&amp;$D414&gt;=Settings!$B$19,$C414&amp;"-"&amp;$D414&lt;=Settings!$B$20),"IN","OUT"))</f>
        <v/>
      </c>
      <c r="AM414" t="str">
        <f t="shared" si="24"/>
        <v/>
      </c>
      <c r="AN414" t="str">
        <f t="shared" si="25"/>
        <v/>
      </c>
      <c r="AO414" t="str">
        <f>IF(ISNUMBER($AM414),ABS(IF(ISNUMBER($G414),$G414,0)-Settings!$B$25),"")</f>
        <v/>
      </c>
      <c r="AP414" t="str">
        <f t="shared" si="26"/>
        <v/>
      </c>
      <c r="AQ414" t="str">
        <f>IF(ISNUMBER($AN414),ABS(IF(ISNUMBER($G414),$G414,0)-Settings!$B$25),"")</f>
        <v/>
      </c>
      <c r="AR414" t="str">
        <f t="shared" si="27"/>
        <v/>
      </c>
      <c r="AS414" t="str">
        <f>IF($A414="","",IFERROR(INDEX(Company_List!$H$3:$H$207,MATCH($A414,Company_List!$A$3:$A$207,0)),"unassigned"))</f>
        <v/>
      </c>
    </row>
    <row r="415" spans="1:45" x14ac:dyDescent="0.2">
      <c r="A415" s="1"/>
      <c r="B415" s="120"/>
      <c r="AG415" t="str">
        <f>IF($A415="","",IFERROR(INDEX(Company_List!$G$3:$G$207,MATCH($A415,Company_List!$A$3:$A$207,0)),"unassigned"))</f>
        <v/>
      </c>
      <c r="AK415" t="str">
        <f>IF($A415="","",IF(COUNTIFS(Human_Data_Entry!$A$3:$A$525,$A415)&gt;0,"YES","NO"))</f>
        <v/>
      </c>
      <c r="AL415" t="str">
        <f>IF($A415="","",IF(AND($C415&amp;"-"&amp;$D415&gt;=Settings!$B$19,$C415&amp;"-"&amp;$D415&lt;=Settings!$B$20),"IN","OUT"))</f>
        <v/>
      </c>
      <c r="AM415" t="str">
        <f t="shared" si="24"/>
        <v/>
      </c>
      <c r="AN415" t="str">
        <f t="shared" si="25"/>
        <v/>
      </c>
      <c r="AO415" t="str">
        <f>IF(ISNUMBER($AM415),ABS(IF(ISNUMBER($G415),$G415,0)-Settings!$B$25),"")</f>
        <v/>
      </c>
      <c r="AP415" t="str">
        <f t="shared" si="26"/>
        <v/>
      </c>
      <c r="AQ415" t="str">
        <f>IF(ISNUMBER($AN415),ABS(IF(ISNUMBER($G415),$G415,0)-Settings!$B$25),"")</f>
        <v/>
      </c>
      <c r="AR415" t="str">
        <f t="shared" si="27"/>
        <v/>
      </c>
      <c r="AS415" t="str">
        <f>IF($A415="","",IFERROR(INDEX(Company_List!$H$3:$H$207,MATCH($A415,Company_List!$A$3:$A$207,0)),"unassigned"))</f>
        <v/>
      </c>
    </row>
    <row r="416" spans="1:45" x14ac:dyDescent="0.2">
      <c r="A416" s="1"/>
      <c r="B416" s="120"/>
      <c r="AG416" t="str">
        <f>IF($A416="","",IFERROR(INDEX(Company_List!$G$3:$G$207,MATCH($A416,Company_List!$A$3:$A$207,0)),"unassigned"))</f>
        <v/>
      </c>
      <c r="AK416" t="str">
        <f>IF($A416="","",IF(COUNTIFS(Human_Data_Entry!$A$3:$A$525,$A416)&gt;0,"YES","NO"))</f>
        <v/>
      </c>
      <c r="AL416" t="str">
        <f>IF($A416="","",IF(AND($C416&amp;"-"&amp;$D416&gt;=Settings!$B$19,$C416&amp;"-"&amp;$D416&lt;=Settings!$B$20),"IN","OUT"))</f>
        <v/>
      </c>
      <c r="AM416" t="str">
        <f t="shared" si="24"/>
        <v/>
      </c>
      <c r="AN416" t="str">
        <f t="shared" si="25"/>
        <v/>
      </c>
      <c r="AO416" t="str">
        <f>IF(ISNUMBER($AM416),ABS(IF(ISNUMBER($G416),$G416,0)-Settings!$B$25),"")</f>
        <v/>
      </c>
      <c r="AP416" t="str">
        <f t="shared" si="26"/>
        <v/>
      </c>
      <c r="AQ416" t="str">
        <f>IF(ISNUMBER($AN416),ABS(IF(ISNUMBER($G416),$G416,0)-Settings!$B$25),"")</f>
        <v/>
      </c>
      <c r="AR416" t="str">
        <f t="shared" si="27"/>
        <v/>
      </c>
      <c r="AS416" t="str">
        <f>IF($A416="","",IFERROR(INDEX(Company_List!$H$3:$H$207,MATCH($A416,Company_List!$A$3:$A$207,0)),"unassigned"))</f>
        <v/>
      </c>
    </row>
    <row r="417" spans="1:45" x14ac:dyDescent="0.2">
      <c r="A417" s="1"/>
      <c r="B417" s="120"/>
      <c r="AG417" t="str">
        <f>IF($A417="","",IFERROR(INDEX(Company_List!$G$3:$G$207,MATCH($A417,Company_List!$A$3:$A$207,0)),"unassigned"))</f>
        <v/>
      </c>
      <c r="AK417" t="str">
        <f>IF($A417="","",IF(COUNTIFS(Human_Data_Entry!$A$3:$A$525,$A417)&gt;0,"YES","NO"))</f>
        <v/>
      </c>
      <c r="AL417" t="str">
        <f>IF($A417="","",IF(AND($C417&amp;"-"&amp;$D417&gt;=Settings!$B$19,$C417&amp;"-"&amp;$D417&lt;=Settings!$B$20),"IN","OUT"))</f>
        <v/>
      </c>
      <c r="AM417" t="str">
        <f t="shared" si="24"/>
        <v/>
      </c>
      <c r="AN417" t="str">
        <f t="shared" si="25"/>
        <v/>
      </c>
      <c r="AO417" t="str">
        <f>IF(ISNUMBER($AM417),ABS(IF(ISNUMBER($G417),$G417,0)-Settings!$B$25),"")</f>
        <v/>
      </c>
      <c r="AP417" t="str">
        <f t="shared" si="26"/>
        <v/>
      </c>
      <c r="AQ417" t="str">
        <f>IF(ISNUMBER($AN417),ABS(IF(ISNUMBER($G417),$G417,0)-Settings!$B$25),"")</f>
        <v/>
      </c>
      <c r="AR417" t="str">
        <f t="shared" si="27"/>
        <v/>
      </c>
      <c r="AS417" t="str">
        <f>IF($A417="","",IFERROR(INDEX(Company_List!$H$3:$H$207,MATCH($A417,Company_List!$A$3:$A$207,0)),"unassigned"))</f>
        <v/>
      </c>
    </row>
    <row r="418" spans="1:45" x14ac:dyDescent="0.2">
      <c r="A418" s="1"/>
      <c r="B418" s="120"/>
      <c r="AG418" t="str">
        <f>IF($A418="","",IFERROR(INDEX(Company_List!$G$3:$G$207,MATCH($A418,Company_List!$A$3:$A$207,0)),"unassigned"))</f>
        <v/>
      </c>
      <c r="AK418" t="str">
        <f>IF($A418="","",IF(COUNTIFS(Human_Data_Entry!$A$3:$A$525,$A418)&gt;0,"YES","NO"))</f>
        <v/>
      </c>
      <c r="AL418" t="str">
        <f>IF($A418="","",IF(AND($C418&amp;"-"&amp;$D418&gt;=Settings!$B$19,$C418&amp;"-"&amp;$D418&lt;=Settings!$B$20),"IN","OUT"))</f>
        <v/>
      </c>
      <c r="AM418" t="str">
        <f t="shared" si="24"/>
        <v/>
      </c>
      <c r="AN418" t="str">
        <f t="shared" si="25"/>
        <v/>
      </c>
      <c r="AO418" t="str">
        <f>IF(ISNUMBER($AM418),ABS(IF(ISNUMBER($G418),$G418,0)-Settings!$B$25),"")</f>
        <v/>
      </c>
      <c r="AP418" t="str">
        <f t="shared" si="26"/>
        <v/>
      </c>
      <c r="AQ418" t="str">
        <f>IF(ISNUMBER($AN418),ABS(IF(ISNUMBER($G418),$G418,0)-Settings!$B$25),"")</f>
        <v/>
      </c>
      <c r="AR418" t="str">
        <f t="shared" si="27"/>
        <v/>
      </c>
      <c r="AS418" t="str">
        <f>IF($A418="","",IFERROR(INDEX(Company_List!$H$3:$H$207,MATCH($A418,Company_List!$A$3:$A$207,0)),"unassigned"))</f>
        <v/>
      </c>
    </row>
    <row r="419" spans="1:45" x14ac:dyDescent="0.2">
      <c r="A419" s="1"/>
      <c r="B419" s="120"/>
      <c r="AG419" t="str">
        <f>IF($A419="","",IFERROR(INDEX(Company_List!$G$3:$G$207,MATCH($A419,Company_List!$A$3:$A$207,0)),"unassigned"))</f>
        <v/>
      </c>
      <c r="AK419" t="str">
        <f>IF($A419="","",IF(COUNTIFS(Human_Data_Entry!$A$3:$A$525,$A419)&gt;0,"YES","NO"))</f>
        <v/>
      </c>
      <c r="AL419" t="str">
        <f>IF($A419="","",IF(AND($C419&amp;"-"&amp;$D419&gt;=Settings!$B$19,$C419&amp;"-"&amp;$D419&lt;=Settings!$B$20),"IN","OUT"))</f>
        <v/>
      </c>
      <c r="AM419" t="str">
        <f t="shared" si="24"/>
        <v/>
      </c>
      <c r="AN419" t="str">
        <f t="shared" si="25"/>
        <v/>
      </c>
      <c r="AO419" t="str">
        <f>IF(ISNUMBER($AM419),ABS(IF(ISNUMBER($G419),$G419,0)-Settings!$B$25),"")</f>
        <v/>
      </c>
      <c r="AP419" t="str">
        <f t="shared" si="26"/>
        <v/>
      </c>
      <c r="AQ419" t="str">
        <f>IF(ISNUMBER($AN419),ABS(IF(ISNUMBER($G419),$G419,0)-Settings!$B$25),"")</f>
        <v/>
      </c>
      <c r="AR419" t="str">
        <f t="shared" si="27"/>
        <v/>
      </c>
      <c r="AS419" t="str">
        <f>IF($A419="","",IFERROR(INDEX(Company_List!$H$3:$H$207,MATCH($A419,Company_List!$A$3:$A$207,0)),"unassigned"))</f>
        <v/>
      </c>
    </row>
    <row r="420" spans="1:45" x14ac:dyDescent="0.2">
      <c r="A420" s="1"/>
      <c r="B420" s="120"/>
      <c r="AG420" t="str">
        <f>IF($A420="","",IFERROR(INDEX(Company_List!$G$3:$G$207,MATCH($A420,Company_List!$A$3:$A$207,0)),"unassigned"))</f>
        <v/>
      </c>
      <c r="AK420" t="str">
        <f>IF($A420="","",IF(COUNTIFS(Human_Data_Entry!$A$3:$A$525,$A420)&gt;0,"YES","NO"))</f>
        <v/>
      </c>
      <c r="AL420" t="str">
        <f>IF($A420="","",IF(AND($C420&amp;"-"&amp;$D420&gt;=Settings!$B$19,$C420&amp;"-"&amp;$D420&lt;=Settings!$B$20),"IN","OUT"))</f>
        <v/>
      </c>
      <c r="AM420" t="str">
        <f t="shared" si="24"/>
        <v/>
      </c>
      <c r="AN420" t="str">
        <f t="shared" si="25"/>
        <v/>
      </c>
      <c r="AO420" t="str">
        <f>IF(ISNUMBER($AM420),ABS(IF(ISNUMBER($G420),$G420,0)-Settings!$B$25),"")</f>
        <v/>
      </c>
      <c r="AP420" t="str">
        <f t="shared" si="26"/>
        <v/>
      </c>
      <c r="AQ420" t="str">
        <f>IF(ISNUMBER($AN420),ABS(IF(ISNUMBER($G420),$G420,0)-Settings!$B$25),"")</f>
        <v/>
      </c>
      <c r="AR420" t="str">
        <f t="shared" si="27"/>
        <v/>
      </c>
      <c r="AS420" t="str">
        <f>IF($A420="","",IFERROR(INDEX(Company_List!$H$3:$H$207,MATCH($A420,Company_List!$A$3:$A$207,0)),"unassigned"))</f>
        <v/>
      </c>
    </row>
    <row r="421" spans="1:45" x14ac:dyDescent="0.2">
      <c r="A421" s="1"/>
      <c r="B421" s="120"/>
      <c r="AG421" t="str">
        <f>IF($A421="","",IFERROR(INDEX(Company_List!$G$3:$G$207,MATCH($A421,Company_List!$A$3:$A$207,0)),"unassigned"))</f>
        <v/>
      </c>
      <c r="AK421" t="str">
        <f>IF($A421="","",IF(COUNTIFS(Human_Data_Entry!$A$3:$A$525,$A421)&gt;0,"YES","NO"))</f>
        <v/>
      </c>
      <c r="AL421" t="str">
        <f>IF($A421="","",IF(AND($C421&amp;"-"&amp;$D421&gt;=Settings!$B$19,$C421&amp;"-"&amp;$D421&lt;=Settings!$B$20),"IN","OUT"))</f>
        <v/>
      </c>
      <c r="AM421" t="str">
        <f t="shared" si="24"/>
        <v/>
      </c>
      <c r="AN421" t="str">
        <f t="shared" si="25"/>
        <v/>
      </c>
      <c r="AO421" t="str">
        <f>IF(ISNUMBER($AM421),ABS(IF(ISNUMBER($G421),$G421,0)-Settings!$B$25),"")</f>
        <v/>
      </c>
      <c r="AP421" t="str">
        <f t="shared" si="26"/>
        <v/>
      </c>
      <c r="AQ421" t="str">
        <f>IF(ISNUMBER($AN421),ABS(IF(ISNUMBER($G421),$G421,0)-Settings!$B$25),"")</f>
        <v/>
      </c>
      <c r="AR421" t="str">
        <f t="shared" si="27"/>
        <v/>
      </c>
      <c r="AS421" t="str">
        <f>IF($A421="","",IFERROR(INDEX(Company_List!$H$3:$H$207,MATCH($A421,Company_List!$A$3:$A$207,0)),"unassigned"))</f>
        <v/>
      </c>
    </row>
    <row r="422" spans="1:45" x14ac:dyDescent="0.2">
      <c r="A422" s="1"/>
      <c r="B422" s="120"/>
      <c r="AG422" t="str">
        <f>IF($A422="","",IFERROR(INDEX(Company_List!$G$3:$G$207,MATCH($A422,Company_List!$A$3:$A$207,0)),"unassigned"))</f>
        <v/>
      </c>
      <c r="AK422" t="str">
        <f>IF($A422="","",IF(COUNTIFS(Human_Data_Entry!$A$3:$A$525,$A422)&gt;0,"YES","NO"))</f>
        <v/>
      </c>
      <c r="AL422" t="str">
        <f>IF($A422="","",IF(AND($C422&amp;"-"&amp;$D422&gt;=Settings!$B$19,$C422&amp;"-"&amp;$D422&lt;=Settings!$B$20),"IN","OUT"))</f>
        <v/>
      </c>
      <c r="AM422" t="str">
        <f t="shared" si="24"/>
        <v/>
      </c>
      <c r="AN422" t="str">
        <f t="shared" si="25"/>
        <v/>
      </c>
      <c r="AO422" t="str">
        <f>IF(ISNUMBER($AM422),ABS(IF(ISNUMBER($G422),$G422,0)-Settings!$B$25),"")</f>
        <v/>
      </c>
      <c r="AP422" t="str">
        <f t="shared" si="26"/>
        <v/>
      </c>
      <c r="AQ422" t="str">
        <f>IF(ISNUMBER($AN422),ABS(IF(ISNUMBER($G422),$G422,0)-Settings!$B$25),"")</f>
        <v/>
      </c>
      <c r="AR422" t="str">
        <f t="shared" si="27"/>
        <v/>
      </c>
      <c r="AS422" t="str">
        <f>IF($A422="","",IFERROR(INDEX(Company_List!$H$3:$H$207,MATCH($A422,Company_List!$A$3:$A$207,0)),"unassigned"))</f>
        <v/>
      </c>
    </row>
    <row r="423" spans="1:45" x14ac:dyDescent="0.2">
      <c r="A423" s="1"/>
      <c r="B423" s="120"/>
      <c r="AG423" t="str">
        <f>IF($A423="","",IFERROR(INDEX(Company_List!$G$3:$G$207,MATCH($A423,Company_List!$A$3:$A$207,0)),"unassigned"))</f>
        <v/>
      </c>
      <c r="AK423" t="str">
        <f>IF($A423="","",IF(COUNTIFS(Human_Data_Entry!$A$3:$A$525,$A423)&gt;0,"YES","NO"))</f>
        <v/>
      </c>
      <c r="AL423" t="str">
        <f>IF($A423="","",IF(AND($C423&amp;"-"&amp;$D423&gt;=Settings!$B$19,$C423&amp;"-"&amp;$D423&lt;=Settings!$B$20),"IN","OUT"))</f>
        <v/>
      </c>
      <c r="AM423" t="str">
        <f t="shared" si="24"/>
        <v/>
      </c>
      <c r="AN423" t="str">
        <f t="shared" si="25"/>
        <v/>
      </c>
      <c r="AO423" t="str">
        <f>IF(ISNUMBER($AM423),ABS(IF(ISNUMBER($G423),$G423,0)-Settings!$B$25),"")</f>
        <v/>
      </c>
      <c r="AP423" t="str">
        <f t="shared" si="26"/>
        <v/>
      </c>
      <c r="AQ423" t="str">
        <f>IF(ISNUMBER($AN423),ABS(IF(ISNUMBER($G423),$G423,0)-Settings!$B$25),"")</f>
        <v/>
      </c>
      <c r="AR423" t="str">
        <f t="shared" si="27"/>
        <v/>
      </c>
      <c r="AS423" t="str">
        <f>IF($A423="","",IFERROR(INDEX(Company_List!$H$3:$H$207,MATCH($A423,Company_List!$A$3:$A$207,0)),"unassigned"))</f>
        <v/>
      </c>
    </row>
    <row r="424" spans="1:45" x14ac:dyDescent="0.2">
      <c r="A424" s="1"/>
      <c r="B424" s="120"/>
      <c r="AG424" t="str">
        <f>IF($A424="","",IFERROR(INDEX(Company_List!$G$3:$G$207,MATCH($A424,Company_List!$A$3:$A$207,0)),"unassigned"))</f>
        <v/>
      </c>
      <c r="AK424" t="str">
        <f>IF($A424="","",IF(COUNTIFS(Human_Data_Entry!$A$3:$A$525,$A424)&gt;0,"YES","NO"))</f>
        <v/>
      </c>
      <c r="AL424" t="str">
        <f>IF($A424="","",IF(AND($C424&amp;"-"&amp;$D424&gt;=Settings!$B$19,$C424&amp;"-"&amp;$D424&lt;=Settings!$B$20),"IN","OUT"))</f>
        <v/>
      </c>
      <c r="AM424" t="str">
        <f t="shared" si="24"/>
        <v/>
      </c>
      <c r="AN424" t="str">
        <f t="shared" si="25"/>
        <v/>
      </c>
      <c r="AO424" t="str">
        <f>IF(ISNUMBER($AM424),ABS(IF(ISNUMBER($G424),$G424,0)-Settings!$B$25),"")</f>
        <v/>
      </c>
      <c r="AP424" t="str">
        <f t="shared" si="26"/>
        <v/>
      </c>
      <c r="AQ424" t="str">
        <f>IF(ISNUMBER($AN424),ABS(IF(ISNUMBER($G424),$G424,0)-Settings!$B$25),"")</f>
        <v/>
      </c>
      <c r="AR424" t="str">
        <f t="shared" si="27"/>
        <v/>
      </c>
      <c r="AS424" t="str">
        <f>IF($A424="","",IFERROR(INDEX(Company_List!$H$3:$H$207,MATCH($A424,Company_List!$A$3:$A$207,0)),"unassigned"))</f>
        <v/>
      </c>
    </row>
    <row r="425" spans="1:45" x14ac:dyDescent="0.2">
      <c r="A425" s="1"/>
      <c r="B425" s="120"/>
      <c r="AG425" t="str">
        <f>IF($A425="","",IFERROR(INDEX(Company_List!$G$3:$G$207,MATCH($A425,Company_List!$A$3:$A$207,0)),"unassigned"))</f>
        <v/>
      </c>
      <c r="AK425" t="str">
        <f>IF($A425="","",IF(COUNTIFS(Human_Data_Entry!$A$3:$A$525,$A425)&gt;0,"YES","NO"))</f>
        <v/>
      </c>
      <c r="AL425" t="str">
        <f>IF($A425="","",IF(AND($C425&amp;"-"&amp;$D425&gt;=Settings!$B$19,$C425&amp;"-"&amp;$D425&lt;=Settings!$B$20),"IN","OUT"))</f>
        <v/>
      </c>
      <c r="AM425" t="str">
        <f t="shared" si="24"/>
        <v/>
      </c>
      <c r="AN425" t="str">
        <f t="shared" si="25"/>
        <v/>
      </c>
      <c r="AO425" t="str">
        <f>IF(ISNUMBER($AM425),ABS(IF(ISNUMBER($G425),$G425,0)-Settings!$B$25),"")</f>
        <v/>
      </c>
      <c r="AP425" t="str">
        <f t="shared" si="26"/>
        <v/>
      </c>
      <c r="AQ425" t="str">
        <f>IF(ISNUMBER($AN425),ABS(IF(ISNUMBER($G425),$G425,0)-Settings!$B$25),"")</f>
        <v/>
      </c>
      <c r="AR425" t="str">
        <f t="shared" si="27"/>
        <v/>
      </c>
      <c r="AS425" t="str">
        <f>IF($A425="","",IFERROR(INDEX(Company_List!$H$3:$H$207,MATCH($A425,Company_List!$A$3:$A$207,0)),"unassigned"))</f>
        <v/>
      </c>
    </row>
    <row r="426" spans="1:45" x14ac:dyDescent="0.2">
      <c r="A426" s="1"/>
      <c r="B426" s="120"/>
      <c r="AG426" t="str">
        <f>IF($A426="","",IFERROR(INDEX(Company_List!$G$3:$G$207,MATCH($A426,Company_List!$A$3:$A$207,0)),"unassigned"))</f>
        <v/>
      </c>
      <c r="AK426" t="str">
        <f>IF($A426="","",IF(COUNTIFS(Human_Data_Entry!$A$3:$A$525,$A426)&gt;0,"YES","NO"))</f>
        <v/>
      </c>
      <c r="AL426" t="str">
        <f>IF($A426="","",IF(AND($C426&amp;"-"&amp;$D426&gt;=Settings!$B$19,$C426&amp;"-"&amp;$D426&lt;=Settings!$B$20),"IN","OUT"))</f>
        <v/>
      </c>
      <c r="AM426" t="str">
        <f t="shared" si="24"/>
        <v/>
      </c>
      <c r="AN426" t="str">
        <f t="shared" si="25"/>
        <v/>
      </c>
      <c r="AO426" t="str">
        <f>IF(ISNUMBER($AM426),ABS(IF(ISNUMBER($G426),$G426,0)-Settings!$B$25),"")</f>
        <v/>
      </c>
      <c r="AP426" t="str">
        <f t="shared" si="26"/>
        <v/>
      </c>
      <c r="AQ426" t="str">
        <f>IF(ISNUMBER($AN426),ABS(IF(ISNUMBER($G426),$G426,0)-Settings!$B$25),"")</f>
        <v/>
      </c>
      <c r="AR426" t="str">
        <f t="shared" si="27"/>
        <v/>
      </c>
      <c r="AS426" t="str">
        <f>IF($A426="","",IFERROR(INDEX(Company_List!$H$3:$H$207,MATCH($A426,Company_List!$A$3:$A$207,0)),"unassigned"))</f>
        <v/>
      </c>
    </row>
    <row r="427" spans="1:45" x14ac:dyDescent="0.2">
      <c r="A427" s="1"/>
      <c r="B427" s="120"/>
      <c r="AG427" t="str">
        <f>IF($A427="","",IFERROR(INDEX(Company_List!$G$3:$G$207,MATCH($A427,Company_List!$A$3:$A$207,0)),"unassigned"))</f>
        <v/>
      </c>
      <c r="AK427" t="str">
        <f>IF($A427="","",IF(COUNTIFS(Human_Data_Entry!$A$3:$A$525,$A427)&gt;0,"YES","NO"))</f>
        <v/>
      </c>
      <c r="AL427" t="str">
        <f>IF($A427="","",IF(AND($C427&amp;"-"&amp;$D427&gt;=Settings!$B$19,$C427&amp;"-"&amp;$D427&lt;=Settings!$B$20),"IN","OUT"))</f>
        <v/>
      </c>
      <c r="AM427" t="str">
        <f t="shared" si="24"/>
        <v/>
      </c>
      <c r="AN427" t="str">
        <f t="shared" si="25"/>
        <v/>
      </c>
      <c r="AO427" t="str">
        <f>IF(ISNUMBER($AM427),ABS(IF(ISNUMBER($G427),$G427,0)-Settings!$B$25),"")</f>
        <v/>
      </c>
      <c r="AP427" t="str">
        <f t="shared" si="26"/>
        <v/>
      </c>
      <c r="AQ427" t="str">
        <f>IF(ISNUMBER($AN427),ABS(IF(ISNUMBER($G427),$G427,0)-Settings!$B$25),"")</f>
        <v/>
      </c>
      <c r="AR427" t="str">
        <f t="shared" si="27"/>
        <v/>
      </c>
      <c r="AS427" t="str">
        <f>IF($A427="","",IFERROR(INDEX(Company_List!$H$3:$H$207,MATCH($A427,Company_List!$A$3:$A$207,0)),"unassigned"))</f>
        <v/>
      </c>
    </row>
    <row r="428" spans="1:45" x14ac:dyDescent="0.2">
      <c r="A428" s="1"/>
      <c r="B428" s="120"/>
      <c r="AG428" t="str">
        <f>IF($A428="","",IFERROR(INDEX(Company_List!$G$3:$G$207,MATCH($A428,Company_List!$A$3:$A$207,0)),"unassigned"))</f>
        <v/>
      </c>
      <c r="AK428" t="str">
        <f>IF($A428="","",IF(COUNTIFS(Human_Data_Entry!$A$3:$A$525,$A428)&gt;0,"YES","NO"))</f>
        <v/>
      </c>
      <c r="AL428" t="str">
        <f>IF($A428="","",IF(AND($C428&amp;"-"&amp;$D428&gt;=Settings!$B$19,$C428&amp;"-"&amp;$D428&lt;=Settings!$B$20),"IN","OUT"))</f>
        <v/>
      </c>
      <c r="AM428" t="str">
        <f t="shared" si="24"/>
        <v/>
      </c>
      <c r="AN428" t="str">
        <f t="shared" si="25"/>
        <v/>
      </c>
      <c r="AO428" t="str">
        <f>IF(ISNUMBER($AM428),ABS(IF(ISNUMBER($G428),$G428,0)-Settings!$B$25),"")</f>
        <v/>
      </c>
      <c r="AP428" t="str">
        <f t="shared" si="26"/>
        <v/>
      </c>
      <c r="AQ428" t="str">
        <f>IF(ISNUMBER($AN428),ABS(IF(ISNUMBER($G428),$G428,0)-Settings!$B$25),"")</f>
        <v/>
      </c>
      <c r="AR428" t="str">
        <f t="shared" si="27"/>
        <v/>
      </c>
      <c r="AS428" t="str">
        <f>IF($A428="","",IFERROR(INDEX(Company_List!$H$3:$H$207,MATCH($A428,Company_List!$A$3:$A$207,0)),"unassigned"))</f>
        <v/>
      </c>
    </row>
    <row r="429" spans="1:45" x14ac:dyDescent="0.2">
      <c r="A429" s="1"/>
      <c r="B429" s="120"/>
      <c r="AG429" t="str">
        <f>IF($A429="","",IFERROR(INDEX(Company_List!$G$3:$G$207,MATCH($A429,Company_List!$A$3:$A$207,0)),"unassigned"))</f>
        <v/>
      </c>
      <c r="AK429" t="str">
        <f>IF($A429="","",IF(COUNTIFS(Human_Data_Entry!$A$3:$A$525,$A429)&gt;0,"YES","NO"))</f>
        <v/>
      </c>
      <c r="AL429" t="str">
        <f>IF($A429="","",IF(AND($C429&amp;"-"&amp;$D429&gt;=Settings!$B$19,$C429&amp;"-"&amp;$D429&lt;=Settings!$B$20),"IN","OUT"))</f>
        <v/>
      </c>
      <c r="AM429" t="str">
        <f t="shared" si="24"/>
        <v/>
      </c>
      <c r="AN429" t="str">
        <f t="shared" si="25"/>
        <v/>
      </c>
      <c r="AO429" t="str">
        <f>IF(ISNUMBER($AM429),ABS(IF(ISNUMBER($G429),$G429,0)-Settings!$B$25),"")</f>
        <v/>
      </c>
      <c r="AP429" t="str">
        <f t="shared" si="26"/>
        <v/>
      </c>
      <c r="AQ429" t="str">
        <f>IF(ISNUMBER($AN429),ABS(IF(ISNUMBER($G429),$G429,0)-Settings!$B$25),"")</f>
        <v/>
      </c>
      <c r="AR429" t="str">
        <f t="shared" si="27"/>
        <v/>
      </c>
      <c r="AS429" t="str">
        <f>IF($A429="","",IFERROR(INDEX(Company_List!$H$3:$H$207,MATCH($A429,Company_List!$A$3:$A$207,0)),"unassigned"))</f>
        <v/>
      </c>
    </row>
    <row r="430" spans="1:45" x14ac:dyDescent="0.2">
      <c r="A430" s="1"/>
      <c r="B430" s="120"/>
      <c r="AG430" t="str">
        <f>IF($A430="","",IFERROR(INDEX(Company_List!$G$3:$G$207,MATCH($A430,Company_List!$A$3:$A$207,0)),"unassigned"))</f>
        <v/>
      </c>
      <c r="AK430" t="str">
        <f>IF($A430="","",IF(COUNTIFS(Human_Data_Entry!$A$3:$A$525,$A430)&gt;0,"YES","NO"))</f>
        <v/>
      </c>
      <c r="AL430" t="str">
        <f>IF($A430="","",IF(AND($C430&amp;"-"&amp;$D430&gt;=Settings!$B$19,$C430&amp;"-"&amp;$D430&lt;=Settings!$B$20),"IN","OUT"))</f>
        <v/>
      </c>
      <c r="AM430" t="str">
        <f t="shared" si="24"/>
        <v/>
      </c>
      <c r="AN430" t="str">
        <f t="shared" si="25"/>
        <v/>
      </c>
      <c r="AO430" t="str">
        <f>IF(ISNUMBER($AM430),ABS(IF(ISNUMBER($G430),$G430,0)-Settings!$B$25),"")</f>
        <v/>
      </c>
      <c r="AP430" t="str">
        <f t="shared" si="26"/>
        <v/>
      </c>
      <c r="AQ430" t="str">
        <f>IF(ISNUMBER($AN430),ABS(IF(ISNUMBER($G430),$G430,0)-Settings!$B$25),"")</f>
        <v/>
      </c>
      <c r="AR430" t="str">
        <f t="shared" si="27"/>
        <v/>
      </c>
      <c r="AS430" t="str">
        <f>IF($A430="","",IFERROR(INDEX(Company_List!$H$3:$H$207,MATCH($A430,Company_List!$A$3:$A$207,0)),"unassigned"))</f>
        <v/>
      </c>
    </row>
  </sheetData>
  <conditionalFormatting sqref="P3:P270 T3:T270">
    <cfRule type="cellIs" dxfId="6" priority="5" operator="greaterThan">
      <formula>0</formula>
    </cfRule>
    <cfRule type="cellIs" dxfId="5" priority="6" operator="lessThan">
      <formula>0</formula>
    </cfRule>
  </conditionalFormatting>
  <conditionalFormatting sqref="Q3:Q270">
    <cfRule type="cellIs" dxfId="4" priority="7" operator="equal">
      <formula>"UP"</formula>
    </cfRule>
    <cfRule type="cellIs" dxfId="3" priority="8" operator="equal">
      <formula>"DOWN"</formula>
    </cfRule>
  </conditionalFormatting>
  <conditionalFormatting sqref="R3:R270">
    <cfRule type="cellIs" dxfId="2" priority="1" operator="equal">
      <formula>"YES"</formula>
    </cfRule>
    <cfRule type="cellIs" dxfId="1" priority="2" operator="equal">
      <formula>"NO"</formula>
    </cfRule>
  </conditionalFormatting>
  <dataValidations count="6">
    <dataValidation type="list" allowBlank="1" showInputMessage="1" showErrorMessage="1" errorTitle="Not on the list" error="Use the dropdown. Free text here will break the Summary counts." promptTitle="Company" prompt="Pick from the company list." sqref="A3:A548" xr:uid="{00000000-0002-0000-0100-000000000000}">
      <formula1>CompanyList</formula1>
    </dataValidation>
    <dataValidation type="list" allowBlank="1" showInputMessage="1" showErrorMessage="1" errorTitle="Not on the list" error="Use the dropdown. Free text here will break the Summary counts." promptTitle="Year" prompt="Pick a year." sqref="C3:C548" xr:uid="{00000000-0002-0000-0100-000001000000}">
      <formula1>YearList</formula1>
    </dataValidation>
    <dataValidation type="list" allowBlank="1" showInputMessage="1" showErrorMessage="1" errorTitle="Not on the list" error="Use the dropdown. Free text here will break the Summary counts." promptTitle="Quarter" prompt="Pick Q1 to Q4." sqref="D3:D548" xr:uid="{00000000-0002-0000-0100-000002000000}">
      <formula1>QuarterList</formula1>
    </dataValidation>
    <dataValidation type="list" allowBlank="1" showInputMessage="1" showErrorMessage="1" errorTitle="Not on the list" error="Use the dropdown. Free text here will break the Summary counts." promptTitle="Rater" prompt="Pick a rater from Settings." sqref="E3:E548" xr:uid="{00000000-0002-0000-0100-000003000000}">
      <formula1>RaterList</formula1>
    </dataValidation>
    <dataValidation type="list" allowBlank="1" showInputMessage="1" showErrorMessage="1" errorTitle="Not on the list" error="Use the dropdown. Free text here will break the Summary counts." promptTitle="Decision" prompt="Pick BUY, HOLD or SELL." sqref="H3:H548" xr:uid="{00000000-0002-0000-0100-000004000000}">
      <formula1>DecisionList</formula1>
    </dataValidation>
    <dataValidation type="decimal" allowBlank="1" showErrorMessage="1" errorTitle="Out of range" error="Sentiment must be between -1.00 and +1.00." sqref="G3:G548" xr:uid="{00000000-0002-0000-0100-000005000000}">
      <formula1>-1</formula1>
      <formula2>1</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61"/>
  <sheetViews>
    <sheetView showGridLines="0" zoomScaleNormal="100" workbookViewId="0">
      <pane ySplit="4" topLeftCell="A6" activePane="bottomLeft" state="frozen"/>
      <selection pane="bottomLeft" activeCell="G107" sqref="G107"/>
    </sheetView>
  </sheetViews>
  <sheetFormatPr baseColWidth="10" defaultColWidth="8.6640625" defaultRowHeight="15" x14ac:dyDescent="0.2"/>
  <cols>
    <col min="1" max="1" width="24" customWidth="1"/>
    <col min="2" max="2" width="11" bestFit="1" customWidth="1"/>
    <col min="3" max="3" width="14.6640625" bestFit="1" customWidth="1"/>
    <col min="4" max="4" width="12.6640625" bestFit="1" customWidth="1"/>
    <col min="5" max="7" width="10" customWidth="1"/>
    <col min="8" max="8" width="3" customWidth="1"/>
    <col min="9" max="9" width="22" bestFit="1" customWidth="1"/>
    <col min="10" max="10" width="10" style="2" customWidth="1"/>
    <col min="11" max="12" width="11" style="2" customWidth="1"/>
    <col min="13" max="14" width="11" style="4" customWidth="1"/>
    <col min="15" max="15" width="11" style="5" customWidth="1"/>
    <col min="16" max="16" width="9" style="2" bestFit="1" customWidth="1"/>
    <col min="17" max="17" width="8" style="2" customWidth="1"/>
    <col min="18" max="18" width="9" customWidth="1"/>
  </cols>
  <sheetData>
    <row r="1" spans="1:18" ht="24" customHeight="1" x14ac:dyDescent="0.2">
      <c r="A1" s="9" t="s">
        <v>2050</v>
      </c>
    </row>
    <row r="2" spans="1:18" ht="8" customHeight="1" x14ac:dyDescent="0.2"/>
    <row r="3" spans="1:18" ht="20" customHeight="1" x14ac:dyDescent="0.2">
      <c r="A3" s="10" t="s">
        <v>2051</v>
      </c>
      <c r="I3" s="10" t="s">
        <v>2052</v>
      </c>
      <c r="M3" s="2"/>
      <c r="O3" s="6"/>
    </row>
    <row r="4" spans="1:18" ht="30" customHeight="1" x14ac:dyDescent="0.2">
      <c r="A4" s="17" t="s">
        <v>470</v>
      </c>
      <c r="B4" s="17" t="s">
        <v>2053</v>
      </c>
      <c r="C4" s="17" t="s">
        <v>2054</v>
      </c>
      <c r="D4" s="17" t="s">
        <v>2055</v>
      </c>
      <c r="E4" s="17" t="s">
        <v>2056</v>
      </c>
      <c r="F4" s="17" t="s">
        <v>2057</v>
      </c>
      <c r="G4" s="17" t="s">
        <v>2058</v>
      </c>
      <c r="I4" s="17" t="s">
        <v>470</v>
      </c>
      <c r="J4" s="17" t="s">
        <v>2053</v>
      </c>
      <c r="K4" s="17" t="s">
        <v>2059</v>
      </c>
      <c r="L4" s="17" t="s">
        <v>2060</v>
      </c>
      <c r="M4" s="26" t="s">
        <v>2061</v>
      </c>
      <c r="N4" s="26" t="s">
        <v>2062</v>
      </c>
      <c r="O4" s="17" t="s">
        <v>2063</v>
      </c>
      <c r="P4" s="17" t="s">
        <v>2064</v>
      </c>
      <c r="Q4" s="17" t="s">
        <v>2065</v>
      </c>
      <c r="R4" s="17" t="s">
        <v>2066</v>
      </c>
    </row>
    <row r="5" spans="1:18" ht="16.25" customHeight="1" x14ac:dyDescent="0.2">
      <c r="A5" s="27" t="s">
        <v>539</v>
      </c>
      <c r="B5" s="28" t="s">
        <v>540</v>
      </c>
      <c r="C5" s="29">
        <f>COUNTIFS(Human_Data_Entry!$G$3:$G$524,A5,Human_Data_Entry!$S$3:$S$524,"YES")+COUNTIFS(Human_Data_Entry!$G$3:$G$524,A5,Human_Data_Entry!$S$3:$S$524,"NO")</f>
        <v>69</v>
      </c>
      <c r="D5" s="29">
        <f>COUNTIFS(Human_Data_Entry!$G$3:$G$524,A5,Human_Data_Entry!$S$3:$S$524,"YES")</f>
        <v>22</v>
      </c>
      <c r="E5" s="30">
        <f t="shared" ref="E5:E11" si="0">C5-D5</f>
        <v>47</v>
      </c>
      <c r="F5" s="31">
        <f t="shared" ref="F5:F12" si="1">IF(C5=0,"-",D5/C5)</f>
        <v>0.3188405797101449</v>
      </c>
      <c r="G5" s="31">
        <f t="shared" ref="G5:G12" si="2">IF(C5=0,"-",E5/C5)</f>
        <v>0.6811594202898551</v>
      </c>
      <c r="H5" s="20"/>
      <c r="I5" s="27" t="str">
        <f t="shared" ref="I5:J11" si="3">A5</f>
        <v>Anna</v>
      </c>
      <c r="J5" s="27" t="str">
        <f t="shared" si="3"/>
        <v>Human</v>
      </c>
      <c r="K5" s="29">
        <f>SUMPRODUCT((Human_Data_Entry!$G$3:$G$524=$I5)*((Human_Data_Entry!$J$3:$J$524="BUY")+(Human_Data_Entry!$J$3:$J$524="SELL"))*ISNUMBER(Human_Data_Entry!$U$3:$U$524))</f>
        <v>49</v>
      </c>
      <c r="L5" s="32">
        <f t="shared" ref="L5:L12" si="4">IF(C5=0,"-",K5/C5)</f>
        <v>0.71014492753623193</v>
      </c>
      <c r="M5" s="32">
        <f>IFERROR(AVERAGEIFS(Human_Data_Entry!$U$3:$U$524,Human_Data_Entry!$G$3:$G$524,$I5,Human_Data_Entry!$J$3:$J$524,"&lt;&gt;HOLD",Human_Data_Entry!$U$3:$U$524,"&lt;&gt;"),"")</f>
        <v>7.1999999999999998E-3</v>
      </c>
      <c r="N5" s="32">
        <f t="array" ref="N5">IFERROR(STDEV(IF((Human_Data_Entry!$G$3:$G$524=I5)*(Human_Data_Entry!$J$3:$J$524&lt;&gt;"HOLD")*(Human_Data_Entry!$U$3:$U$524&lt;&gt;""),Human_Data_Entry!$U$3:$U$524)),"")</f>
        <v>6.8374047830055129E-2</v>
      </c>
      <c r="O5" s="32">
        <f>IFERROR(COUNTIFS(Human_Data_Entry!$G$3:$G$524,$I5,Human_Data_Entry!$J$3:$J$524,"&lt;&gt;HOLD",Human_Data_Entry!$S$3:$S$524,"YES")/COUNTIFS(Human_Data_Entry!$G$3:$G$524,$I5,Human_Data_Entry!$J$3:$J$524,"&lt;&gt;HOLD",Human_Data_Entry!$S$3:$S$524,"?*"),"")</f>
        <v>0.2857142857142857</v>
      </c>
      <c r="P5" s="29">
        <f t="array" ref="P5">SUMPRODUCT((Human_Data_Entry!$G$3:$G$524=$I5)*(((Human_Data_Entry!$J$3:$J$524="BUY")*(Human_Data_Entry!$R$3:$R$524="UP"))+((Human_Data_Entry!$J$3:$J$524="SELL")*(Human_Data_Entry!$R$3:$R$524="DOWN"))))</f>
        <v>14</v>
      </c>
      <c r="Q5" s="29">
        <f t="array" ref="Q5">SUMPRODUCT((Human_Data_Entry!$G$3:$G$524=$I5)*((Human_Data_Entry!$J$3:$J$524="BUY")+(Human_Data_Entry!$J$3:$J$524="SELL"))*(Human_Data_Entry!$R$3:$R$524="FLAT"))</f>
        <v>21</v>
      </c>
      <c r="R5" s="29">
        <f t="array" ref="R5">SUMPRODUCT((Human_Data_Entry!$G$3:$G$524=$I5)*(((Human_Data_Entry!$J$3:$J$524="BUY")*(Human_Data_Entry!$R$3:$R$524="DOWN"))+((Human_Data_Entry!$J$3:$J$524="SELL")*(Human_Data_Entry!$R$3:$R$524="UP"))))</f>
        <v>14</v>
      </c>
    </row>
    <row r="6" spans="1:18" ht="16.25" customHeight="1" x14ac:dyDescent="0.2">
      <c r="A6" s="28" t="s">
        <v>712</v>
      </c>
      <c r="B6" s="28" t="s">
        <v>540</v>
      </c>
      <c r="C6" s="29">
        <f>COUNTIFS(Human_Data_Entry!$G$3:$G$524,A6,Human_Data_Entry!$S$3:$S$524,"YES")+COUNTIFS(Human_Data_Entry!$G$3:$G$524,A6,Human_Data_Entry!$S$3:$S$524,"NO")</f>
        <v>57</v>
      </c>
      <c r="D6" s="29">
        <f>COUNTIFS(Human_Data_Entry!$G$3:$G$524,A6,Human_Data_Entry!$S$3:$S$524,"YES")</f>
        <v>30</v>
      </c>
      <c r="E6" s="30">
        <f t="shared" si="0"/>
        <v>27</v>
      </c>
      <c r="F6" s="31">
        <f t="shared" si="1"/>
        <v>0.52631578947368418</v>
      </c>
      <c r="G6" s="31">
        <f t="shared" si="2"/>
        <v>0.47368421052631576</v>
      </c>
      <c r="H6" s="20"/>
      <c r="I6" s="27" t="str">
        <f t="shared" si="3"/>
        <v>Abdul</v>
      </c>
      <c r="J6" s="27" t="str">
        <f t="shared" si="3"/>
        <v>Human</v>
      </c>
      <c r="K6" s="29">
        <f>SUMPRODUCT((Human_Data_Entry!$G$3:$G$524=$I6)*((Human_Data_Entry!$J$3:$J$524="BUY")+(Human_Data_Entry!$J$3:$J$524="SELL"))*ISNUMBER(Human_Data_Entry!$U$3:$U$524))</f>
        <v>48</v>
      </c>
      <c r="L6" s="32">
        <f t="shared" si="4"/>
        <v>0.84210526315789469</v>
      </c>
      <c r="M6" s="32">
        <f>IFERROR(AVERAGEIFS(Human_Data_Entry!$U$3:$U$524,Human_Data_Entry!$G$3:$G$524,$I6,Human_Data_Entry!$J$3:$J$524,"&lt;&gt;HOLD",Human_Data_Entry!$U$3:$U$524,"&lt;&gt;"),"")</f>
        <v>2.1662499999999998E-2</v>
      </c>
      <c r="N6" s="32">
        <f t="array" ref="N6">IFERROR(STDEV(IF((Human_Data_Entry!$G$3:$G$524=I6)*(Human_Data_Entry!$J$3:$J$524&lt;&gt;"HOLD")*(Human_Data_Entry!$U$3:$U$524&lt;&gt;""),Human_Data_Entry!$U$3:$U$524)),"")</f>
        <v>4.4472246305863189E-2</v>
      </c>
      <c r="O6" s="32">
        <f>IFERROR(COUNTIFS(Human_Data_Entry!$G$3:$G$524,$I6,Human_Data_Entry!$J$3:$J$524,"&lt;&gt;HOLD",Human_Data_Entry!$S$3:$S$524,"YES")/COUNTIFS(Human_Data_Entry!$G$3:$G$524,$I6,Human_Data_Entry!$J$3:$J$524,"&lt;&gt;HOLD",Human_Data_Entry!$S$3:$S$524,"?*"),"")</f>
        <v>0.54166666666666663</v>
      </c>
      <c r="P6" s="29">
        <f t="array" ref="P6">SUMPRODUCT((Human_Data_Entry!$G$3:$G$524=$I6)*(((Human_Data_Entry!$J$3:$J$524="BUY")*(Human_Data_Entry!$R$3:$R$524="UP"))+((Human_Data_Entry!$J$3:$J$524="SELL")*(Human_Data_Entry!$R$3:$R$524="DOWN"))))</f>
        <v>26</v>
      </c>
      <c r="Q6" s="29">
        <f t="array" ref="Q6">SUMPRODUCT((Human_Data_Entry!$G$3:$G$524=$I6)*((Human_Data_Entry!$J$3:$J$524="BUY")+(Human_Data_Entry!$J$3:$J$524="SELL"))*(Human_Data_Entry!$R$3:$R$524="FLAT"))</f>
        <v>13</v>
      </c>
      <c r="R6" s="29">
        <f t="array" ref="R6">SUMPRODUCT((Human_Data_Entry!$G$3:$G$524=$I6)*(((Human_Data_Entry!$J$3:$J$524="BUY")*(Human_Data_Entry!$R$3:$R$524="DOWN"))+((Human_Data_Entry!$J$3:$J$524="SELL")*(Human_Data_Entry!$R$3:$R$524="UP"))))</f>
        <v>9</v>
      </c>
    </row>
    <row r="7" spans="1:18" ht="16.25" customHeight="1" x14ac:dyDescent="0.2">
      <c r="A7" s="28" t="s">
        <v>610</v>
      </c>
      <c r="B7" s="28" t="s">
        <v>540</v>
      </c>
      <c r="C7" s="29">
        <f>COUNTIFS(Human_Data_Entry!$G$3:$G$524,A7,Human_Data_Entry!$S$3:$S$524,"YES")+COUNTIFS(Human_Data_Entry!$G$3:$G$524,A7,Human_Data_Entry!$S$3:$S$524,"NO")</f>
        <v>62</v>
      </c>
      <c r="D7" s="29">
        <f>COUNTIFS(Human_Data_Entry!$G$3:$G$524,A7,Human_Data_Entry!$S$3:$S$524,"YES")</f>
        <v>16</v>
      </c>
      <c r="E7" s="30">
        <f t="shared" si="0"/>
        <v>46</v>
      </c>
      <c r="F7" s="31">
        <f t="shared" si="1"/>
        <v>0.25806451612903225</v>
      </c>
      <c r="G7" s="31">
        <f t="shared" si="2"/>
        <v>0.74193548387096775</v>
      </c>
      <c r="H7" s="20"/>
      <c r="I7" s="27" t="str">
        <f t="shared" si="3"/>
        <v>Nigel</v>
      </c>
      <c r="J7" s="27" t="str">
        <f t="shared" si="3"/>
        <v>Human</v>
      </c>
      <c r="K7" s="29">
        <f>SUMPRODUCT((Human_Data_Entry!$G$3:$G$524=$I7)*((Human_Data_Entry!$J$3:$J$524="BUY")+(Human_Data_Entry!$J$3:$J$524="SELL"))*ISNUMBER(Human_Data_Entry!$U$3:$U$524))</f>
        <v>52</v>
      </c>
      <c r="L7" s="32">
        <f t="shared" si="4"/>
        <v>0.83870967741935487</v>
      </c>
      <c r="M7" s="32">
        <f>IFERROR(AVERAGEIFS(Human_Data_Entry!$U$3:$U$524,Human_Data_Entry!$G$3:$G$524,$I7,Human_Data_Entry!$J$3:$J$524,"&lt;&gt;HOLD",Human_Data_Entry!$U$3:$U$524,"&lt;&gt;"),"")</f>
        <v>-5.9923076923076917E-3</v>
      </c>
      <c r="N7" s="32">
        <f t="array" ref="N7">IFERROR(STDEV(IF((Human_Data_Entry!$G$3:$G$524=I7)*(Human_Data_Entry!$J$3:$J$524&lt;&gt;"HOLD")*(Human_Data_Entry!$U$3:$U$524&lt;&gt;""),Human_Data_Entry!$U$3:$U$524)),"")</f>
        <v>5.1147456364997776E-2</v>
      </c>
      <c r="O7" s="32">
        <f>IFERROR(COUNTIFS(Human_Data_Entry!$G$3:$G$524,$I7,Human_Data_Entry!$J$3:$J$524,"&lt;&gt;HOLD",Human_Data_Entry!$S$3:$S$524,"YES")/COUNTIFS(Human_Data_Entry!$G$3:$G$524,$I7,Human_Data_Entry!$J$3:$J$524,"&lt;&gt;HOLD",Human_Data_Entry!$S$3:$S$524,"?*"),"")</f>
        <v>0.21153846153846154</v>
      </c>
      <c r="P7" s="29">
        <f t="array" ref="P7">SUMPRODUCT((Human_Data_Entry!$G$3:$G$524=$I7)*(((Human_Data_Entry!$J$3:$J$524="BUY")*(Human_Data_Entry!$R$3:$R$524="UP"))+((Human_Data_Entry!$J$3:$J$524="SELL")*(Human_Data_Entry!$R$3:$R$524="DOWN"))))</f>
        <v>11</v>
      </c>
      <c r="Q7" s="29">
        <f t="array" ref="Q7">SUMPRODUCT((Human_Data_Entry!$G$3:$G$524=$I7)*((Human_Data_Entry!$J$3:$J$524="BUY")+(Human_Data_Entry!$J$3:$J$524="SELL"))*(Human_Data_Entry!$R$3:$R$524="FLAT"))</f>
        <v>25</v>
      </c>
      <c r="R7" s="29">
        <f t="array" ref="R7">SUMPRODUCT((Human_Data_Entry!$G$3:$G$524=$I7)*(((Human_Data_Entry!$J$3:$J$524="BUY")*(Human_Data_Entry!$R$3:$R$524="DOWN"))+((Human_Data_Entry!$J$3:$J$524="SELL")*(Human_Data_Entry!$R$3:$R$524="UP"))))</f>
        <v>16</v>
      </c>
    </row>
    <row r="8" spans="1:18" ht="16.25" customHeight="1" x14ac:dyDescent="0.2">
      <c r="A8" s="28" t="s">
        <v>574</v>
      </c>
      <c r="B8" s="28" t="s">
        <v>540</v>
      </c>
      <c r="C8" s="29">
        <f>COUNTIFS(Human_Data_Entry!$G$3:$G$524,A8,Human_Data_Entry!$S$3:$S$524,"YES")+COUNTIFS(Human_Data_Entry!$G$3:$G$524,A8,Human_Data_Entry!$S$3:$S$524,"NO")</f>
        <v>51</v>
      </c>
      <c r="D8" s="29">
        <f>COUNTIFS(Human_Data_Entry!$G$3:$G$524,A8,Human_Data_Entry!$S$3:$S$524,"YES")</f>
        <v>21</v>
      </c>
      <c r="E8" s="30">
        <f t="shared" si="0"/>
        <v>30</v>
      </c>
      <c r="F8" s="31">
        <f t="shared" si="1"/>
        <v>0.41176470588235292</v>
      </c>
      <c r="G8" s="31">
        <f t="shared" si="2"/>
        <v>0.58823529411764708</v>
      </c>
      <c r="H8" s="20"/>
      <c r="I8" s="27" t="str">
        <f t="shared" si="3"/>
        <v>Meriem</v>
      </c>
      <c r="J8" s="27" t="str">
        <f t="shared" si="3"/>
        <v>Human</v>
      </c>
      <c r="K8" s="29">
        <f>SUMPRODUCT((Human_Data_Entry!$G$3:$G$524=$I8)*((Human_Data_Entry!$J$3:$J$524="BUY")+(Human_Data_Entry!$J$3:$J$524="SELL"))*ISNUMBER(Human_Data_Entry!$U$3:$U$524))</f>
        <v>36</v>
      </c>
      <c r="L8" s="32">
        <f t="shared" si="4"/>
        <v>0.70588235294117652</v>
      </c>
      <c r="M8" s="32">
        <f>IFERROR(AVERAGEIFS(Human_Data_Entry!$U$3:$U$524,Human_Data_Entry!$G$3:$G$524,$I8,Human_Data_Entry!$J$3:$J$524,"&lt;&gt;HOLD",Human_Data_Entry!$U$3:$U$524,"&lt;&gt;"),"")</f>
        <v>1.6691666666666671E-2</v>
      </c>
      <c r="N8" s="32">
        <f t="array" ref="N8">IFERROR(STDEV(IF((Human_Data_Entry!$G$3:$G$524=I8)*(Human_Data_Entry!$J$3:$J$524&lt;&gt;"HOLD")*(Human_Data_Entry!$U$3:$U$524&lt;&gt;""),Human_Data_Entry!$U$3:$U$524)),"")</f>
        <v>6.5354100865974735E-2</v>
      </c>
      <c r="O8" s="32">
        <f>IFERROR(COUNTIFS(Human_Data_Entry!$G$3:$G$524,$I8,Human_Data_Entry!$J$3:$J$524,"&lt;&gt;HOLD",Human_Data_Entry!$S$3:$S$524,"YES")/COUNTIFS(Human_Data_Entry!$G$3:$G$524,$I8,Human_Data_Entry!$J$3:$J$524,"&lt;&gt;HOLD",Human_Data_Entry!$S$3:$S$524,"?*"),"")</f>
        <v>0.3611111111111111</v>
      </c>
      <c r="P8" s="29">
        <f t="array" ref="P8">SUMPRODUCT((Human_Data_Entry!$G$3:$G$524=$I8)*(((Human_Data_Entry!$J$3:$J$524="BUY")*(Human_Data_Entry!$R$3:$R$524="UP"))+((Human_Data_Entry!$J$3:$J$524="SELL")*(Human_Data_Entry!$R$3:$R$524="DOWN"))))</f>
        <v>13</v>
      </c>
      <c r="Q8" s="29">
        <f t="array" ref="Q8">SUMPRODUCT((Human_Data_Entry!$G$3:$G$524=$I8)*((Human_Data_Entry!$J$3:$J$524="BUY")+(Human_Data_Entry!$J$3:$J$524="SELL"))*(Human_Data_Entry!$R$3:$R$524="FLAT"))</f>
        <v>16</v>
      </c>
      <c r="R8" s="29">
        <f t="array" ref="R8">SUMPRODUCT((Human_Data_Entry!$G$3:$G$524=$I8)*(((Human_Data_Entry!$J$3:$J$524="BUY")*(Human_Data_Entry!$R$3:$R$524="DOWN"))+((Human_Data_Entry!$J$3:$J$524="SELL")*(Human_Data_Entry!$R$3:$R$524="UP"))))</f>
        <v>7</v>
      </c>
    </row>
    <row r="9" spans="1:18" ht="16.25" customHeight="1" x14ac:dyDescent="0.2">
      <c r="A9" s="28" t="s">
        <v>575</v>
      </c>
      <c r="B9" s="28" t="s">
        <v>540</v>
      </c>
      <c r="C9" s="29">
        <f>COUNTIFS(Human_Data_Entry!$G$3:$G$524,A9,Human_Data_Entry!$S$3:$S$524,"YES")+COUNTIFS(Human_Data_Entry!$G$3:$G$524,A9,Human_Data_Entry!$S$3:$S$524,"NO")</f>
        <v>95</v>
      </c>
      <c r="D9" s="29">
        <f>COUNTIFS(Human_Data_Entry!$G$3:$G$524,A9,Human_Data_Entry!$S$3:$S$524,"YES")</f>
        <v>34</v>
      </c>
      <c r="E9" s="30">
        <f t="shared" si="0"/>
        <v>61</v>
      </c>
      <c r="F9" s="31">
        <f t="shared" si="1"/>
        <v>0.35789473684210527</v>
      </c>
      <c r="G9" s="31">
        <f t="shared" si="2"/>
        <v>0.64210526315789473</v>
      </c>
      <c r="H9" s="20"/>
      <c r="I9" s="27" t="str">
        <f t="shared" si="3"/>
        <v>Dragos</v>
      </c>
      <c r="J9" s="27" t="str">
        <f t="shared" si="3"/>
        <v>Human</v>
      </c>
      <c r="K9" s="29">
        <f>SUMPRODUCT((Human_Data_Entry!$G$3:$G$524=$I9)*((Human_Data_Entry!$J$3:$J$524="BUY")+(Human_Data_Entry!$J$3:$J$524="SELL"))*ISNUMBER(Human_Data_Entry!$U$3:$U$524))</f>
        <v>65</v>
      </c>
      <c r="L9" s="32">
        <f t="shared" si="4"/>
        <v>0.68421052631578949</v>
      </c>
      <c r="M9" s="32">
        <f>IFERROR(AVERAGEIFS(Human_Data_Entry!$U$3:$U$524,Human_Data_Entry!$G$3:$G$524,$I9,Human_Data_Entry!$J$3:$J$524,"&lt;&gt;HOLD",Human_Data_Entry!$U$3:$U$524,"&lt;&gt;"),"")</f>
        <v>1.1923076923076917E-3</v>
      </c>
      <c r="N9" s="32">
        <f t="array" ref="N9">IFERROR(STDEV(IF((Human_Data_Entry!$G$3:$G$524=I9)*(Human_Data_Entry!$J$3:$J$524&lt;&gt;"HOLD")*(Human_Data_Entry!$U$3:$U$524&lt;&gt;""),Human_Data_Entry!$U$3:$U$524)),"")</f>
        <v>3.4323289777552592E-2</v>
      </c>
      <c r="O9" s="32">
        <f>IFERROR(COUNTIFS(Human_Data_Entry!$G$3:$G$524,$I9,Human_Data_Entry!$J$3:$J$524,"&lt;&gt;HOLD",Human_Data_Entry!$S$3:$S$524,"YES")/COUNTIFS(Human_Data_Entry!$G$3:$G$524,$I9,Human_Data_Entry!$J$3:$J$524,"&lt;&gt;HOLD",Human_Data_Entry!$S$3:$S$524,"?*"),"")</f>
        <v>0.15384615384615385</v>
      </c>
      <c r="P9" s="29">
        <f t="array" ref="P9">SUMPRODUCT((Human_Data_Entry!$G$3:$G$524=$I9)*(((Human_Data_Entry!$J$3:$J$524="BUY")*(Human_Data_Entry!$R$3:$R$524="UP"))+((Human_Data_Entry!$J$3:$J$524="SELL")*(Human_Data_Entry!$R$3:$R$524="DOWN"))))</f>
        <v>10</v>
      </c>
      <c r="Q9" s="29">
        <f t="array" ref="Q9">SUMPRODUCT((Human_Data_Entry!$G$3:$G$524=$I9)*((Human_Data_Entry!$J$3:$J$524="BUY")+(Human_Data_Entry!$J$3:$J$524="SELL"))*(Human_Data_Entry!$R$3:$R$524="FLAT"))</f>
        <v>45</v>
      </c>
      <c r="R9" s="29">
        <f t="array" ref="R9">SUMPRODUCT((Human_Data_Entry!$G$3:$G$524=$I9)*(((Human_Data_Entry!$J$3:$J$524="BUY")*(Human_Data_Entry!$R$3:$R$524="DOWN"))+((Human_Data_Entry!$J$3:$J$524="SELL")*(Human_Data_Entry!$R$3:$R$524="UP"))))</f>
        <v>10</v>
      </c>
    </row>
    <row r="10" spans="1:18" ht="16.25" customHeight="1" x14ac:dyDescent="0.2">
      <c r="A10" s="28" t="s">
        <v>648</v>
      </c>
      <c r="B10" s="28" t="s">
        <v>540</v>
      </c>
      <c r="C10" s="29">
        <f>COUNTIFS(Human_Data_Entry!$G$3:$G$524,A10,Human_Data_Entry!$S$3:$S$524,"YES")+COUNTIFS(Human_Data_Entry!$G$3:$G$524,A10,Human_Data_Entry!$S$3:$S$524,"NO")</f>
        <v>86</v>
      </c>
      <c r="D10" s="29">
        <f>COUNTIFS(Human_Data_Entry!$G$3:$G$524,A10,Human_Data_Entry!$S$3:$S$524,"YES")</f>
        <v>33</v>
      </c>
      <c r="E10" s="30">
        <f t="shared" si="0"/>
        <v>53</v>
      </c>
      <c r="F10" s="31">
        <f t="shared" si="1"/>
        <v>0.38372093023255816</v>
      </c>
      <c r="G10" s="31">
        <f t="shared" si="2"/>
        <v>0.61627906976744184</v>
      </c>
      <c r="H10" s="20"/>
      <c r="I10" s="27" t="str">
        <f t="shared" si="3"/>
        <v>David</v>
      </c>
      <c r="J10" s="27" t="str">
        <f t="shared" si="3"/>
        <v>Human</v>
      </c>
      <c r="K10" s="29">
        <f>SUMPRODUCT((Human_Data_Entry!$G$3:$G$524=$I10)*((Human_Data_Entry!$J$3:$J$524="BUY")+(Human_Data_Entry!$J$3:$J$524="SELL"))*ISNUMBER(Human_Data_Entry!$U$3:$U$524))</f>
        <v>56</v>
      </c>
      <c r="L10" s="32">
        <f t="shared" si="4"/>
        <v>0.65116279069767447</v>
      </c>
      <c r="M10" s="32">
        <f>IFERROR(AVERAGEIFS(Human_Data_Entry!$U$3:$U$524,Human_Data_Entry!$G$3:$G$524,$I10,Human_Data_Entry!$J$3:$J$524,"&lt;&gt;HOLD",Human_Data_Entry!$U$3:$U$524,"&lt;&gt;"),"")</f>
        <v>-3.2249999999999994E-2</v>
      </c>
      <c r="N10" s="32">
        <f t="array" ref="N10">IFERROR(STDEV(IF((Human_Data_Entry!$G$3:$G$524=I10)*(Human_Data_Entry!$J$3:$J$524&lt;&gt;"HOLD")*(Human_Data_Entry!$U$3:$U$524&lt;&gt;""),Human_Data_Entry!$U$3:$U$524)),"")</f>
        <v>7.5850240006811481E-2</v>
      </c>
      <c r="O10" s="32">
        <f>IFERROR(COUNTIFS(Human_Data_Entry!$G$3:$G$524,$I10,Human_Data_Entry!$J$3:$J$524,"&lt;&gt;HOLD",Human_Data_Entry!$S$3:$S$524,"YES")/COUNTIFS(Human_Data_Entry!$G$3:$G$524,$I10,Human_Data_Entry!$J$3:$J$524,"&lt;&gt;HOLD",Human_Data_Entry!$S$3:$S$524,"?*"),"")</f>
        <v>0.16071428571428573</v>
      </c>
      <c r="P10" s="29">
        <f t="array" ref="P10">SUMPRODUCT((Human_Data_Entry!$G$3:$G$524=$I10)*(((Human_Data_Entry!$J$3:$J$524="BUY")*(Human_Data_Entry!$R$3:$R$524="UP"))+((Human_Data_Entry!$J$3:$J$524="SELL")*(Human_Data_Entry!$R$3:$R$524="DOWN"))))</f>
        <v>9</v>
      </c>
      <c r="Q10" s="29">
        <f t="array" ref="Q10">SUMPRODUCT((Human_Data_Entry!$G$3:$G$524=$I10)*((Human_Data_Entry!$J$3:$J$524="BUY")+(Human_Data_Entry!$J$3:$J$524="SELL"))*(Human_Data_Entry!$R$3:$R$524="FLAT"))</f>
        <v>17</v>
      </c>
      <c r="R10" s="29">
        <f t="array" ref="R10">SUMPRODUCT((Human_Data_Entry!$G$3:$G$524=$I10)*(((Human_Data_Entry!$J$3:$J$524="BUY")*(Human_Data_Entry!$R$3:$R$524="DOWN"))+((Human_Data_Entry!$J$3:$J$524="SELL")*(Human_Data_Entry!$R$3:$R$524="UP"))))</f>
        <v>30</v>
      </c>
    </row>
    <row r="11" spans="1:18" ht="16.25" customHeight="1" x14ac:dyDescent="0.2">
      <c r="A11" s="33" t="s">
        <v>1911</v>
      </c>
      <c r="B11" s="34" t="s">
        <v>1912</v>
      </c>
      <c r="C11" s="35">
        <f>COUNTIFS(LLM_Data_Entry!$E$3:$E$548,A11,LLM_Data_Entry!$R$3:$R$548,"YES")+COUNTIFS(LLM_Data_Entry!$E$3:$E$548,A11,LLM_Data_Entry!$R$3:$R$548,"NO")</f>
        <v>268</v>
      </c>
      <c r="D11" s="35">
        <f>COUNTIFS(LLM_Data_Entry!$E$3:$E$548,A11,LLM_Data_Entry!$R$3:$R$548,"YES")</f>
        <v>114</v>
      </c>
      <c r="E11" s="35">
        <f t="shared" si="0"/>
        <v>154</v>
      </c>
      <c r="F11" s="36">
        <f t="shared" si="1"/>
        <v>0.42537313432835822</v>
      </c>
      <c r="G11" s="36">
        <f t="shared" si="2"/>
        <v>0.57462686567164178</v>
      </c>
      <c r="H11" s="37"/>
      <c r="I11" s="33" t="str">
        <f t="shared" si="3"/>
        <v>Ben/DeepSeek</v>
      </c>
      <c r="J11" s="33" t="str">
        <f t="shared" si="3"/>
        <v>LLM</v>
      </c>
      <c r="K11" s="38">
        <f>COUNTIFS(LLM_Data_Entry!$E$3:$E$548,$I11,LLM_Data_Entry!$H$3:$H$548,"BUY",LLM_Data_Entry!$T$3:$T$548,"&lt;&gt;")+COUNTIFS(LLM_Data_Entry!$E$3:$E$548,$I11,LLM_Data_Entry!$H$3:$H$548,"SELL",LLM_Data_Entry!$T$3:$T$548,"&lt;&gt;")</f>
        <v>171</v>
      </c>
      <c r="L11" s="39">
        <f t="shared" si="4"/>
        <v>0.63805970149253732</v>
      </c>
      <c r="M11" s="40">
        <f>IFERROR(AVERAGEIFS(LLM_Data_Entry!$T$3:$T$548,LLM_Data_Entry!$E$3:$E$548,$I11,LLM_Data_Entry!$H$3:$H$548,"&lt;&gt;HOLD",LLM_Data_Entry!$T$3:$T$548,"&lt;&gt;"),"")</f>
        <v>1.9735046783625729E-2</v>
      </c>
      <c r="N11" s="40">
        <f t="array" ref="N11">IFERROR(STDEV(IF((LLM_Data_Entry!$E$3:$E$548=I11)*(LLM_Data_Entry!$H$3:$H$548&lt;&gt;"HOLD")*(LLM_Data_Entry!$T$3:$T$548&lt;&gt;""),LLM_Data_Entry!$T$3:$T$548)),"")</f>
        <v>6.6102108473073948E-2</v>
      </c>
      <c r="O11" s="39">
        <f>IFERROR(COUNTIFS(LLM_Data_Entry!$E$3:$E$548,$I11,LLM_Data_Entry!$H$3:$H$548,"&lt;&gt;HOLD",LLM_Data_Entry!$R$3:$R$548,"YES")/COUNTIFS(LLM_Data_Entry!$E$3:$E$548,$I11,LLM_Data_Entry!$H$3:$H$548,"&lt;&gt;HOLD",LLM_Data_Entry!$R$3:$R$548,"&lt;&gt;"),"")</f>
        <v>0.45029239766081869</v>
      </c>
      <c r="P11" s="41">
        <f t="array" ref="P11">SUMPRODUCT((LLM_Data_Entry!$E$3:$E$548=$I11)*(((LLM_Data_Entry!$H$3:$H$548="BUY")*(LLM_Data_Entry!$Q$3:$Q$548="UP"))+((LLM_Data_Entry!$H$3:$H$548="SELL")*(LLM_Data_Entry!$Q$3:$Q$548="DOWN"))))</f>
        <v>77</v>
      </c>
      <c r="Q11" s="41">
        <f t="array" ref="Q11">SUMPRODUCT((LLM_Data_Entry!$E$3:$E$548=$I11)*((LLM_Data_Entry!$H$3:$H$548="BUY")+(LLM_Data_Entry!$H$3:$H$548="SELL"))*(LLM_Data_Entry!$Q$3:$Q$548="FLAT"))</f>
        <v>56</v>
      </c>
      <c r="R11" s="41">
        <f t="array" ref="R11">SUMPRODUCT((LLM_Data_Entry!$E$3:$E$548=$I11)*(((LLM_Data_Entry!$H$3:$H$548="BUY")*(LLM_Data_Entry!$Q$3:$Q$548="DOWN"))+((LLM_Data_Entry!$H$3:$H$548="SELL")*(LLM_Data_Entry!$Q$3:$Q$548="UP"))))</f>
        <v>38</v>
      </c>
    </row>
    <row r="12" spans="1:18" ht="16.25" customHeight="1" x14ac:dyDescent="0.2">
      <c r="A12" s="42" t="s">
        <v>2067</v>
      </c>
      <c r="B12" s="42"/>
      <c r="C12" s="43">
        <f>SUM(C5:C10)</f>
        <v>420</v>
      </c>
      <c r="D12" s="43">
        <f>SUM(D5:D10)</f>
        <v>156</v>
      </c>
      <c r="E12" s="43">
        <f>SUM(E5:E10)</f>
        <v>264</v>
      </c>
      <c r="F12" s="44">
        <f t="shared" si="1"/>
        <v>0.37142857142857144</v>
      </c>
      <c r="G12" s="44">
        <f t="shared" si="2"/>
        <v>0.62857142857142856</v>
      </c>
      <c r="H12" s="45"/>
      <c r="I12" s="42" t="s">
        <v>2067</v>
      </c>
      <c r="J12" s="42"/>
      <c r="K12" s="43">
        <f>SUMPRODUCT((Human_Data_Entry!$H$3:$H$524="Human")*((Human_Data_Entry!$J$3:$J$524="BUY")+(Human_Data_Entry!$J$3:$J$524="SELL"))*ISNUMBER(Human_Data_Entry!$U$3:$U$524))</f>
        <v>306</v>
      </c>
      <c r="L12" s="44">
        <f t="shared" si="4"/>
        <v>0.72857142857142854</v>
      </c>
      <c r="M12" s="44">
        <f>IFERROR(AVERAGEIFS(Human_Data_Entry!$U$3:$U$524,Human_Data_Entry!$H$3:$H$524,"Human",Human_Data_Entry!$J$3:$J$524,"&lt;&gt;HOLD",Human_Data_Entry!$U$3:$U$524,"&lt;&gt;"),"")</f>
        <v>-1.5228758169934204E-4</v>
      </c>
      <c r="N12" s="44">
        <f t="array" ref="N12">IFERROR(STDEV(IF((Human_Data_Entry!$H$3:$H$524="Human")*(Human_Data_Entry!$J$3:$J$524&lt;&gt;"HOLD")*(Human_Data_Entry!$U$3:$U$524&lt;&gt;""),Human_Data_Entry!$U$3:$U$524)),"")</f>
        <v>5.9709231606277668E-2</v>
      </c>
      <c r="O12" s="44">
        <f>IFERROR(COUNTIFS(Human_Data_Entry!$H$3:$H$524,"Human",Human_Data_Entry!$J$3:$J$524,"&lt;&gt;HOLD",Human_Data_Entry!$S$3:$S$524,"YES")/COUNTIFS(Human_Data_Entry!$H$3:$H$524,"Human",Human_Data_Entry!$J$3:$J$524,"&lt;&gt;HOLD",Human_Data_Entry!$S$3:$S$524,"?*"),"")</f>
        <v>0.27124183006535946</v>
      </c>
      <c r="P12" s="43">
        <f>SUM(P5:P10)</f>
        <v>83</v>
      </c>
      <c r="Q12" s="43">
        <f>SUM(Q5:Q10)</f>
        <v>137</v>
      </c>
      <c r="R12" s="43">
        <f>SUM(R5:R10)</f>
        <v>86</v>
      </c>
    </row>
    <row r="13" spans="1:18" ht="16.25" customHeight="1" x14ac:dyDescent="0.2">
      <c r="A13" s="46" t="s">
        <v>2068</v>
      </c>
      <c r="B13" s="46"/>
      <c r="C13" s="47">
        <f>C11</f>
        <v>268</v>
      </c>
      <c r="D13" s="47">
        <f>D11</f>
        <v>114</v>
      </c>
      <c r="E13" s="47">
        <f>E11</f>
        <v>154</v>
      </c>
      <c r="F13" s="48">
        <f>F11</f>
        <v>0.42537313432835822</v>
      </c>
      <c r="G13" s="48">
        <f>G11</f>
        <v>0.57462686567164178</v>
      </c>
      <c r="H13" s="49"/>
      <c r="I13" s="46" t="s">
        <v>2068</v>
      </c>
      <c r="J13" s="46"/>
      <c r="K13" s="47">
        <f t="shared" ref="K13:R13" si="5">K11</f>
        <v>171</v>
      </c>
      <c r="L13" s="48">
        <f t="shared" si="5"/>
        <v>0.63805970149253732</v>
      </c>
      <c r="M13" s="48">
        <f t="shared" si="5"/>
        <v>1.9735046783625729E-2</v>
      </c>
      <c r="N13" s="48">
        <f t="shared" si="5"/>
        <v>6.6102108473073948E-2</v>
      </c>
      <c r="O13" s="48">
        <f t="shared" si="5"/>
        <v>0.45029239766081869</v>
      </c>
      <c r="P13" s="47">
        <f t="shared" si="5"/>
        <v>77</v>
      </c>
      <c r="Q13" s="47">
        <f t="shared" si="5"/>
        <v>56</v>
      </c>
      <c r="R13" s="47">
        <f t="shared" si="5"/>
        <v>38</v>
      </c>
    </row>
    <row r="14" spans="1:18" x14ac:dyDescent="0.2">
      <c r="A14" t="s">
        <v>2069</v>
      </c>
      <c r="C14" t="s">
        <v>2070</v>
      </c>
    </row>
    <row r="16" spans="1:18" ht="20" customHeight="1" x14ac:dyDescent="0.2">
      <c r="A16" s="10" t="s">
        <v>2071</v>
      </c>
      <c r="I16" s="10" t="s">
        <v>2072</v>
      </c>
    </row>
    <row r="17" spans="1:15" ht="30" customHeight="1" x14ac:dyDescent="0.2">
      <c r="A17" s="17" t="s">
        <v>464</v>
      </c>
      <c r="B17" s="17" t="s">
        <v>2073</v>
      </c>
      <c r="C17" s="17" t="s">
        <v>2074</v>
      </c>
      <c r="D17" s="17" t="s">
        <v>2075</v>
      </c>
      <c r="E17" s="17" t="s">
        <v>2076</v>
      </c>
      <c r="F17" s="17" t="s">
        <v>2077</v>
      </c>
      <c r="G17" s="17" t="s">
        <v>2078</v>
      </c>
      <c r="I17" s="17" t="s">
        <v>464</v>
      </c>
      <c r="J17" s="17" t="s">
        <v>2079</v>
      </c>
      <c r="K17" s="17" t="s">
        <v>2080</v>
      </c>
      <c r="L17" s="17" t="s">
        <v>2081</v>
      </c>
      <c r="M17" s="17" t="s">
        <v>2082</v>
      </c>
      <c r="N17" s="17" t="s">
        <v>2083</v>
      </c>
      <c r="O17" s="17" t="s">
        <v>2084</v>
      </c>
    </row>
    <row r="18" spans="1:15" ht="16.25" customHeight="1" x14ac:dyDescent="0.2">
      <c r="A18" s="50" t="s">
        <v>536</v>
      </c>
      <c r="B18" s="51">
        <f>COUNTIFS(Human_Data_Entry!$A$3:$A$524,$A18,Human_Data_Entry!$H$3:$H$524,"Human",Human_Data_Entry!$S$3:$S$524,"?*")</f>
        <v>15</v>
      </c>
      <c r="C18" s="51">
        <f>COUNTIFS(Human_Data_Entry!$A$3:$A$524,$A18,Human_Data_Entry!$H$3:$H$524,"Human",Human_Data_Entry!$S$3:$S$524,"YES")</f>
        <v>2</v>
      </c>
      <c r="D18" s="52">
        <f t="shared" ref="D18:D49" si="6">IF(B18=0,"-",C18/B18)</f>
        <v>0.13333333333333333</v>
      </c>
      <c r="E18" s="51">
        <f>COUNTIFS(LLM_Data_Entry!$A$3:$A$548,$A18,LLM_Data_Entry!$F$3:$F$548,"LLM",LLM_Data_Entry!$R$3:$R$548,"&lt;&gt;")</f>
        <v>6</v>
      </c>
      <c r="F18" s="53">
        <f>COUNTIFS(LLM_Data_Entry!$A$3:$A$548,$A18,LLM_Data_Entry!$F$3:$F$548,"LLM",LLM_Data_Entry!$R$3:$R$548,"YES")</f>
        <v>2</v>
      </c>
      <c r="G18" s="52">
        <f t="shared" ref="G18:G49" si="7">IF(E18=0,"-",F18/E18)</f>
        <v>0.33333333333333331</v>
      </c>
      <c r="H18" s="20"/>
      <c r="I18" s="50" t="str">
        <f t="shared" ref="I18:I49" si="8">A18</f>
        <v>Netflix</v>
      </c>
      <c r="J18" s="21">
        <f>SUMPRODUCT((Human_Data_Entry!$A$3:$A$524=$I18)*(Human_Data_Entry!$H$3:$H$524="Human")*((Human_Data_Entry!$J$3:$J$524="BUY")+(Human_Data_Entry!$J$3:$J$524="SELL"))*ISNUMBER(Human_Data_Entry!$U$3:$U$524))</f>
        <v>12</v>
      </c>
      <c r="K18" s="54">
        <f>IFERROR(AVERAGEIFS(Human_Data_Entry!$U$3:$U$524,Human_Data_Entry!$A$3:$A$524,$I18,Human_Data_Entry!$H$3:$H$524,"Human",Human_Data_Entry!$J$3:$J$524,"&lt;&gt;HOLD",Human_Data_Entry!$U$3:$U$524,"&lt;&gt;"),"")</f>
        <v>-2.9766666666666674E-2</v>
      </c>
      <c r="L18" s="54">
        <f>IFERROR(SUMIFS(Human_Data_Entry!$U$3:$U$524,Human_Data_Entry!$A$3:$A$524,$I18,Human_Data_Entry!$H$3:$H$524,"Human",Human_Data_Entry!$J$3:$J$524,"&lt;&gt;HOLD"),"")</f>
        <v>-0.35720000000000007</v>
      </c>
      <c r="M18" s="21">
        <f>COUNTIFS(LLM_Data_Entry!$A$3:$A$548,$I18,LLM_Data_Entry!$F$3:$F$548,"LLM",LLM_Data_Entry!$H$3:$H$548,"&lt;&gt;HOLD",LLM_Data_Entry!$T$3:$T$548,"&lt;&gt;")</f>
        <v>4</v>
      </c>
      <c r="N18" s="54">
        <f>IFERROR(AVERAGEIFS(LLM_Data_Entry!$T$3:$T$548,LLM_Data_Entry!$A$3:$A$548,$I18,LLM_Data_Entry!$F$3:$F$548,"LLM",LLM_Data_Entry!$H$3:$H$548,"&lt;&gt;HOLD",LLM_Data_Entry!$T$3:$T$548,"&lt;&gt;"),"")</f>
        <v>4.5881249999999991E-2</v>
      </c>
      <c r="O18" s="54">
        <f>IFERROR(SUMIFS(LLM_Data_Entry!$T$3:$T$548,LLM_Data_Entry!$A$3:$A$548,$I18,LLM_Data_Entry!$F$3:$F$548,"LLM",LLM_Data_Entry!$H$3:$H$548,"&lt;&gt;HOLD"),"")</f>
        <v>0.18352499999999997</v>
      </c>
    </row>
    <row r="19" spans="1:15" ht="16.25" customHeight="1" x14ac:dyDescent="0.2">
      <c r="A19" s="55" t="s">
        <v>747</v>
      </c>
      <c r="B19" s="51">
        <f>COUNTIFS(Human_Data_Entry!$A$3:$A$524,$A19,Human_Data_Entry!$H$3:$H$524,"Human",Human_Data_Entry!$S$3:$S$524,"?*")</f>
        <v>7</v>
      </c>
      <c r="C19" s="51">
        <f>COUNTIFS(Human_Data_Entry!$A$3:$A$524,$A19,Human_Data_Entry!$H$3:$H$524,"Human",Human_Data_Entry!$S$3:$S$524,"YES")</f>
        <v>2</v>
      </c>
      <c r="D19" s="56">
        <f t="shared" si="6"/>
        <v>0.2857142857142857</v>
      </c>
      <c r="E19" s="51">
        <f>COUNTIFS(LLM_Data_Entry!$A$3:$A$548,$A19,LLM_Data_Entry!$F$3:$F$548,"LLM",LLM_Data_Entry!$R$3:$R$548,"&lt;&gt;")</f>
        <v>5</v>
      </c>
      <c r="F19" s="53">
        <f>COUNTIFS(LLM_Data_Entry!$A$3:$A$548,$A19,LLM_Data_Entry!$F$3:$F$548,"LLM",LLM_Data_Entry!$R$3:$R$548,"YES")</f>
        <v>3</v>
      </c>
      <c r="G19" s="56">
        <f t="shared" si="7"/>
        <v>0.6</v>
      </c>
      <c r="H19" s="20"/>
      <c r="I19" s="50" t="str">
        <f t="shared" si="8"/>
        <v>JPMorgan</v>
      </c>
      <c r="J19" s="21">
        <f>SUMPRODUCT((Human_Data_Entry!$A$3:$A$524=$I19)*(Human_Data_Entry!$H$3:$H$524="Human")*((Human_Data_Entry!$J$3:$J$524="BUY")+(Human_Data_Entry!$J$3:$J$524="SELL"))*ISNUMBER(Human_Data_Entry!$U$3:$U$524))</f>
        <v>5</v>
      </c>
      <c r="K19" s="54">
        <f>IFERROR(AVERAGEIFS(Human_Data_Entry!$U$3:$U$524,Human_Data_Entry!$A$3:$A$524,$I19,Human_Data_Entry!$H$3:$H$524,"Human",Human_Data_Entry!$J$3:$J$524,"&lt;&gt;HOLD",Human_Data_Entry!$U$3:$U$524,"&lt;&gt;"),"")</f>
        <v>-6.5799999999999999E-3</v>
      </c>
      <c r="L19" s="54">
        <f>IFERROR(SUMIFS(Human_Data_Entry!$U$3:$U$524,Human_Data_Entry!$A$3:$A$524,$I19,Human_Data_Entry!$H$3:$H$524,"Human",Human_Data_Entry!$J$3:$J$524,"&lt;&gt;HOLD"),"")</f>
        <v>-3.2899999999999999E-2</v>
      </c>
      <c r="M19" s="21">
        <f>COUNTIFS(LLM_Data_Entry!$A$3:$A$548,$I19,LLM_Data_Entry!$F$3:$F$548,"LLM",LLM_Data_Entry!$H$3:$H$548,"&lt;&gt;HOLD",LLM_Data_Entry!$T$3:$T$548,"&lt;&gt;")</f>
        <v>2</v>
      </c>
      <c r="N19" s="54">
        <f>IFERROR(AVERAGEIFS(LLM_Data_Entry!$T$3:$T$548,LLM_Data_Entry!$A$3:$A$548,$I19,LLM_Data_Entry!$F$3:$F$548,"LLM",LLM_Data_Entry!$H$3:$H$548,"&lt;&gt;HOLD",LLM_Data_Entry!$T$3:$T$548,"&lt;&gt;"),"")</f>
        <v>6.914E-3</v>
      </c>
      <c r="O19" s="54">
        <f>IFERROR(SUMIFS(LLM_Data_Entry!$T$3:$T$548,LLM_Data_Entry!$A$3:$A$548,$I19,LLM_Data_Entry!$F$3:$F$548,"LLM",LLM_Data_Entry!$H$3:$H$548,"&lt;&gt;HOLD"),"")</f>
        <v>1.3828E-2</v>
      </c>
    </row>
    <row r="20" spans="1:15" ht="16.25" customHeight="1" x14ac:dyDescent="0.2">
      <c r="A20" s="55" t="s">
        <v>1536</v>
      </c>
      <c r="B20" s="51">
        <f>COUNTIFS(Human_Data_Entry!$A$3:$A$524,$A20,Human_Data_Entry!$H$3:$H$524,"Human",Human_Data_Entry!$S$3:$S$524,"?*")</f>
        <v>4</v>
      </c>
      <c r="C20" s="51">
        <f>COUNTIFS(Human_Data_Entry!$A$3:$A$524,$A20,Human_Data_Entry!$H$3:$H$524,"Human",Human_Data_Entry!$S$3:$S$524,"YES")</f>
        <v>0</v>
      </c>
      <c r="D20" s="56">
        <f t="shared" si="6"/>
        <v>0</v>
      </c>
      <c r="E20" s="51">
        <f>COUNTIFS(LLM_Data_Entry!$A$3:$A$548,$A20,LLM_Data_Entry!$F$3:$F$548,"LLM",LLM_Data_Entry!$R$3:$R$548,"&lt;&gt;")</f>
        <v>0</v>
      </c>
      <c r="F20" s="53">
        <f>COUNTIFS(LLM_Data_Entry!$A$3:$A$548,$A20,LLM_Data_Entry!$F$3:$F$548,"LLM",LLM_Data_Entry!$R$3:$R$548,"YES")</f>
        <v>0</v>
      </c>
      <c r="G20" s="56" t="str">
        <f t="shared" si="7"/>
        <v>-</v>
      </c>
      <c r="H20" s="20"/>
      <c r="I20" s="50" t="str">
        <f t="shared" si="8"/>
        <v>Adobe</v>
      </c>
      <c r="J20" s="21">
        <f>SUMPRODUCT((Human_Data_Entry!$A$3:$A$524=$I20)*(Human_Data_Entry!$H$3:$H$524="Human")*((Human_Data_Entry!$J$3:$J$524="BUY")+(Human_Data_Entry!$J$3:$J$524="SELL"))*ISNUMBER(Human_Data_Entry!$U$3:$U$524))</f>
        <v>4</v>
      </c>
      <c r="K20" s="54">
        <f>IFERROR(AVERAGEIFS(Human_Data_Entry!$U$3:$U$524,Human_Data_Entry!$A$3:$A$524,$I20,Human_Data_Entry!$H$3:$H$524,"Human",Human_Data_Entry!$J$3:$J$524,"&lt;&gt;HOLD",Human_Data_Entry!$U$3:$U$524,"&lt;&gt;"),"")</f>
        <v>4.7000000000000002E-3</v>
      </c>
      <c r="L20" s="54">
        <f>IFERROR(SUMIFS(Human_Data_Entry!$U$3:$U$524,Human_Data_Entry!$A$3:$A$524,$I20,Human_Data_Entry!$H$3:$H$524,"Human",Human_Data_Entry!$J$3:$J$524,"&lt;&gt;HOLD"),"")</f>
        <v>1.8800000000000001E-2</v>
      </c>
      <c r="M20" s="21">
        <f>COUNTIFS(LLM_Data_Entry!$A$3:$A$548,$I20,LLM_Data_Entry!$F$3:$F$548,"LLM",LLM_Data_Entry!$H$3:$H$548,"&lt;&gt;HOLD",LLM_Data_Entry!$T$3:$T$548,"&lt;&gt;")</f>
        <v>0</v>
      </c>
      <c r="N20" s="54" t="str">
        <f>IFERROR(AVERAGEIFS(LLM_Data_Entry!$T$3:$T$548,LLM_Data_Entry!$A$3:$A$548,$I20,LLM_Data_Entry!$F$3:$F$548,"LLM",LLM_Data_Entry!$H$3:$H$548,"&lt;&gt;HOLD",LLM_Data_Entry!$T$3:$T$548,"&lt;&gt;"),"")</f>
        <v/>
      </c>
      <c r="O20" s="54">
        <f>IFERROR(SUMIFS(LLM_Data_Entry!$T$3:$T$548,LLM_Data_Entry!$A$3:$A$548,$I20,LLM_Data_Entry!$F$3:$F$548,"LLM",LLM_Data_Entry!$H$3:$H$548,"&lt;&gt;HOLD"),"")</f>
        <v>0</v>
      </c>
    </row>
    <row r="21" spans="1:15" ht="16.25" customHeight="1" x14ac:dyDescent="0.2">
      <c r="A21" s="55" t="s">
        <v>1299</v>
      </c>
      <c r="B21" s="51">
        <f>COUNTIFS(Human_Data_Entry!$A$3:$A$524,$A21,Human_Data_Entry!$H$3:$H$524,"Human",Human_Data_Entry!$S$3:$S$524,"?*")</f>
        <v>4</v>
      </c>
      <c r="C21" s="51">
        <f>COUNTIFS(Human_Data_Entry!$A$3:$A$524,$A21,Human_Data_Entry!$H$3:$H$524,"Human",Human_Data_Entry!$S$3:$S$524,"YES")</f>
        <v>0</v>
      </c>
      <c r="D21" s="56">
        <f t="shared" si="6"/>
        <v>0</v>
      </c>
      <c r="E21" s="51">
        <f>COUNTIFS(LLM_Data_Entry!$A$3:$A$548,$A21,LLM_Data_Entry!$F$3:$F$548,"LLM",LLM_Data_Entry!$R$3:$R$548,"&lt;&gt;")</f>
        <v>1</v>
      </c>
      <c r="F21" s="53">
        <f>COUNTIFS(LLM_Data_Entry!$A$3:$A$548,$A21,LLM_Data_Entry!$F$3:$F$548,"LLM",LLM_Data_Entry!$R$3:$R$548,"YES")</f>
        <v>1</v>
      </c>
      <c r="G21" s="56">
        <f t="shared" si="7"/>
        <v>1</v>
      </c>
      <c r="H21" s="20"/>
      <c r="I21" s="50" t="str">
        <f t="shared" si="8"/>
        <v>Allianz</v>
      </c>
      <c r="J21" s="21">
        <f>SUMPRODUCT((Human_Data_Entry!$A$3:$A$524=$I21)*(Human_Data_Entry!$H$3:$H$524="Human")*((Human_Data_Entry!$J$3:$J$524="BUY")+(Human_Data_Entry!$J$3:$J$524="SELL"))*ISNUMBER(Human_Data_Entry!$U$3:$U$524))</f>
        <v>4</v>
      </c>
      <c r="K21" s="54">
        <f>IFERROR(AVERAGEIFS(Human_Data_Entry!$U$3:$U$524,Human_Data_Entry!$A$3:$A$524,$I21,Human_Data_Entry!$H$3:$H$524,"Human",Human_Data_Entry!$J$3:$J$524,"&lt;&gt;HOLD",Human_Data_Entry!$U$3:$U$524,"&lt;&gt;"),"")</f>
        <v>-3.6999999999999997E-3</v>
      </c>
      <c r="L21" s="54">
        <f>IFERROR(SUMIFS(Human_Data_Entry!$U$3:$U$524,Human_Data_Entry!$A$3:$A$524,$I21,Human_Data_Entry!$H$3:$H$524,"Human",Human_Data_Entry!$J$3:$J$524,"&lt;&gt;HOLD"),"")</f>
        <v>-1.4799999999999999E-2</v>
      </c>
      <c r="M21" s="21">
        <f>COUNTIFS(LLM_Data_Entry!$A$3:$A$548,$I21,LLM_Data_Entry!$F$3:$F$548,"LLM",LLM_Data_Entry!$H$3:$H$548,"&lt;&gt;HOLD",LLM_Data_Entry!$T$3:$T$548,"&lt;&gt;")</f>
        <v>0</v>
      </c>
      <c r="N21" s="54" t="str">
        <f>IFERROR(AVERAGEIFS(LLM_Data_Entry!$T$3:$T$548,LLM_Data_Entry!$A$3:$A$548,$I21,LLM_Data_Entry!$F$3:$F$548,"LLM",LLM_Data_Entry!$H$3:$H$548,"&lt;&gt;HOLD",LLM_Data_Entry!$T$3:$T$548,"&lt;&gt;"),"")</f>
        <v/>
      </c>
      <c r="O21" s="54">
        <f>IFERROR(SUMIFS(LLM_Data_Entry!$T$3:$T$548,LLM_Data_Entry!$A$3:$A$548,$I21,LLM_Data_Entry!$F$3:$F$548,"LLM",LLM_Data_Entry!$H$3:$H$548,"&lt;&gt;HOLD"),"")</f>
        <v>0</v>
      </c>
    </row>
    <row r="22" spans="1:15" ht="16.25" customHeight="1" x14ac:dyDescent="0.2">
      <c r="A22" s="50" t="s">
        <v>711</v>
      </c>
      <c r="B22" s="51">
        <f>COUNTIFS(Human_Data_Entry!$A$3:$A$524,$A22,Human_Data_Entry!$H$3:$H$524,"Human",Human_Data_Entry!$S$3:$S$524,"?*")</f>
        <v>4</v>
      </c>
      <c r="C22" s="51">
        <f>COUNTIFS(Human_Data_Entry!$A$3:$A$524,$A22,Human_Data_Entry!$H$3:$H$524,"Human",Human_Data_Entry!$S$3:$S$524,"YES")</f>
        <v>2</v>
      </c>
      <c r="D22" s="52">
        <f t="shared" si="6"/>
        <v>0.5</v>
      </c>
      <c r="E22" s="51">
        <f>COUNTIFS(LLM_Data_Entry!$A$3:$A$548,$A22,LLM_Data_Entry!$F$3:$F$548,"LLM",LLM_Data_Entry!$R$3:$R$548,"&lt;&gt;")</f>
        <v>4</v>
      </c>
      <c r="F22" s="53">
        <f>COUNTIFS(LLM_Data_Entry!$A$3:$A$548,$A22,LLM_Data_Entry!$F$3:$F$548,"LLM",LLM_Data_Entry!$R$3:$R$548,"YES")</f>
        <v>2</v>
      </c>
      <c r="G22" s="52">
        <f t="shared" si="7"/>
        <v>0.5</v>
      </c>
      <c r="H22" s="20"/>
      <c r="I22" s="50" t="str">
        <f t="shared" si="8"/>
        <v>Bank of America</v>
      </c>
      <c r="J22" s="21">
        <f>SUMPRODUCT((Human_Data_Entry!$A$3:$A$524=$I22)*(Human_Data_Entry!$H$3:$H$524="Human")*((Human_Data_Entry!$J$3:$J$524="BUY")+(Human_Data_Entry!$J$3:$J$524="SELL"))*ISNUMBER(Human_Data_Entry!$U$3:$U$524))</f>
        <v>3</v>
      </c>
      <c r="K22" s="54">
        <f>IFERROR(AVERAGEIFS(Human_Data_Entry!$U$3:$U$524,Human_Data_Entry!$A$3:$A$524,$I22,Human_Data_Entry!$H$3:$H$524,"Human",Human_Data_Entry!$J$3:$J$524,"&lt;&gt;HOLD",Human_Data_Entry!$U$3:$U$524,"&lt;&gt;"),"")</f>
        <v>1.9833333333333331E-2</v>
      </c>
      <c r="L22" s="54">
        <f>IFERROR(SUMIFS(Human_Data_Entry!$U$3:$U$524,Human_Data_Entry!$A$3:$A$524,$I22,Human_Data_Entry!$H$3:$H$524,"Human",Human_Data_Entry!$J$3:$J$524,"&lt;&gt;HOLD"),"")</f>
        <v>5.9499999999999997E-2</v>
      </c>
      <c r="M22" s="21">
        <f>COUNTIFS(LLM_Data_Entry!$A$3:$A$548,$I22,LLM_Data_Entry!$F$3:$F$548,"LLM",LLM_Data_Entry!$H$3:$H$548,"&lt;&gt;HOLD",LLM_Data_Entry!$T$3:$T$548,"&lt;&gt;")</f>
        <v>2</v>
      </c>
      <c r="N22" s="54">
        <f>IFERROR(AVERAGEIFS(LLM_Data_Entry!$T$3:$T$548,LLM_Data_Entry!$A$3:$A$548,$I22,LLM_Data_Entry!$F$3:$F$548,"LLM",LLM_Data_Entry!$H$3:$H$548,"&lt;&gt;HOLD",LLM_Data_Entry!$T$3:$T$548,"&lt;&gt;"),"")</f>
        <v>-1.6340000000000018E-3</v>
      </c>
      <c r="O22" s="54">
        <f>IFERROR(SUMIFS(LLM_Data_Entry!$T$3:$T$548,LLM_Data_Entry!$A$3:$A$548,$I22,LLM_Data_Entry!$F$3:$F$548,"LLM",LLM_Data_Entry!$H$3:$H$548,"&lt;&gt;HOLD"),"")</f>
        <v>-3.2680000000000035E-3</v>
      </c>
    </row>
    <row r="23" spans="1:15" ht="16.25" customHeight="1" x14ac:dyDescent="0.2">
      <c r="A23" s="55" t="s">
        <v>782</v>
      </c>
      <c r="B23" s="51">
        <f>COUNTIFS(Human_Data_Entry!$A$3:$A$524,$A23,Human_Data_Entry!$H$3:$H$524,"Human",Human_Data_Entry!$S$3:$S$524,"?*")</f>
        <v>8</v>
      </c>
      <c r="C23" s="51">
        <f>COUNTIFS(Human_Data_Entry!$A$3:$A$524,$A23,Human_Data_Entry!$H$3:$H$524,"Human",Human_Data_Entry!$S$3:$S$524,"YES")</f>
        <v>3</v>
      </c>
      <c r="D23" s="56">
        <f t="shared" si="6"/>
        <v>0.375</v>
      </c>
      <c r="E23" s="51">
        <f>COUNTIFS(LLM_Data_Entry!$A$3:$A$548,$A23,LLM_Data_Entry!$F$3:$F$548,"LLM",LLM_Data_Entry!$R$3:$R$548,"&lt;&gt;")</f>
        <v>4</v>
      </c>
      <c r="F23" s="53">
        <f>COUNTIFS(LLM_Data_Entry!$A$3:$A$548,$A23,LLM_Data_Entry!$F$3:$F$548,"LLM",LLM_Data_Entry!$R$3:$R$548,"YES")</f>
        <v>2</v>
      </c>
      <c r="G23" s="56">
        <f t="shared" si="7"/>
        <v>0.5</v>
      </c>
      <c r="H23" s="20"/>
      <c r="I23" s="50" t="str">
        <f t="shared" si="8"/>
        <v>Target</v>
      </c>
      <c r="J23" s="21">
        <f>SUMPRODUCT((Human_Data_Entry!$A$3:$A$524=$I23)*(Human_Data_Entry!$H$3:$H$524="Human")*((Human_Data_Entry!$J$3:$J$524="BUY")+(Human_Data_Entry!$J$3:$J$524="SELL"))*ISNUMBER(Human_Data_Entry!$U$3:$U$524))</f>
        <v>6</v>
      </c>
      <c r="K23" s="54">
        <f>IFERROR(AVERAGEIFS(Human_Data_Entry!$U$3:$U$524,Human_Data_Entry!$A$3:$A$524,$I23,Human_Data_Entry!$H$3:$H$524,"Human",Human_Data_Entry!$J$3:$J$524,"&lt;&gt;HOLD",Human_Data_Entry!$U$3:$U$524,"&lt;&gt;"),"")</f>
        <v>-6.2333333333333312E-3</v>
      </c>
      <c r="L23" s="54">
        <f>IFERROR(SUMIFS(Human_Data_Entry!$U$3:$U$524,Human_Data_Entry!$A$3:$A$524,$I23,Human_Data_Entry!$H$3:$H$524,"Human",Human_Data_Entry!$J$3:$J$524,"&lt;&gt;HOLD"),"")</f>
        <v>-3.7399999999999989E-2</v>
      </c>
      <c r="M23" s="21">
        <f>COUNTIFS(LLM_Data_Entry!$A$3:$A$548,$I23,LLM_Data_Entry!$F$3:$F$548,"LLM",LLM_Data_Entry!$H$3:$H$548,"&lt;&gt;HOLD",LLM_Data_Entry!$T$3:$T$548,"&lt;&gt;")</f>
        <v>2</v>
      </c>
      <c r="N23" s="54">
        <f>IFERROR(AVERAGEIFS(LLM_Data_Entry!$T$3:$T$548,LLM_Data_Entry!$A$3:$A$548,$I23,LLM_Data_Entry!$F$3:$F$548,"LLM",LLM_Data_Entry!$H$3:$H$548,"&lt;&gt;HOLD",LLM_Data_Entry!$T$3:$T$548,"&lt;&gt;"),"")</f>
        <v>4.4650999999999996E-2</v>
      </c>
      <c r="O23" s="54">
        <f>IFERROR(SUMIFS(LLM_Data_Entry!$T$3:$T$548,LLM_Data_Entry!$A$3:$A$548,$I23,LLM_Data_Entry!$F$3:$F$548,"LLM",LLM_Data_Entry!$H$3:$H$548,"&lt;&gt;HOLD"),"")</f>
        <v>8.9301999999999992E-2</v>
      </c>
    </row>
    <row r="24" spans="1:15" ht="16.25" customHeight="1" x14ac:dyDescent="0.2">
      <c r="A24" s="50" t="s">
        <v>609</v>
      </c>
      <c r="B24" s="51">
        <f>COUNTIFS(Human_Data_Entry!$A$3:$A$524,$A24,Human_Data_Entry!$H$3:$H$524,"Human",Human_Data_Entry!$S$3:$S$524,"?*")</f>
        <v>4</v>
      </c>
      <c r="C24" s="51">
        <f>COUNTIFS(Human_Data_Entry!$A$3:$A$524,$A24,Human_Data_Entry!$H$3:$H$524,"Human",Human_Data_Entry!$S$3:$S$524,"YES")</f>
        <v>1</v>
      </c>
      <c r="D24" s="52">
        <f t="shared" si="6"/>
        <v>0.25</v>
      </c>
      <c r="E24" s="51">
        <f>COUNTIFS(LLM_Data_Entry!$A$3:$A$548,$A24,LLM_Data_Entry!$F$3:$F$548,"LLM",LLM_Data_Entry!$R$3:$R$548,"&lt;&gt;")</f>
        <v>4</v>
      </c>
      <c r="F24" s="53">
        <f>COUNTIFS(LLM_Data_Entry!$A$3:$A$548,$A24,LLM_Data_Entry!$F$3:$F$548,"LLM",LLM_Data_Entry!$R$3:$R$548,"YES")</f>
        <v>1</v>
      </c>
      <c r="G24" s="52">
        <f t="shared" si="7"/>
        <v>0.25</v>
      </c>
      <c r="H24" s="20"/>
      <c r="I24" s="50" t="str">
        <f t="shared" si="8"/>
        <v>Boeing</v>
      </c>
      <c r="J24" s="21">
        <f>SUMPRODUCT((Human_Data_Entry!$A$3:$A$524=$I24)*(Human_Data_Entry!$H$3:$H$524="Human")*((Human_Data_Entry!$J$3:$J$524="BUY")+(Human_Data_Entry!$J$3:$J$524="SELL"))*ISNUMBER(Human_Data_Entry!$U$3:$U$524))</f>
        <v>3</v>
      </c>
      <c r="K24" s="54">
        <f>IFERROR(AVERAGEIFS(Human_Data_Entry!$U$3:$U$524,Human_Data_Entry!$A$3:$A$524,$I24,Human_Data_Entry!$H$3:$H$524,"Human",Human_Data_Entry!$J$3:$J$524,"&lt;&gt;HOLD",Human_Data_Entry!$U$3:$U$524,"&lt;&gt;"),"")</f>
        <v>-2.8133333333333333E-2</v>
      </c>
      <c r="L24" s="54">
        <f>IFERROR(SUMIFS(Human_Data_Entry!$U$3:$U$524,Human_Data_Entry!$A$3:$A$524,$I24,Human_Data_Entry!$H$3:$H$524,"Human",Human_Data_Entry!$J$3:$J$524,"&lt;&gt;HOLD"),"")</f>
        <v>-8.4400000000000003E-2</v>
      </c>
      <c r="M24" s="21">
        <f>COUNTIFS(LLM_Data_Entry!$A$3:$A$548,$I24,LLM_Data_Entry!$F$3:$F$548,"LLM",LLM_Data_Entry!$H$3:$H$548,"&lt;&gt;HOLD",LLM_Data_Entry!$T$3:$T$548,"&lt;&gt;")</f>
        <v>1</v>
      </c>
      <c r="N24" s="54">
        <f>IFERROR(AVERAGEIFS(LLM_Data_Entry!$T$3:$T$548,LLM_Data_Entry!$A$3:$A$548,$I24,LLM_Data_Entry!$F$3:$F$548,"LLM",LLM_Data_Entry!$H$3:$H$548,"&lt;&gt;HOLD",LLM_Data_Entry!$T$3:$T$548,"&lt;&gt;"),"")</f>
        <v>7.8209999999999998E-3</v>
      </c>
      <c r="O24" s="54">
        <f>IFERROR(SUMIFS(LLM_Data_Entry!$T$3:$T$548,LLM_Data_Entry!$A$3:$A$548,$I24,LLM_Data_Entry!$F$3:$F$548,"LLM",LLM_Data_Entry!$H$3:$H$548,"&lt;&gt;HOLD"),"")</f>
        <v>7.8209999999999998E-3</v>
      </c>
    </row>
    <row r="25" spans="1:15" ht="16.25" customHeight="1" x14ac:dyDescent="0.2">
      <c r="A25" s="55" t="s">
        <v>635</v>
      </c>
      <c r="B25" s="51">
        <f>COUNTIFS(Human_Data_Entry!$A$3:$A$524,$A25,Human_Data_Entry!$H$3:$H$524,"Human",Human_Data_Entry!$S$3:$S$524,"?*")</f>
        <v>3</v>
      </c>
      <c r="C25" s="51">
        <f>COUNTIFS(Human_Data_Entry!$A$3:$A$524,$A25,Human_Data_Entry!$H$3:$H$524,"Human",Human_Data_Entry!$S$3:$S$524,"YES")</f>
        <v>1</v>
      </c>
      <c r="D25" s="56">
        <f t="shared" si="6"/>
        <v>0.33333333333333331</v>
      </c>
      <c r="E25" s="51">
        <f>COUNTIFS(LLM_Data_Entry!$A$3:$A$548,$A25,LLM_Data_Entry!$F$3:$F$548,"LLM",LLM_Data_Entry!$R$3:$R$548,"&lt;&gt;")</f>
        <v>3</v>
      </c>
      <c r="F25" s="53">
        <f>COUNTIFS(LLM_Data_Entry!$A$3:$A$548,$A25,LLM_Data_Entry!$F$3:$F$548,"LLM",LLM_Data_Entry!$R$3:$R$548,"YES")</f>
        <v>0</v>
      </c>
      <c r="G25" s="56">
        <f t="shared" si="7"/>
        <v>0</v>
      </c>
      <c r="H25" s="20"/>
      <c r="I25" s="50" t="str">
        <f t="shared" si="8"/>
        <v>Disney</v>
      </c>
      <c r="J25" s="21">
        <f>SUMPRODUCT((Human_Data_Entry!$A$3:$A$524=$I25)*(Human_Data_Entry!$H$3:$H$524="Human")*((Human_Data_Entry!$J$3:$J$524="BUY")+(Human_Data_Entry!$J$3:$J$524="SELL"))*ISNUMBER(Human_Data_Entry!$U$3:$U$524))</f>
        <v>3</v>
      </c>
      <c r="K25" s="54">
        <f>IFERROR(AVERAGEIFS(Human_Data_Entry!$U$3:$U$524,Human_Data_Entry!$A$3:$A$524,$I25,Human_Data_Entry!$H$3:$H$524,"Human",Human_Data_Entry!$J$3:$J$524,"&lt;&gt;HOLD",Human_Data_Entry!$U$3:$U$524,"&lt;&gt;"),"")</f>
        <v>-2.3266666666666668E-2</v>
      </c>
      <c r="L25" s="54">
        <f>IFERROR(SUMIFS(Human_Data_Entry!$U$3:$U$524,Human_Data_Entry!$A$3:$A$524,$I25,Human_Data_Entry!$H$3:$H$524,"Human",Human_Data_Entry!$J$3:$J$524,"&lt;&gt;HOLD"),"")</f>
        <v>-6.9800000000000001E-2</v>
      </c>
      <c r="M25" s="21">
        <f>COUNTIFS(LLM_Data_Entry!$A$3:$A$548,$I25,LLM_Data_Entry!$F$3:$F$548,"LLM",LLM_Data_Entry!$H$3:$H$548,"&lt;&gt;HOLD",LLM_Data_Entry!$T$3:$T$548,"&lt;&gt;")</f>
        <v>1</v>
      </c>
      <c r="N25" s="54">
        <f>IFERROR(AVERAGEIFS(LLM_Data_Entry!$T$3:$T$548,LLM_Data_Entry!$A$3:$A$548,$I25,LLM_Data_Entry!$F$3:$F$548,"LLM",LLM_Data_Entry!$H$3:$H$548,"&lt;&gt;HOLD",LLM_Data_Entry!$T$3:$T$548,"&lt;&gt;"),"")</f>
        <v>-6.7524000000000001E-2</v>
      </c>
      <c r="O25" s="54">
        <f>IFERROR(SUMIFS(LLM_Data_Entry!$T$3:$T$548,LLM_Data_Entry!$A$3:$A$548,$I25,LLM_Data_Entry!$F$3:$F$548,"LLM",LLM_Data_Entry!$H$3:$H$548,"&lt;&gt;HOLD"),"")</f>
        <v>-6.7524000000000001E-2</v>
      </c>
    </row>
    <row r="26" spans="1:15" ht="16.25" customHeight="1" x14ac:dyDescent="0.2">
      <c r="A26" s="19" t="s">
        <v>654</v>
      </c>
      <c r="B26" s="51">
        <f>COUNTIFS(Human_Data_Entry!$A$3:$A$524,$A26,Human_Data_Entry!$H$3:$H$524,"Human",Human_Data_Entry!$S$3:$S$524,"?*")</f>
        <v>3</v>
      </c>
      <c r="C26" s="51">
        <f>COUNTIFS(Human_Data_Entry!$A$3:$A$524,$A26,Human_Data_Entry!$H$3:$H$524,"Human",Human_Data_Entry!$S$3:$S$524,"YES")</f>
        <v>1</v>
      </c>
      <c r="D26" s="56">
        <f t="shared" si="6"/>
        <v>0.33333333333333331</v>
      </c>
      <c r="E26" s="51">
        <f>COUNTIFS(LLM_Data_Entry!$A$3:$A$548,$A26,LLM_Data_Entry!$F$3:$F$548,"LLM",LLM_Data_Entry!$R$3:$R$548,"&lt;&gt;")</f>
        <v>3</v>
      </c>
      <c r="F26" s="53">
        <f>COUNTIFS(LLM_Data_Entry!$A$3:$A$548,$A26,LLM_Data_Entry!$F$3:$F$548,"LLM",LLM_Data_Entry!$R$3:$R$548,"YES")</f>
        <v>2</v>
      </c>
      <c r="G26" s="56">
        <f t="shared" si="7"/>
        <v>0.66666666666666663</v>
      </c>
      <c r="H26" s="20"/>
      <c r="I26" s="50" t="str">
        <f t="shared" si="8"/>
        <v>Amazon</v>
      </c>
      <c r="J26" s="21">
        <f>SUMPRODUCT((Human_Data_Entry!$A$3:$A$524=$I26)*(Human_Data_Entry!$H$3:$H$524="Human")*((Human_Data_Entry!$J$3:$J$524="BUY")+(Human_Data_Entry!$J$3:$J$524="SELL"))*ISNUMBER(Human_Data_Entry!$U$3:$U$524))</f>
        <v>3</v>
      </c>
      <c r="K26" s="54">
        <f>IFERROR(AVERAGEIFS(Human_Data_Entry!$U$3:$U$524,Human_Data_Entry!$A$3:$A$524,$I26,Human_Data_Entry!$H$3:$H$524,"Human",Human_Data_Entry!$J$3:$J$524,"&lt;&gt;HOLD",Human_Data_Entry!$U$3:$U$524,"&lt;&gt;"),"")</f>
        <v>-5.8833333333333328E-2</v>
      </c>
      <c r="L26" s="54">
        <f>IFERROR(SUMIFS(Human_Data_Entry!$U$3:$U$524,Human_Data_Entry!$A$3:$A$524,$I26,Human_Data_Entry!$H$3:$H$524,"Human",Human_Data_Entry!$J$3:$J$524,"&lt;&gt;HOLD"),"")</f>
        <v>-0.17649999999999999</v>
      </c>
      <c r="M26" s="21">
        <f>COUNTIFS(LLM_Data_Entry!$A$3:$A$548,$I26,LLM_Data_Entry!$F$3:$F$548,"LLM",LLM_Data_Entry!$H$3:$H$548,"&lt;&gt;HOLD",LLM_Data_Entry!$T$3:$T$548,"&lt;&gt;")</f>
        <v>3</v>
      </c>
      <c r="N26" s="54">
        <f>IFERROR(AVERAGEIFS(LLM_Data_Entry!$T$3:$T$548,LLM_Data_Entry!$A$3:$A$548,$I26,LLM_Data_Entry!$F$3:$F$548,"LLM",LLM_Data_Entry!$H$3:$H$548,"&lt;&gt;HOLD",LLM_Data_Entry!$T$3:$T$548,"&lt;&gt;"),"")</f>
        <v>1.0159999999999985E-3</v>
      </c>
      <c r="O26" s="54">
        <f>IFERROR(SUMIFS(LLM_Data_Entry!$T$3:$T$548,LLM_Data_Entry!$A$3:$A$548,$I26,LLM_Data_Entry!$F$3:$F$548,"LLM",LLM_Data_Entry!$H$3:$H$548,"&lt;&gt;HOLD"),"")</f>
        <v>3.0479999999999952E-3</v>
      </c>
    </row>
    <row r="27" spans="1:15" ht="16.25" customHeight="1" x14ac:dyDescent="0.2">
      <c r="A27" s="19" t="s">
        <v>668</v>
      </c>
      <c r="B27" s="51">
        <f>COUNTIFS(Human_Data_Entry!$A$3:$A$524,$A27,Human_Data_Entry!$H$3:$H$524,"Human",Human_Data_Entry!$S$3:$S$524,"?*")</f>
        <v>3</v>
      </c>
      <c r="C27" s="51">
        <f>COUNTIFS(Human_Data_Entry!$A$3:$A$524,$A27,Human_Data_Entry!$H$3:$H$524,"Human",Human_Data_Entry!$S$3:$S$524,"YES")</f>
        <v>1</v>
      </c>
      <c r="D27" s="56">
        <f t="shared" si="6"/>
        <v>0.33333333333333331</v>
      </c>
      <c r="E27" s="51">
        <f>COUNTIFS(LLM_Data_Entry!$A$3:$A$548,$A27,LLM_Data_Entry!$F$3:$F$548,"LLM",LLM_Data_Entry!$R$3:$R$548,"&lt;&gt;")</f>
        <v>3</v>
      </c>
      <c r="F27" s="53">
        <f>COUNTIFS(LLM_Data_Entry!$A$3:$A$548,$A27,LLM_Data_Entry!$F$3:$F$548,"LLM",LLM_Data_Entry!$R$3:$R$548,"YES")</f>
        <v>1</v>
      </c>
      <c r="G27" s="56">
        <f t="shared" si="7"/>
        <v>0.33333333333333331</v>
      </c>
      <c r="H27" s="20"/>
      <c r="I27" s="50" t="str">
        <f t="shared" si="8"/>
        <v>McDonald's</v>
      </c>
      <c r="J27" s="21">
        <f>SUMPRODUCT((Human_Data_Entry!$A$3:$A$524=$I27)*(Human_Data_Entry!$H$3:$H$524="Human")*((Human_Data_Entry!$J$3:$J$524="BUY")+(Human_Data_Entry!$J$3:$J$524="SELL"))*ISNUMBER(Human_Data_Entry!$U$3:$U$524))</f>
        <v>2</v>
      </c>
      <c r="K27" s="54">
        <f>IFERROR(AVERAGEIFS(Human_Data_Entry!$U$3:$U$524,Human_Data_Entry!$A$3:$A$524,$I27,Human_Data_Entry!$H$3:$H$524,"Human",Human_Data_Entry!$J$3:$J$524,"&lt;&gt;HOLD",Human_Data_Entry!$U$3:$U$524,"&lt;&gt;"),"")</f>
        <v>-1.8200000000000001E-2</v>
      </c>
      <c r="L27" s="54">
        <f>IFERROR(SUMIFS(Human_Data_Entry!$U$3:$U$524,Human_Data_Entry!$A$3:$A$524,$I27,Human_Data_Entry!$H$3:$H$524,"Human",Human_Data_Entry!$J$3:$J$524,"&lt;&gt;HOLD"),"")</f>
        <v>-3.6400000000000002E-2</v>
      </c>
      <c r="M27" s="21">
        <f>COUNTIFS(LLM_Data_Entry!$A$3:$A$548,$I27,LLM_Data_Entry!$F$3:$F$548,"LLM",LLM_Data_Entry!$H$3:$H$548,"&lt;&gt;HOLD",LLM_Data_Entry!$T$3:$T$548,"&lt;&gt;")</f>
        <v>2</v>
      </c>
      <c r="N27" s="54">
        <f>IFERROR(AVERAGEIFS(LLM_Data_Entry!$T$3:$T$548,LLM_Data_Entry!$A$3:$A$548,$I27,LLM_Data_Entry!$F$3:$F$548,"LLM",LLM_Data_Entry!$H$3:$H$548,"&lt;&gt;HOLD",LLM_Data_Entry!$T$3:$T$548,"&lt;&gt;"),"")</f>
        <v>-2.1104999999999999E-2</v>
      </c>
      <c r="O27" s="54">
        <f>IFERROR(SUMIFS(LLM_Data_Entry!$T$3:$T$548,LLM_Data_Entry!$A$3:$A$548,$I27,LLM_Data_Entry!$F$3:$F$548,"LLM",LLM_Data_Entry!$H$3:$H$548,"&lt;&gt;HOLD"),"")</f>
        <v>-4.2209999999999998E-2</v>
      </c>
    </row>
    <row r="28" spans="1:15" ht="16.25" customHeight="1" x14ac:dyDescent="0.2">
      <c r="A28" s="19" t="s">
        <v>730</v>
      </c>
      <c r="B28" s="51">
        <f>COUNTIFS(Human_Data_Entry!$A$3:$A$524,$A28,Human_Data_Entry!$H$3:$H$524,"Human",Human_Data_Entry!$S$3:$S$524,"?*")</f>
        <v>3</v>
      </c>
      <c r="C28" s="51">
        <f>COUNTIFS(Human_Data_Entry!$A$3:$A$524,$A28,Human_Data_Entry!$H$3:$H$524,"Human",Human_Data_Entry!$S$3:$S$524,"YES")</f>
        <v>1</v>
      </c>
      <c r="D28" s="56">
        <f t="shared" si="6"/>
        <v>0.33333333333333331</v>
      </c>
      <c r="E28" s="51">
        <f>COUNTIFS(LLM_Data_Entry!$A$3:$A$548,$A28,LLM_Data_Entry!$F$3:$F$548,"LLM",LLM_Data_Entry!$R$3:$R$548,"&lt;&gt;")</f>
        <v>3</v>
      </c>
      <c r="F28" s="53">
        <f>COUNTIFS(LLM_Data_Entry!$A$3:$A$548,$A28,LLM_Data_Entry!$F$3:$F$548,"LLM",LLM_Data_Entry!$R$3:$R$548,"YES")</f>
        <v>1</v>
      </c>
      <c r="G28" s="56">
        <f t="shared" si="7"/>
        <v>0.33333333333333331</v>
      </c>
      <c r="H28" s="20"/>
      <c r="I28" s="50" t="str">
        <f t="shared" si="8"/>
        <v>AMD</v>
      </c>
      <c r="J28" s="21">
        <f>SUMPRODUCT((Human_Data_Entry!$A$3:$A$524=$I28)*(Human_Data_Entry!$H$3:$H$524="Human")*((Human_Data_Entry!$J$3:$J$524="BUY")+(Human_Data_Entry!$J$3:$J$524="SELL"))*ISNUMBER(Human_Data_Entry!$U$3:$U$524))</f>
        <v>3</v>
      </c>
      <c r="K28" s="54">
        <f>IFERROR(AVERAGEIFS(Human_Data_Entry!$U$3:$U$524,Human_Data_Entry!$A$3:$A$524,$I28,Human_Data_Entry!$H$3:$H$524,"Human",Human_Data_Entry!$J$3:$J$524,"&lt;&gt;HOLD",Human_Data_Entry!$U$3:$U$524,"&lt;&gt;"),"")</f>
        <v>-5.1666666666666666E-3</v>
      </c>
      <c r="L28" s="54">
        <f>IFERROR(SUMIFS(Human_Data_Entry!$U$3:$U$524,Human_Data_Entry!$A$3:$A$524,$I28,Human_Data_Entry!$H$3:$H$524,"Human",Human_Data_Entry!$J$3:$J$524,"&lt;&gt;HOLD"),"")</f>
        <v>-1.55E-2</v>
      </c>
      <c r="M28" s="21">
        <f>COUNTIFS(LLM_Data_Entry!$A$3:$A$548,$I28,LLM_Data_Entry!$F$3:$F$548,"LLM",LLM_Data_Entry!$H$3:$H$548,"&lt;&gt;HOLD",LLM_Data_Entry!$T$3:$T$548,"&lt;&gt;")</f>
        <v>2</v>
      </c>
      <c r="N28" s="54">
        <f>IFERROR(AVERAGEIFS(LLM_Data_Entry!$T$3:$T$548,LLM_Data_Entry!$A$3:$A$548,$I28,LLM_Data_Entry!$F$3:$F$548,"LLM",LLM_Data_Entry!$H$3:$H$548,"&lt;&gt;HOLD",LLM_Data_Entry!$T$3:$T$548,"&lt;&gt;"),"")</f>
        <v>1.9337500000000001E-2</v>
      </c>
      <c r="O28" s="54">
        <f>IFERROR(SUMIFS(LLM_Data_Entry!$T$3:$T$548,LLM_Data_Entry!$A$3:$A$548,$I28,LLM_Data_Entry!$F$3:$F$548,"LLM",LLM_Data_Entry!$H$3:$H$548,"&lt;&gt;HOLD"),"")</f>
        <v>3.8675000000000001E-2</v>
      </c>
    </row>
    <row r="29" spans="1:15" ht="16.25" customHeight="1" x14ac:dyDescent="0.2">
      <c r="A29" s="19" t="s">
        <v>697</v>
      </c>
      <c r="B29" s="51">
        <f>COUNTIFS(Human_Data_Entry!$A$3:$A$524,$A29,Human_Data_Entry!$H$3:$H$524,"Human",Human_Data_Entry!$S$3:$S$524,"?*")</f>
        <v>3</v>
      </c>
      <c r="C29" s="51">
        <f>COUNTIFS(Human_Data_Entry!$A$3:$A$524,$A29,Human_Data_Entry!$H$3:$H$524,"Human",Human_Data_Entry!$S$3:$S$524,"YES")</f>
        <v>2</v>
      </c>
      <c r="D29" s="56">
        <f t="shared" si="6"/>
        <v>0.66666666666666663</v>
      </c>
      <c r="E29" s="51">
        <f>COUNTIFS(LLM_Data_Entry!$A$3:$A$548,$A29,LLM_Data_Entry!$F$3:$F$548,"LLM",LLM_Data_Entry!$R$3:$R$548,"&lt;&gt;")</f>
        <v>3</v>
      </c>
      <c r="F29" s="53">
        <f>COUNTIFS(LLM_Data_Entry!$A$3:$A$548,$A29,LLM_Data_Entry!$F$3:$F$548,"LLM",LLM_Data_Entry!$R$3:$R$548,"YES")</f>
        <v>2</v>
      </c>
      <c r="G29" s="56">
        <f t="shared" si="7"/>
        <v>0.66666666666666663</v>
      </c>
      <c r="H29" s="20"/>
      <c r="I29" s="50" t="str">
        <f t="shared" si="8"/>
        <v>Coca-Cola</v>
      </c>
      <c r="J29" s="21">
        <f>SUMPRODUCT((Human_Data_Entry!$A$3:$A$524=$I29)*(Human_Data_Entry!$H$3:$H$524="Human")*((Human_Data_Entry!$J$3:$J$524="BUY")+(Human_Data_Entry!$J$3:$J$524="SELL"))*ISNUMBER(Human_Data_Entry!$U$3:$U$524))</f>
        <v>2</v>
      </c>
      <c r="K29" s="54">
        <f>IFERROR(AVERAGEIFS(Human_Data_Entry!$U$3:$U$524,Human_Data_Entry!$A$3:$A$524,$I29,Human_Data_Entry!$H$3:$H$524,"Human",Human_Data_Entry!$J$3:$J$524,"&lt;&gt;HOLD",Human_Data_Entry!$U$3:$U$524,"&lt;&gt;"),"")</f>
        <v>3.465E-2</v>
      </c>
      <c r="L29" s="54">
        <f>IFERROR(SUMIFS(Human_Data_Entry!$U$3:$U$524,Human_Data_Entry!$A$3:$A$524,$I29,Human_Data_Entry!$H$3:$H$524,"Human",Human_Data_Entry!$J$3:$J$524,"&lt;&gt;HOLD"),"")</f>
        <v>6.93E-2</v>
      </c>
      <c r="M29" s="21">
        <f>COUNTIFS(LLM_Data_Entry!$A$3:$A$548,$I29,LLM_Data_Entry!$F$3:$F$548,"LLM",LLM_Data_Entry!$H$3:$H$548,"&lt;&gt;HOLD",LLM_Data_Entry!$T$3:$T$548,"&lt;&gt;")</f>
        <v>0</v>
      </c>
      <c r="N29" s="54" t="str">
        <f>IFERROR(AVERAGEIFS(LLM_Data_Entry!$T$3:$T$548,LLM_Data_Entry!$A$3:$A$548,$I29,LLM_Data_Entry!$F$3:$F$548,"LLM",LLM_Data_Entry!$H$3:$H$548,"&lt;&gt;HOLD",LLM_Data_Entry!$T$3:$T$548,"&lt;&gt;"),"")</f>
        <v/>
      </c>
      <c r="O29" s="54">
        <f>IFERROR(SUMIFS(LLM_Data_Entry!$T$3:$T$548,LLM_Data_Entry!$A$3:$A$548,$I29,LLM_Data_Entry!$F$3:$F$548,"LLM",LLM_Data_Entry!$H$3:$H$548,"&lt;&gt;HOLD"),"")</f>
        <v>0</v>
      </c>
    </row>
    <row r="30" spans="1:15" ht="16.25" customHeight="1" x14ac:dyDescent="0.2">
      <c r="A30" s="19" t="s">
        <v>740</v>
      </c>
      <c r="B30" s="51">
        <f>COUNTIFS(Human_Data_Entry!$A$3:$A$524,$A30,Human_Data_Entry!$H$3:$H$524,"Human",Human_Data_Entry!$S$3:$S$524,"?*")</f>
        <v>4</v>
      </c>
      <c r="C30" s="51">
        <f>COUNTIFS(Human_Data_Entry!$A$3:$A$524,$A30,Human_Data_Entry!$H$3:$H$524,"Human",Human_Data_Entry!$S$3:$S$524,"YES")</f>
        <v>2</v>
      </c>
      <c r="D30" s="56">
        <f t="shared" si="6"/>
        <v>0.5</v>
      </c>
      <c r="E30" s="51">
        <f>COUNTIFS(LLM_Data_Entry!$A$3:$A$548,$A30,LLM_Data_Entry!$F$3:$F$548,"LLM",LLM_Data_Entry!$R$3:$R$548,"&lt;&gt;")</f>
        <v>4</v>
      </c>
      <c r="F30" s="53">
        <f>COUNTIFS(LLM_Data_Entry!$A$3:$A$548,$A30,LLM_Data_Entry!$F$3:$F$548,"LLM",LLM_Data_Entry!$R$3:$R$548,"YES")</f>
        <v>3</v>
      </c>
      <c r="G30" s="56">
        <f t="shared" si="7"/>
        <v>0.75</v>
      </c>
      <c r="H30" s="20"/>
      <c r="I30" s="50" t="str">
        <f t="shared" si="8"/>
        <v>Airbnb</v>
      </c>
      <c r="J30" s="21">
        <f>SUMPRODUCT((Human_Data_Entry!$A$3:$A$524=$I30)*(Human_Data_Entry!$H$3:$H$524="Human")*((Human_Data_Entry!$J$3:$J$524="BUY")+(Human_Data_Entry!$J$3:$J$524="SELL"))*ISNUMBER(Human_Data_Entry!$U$3:$U$524))</f>
        <v>4</v>
      </c>
      <c r="K30" s="54">
        <f>IFERROR(AVERAGEIFS(Human_Data_Entry!$U$3:$U$524,Human_Data_Entry!$A$3:$A$524,$I30,Human_Data_Entry!$H$3:$H$524,"Human",Human_Data_Entry!$J$3:$J$524,"&lt;&gt;HOLD",Human_Data_Entry!$U$3:$U$524,"&lt;&gt;"),"")</f>
        <v>8.3999999999999995E-3</v>
      </c>
      <c r="L30" s="54">
        <f>IFERROR(SUMIFS(Human_Data_Entry!$U$3:$U$524,Human_Data_Entry!$A$3:$A$524,$I30,Human_Data_Entry!$H$3:$H$524,"Human",Human_Data_Entry!$J$3:$J$524,"&lt;&gt;HOLD"),"")</f>
        <v>3.3599999999999998E-2</v>
      </c>
      <c r="M30" s="21">
        <f>COUNTIFS(LLM_Data_Entry!$A$3:$A$548,$I30,LLM_Data_Entry!$F$3:$F$548,"LLM",LLM_Data_Entry!$H$3:$H$548,"&lt;&gt;HOLD",LLM_Data_Entry!$T$3:$T$548,"&lt;&gt;")</f>
        <v>2</v>
      </c>
      <c r="N30" s="54">
        <f>IFERROR(AVERAGEIFS(LLM_Data_Entry!$T$3:$T$548,LLM_Data_Entry!$A$3:$A$548,$I30,LLM_Data_Entry!$F$3:$F$548,"LLM",LLM_Data_Entry!$H$3:$H$548,"&lt;&gt;HOLD",LLM_Data_Entry!$T$3:$T$548,"&lt;&gt;"),"")</f>
        <v>6.4892500000000006E-2</v>
      </c>
      <c r="O30" s="54">
        <f>IFERROR(SUMIFS(LLM_Data_Entry!$T$3:$T$548,LLM_Data_Entry!$A$3:$A$548,$I30,LLM_Data_Entry!$F$3:$F$548,"LLM",LLM_Data_Entry!$H$3:$H$548,"&lt;&gt;HOLD"),"")</f>
        <v>0.12978500000000001</v>
      </c>
    </row>
    <row r="31" spans="1:15" ht="16.25" customHeight="1" x14ac:dyDescent="0.2">
      <c r="A31" s="19" t="s">
        <v>683</v>
      </c>
      <c r="B31" s="51">
        <f>COUNTIFS(Human_Data_Entry!$A$3:$A$524,$A31,Human_Data_Entry!$H$3:$H$524,"Human",Human_Data_Entry!$S$3:$S$524,"?*")</f>
        <v>3</v>
      </c>
      <c r="C31" s="51">
        <f>COUNTIFS(Human_Data_Entry!$A$3:$A$524,$A31,Human_Data_Entry!$H$3:$H$524,"Human",Human_Data_Entry!$S$3:$S$524,"YES")</f>
        <v>1</v>
      </c>
      <c r="D31" s="56">
        <f t="shared" si="6"/>
        <v>0.33333333333333331</v>
      </c>
      <c r="E31" s="51">
        <f>COUNTIFS(LLM_Data_Entry!$A$3:$A$548,$A31,LLM_Data_Entry!$F$3:$F$548,"LLM",LLM_Data_Entry!$R$3:$R$548,"&lt;&gt;")</f>
        <v>3</v>
      </c>
      <c r="F31" s="53">
        <f>COUNTIFS(LLM_Data_Entry!$A$3:$A$548,$A31,LLM_Data_Entry!$F$3:$F$548,"LLM",LLM_Data_Entry!$R$3:$R$548,"YES")</f>
        <v>2</v>
      </c>
      <c r="G31" s="56">
        <f t="shared" si="7"/>
        <v>0.66666666666666663</v>
      </c>
      <c r="H31" s="20"/>
      <c r="I31" s="50" t="str">
        <f t="shared" si="8"/>
        <v>Apple</v>
      </c>
      <c r="J31" s="21">
        <f>SUMPRODUCT((Human_Data_Entry!$A$3:$A$524=$I31)*(Human_Data_Entry!$H$3:$H$524="Human")*((Human_Data_Entry!$J$3:$J$524="BUY")+(Human_Data_Entry!$J$3:$J$524="SELL"))*ISNUMBER(Human_Data_Entry!$U$3:$U$524))</f>
        <v>3</v>
      </c>
      <c r="K31" s="54">
        <f>IFERROR(AVERAGEIFS(Human_Data_Entry!$U$3:$U$524,Human_Data_Entry!$A$3:$A$524,$I31,Human_Data_Entry!$H$3:$H$524,"Human",Human_Data_Entry!$J$3:$J$524,"&lt;&gt;HOLD",Human_Data_Entry!$U$3:$U$524,"&lt;&gt;"),"")</f>
        <v>-3.4333333333333347E-3</v>
      </c>
      <c r="L31" s="54">
        <f>IFERROR(SUMIFS(Human_Data_Entry!$U$3:$U$524,Human_Data_Entry!$A$3:$A$524,$I31,Human_Data_Entry!$H$3:$H$524,"Human",Human_Data_Entry!$J$3:$J$524,"&lt;&gt;HOLD"),"")</f>
        <v>-1.0300000000000004E-2</v>
      </c>
      <c r="M31" s="21">
        <f>COUNTIFS(LLM_Data_Entry!$A$3:$A$548,$I31,LLM_Data_Entry!$F$3:$F$548,"LLM",LLM_Data_Entry!$H$3:$H$548,"&lt;&gt;HOLD",LLM_Data_Entry!$T$3:$T$548,"&lt;&gt;")</f>
        <v>2</v>
      </c>
      <c r="N31" s="54">
        <f>IFERROR(AVERAGEIFS(LLM_Data_Entry!$T$3:$T$548,LLM_Data_Entry!$A$3:$A$548,$I31,LLM_Data_Entry!$F$3:$F$548,"LLM",LLM_Data_Entry!$H$3:$H$548,"&lt;&gt;HOLD",LLM_Data_Entry!$T$3:$T$548,"&lt;&gt;"),"")</f>
        <v>3.2779999999999997E-3</v>
      </c>
      <c r="O31" s="54">
        <f>IFERROR(SUMIFS(LLM_Data_Entry!$T$3:$T$548,LLM_Data_Entry!$A$3:$A$548,$I31,LLM_Data_Entry!$F$3:$F$548,"LLM",LLM_Data_Entry!$H$3:$H$548,"&lt;&gt;HOLD"),"")</f>
        <v>6.5559999999999993E-3</v>
      </c>
    </row>
    <row r="32" spans="1:15" ht="16.25" customHeight="1" x14ac:dyDescent="0.2">
      <c r="A32" s="19" t="s">
        <v>833</v>
      </c>
      <c r="B32" s="51">
        <f>COUNTIFS(Human_Data_Entry!$A$3:$A$524,$A32,Human_Data_Entry!$H$3:$H$524,"Human",Human_Data_Entry!$S$3:$S$524,"?*")</f>
        <v>5</v>
      </c>
      <c r="C32" s="51">
        <f>COUNTIFS(Human_Data_Entry!$A$3:$A$524,$A32,Human_Data_Entry!$H$3:$H$524,"Human",Human_Data_Entry!$S$3:$S$524,"YES")</f>
        <v>1</v>
      </c>
      <c r="D32" s="56">
        <f t="shared" si="6"/>
        <v>0.2</v>
      </c>
      <c r="E32" s="51">
        <f>COUNTIFS(LLM_Data_Entry!$A$3:$A$548,$A32,LLM_Data_Entry!$F$3:$F$548,"LLM",LLM_Data_Entry!$R$3:$R$548,"&lt;&gt;")</f>
        <v>5</v>
      </c>
      <c r="F32" s="53">
        <f>COUNTIFS(LLM_Data_Entry!$A$3:$A$548,$A32,LLM_Data_Entry!$F$3:$F$548,"LLM",LLM_Data_Entry!$R$3:$R$548,"YES")</f>
        <v>3</v>
      </c>
      <c r="G32" s="56">
        <f t="shared" si="7"/>
        <v>0.6</v>
      </c>
      <c r="H32" s="20"/>
      <c r="I32" s="50" t="str">
        <f t="shared" si="8"/>
        <v>Lowe's</v>
      </c>
      <c r="J32" s="21">
        <f>SUMPRODUCT((Human_Data_Entry!$A$3:$A$524=$I32)*(Human_Data_Entry!$H$3:$H$524="Human")*((Human_Data_Entry!$J$3:$J$524="BUY")+(Human_Data_Entry!$J$3:$J$524="SELL"))*ISNUMBER(Human_Data_Entry!$U$3:$U$524))</f>
        <v>2</v>
      </c>
      <c r="K32" s="54">
        <f>IFERROR(AVERAGEIFS(Human_Data_Entry!$U$3:$U$524,Human_Data_Entry!$A$3:$A$524,$I32,Human_Data_Entry!$H$3:$H$524,"Human",Human_Data_Entry!$J$3:$J$524,"&lt;&gt;HOLD",Human_Data_Entry!$U$3:$U$524,"&lt;&gt;"),"")</f>
        <v>1.1099999999999999E-2</v>
      </c>
      <c r="L32" s="54">
        <f>IFERROR(SUMIFS(Human_Data_Entry!$U$3:$U$524,Human_Data_Entry!$A$3:$A$524,$I32,Human_Data_Entry!$H$3:$H$524,"Human",Human_Data_Entry!$J$3:$J$524,"&lt;&gt;HOLD"),"")</f>
        <v>2.2199999999999998E-2</v>
      </c>
      <c r="M32" s="21">
        <f>COUNTIFS(LLM_Data_Entry!$A$3:$A$548,$I32,LLM_Data_Entry!$F$3:$F$548,"LLM",LLM_Data_Entry!$H$3:$H$548,"&lt;&gt;HOLD",LLM_Data_Entry!$T$3:$T$548,"&lt;&gt;")</f>
        <v>4</v>
      </c>
      <c r="N32" s="54">
        <f>IFERROR(AVERAGEIFS(LLM_Data_Entry!$T$3:$T$548,LLM_Data_Entry!$A$3:$A$548,$I32,LLM_Data_Entry!$F$3:$F$548,"LLM",LLM_Data_Entry!$H$3:$H$548,"&lt;&gt;HOLD",LLM_Data_Entry!$T$3:$T$548,"&lt;&gt;"),"")</f>
        <v>8.238249999999999E-3</v>
      </c>
      <c r="O32" s="54">
        <f>IFERROR(SUMIFS(LLM_Data_Entry!$T$3:$T$548,LLM_Data_Entry!$A$3:$A$548,$I32,LLM_Data_Entry!$F$3:$F$548,"LLM",LLM_Data_Entry!$H$3:$H$548,"&lt;&gt;HOLD"),"")</f>
        <v>3.2952999999999996E-2</v>
      </c>
    </row>
    <row r="33" spans="1:15" ht="16.25" customHeight="1" x14ac:dyDescent="0.2">
      <c r="A33" s="19" t="s">
        <v>932</v>
      </c>
      <c r="B33" s="51">
        <f>COUNTIFS(Human_Data_Entry!$A$3:$A$524,$A33,Human_Data_Entry!$H$3:$H$524,"Human",Human_Data_Entry!$S$3:$S$524,"?*")</f>
        <v>4</v>
      </c>
      <c r="C33" s="51">
        <f>COUNTIFS(Human_Data_Entry!$A$3:$A$524,$A33,Human_Data_Entry!$H$3:$H$524,"Human",Human_Data_Entry!$S$3:$S$524,"YES")</f>
        <v>2</v>
      </c>
      <c r="D33" s="56">
        <f t="shared" si="6"/>
        <v>0.5</v>
      </c>
      <c r="E33" s="51">
        <f>COUNTIFS(LLM_Data_Entry!$A$3:$A$548,$A33,LLM_Data_Entry!$F$3:$F$548,"LLM",LLM_Data_Entry!$R$3:$R$548,"&lt;&gt;")</f>
        <v>4</v>
      </c>
      <c r="F33" s="53">
        <f>COUNTIFS(LLM_Data_Entry!$A$3:$A$548,$A33,LLM_Data_Entry!$F$3:$F$548,"LLM",LLM_Data_Entry!$R$3:$R$548,"YES")</f>
        <v>0</v>
      </c>
      <c r="G33" s="56">
        <f t="shared" si="7"/>
        <v>0</v>
      </c>
      <c r="H33" s="20"/>
      <c r="I33" s="50" t="str">
        <f t="shared" si="8"/>
        <v>CVS Health</v>
      </c>
      <c r="J33" s="21">
        <f>SUMPRODUCT((Human_Data_Entry!$A$3:$A$524=$I33)*(Human_Data_Entry!$H$3:$H$524="Human")*((Human_Data_Entry!$J$3:$J$524="BUY")+(Human_Data_Entry!$J$3:$J$524="SELL"))*ISNUMBER(Human_Data_Entry!$U$3:$U$524))</f>
        <v>4</v>
      </c>
      <c r="K33" s="54">
        <f>IFERROR(AVERAGEIFS(Human_Data_Entry!$U$3:$U$524,Human_Data_Entry!$A$3:$A$524,$I33,Human_Data_Entry!$H$3:$H$524,"Human",Human_Data_Entry!$J$3:$J$524,"&lt;&gt;HOLD",Human_Data_Entry!$U$3:$U$524,"&lt;&gt;"),"")</f>
        <v>2.1099999999999997E-2</v>
      </c>
      <c r="L33" s="54">
        <f>IFERROR(SUMIFS(Human_Data_Entry!$U$3:$U$524,Human_Data_Entry!$A$3:$A$524,$I33,Human_Data_Entry!$H$3:$H$524,"Human",Human_Data_Entry!$J$3:$J$524,"&lt;&gt;HOLD"),"")</f>
        <v>8.4399999999999989E-2</v>
      </c>
      <c r="M33" s="21">
        <f>COUNTIFS(LLM_Data_Entry!$A$3:$A$548,$I33,LLM_Data_Entry!$F$3:$F$548,"LLM",LLM_Data_Entry!$H$3:$H$548,"&lt;&gt;HOLD",LLM_Data_Entry!$T$3:$T$548,"&lt;&gt;")</f>
        <v>1</v>
      </c>
      <c r="N33" s="54">
        <f>IFERROR(AVERAGEIFS(LLM_Data_Entry!$T$3:$T$548,LLM_Data_Entry!$A$3:$A$548,$I33,LLM_Data_Entry!$F$3:$F$548,"LLM",LLM_Data_Entry!$H$3:$H$548,"&lt;&gt;HOLD",LLM_Data_Entry!$T$3:$T$548,"&lt;&gt;"),"")</f>
        <v>2.65E-3</v>
      </c>
      <c r="O33" s="54">
        <f>IFERROR(SUMIFS(LLM_Data_Entry!$T$3:$T$548,LLM_Data_Entry!$A$3:$A$548,$I33,LLM_Data_Entry!$F$3:$F$548,"LLM",LLM_Data_Entry!$H$3:$H$548,"&lt;&gt;HOLD"),"")</f>
        <v>2.65E-3</v>
      </c>
    </row>
    <row r="34" spans="1:15" ht="16.25" customHeight="1" x14ac:dyDescent="0.2">
      <c r="A34" s="19" t="s">
        <v>1056</v>
      </c>
      <c r="B34" s="51">
        <f>COUNTIFS(Human_Data_Entry!$A$3:$A$524,$A34,Human_Data_Entry!$H$3:$H$524,"Human",Human_Data_Entry!$S$3:$S$524,"?*")</f>
        <v>4</v>
      </c>
      <c r="C34" s="51">
        <f>COUNTIFS(Human_Data_Entry!$A$3:$A$524,$A34,Human_Data_Entry!$H$3:$H$524,"Human",Human_Data_Entry!$S$3:$S$524,"YES")</f>
        <v>1</v>
      </c>
      <c r="D34" s="56">
        <f t="shared" si="6"/>
        <v>0.25</v>
      </c>
      <c r="E34" s="51">
        <f>COUNTIFS(LLM_Data_Entry!$A$3:$A$548,$A34,LLM_Data_Entry!$F$3:$F$548,"LLM",LLM_Data_Entry!$R$3:$R$548,"&lt;&gt;")</f>
        <v>4</v>
      </c>
      <c r="F34" s="53">
        <f>COUNTIFS(LLM_Data_Entry!$A$3:$A$548,$A34,LLM_Data_Entry!$F$3:$F$548,"LLM",LLM_Data_Entry!$R$3:$R$548,"YES")</f>
        <v>2</v>
      </c>
      <c r="G34" s="56">
        <f t="shared" si="7"/>
        <v>0.5</v>
      </c>
      <c r="H34" s="20"/>
      <c r="I34" s="50" t="str">
        <f t="shared" si="8"/>
        <v>FedEx</v>
      </c>
      <c r="J34" s="21">
        <f>SUMPRODUCT((Human_Data_Entry!$A$3:$A$524=$I34)*(Human_Data_Entry!$H$3:$H$524="Human")*((Human_Data_Entry!$J$3:$J$524="BUY")+(Human_Data_Entry!$J$3:$J$524="SELL"))*ISNUMBER(Human_Data_Entry!$U$3:$U$524))</f>
        <v>3</v>
      </c>
      <c r="K34" s="54">
        <f>IFERROR(AVERAGEIFS(Human_Data_Entry!$U$3:$U$524,Human_Data_Entry!$A$3:$A$524,$I34,Human_Data_Entry!$H$3:$H$524,"Human",Human_Data_Entry!$J$3:$J$524,"&lt;&gt;HOLD",Human_Data_Entry!$U$3:$U$524,"&lt;&gt;"),"")</f>
        <v>2.2166666666666668E-2</v>
      </c>
      <c r="L34" s="54">
        <f>IFERROR(SUMIFS(Human_Data_Entry!$U$3:$U$524,Human_Data_Entry!$A$3:$A$524,$I34,Human_Data_Entry!$H$3:$H$524,"Human",Human_Data_Entry!$J$3:$J$524,"&lt;&gt;HOLD"),"")</f>
        <v>6.6500000000000004E-2</v>
      </c>
      <c r="M34" s="21">
        <f>COUNTIFS(LLM_Data_Entry!$A$3:$A$548,$I34,LLM_Data_Entry!$F$3:$F$548,"LLM",LLM_Data_Entry!$H$3:$H$548,"&lt;&gt;HOLD",LLM_Data_Entry!$T$3:$T$548,"&lt;&gt;")</f>
        <v>2</v>
      </c>
      <c r="N34" s="54">
        <f>IFERROR(AVERAGEIFS(LLM_Data_Entry!$T$3:$T$548,LLM_Data_Entry!$A$3:$A$548,$I34,LLM_Data_Entry!$F$3:$F$548,"LLM",LLM_Data_Entry!$H$3:$H$548,"&lt;&gt;HOLD",LLM_Data_Entry!$T$3:$T$548,"&lt;&gt;"),"")</f>
        <v>2.9721000000000004E-2</v>
      </c>
      <c r="O34" s="54">
        <f>IFERROR(SUMIFS(LLM_Data_Entry!$T$3:$T$548,LLM_Data_Entry!$A$3:$A$548,$I34,LLM_Data_Entry!$F$3:$F$548,"LLM",LLM_Data_Entry!$H$3:$H$548,"&lt;&gt;HOLD"),"")</f>
        <v>5.9442000000000009E-2</v>
      </c>
    </row>
    <row r="35" spans="1:15" ht="16.25" customHeight="1" x14ac:dyDescent="0.2">
      <c r="A35" s="19" t="s">
        <v>1070</v>
      </c>
      <c r="B35" s="51">
        <f>COUNTIFS(Human_Data_Entry!$A$3:$A$524,$A35,Human_Data_Entry!$H$3:$H$524,"Human",Human_Data_Entry!$S$3:$S$524,"?*")</f>
        <v>5</v>
      </c>
      <c r="C35" s="51">
        <f>COUNTIFS(Human_Data_Entry!$A$3:$A$524,$A35,Human_Data_Entry!$H$3:$H$524,"Human",Human_Data_Entry!$S$3:$S$524,"YES")</f>
        <v>1</v>
      </c>
      <c r="D35" s="56">
        <f t="shared" si="6"/>
        <v>0.2</v>
      </c>
      <c r="E35" s="51">
        <f>COUNTIFS(LLM_Data_Entry!$A$3:$A$548,$A35,LLM_Data_Entry!$F$3:$F$548,"LLM",LLM_Data_Entry!$R$3:$R$548,"&lt;&gt;")</f>
        <v>5</v>
      </c>
      <c r="F35" s="53">
        <f>COUNTIFS(LLM_Data_Entry!$A$3:$A$548,$A35,LLM_Data_Entry!$F$3:$F$548,"LLM",LLM_Data_Entry!$R$3:$R$548,"YES")</f>
        <v>1</v>
      </c>
      <c r="G35" s="56">
        <f t="shared" si="7"/>
        <v>0.2</v>
      </c>
      <c r="H35" s="20"/>
      <c r="I35" s="50" t="str">
        <f t="shared" si="8"/>
        <v>Hilton</v>
      </c>
      <c r="J35" s="21">
        <f>SUMPRODUCT((Human_Data_Entry!$A$3:$A$524=$I35)*(Human_Data_Entry!$H$3:$H$524="Human")*((Human_Data_Entry!$J$3:$J$524="BUY")+(Human_Data_Entry!$J$3:$J$524="SELL"))*ISNUMBER(Human_Data_Entry!$U$3:$U$524))</f>
        <v>3</v>
      </c>
      <c r="K35" s="54">
        <f>IFERROR(AVERAGEIFS(Human_Data_Entry!$U$3:$U$524,Human_Data_Entry!$A$3:$A$524,$I35,Human_Data_Entry!$H$3:$H$524,"Human",Human_Data_Entry!$J$3:$J$524,"&lt;&gt;HOLD",Human_Data_Entry!$U$3:$U$524,"&lt;&gt;"),"")</f>
        <v>-1.6566666666666667E-2</v>
      </c>
      <c r="L35" s="54">
        <f>IFERROR(SUMIFS(Human_Data_Entry!$U$3:$U$524,Human_Data_Entry!$A$3:$A$524,$I35,Human_Data_Entry!$H$3:$H$524,"Human",Human_Data_Entry!$J$3:$J$524,"&lt;&gt;HOLD"),"")</f>
        <v>-4.9700000000000001E-2</v>
      </c>
      <c r="M35" s="21">
        <f>COUNTIFS(LLM_Data_Entry!$A$3:$A$548,$I35,LLM_Data_Entry!$F$3:$F$548,"LLM",LLM_Data_Entry!$H$3:$H$548,"&lt;&gt;HOLD",LLM_Data_Entry!$T$3:$T$548,"&lt;&gt;")</f>
        <v>2</v>
      </c>
      <c r="N35" s="54">
        <f>IFERROR(AVERAGEIFS(LLM_Data_Entry!$T$3:$T$548,LLM_Data_Entry!$A$3:$A$548,$I35,LLM_Data_Entry!$F$3:$F$548,"LLM",LLM_Data_Entry!$H$3:$H$548,"&lt;&gt;HOLD",LLM_Data_Entry!$T$3:$T$548,"&lt;&gt;"),"")</f>
        <v>-1.0765500000000001E-2</v>
      </c>
      <c r="O35" s="54">
        <f>IFERROR(SUMIFS(LLM_Data_Entry!$T$3:$T$548,LLM_Data_Entry!$A$3:$A$548,$I35,LLM_Data_Entry!$F$3:$F$548,"LLM",LLM_Data_Entry!$H$3:$H$548,"&lt;&gt;HOLD"),"")</f>
        <v>-2.1531000000000002E-2</v>
      </c>
    </row>
    <row r="36" spans="1:15" ht="16.25" customHeight="1" x14ac:dyDescent="0.2">
      <c r="A36" s="19" t="s">
        <v>1079</v>
      </c>
      <c r="B36" s="51">
        <f>COUNTIFS(Human_Data_Entry!$A$3:$A$524,$A36,Human_Data_Entry!$H$3:$H$524,"Human",Human_Data_Entry!$S$3:$S$524,"?*")</f>
        <v>4</v>
      </c>
      <c r="C36" s="51">
        <f>COUNTIFS(Human_Data_Entry!$A$3:$A$524,$A36,Human_Data_Entry!$H$3:$H$524,"Human",Human_Data_Entry!$S$3:$S$524,"YES")</f>
        <v>1</v>
      </c>
      <c r="D36" s="56">
        <f t="shared" si="6"/>
        <v>0.25</v>
      </c>
      <c r="E36" s="51">
        <f>COUNTIFS(LLM_Data_Entry!$A$3:$A$548,$A36,LLM_Data_Entry!$F$3:$F$548,"LLM",LLM_Data_Entry!$R$3:$R$548,"&lt;&gt;")</f>
        <v>4</v>
      </c>
      <c r="F36" s="53">
        <f>COUNTIFS(LLM_Data_Entry!$A$3:$A$548,$A36,LLM_Data_Entry!$F$3:$F$548,"LLM",LLM_Data_Entry!$R$3:$R$548,"YES")</f>
        <v>2</v>
      </c>
      <c r="G36" s="56">
        <f t="shared" si="7"/>
        <v>0.5</v>
      </c>
      <c r="H36" s="20"/>
      <c r="I36" s="50" t="str">
        <f t="shared" si="8"/>
        <v>Marriott</v>
      </c>
      <c r="J36" s="21">
        <f>SUMPRODUCT((Human_Data_Entry!$A$3:$A$524=$I36)*(Human_Data_Entry!$H$3:$H$524="Human")*((Human_Data_Entry!$J$3:$J$524="BUY")+(Human_Data_Entry!$J$3:$J$524="SELL"))*ISNUMBER(Human_Data_Entry!$U$3:$U$524))</f>
        <v>2</v>
      </c>
      <c r="K36" s="54">
        <f>IFERROR(AVERAGEIFS(Human_Data_Entry!$U$3:$U$524,Human_Data_Entry!$A$3:$A$524,$I36,Human_Data_Entry!$H$3:$H$524,"Human",Human_Data_Entry!$J$3:$J$524,"&lt;&gt;HOLD",Human_Data_Entry!$U$3:$U$524,"&lt;&gt;"),"")</f>
        <v>-2.8300000000000002E-2</v>
      </c>
      <c r="L36" s="54">
        <f>IFERROR(SUMIFS(Human_Data_Entry!$U$3:$U$524,Human_Data_Entry!$A$3:$A$524,$I36,Human_Data_Entry!$H$3:$H$524,"Human",Human_Data_Entry!$J$3:$J$524,"&lt;&gt;HOLD"),"")</f>
        <v>-5.6600000000000004E-2</v>
      </c>
      <c r="M36" s="21">
        <f>COUNTIFS(LLM_Data_Entry!$A$3:$A$548,$I36,LLM_Data_Entry!$F$3:$F$548,"LLM",LLM_Data_Entry!$H$3:$H$548,"&lt;&gt;HOLD",LLM_Data_Entry!$T$3:$T$548,"&lt;&gt;")</f>
        <v>2</v>
      </c>
      <c r="N36" s="54">
        <f>IFERROR(AVERAGEIFS(LLM_Data_Entry!$T$3:$T$548,LLM_Data_Entry!$A$3:$A$548,$I36,LLM_Data_Entry!$F$3:$F$548,"LLM",LLM_Data_Entry!$H$3:$H$548,"&lt;&gt;HOLD",LLM_Data_Entry!$T$3:$T$548,"&lt;&gt;"),"")</f>
        <v>2.68825E-2</v>
      </c>
      <c r="O36" s="54">
        <f>IFERROR(SUMIFS(LLM_Data_Entry!$T$3:$T$548,LLM_Data_Entry!$A$3:$A$548,$I36,LLM_Data_Entry!$F$3:$F$548,"LLM",LLM_Data_Entry!$H$3:$H$548,"&lt;&gt;HOLD"),"")</f>
        <v>5.3765E-2</v>
      </c>
    </row>
    <row r="37" spans="1:15" ht="16.25" customHeight="1" x14ac:dyDescent="0.2">
      <c r="A37" s="19" t="s">
        <v>770</v>
      </c>
      <c r="B37" s="51">
        <f>COUNTIFS(Human_Data_Entry!$A$3:$A$524,$A37,Human_Data_Entry!$H$3:$H$524,"Human",Human_Data_Entry!$S$3:$S$524,"?*")</f>
        <v>3</v>
      </c>
      <c r="C37" s="51">
        <f>COUNTIFS(Human_Data_Entry!$A$3:$A$524,$A37,Human_Data_Entry!$H$3:$H$524,"Human",Human_Data_Entry!$S$3:$S$524,"YES")</f>
        <v>1</v>
      </c>
      <c r="D37" s="56">
        <f t="shared" si="6"/>
        <v>0.33333333333333331</v>
      </c>
      <c r="E37" s="51">
        <f>COUNTIFS(LLM_Data_Entry!$A$3:$A$548,$A37,LLM_Data_Entry!$F$3:$F$548,"LLM",LLM_Data_Entry!$R$3:$R$548,"&lt;&gt;")</f>
        <v>3</v>
      </c>
      <c r="F37" s="53">
        <f>COUNTIFS(LLM_Data_Entry!$A$3:$A$548,$A37,LLM_Data_Entry!$F$3:$F$548,"LLM",LLM_Data_Entry!$R$3:$R$548,"YES")</f>
        <v>1</v>
      </c>
      <c r="G37" s="56">
        <f t="shared" si="7"/>
        <v>0.33333333333333331</v>
      </c>
      <c r="H37" s="20"/>
      <c r="I37" s="50" t="str">
        <f t="shared" si="8"/>
        <v>IBM</v>
      </c>
      <c r="J37" s="21">
        <f>SUMPRODUCT((Human_Data_Entry!$A$3:$A$524=$I37)*(Human_Data_Entry!$H$3:$H$524="Human")*((Human_Data_Entry!$J$3:$J$524="BUY")+(Human_Data_Entry!$J$3:$J$524="SELL"))*ISNUMBER(Human_Data_Entry!$U$3:$U$524))</f>
        <v>2</v>
      </c>
      <c r="K37" s="54">
        <f>IFERROR(AVERAGEIFS(Human_Data_Entry!$U$3:$U$524,Human_Data_Entry!$A$3:$A$524,$I37,Human_Data_Entry!$H$3:$H$524,"Human",Human_Data_Entry!$J$3:$J$524,"&lt;&gt;HOLD",Human_Data_Entry!$U$3:$U$524,"&lt;&gt;"),"")</f>
        <v>2.5000000000000022E-3</v>
      </c>
      <c r="L37" s="54">
        <f>IFERROR(SUMIFS(Human_Data_Entry!$U$3:$U$524,Human_Data_Entry!$A$3:$A$524,$I37,Human_Data_Entry!$H$3:$H$524,"Human",Human_Data_Entry!$J$3:$J$524,"&lt;&gt;HOLD"),"")</f>
        <v>5.0000000000000044E-3</v>
      </c>
      <c r="M37" s="21">
        <f>COUNTIFS(LLM_Data_Entry!$A$3:$A$548,$I37,LLM_Data_Entry!$F$3:$F$548,"LLM",LLM_Data_Entry!$H$3:$H$548,"&lt;&gt;HOLD",LLM_Data_Entry!$T$3:$T$548,"&lt;&gt;")</f>
        <v>2</v>
      </c>
      <c r="N37" s="54">
        <f>IFERROR(AVERAGEIFS(LLM_Data_Entry!$T$3:$T$548,LLM_Data_Entry!$A$3:$A$548,$I37,LLM_Data_Entry!$F$3:$F$548,"LLM",LLM_Data_Entry!$H$3:$H$548,"&lt;&gt;HOLD",LLM_Data_Entry!$T$3:$T$548,"&lt;&gt;"),"")</f>
        <v>2.477E-3</v>
      </c>
      <c r="O37" s="54">
        <f>IFERROR(SUMIFS(LLM_Data_Entry!$T$3:$T$548,LLM_Data_Entry!$A$3:$A$548,$I37,LLM_Data_Entry!$F$3:$F$548,"LLM",LLM_Data_Entry!$H$3:$H$548,"&lt;&gt;HOLD"),"")</f>
        <v>4.9540000000000001E-3</v>
      </c>
    </row>
    <row r="38" spans="1:15" ht="16.25" customHeight="1" x14ac:dyDescent="0.2">
      <c r="A38" s="19" t="s">
        <v>800</v>
      </c>
      <c r="B38" s="51">
        <f>COUNTIFS(Human_Data_Entry!$A$3:$A$524,$A38,Human_Data_Entry!$H$3:$H$524,"Human",Human_Data_Entry!$S$3:$S$524,"?*")</f>
        <v>3</v>
      </c>
      <c r="C38" s="51">
        <f>COUNTIFS(Human_Data_Entry!$A$3:$A$524,$A38,Human_Data_Entry!$H$3:$H$524,"Human",Human_Data_Entry!$S$3:$S$524,"YES")</f>
        <v>2</v>
      </c>
      <c r="D38" s="56">
        <f t="shared" si="6"/>
        <v>0.66666666666666663</v>
      </c>
      <c r="E38" s="51">
        <f>COUNTIFS(LLM_Data_Entry!$A$3:$A$548,$A38,LLM_Data_Entry!$F$3:$F$548,"LLM",LLM_Data_Entry!$R$3:$R$548,"&lt;&gt;")</f>
        <v>3</v>
      </c>
      <c r="F38" s="53">
        <f>COUNTIFS(LLM_Data_Entry!$A$3:$A$548,$A38,LLM_Data_Entry!$F$3:$F$548,"LLM",LLM_Data_Entry!$R$3:$R$548,"YES")</f>
        <v>2</v>
      </c>
      <c r="G38" s="56">
        <f t="shared" si="7"/>
        <v>0.66666666666666663</v>
      </c>
      <c r="H38" s="20"/>
      <c r="I38" s="50" t="str">
        <f t="shared" si="8"/>
        <v>Nike</v>
      </c>
      <c r="J38" s="21">
        <f>SUMPRODUCT((Human_Data_Entry!$A$3:$A$524=$I38)*(Human_Data_Entry!$H$3:$H$524="Human")*((Human_Data_Entry!$J$3:$J$524="BUY")+(Human_Data_Entry!$J$3:$J$524="SELL"))*ISNUMBER(Human_Data_Entry!$U$3:$U$524))</f>
        <v>3</v>
      </c>
      <c r="K38" s="54">
        <f>IFERROR(AVERAGEIFS(Human_Data_Entry!$U$3:$U$524,Human_Data_Entry!$A$3:$A$524,$I38,Human_Data_Entry!$H$3:$H$524,"Human",Human_Data_Entry!$J$3:$J$524,"&lt;&gt;HOLD",Human_Data_Entry!$U$3:$U$524,"&lt;&gt;"),"")</f>
        <v>5.1700000000000003E-2</v>
      </c>
      <c r="L38" s="54">
        <f>IFERROR(SUMIFS(Human_Data_Entry!$U$3:$U$524,Human_Data_Entry!$A$3:$A$524,$I38,Human_Data_Entry!$H$3:$H$524,"Human",Human_Data_Entry!$J$3:$J$524,"&lt;&gt;HOLD"),"")</f>
        <v>0.15510000000000002</v>
      </c>
      <c r="M38" s="21">
        <f>COUNTIFS(LLM_Data_Entry!$A$3:$A$548,$I38,LLM_Data_Entry!$F$3:$F$548,"LLM",LLM_Data_Entry!$H$3:$H$548,"&lt;&gt;HOLD",LLM_Data_Entry!$T$3:$T$548,"&lt;&gt;")</f>
        <v>3</v>
      </c>
      <c r="N38" s="54">
        <f>IFERROR(AVERAGEIFS(LLM_Data_Entry!$T$3:$T$548,LLM_Data_Entry!$A$3:$A$548,$I38,LLM_Data_Entry!$F$3:$F$548,"LLM",LLM_Data_Entry!$H$3:$H$548,"&lt;&gt;HOLD",LLM_Data_Entry!$T$3:$T$548,"&lt;&gt;"),"")</f>
        <v>5.1711000000000007E-2</v>
      </c>
      <c r="O38" s="54">
        <f>IFERROR(SUMIFS(LLM_Data_Entry!$T$3:$T$548,LLM_Data_Entry!$A$3:$A$548,$I38,LLM_Data_Entry!$F$3:$F$548,"LLM",LLM_Data_Entry!$H$3:$H$548,"&lt;&gt;HOLD"),"")</f>
        <v>0.15513300000000002</v>
      </c>
    </row>
    <row r="39" spans="1:15" ht="16.25" customHeight="1" x14ac:dyDescent="0.2">
      <c r="A39" s="19" t="s">
        <v>851</v>
      </c>
      <c r="B39" s="51">
        <f>COUNTIFS(Human_Data_Entry!$A$3:$A$524,$A39,Human_Data_Entry!$H$3:$H$524,"Human",Human_Data_Entry!$S$3:$S$524,"?*")</f>
        <v>4</v>
      </c>
      <c r="C39" s="51">
        <f>COUNTIFS(Human_Data_Entry!$A$3:$A$524,$A39,Human_Data_Entry!$H$3:$H$524,"Human",Human_Data_Entry!$S$3:$S$524,"YES")</f>
        <v>1</v>
      </c>
      <c r="D39" s="56">
        <f t="shared" si="6"/>
        <v>0.25</v>
      </c>
      <c r="E39" s="51">
        <f>COUNTIFS(LLM_Data_Entry!$A$3:$A$548,$A39,LLM_Data_Entry!$F$3:$F$548,"LLM",LLM_Data_Entry!$R$3:$R$548,"&lt;&gt;")</f>
        <v>4</v>
      </c>
      <c r="F39" s="53">
        <f>COUNTIFS(LLM_Data_Entry!$A$3:$A$548,$A39,LLM_Data_Entry!$F$3:$F$548,"LLM",LLM_Data_Entry!$R$3:$R$548,"YES")</f>
        <v>1</v>
      </c>
      <c r="G39" s="56">
        <f t="shared" si="7"/>
        <v>0.25</v>
      </c>
      <c r="H39" s="20"/>
      <c r="I39" s="50" t="str">
        <f t="shared" si="8"/>
        <v>Citigroup</v>
      </c>
      <c r="J39" s="21">
        <f>SUMPRODUCT((Human_Data_Entry!$A$3:$A$524=$I39)*(Human_Data_Entry!$H$3:$H$524="Human")*((Human_Data_Entry!$J$3:$J$524="BUY")+(Human_Data_Entry!$J$3:$J$524="SELL"))*ISNUMBER(Human_Data_Entry!$U$3:$U$524))</f>
        <v>3</v>
      </c>
      <c r="K39" s="54">
        <f>IFERROR(AVERAGEIFS(Human_Data_Entry!$U$3:$U$524,Human_Data_Entry!$A$3:$A$524,$I39,Human_Data_Entry!$H$3:$H$524,"Human",Human_Data_Entry!$J$3:$J$524,"&lt;&gt;HOLD",Human_Data_Entry!$U$3:$U$524,"&lt;&gt;"),"")</f>
        <v>5.933333333333333E-3</v>
      </c>
      <c r="L39" s="54">
        <f>IFERROR(SUMIFS(Human_Data_Entry!$U$3:$U$524,Human_Data_Entry!$A$3:$A$524,$I39,Human_Data_Entry!$H$3:$H$524,"Human",Human_Data_Entry!$J$3:$J$524,"&lt;&gt;HOLD"),"")</f>
        <v>1.78E-2</v>
      </c>
      <c r="M39" s="21">
        <f>COUNTIFS(LLM_Data_Entry!$A$3:$A$548,$I39,LLM_Data_Entry!$F$3:$F$548,"LLM",LLM_Data_Entry!$H$3:$H$548,"&lt;&gt;HOLD",LLM_Data_Entry!$T$3:$T$548,"&lt;&gt;")</f>
        <v>3</v>
      </c>
      <c r="N39" s="54">
        <f>IFERROR(AVERAGEIFS(LLM_Data_Entry!$T$3:$T$548,LLM_Data_Entry!$A$3:$A$548,$I39,LLM_Data_Entry!$F$3:$F$548,"LLM",LLM_Data_Entry!$H$3:$H$548,"&lt;&gt;HOLD",LLM_Data_Entry!$T$3:$T$548,"&lt;&gt;"),"")</f>
        <v>-4.0316666666666669E-3</v>
      </c>
      <c r="O39" s="54">
        <f>IFERROR(SUMIFS(LLM_Data_Entry!$T$3:$T$548,LLM_Data_Entry!$A$3:$A$548,$I39,LLM_Data_Entry!$F$3:$F$548,"LLM",LLM_Data_Entry!$H$3:$H$548,"&lt;&gt;HOLD"),"")</f>
        <v>-1.2095E-2</v>
      </c>
    </row>
    <row r="40" spans="1:15" ht="16.25" customHeight="1" x14ac:dyDescent="0.2">
      <c r="A40" s="19" t="s">
        <v>876</v>
      </c>
      <c r="B40" s="51">
        <f>COUNTIFS(Human_Data_Entry!$A$3:$A$524,$A40,Human_Data_Entry!$H$3:$H$524,"Human",Human_Data_Entry!$S$3:$S$524,"?*")</f>
        <v>6</v>
      </c>
      <c r="C40" s="51">
        <f>COUNTIFS(Human_Data_Entry!$A$3:$A$524,$A40,Human_Data_Entry!$H$3:$H$524,"Human",Human_Data_Entry!$S$3:$S$524,"YES")</f>
        <v>2</v>
      </c>
      <c r="D40" s="56">
        <f t="shared" si="6"/>
        <v>0.33333333333333331</v>
      </c>
      <c r="E40" s="51">
        <f>COUNTIFS(LLM_Data_Entry!$A$3:$A$548,$A40,LLM_Data_Entry!$F$3:$F$548,"LLM",LLM_Data_Entry!$R$3:$R$548,"&lt;&gt;")</f>
        <v>6</v>
      </c>
      <c r="F40" s="53">
        <f>COUNTIFS(LLM_Data_Entry!$A$3:$A$548,$A40,LLM_Data_Entry!$F$3:$F$548,"LLM",LLM_Data_Entry!$R$3:$R$548,"YES")</f>
        <v>2</v>
      </c>
      <c r="G40" s="56">
        <f t="shared" si="7"/>
        <v>0.33333333333333331</v>
      </c>
      <c r="H40" s="20"/>
      <c r="I40" s="50" t="str">
        <f t="shared" si="8"/>
        <v>Goldman Sachs</v>
      </c>
      <c r="J40" s="21">
        <f>SUMPRODUCT((Human_Data_Entry!$A$3:$A$524=$I40)*(Human_Data_Entry!$H$3:$H$524="Human")*((Human_Data_Entry!$J$3:$J$524="BUY")+(Human_Data_Entry!$J$3:$J$524="SELL"))*ISNUMBER(Human_Data_Entry!$U$3:$U$524))</f>
        <v>6</v>
      </c>
      <c r="K40" s="54">
        <f>IFERROR(AVERAGEIFS(Human_Data_Entry!$U$3:$U$524,Human_Data_Entry!$A$3:$A$524,$I40,Human_Data_Entry!$H$3:$H$524,"Human",Human_Data_Entry!$J$3:$J$524,"&lt;&gt;HOLD",Human_Data_Entry!$U$3:$U$524,"&lt;&gt;"),"")</f>
        <v>-1.3333333333333253E-4</v>
      </c>
      <c r="L40" s="54">
        <f>IFERROR(SUMIFS(Human_Data_Entry!$U$3:$U$524,Human_Data_Entry!$A$3:$A$524,$I40,Human_Data_Entry!$H$3:$H$524,"Human",Human_Data_Entry!$J$3:$J$524,"&lt;&gt;HOLD"),"")</f>
        <v>-7.9999999999999516E-4</v>
      </c>
      <c r="M40" s="21">
        <f>COUNTIFS(LLM_Data_Entry!$A$3:$A$548,$I40,LLM_Data_Entry!$F$3:$F$548,"LLM",LLM_Data_Entry!$H$3:$H$548,"&lt;&gt;HOLD",LLM_Data_Entry!$T$3:$T$548,"&lt;&gt;")</f>
        <v>4</v>
      </c>
      <c r="N40" s="54">
        <f>IFERROR(AVERAGEIFS(LLM_Data_Entry!$T$3:$T$548,LLM_Data_Entry!$A$3:$A$548,$I40,LLM_Data_Entry!$F$3:$F$548,"LLM",LLM_Data_Entry!$H$3:$H$548,"&lt;&gt;HOLD",LLM_Data_Entry!$T$3:$T$548,"&lt;&gt;"),"")</f>
        <v>-9.164499999999999E-3</v>
      </c>
      <c r="O40" s="54">
        <f>IFERROR(SUMIFS(LLM_Data_Entry!$T$3:$T$548,LLM_Data_Entry!$A$3:$A$548,$I40,LLM_Data_Entry!$F$3:$F$548,"LLM",LLM_Data_Entry!$H$3:$H$548,"&lt;&gt;HOLD"),"")</f>
        <v>-3.6657999999999996E-2</v>
      </c>
    </row>
    <row r="41" spans="1:15" ht="16.25" customHeight="1" x14ac:dyDescent="0.2">
      <c r="A41" s="19" t="s">
        <v>903</v>
      </c>
      <c r="B41" s="51">
        <f>COUNTIFS(Human_Data_Entry!$A$3:$A$524,$A41,Human_Data_Entry!$H$3:$H$524,"Human",Human_Data_Entry!$S$3:$S$524,"?*")</f>
        <v>5</v>
      </c>
      <c r="C41" s="51">
        <f>COUNTIFS(Human_Data_Entry!$A$3:$A$524,$A41,Human_Data_Entry!$H$3:$H$524,"Human",Human_Data_Entry!$S$3:$S$524,"YES")</f>
        <v>0</v>
      </c>
      <c r="D41" s="56">
        <f t="shared" si="6"/>
        <v>0</v>
      </c>
      <c r="E41" s="51">
        <f>COUNTIFS(LLM_Data_Entry!$A$3:$A$548,$A41,LLM_Data_Entry!$F$3:$F$548,"LLM",LLM_Data_Entry!$R$3:$R$548,"&lt;&gt;")</f>
        <v>5</v>
      </c>
      <c r="F41" s="53">
        <f>COUNTIFS(LLM_Data_Entry!$A$3:$A$548,$A41,LLM_Data_Entry!$F$3:$F$548,"LLM",LLM_Data_Entry!$R$3:$R$548,"YES")</f>
        <v>3</v>
      </c>
      <c r="G41" s="56">
        <f t="shared" si="7"/>
        <v>0.6</v>
      </c>
      <c r="H41" s="20"/>
      <c r="I41" s="50" t="str">
        <f t="shared" si="8"/>
        <v>Charles Schwab</v>
      </c>
      <c r="J41" s="21">
        <f>SUMPRODUCT((Human_Data_Entry!$A$3:$A$524=$I41)*(Human_Data_Entry!$H$3:$H$524="Human")*((Human_Data_Entry!$J$3:$J$524="BUY")+(Human_Data_Entry!$J$3:$J$524="SELL"))*ISNUMBER(Human_Data_Entry!$U$3:$U$524))</f>
        <v>5</v>
      </c>
      <c r="K41" s="54">
        <f>IFERROR(AVERAGEIFS(Human_Data_Entry!$U$3:$U$524,Human_Data_Entry!$A$3:$A$524,$I41,Human_Data_Entry!$H$3:$H$524,"Human",Human_Data_Entry!$J$3:$J$524,"&lt;&gt;HOLD",Human_Data_Entry!$U$3:$U$524,"&lt;&gt;"),"")</f>
        <v>5.0200000000000002E-3</v>
      </c>
      <c r="L41" s="54">
        <f>IFERROR(SUMIFS(Human_Data_Entry!$U$3:$U$524,Human_Data_Entry!$A$3:$A$524,$I41,Human_Data_Entry!$H$3:$H$524,"Human",Human_Data_Entry!$J$3:$J$524,"&lt;&gt;HOLD"),"")</f>
        <v>2.5100000000000001E-2</v>
      </c>
      <c r="M41" s="21">
        <f>COUNTIFS(LLM_Data_Entry!$A$3:$A$548,$I41,LLM_Data_Entry!$F$3:$F$548,"LLM",LLM_Data_Entry!$H$3:$H$548,"&lt;&gt;HOLD",LLM_Data_Entry!$T$3:$T$548,"&lt;&gt;")</f>
        <v>2</v>
      </c>
      <c r="N41" s="54">
        <f>IFERROR(AVERAGEIFS(LLM_Data_Entry!$T$3:$T$548,LLM_Data_Entry!$A$3:$A$548,$I41,LLM_Data_Entry!$F$3:$F$548,"LLM",LLM_Data_Entry!$H$3:$H$548,"&lt;&gt;HOLD",LLM_Data_Entry!$T$3:$T$548,"&lt;&gt;"),"")</f>
        <v>1.2299500000000001E-2</v>
      </c>
      <c r="O41" s="54">
        <f>IFERROR(SUMIFS(LLM_Data_Entry!$T$3:$T$548,LLM_Data_Entry!$A$3:$A$548,$I41,LLM_Data_Entry!$F$3:$F$548,"LLM",LLM_Data_Entry!$H$3:$H$548,"&lt;&gt;HOLD"),"")</f>
        <v>2.4599000000000003E-2</v>
      </c>
    </row>
    <row r="42" spans="1:15" ht="16.25" customHeight="1" x14ac:dyDescent="0.2">
      <c r="A42" s="19" t="s">
        <v>1319</v>
      </c>
      <c r="B42" s="51">
        <f>COUNTIFS(Human_Data_Entry!$A$3:$A$524,$A42,Human_Data_Entry!$H$3:$H$524,"Human",Human_Data_Entry!$S$3:$S$524,"?*")</f>
        <v>13</v>
      </c>
      <c r="C42" s="51">
        <f>COUNTIFS(Human_Data_Entry!$A$3:$A$524,$A42,Human_Data_Entry!$H$3:$H$524,"Human",Human_Data_Entry!$S$3:$S$524,"YES")</f>
        <v>3</v>
      </c>
      <c r="D42" s="56">
        <f t="shared" si="6"/>
        <v>0.23076923076923078</v>
      </c>
      <c r="E42" s="51">
        <f>COUNTIFS(LLM_Data_Entry!$A$3:$A$548,$A42,LLM_Data_Entry!$F$3:$F$548,"LLM",LLM_Data_Entry!$R$3:$R$548,"&lt;&gt;")</f>
        <v>6</v>
      </c>
      <c r="F42" s="53">
        <f>COUNTIFS(LLM_Data_Entry!$A$3:$A$548,$A42,LLM_Data_Entry!$F$3:$F$548,"LLM",LLM_Data_Entry!$R$3:$R$548,"YES")</f>
        <v>3</v>
      </c>
      <c r="G42" s="56">
        <f t="shared" si="7"/>
        <v>0.5</v>
      </c>
      <c r="H42" s="20"/>
      <c r="I42" s="50" t="str">
        <f t="shared" si="8"/>
        <v>MetLife</v>
      </c>
      <c r="J42" s="21">
        <f>SUMPRODUCT((Human_Data_Entry!$A$3:$A$524=$I42)*(Human_Data_Entry!$H$3:$H$524="Human")*((Human_Data_Entry!$J$3:$J$524="BUY")+(Human_Data_Entry!$J$3:$J$524="SELL"))*ISNUMBER(Human_Data_Entry!$U$3:$U$524))</f>
        <v>8</v>
      </c>
      <c r="K42" s="54">
        <f>IFERROR(AVERAGEIFS(Human_Data_Entry!$U$3:$U$524,Human_Data_Entry!$A$3:$A$524,$I42,Human_Data_Entry!$H$3:$H$524,"Human",Human_Data_Entry!$J$3:$J$524,"&lt;&gt;HOLD",Human_Data_Entry!$U$3:$U$524,"&lt;&gt;"),"")</f>
        <v>3.5124999999999996E-3</v>
      </c>
      <c r="L42" s="54">
        <f>IFERROR(SUMIFS(Human_Data_Entry!$U$3:$U$524,Human_Data_Entry!$A$3:$A$524,$I42,Human_Data_Entry!$H$3:$H$524,"Human",Human_Data_Entry!$J$3:$J$524,"&lt;&gt;HOLD"),"")</f>
        <v>2.8099999999999997E-2</v>
      </c>
      <c r="M42" s="21">
        <f>COUNTIFS(LLM_Data_Entry!$A$3:$A$548,$I42,LLM_Data_Entry!$F$3:$F$548,"LLM",LLM_Data_Entry!$H$3:$H$548,"&lt;&gt;HOLD",LLM_Data_Entry!$T$3:$T$548,"&lt;&gt;")</f>
        <v>4</v>
      </c>
      <c r="N42" s="54">
        <f>IFERROR(AVERAGEIFS(LLM_Data_Entry!$T$3:$T$548,LLM_Data_Entry!$A$3:$A$548,$I42,LLM_Data_Entry!$F$3:$F$548,"LLM",LLM_Data_Entry!$H$3:$H$548,"&lt;&gt;HOLD",LLM_Data_Entry!$T$3:$T$548,"&lt;&gt;"),"")</f>
        <v>3.8919750000000003E-2</v>
      </c>
      <c r="O42" s="54">
        <f>IFERROR(SUMIFS(LLM_Data_Entry!$T$3:$T$548,LLM_Data_Entry!$A$3:$A$548,$I42,LLM_Data_Entry!$F$3:$F$548,"LLM",LLM_Data_Entry!$H$3:$H$548,"&lt;&gt;HOLD"),"")</f>
        <v>0.15567900000000001</v>
      </c>
    </row>
    <row r="43" spans="1:15" ht="16.25" customHeight="1" x14ac:dyDescent="0.2">
      <c r="A43" s="19" t="s">
        <v>2085</v>
      </c>
      <c r="B43" s="51">
        <f>COUNTIFS(Human_Data_Entry!$A$3:$A$524,$A43,Human_Data_Entry!$H$3:$H$524,"Human",Human_Data_Entry!$S$3:$S$524,"?*")</f>
        <v>14</v>
      </c>
      <c r="C43" s="51">
        <f>COUNTIFS(Human_Data_Entry!$A$3:$A$524,$A43,Human_Data_Entry!$H$3:$H$524,"Human",Human_Data_Entry!$S$3:$S$524,"YES")</f>
        <v>7</v>
      </c>
      <c r="D43" s="56">
        <f t="shared" si="6"/>
        <v>0.5</v>
      </c>
      <c r="E43" s="51">
        <f>COUNTIFS(LLM_Data_Entry!$A$3:$A$548,$A43,LLM_Data_Entry!$F$3:$F$548,"LLM",LLM_Data_Entry!$R$3:$R$548,"&lt;&gt;")</f>
        <v>14</v>
      </c>
      <c r="F43" s="53">
        <f>COUNTIFS(LLM_Data_Entry!$A$3:$A$548,$A43,LLM_Data_Entry!$F$3:$F$548,"LLM",LLM_Data_Entry!$R$3:$R$548,"YES")</f>
        <v>6</v>
      </c>
      <c r="G43" s="56">
        <f t="shared" si="7"/>
        <v>0.42857142857142855</v>
      </c>
      <c r="H43" s="20"/>
      <c r="I43" s="50" t="str">
        <f t="shared" si="8"/>
        <v>Pepsico</v>
      </c>
      <c r="J43" s="21">
        <f>SUMPRODUCT((Human_Data_Entry!$A$3:$A$524=$I43)*(Human_Data_Entry!$H$3:$H$524="Human")*((Human_Data_Entry!$J$3:$J$524="BUY")+(Human_Data_Entry!$J$3:$J$524="SELL"))*ISNUMBER(Human_Data_Entry!$U$3:$U$524))</f>
        <v>6</v>
      </c>
      <c r="K43" s="54">
        <f>IFERROR(AVERAGEIFS(Human_Data_Entry!$U$3:$U$524,Human_Data_Entry!$A$3:$A$524,$I43,Human_Data_Entry!$H$3:$H$524,"Human",Human_Data_Entry!$J$3:$J$524,"&lt;&gt;HOLD",Human_Data_Entry!$U$3:$U$524,"&lt;&gt;"),"")</f>
        <v>-1.5950000000000002E-2</v>
      </c>
      <c r="L43" s="54">
        <f>IFERROR(SUMIFS(Human_Data_Entry!$U$3:$U$524,Human_Data_Entry!$A$3:$A$524,$I43,Human_Data_Entry!$H$3:$H$524,"Human",Human_Data_Entry!$J$3:$J$524,"&lt;&gt;HOLD"),"")</f>
        <v>-9.5700000000000007E-2</v>
      </c>
      <c r="M43" s="21">
        <f>COUNTIFS(LLM_Data_Entry!$A$3:$A$548,$I43,LLM_Data_Entry!$F$3:$F$548,"LLM",LLM_Data_Entry!$H$3:$H$548,"&lt;&gt;HOLD",LLM_Data_Entry!$T$3:$T$548,"&lt;&gt;")</f>
        <v>10</v>
      </c>
      <c r="N43" s="54">
        <f>IFERROR(AVERAGEIFS(LLM_Data_Entry!$T$3:$T$548,LLM_Data_Entry!$A$3:$A$548,$I43,LLM_Data_Entry!$F$3:$F$548,"LLM",LLM_Data_Entry!$H$3:$H$548,"&lt;&gt;HOLD",LLM_Data_Entry!$T$3:$T$548,"&lt;&gt;"),"")</f>
        <v>1.3464200000000001E-2</v>
      </c>
      <c r="O43" s="54">
        <f>IFERROR(SUMIFS(LLM_Data_Entry!$T$3:$T$548,LLM_Data_Entry!$A$3:$A$548,$I43,LLM_Data_Entry!$F$3:$F$548,"LLM",LLM_Data_Entry!$H$3:$H$548,"&lt;&gt;HOLD"),"")</f>
        <v>0.13464200000000001</v>
      </c>
    </row>
    <row r="44" spans="1:15" ht="16.25" customHeight="1" x14ac:dyDescent="0.2">
      <c r="A44" s="19" t="s">
        <v>1660</v>
      </c>
      <c r="B44" s="51">
        <f>COUNTIFS(Human_Data_Entry!$A$3:$A$524,$A44,Human_Data_Entry!$H$3:$H$524,"Human",Human_Data_Entry!$S$3:$S$524,"?*")</f>
        <v>13</v>
      </c>
      <c r="C44" s="51">
        <f>COUNTIFS(Human_Data_Entry!$A$3:$A$524,$A44,Human_Data_Entry!$H$3:$H$524,"Human",Human_Data_Entry!$S$3:$S$524,"YES")</f>
        <v>5</v>
      </c>
      <c r="D44" s="56">
        <f t="shared" si="6"/>
        <v>0.38461538461538464</v>
      </c>
      <c r="E44" s="51">
        <f>COUNTIFS(LLM_Data_Entry!$A$3:$A$548,$A44,LLM_Data_Entry!$F$3:$F$548,"LLM",LLM_Data_Entry!$R$3:$R$548,"&lt;&gt;")</f>
        <v>0</v>
      </c>
      <c r="F44" s="53">
        <f>COUNTIFS(LLM_Data_Entry!$A$3:$A$548,$A44,LLM_Data_Entry!$F$3:$F$548,"LLM",LLM_Data_Entry!$R$3:$R$548,"YES")</f>
        <v>0</v>
      </c>
      <c r="G44" s="56" t="str">
        <f t="shared" si="7"/>
        <v>-</v>
      </c>
      <c r="H44" s="20"/>
      <c r="I44" s="50" t="str">
        <f t="shared" si="8"/>
        <v>Duke Energy</v>
      </c>
      <c r="J44" s="21">
        <f>SUMPRODUCT((Human_Data_Entry!$A$3:$A$524=$I44)*(Human_Data_Entry!$H$3:$H$524="Human")*((Human_Data_Entry!$J$3:$J$524="BUY")+(Human_Data_Entry!$J$3:$J$524="SELL"))*ISNUMBER(Human_Data_Entry!$U$3:$U$524))</f>
        <v>8</v>
      </c>
      <c r="K44" s="54">
        <f>IFERROR(AVERAGEIFS(Human_Data_Entry!$U$3:$U$524,Human_Data_Entry!$A$3:$A$524,$I44,Human_Data_Entry!$H$3:$H$524,"Human",Human_Data_Entry!$J$3:$J$524,"&lt;&gt;HOLD",Human_Data_Entry!$U$3:$U$524,"&lt;&gt;"),"")</f>
        <v>1.0375E-3</v>
      </c>
      <c r="L44" s="54">
        <f>IFERROR(SUMIFS(Human_Data_Entry!$U$3:$U$524,Human_Data_Entry!$A$3:$A$524,$I44,Human_Data_Entry!$H$3:$H$524,"Human",Human_Data_Entry!$J$3:$J$524,"&lt;&gt;HOLD"),"")</f>
        <v>8.3000000000000001E-3</v>
      </c>
      <c r="M44" s="21">
        <f>COUNTIFS(LLM_Data_Entry!$A$3:$A$548,$I44,LLM_Data_Entry!$F$3:$F$548,"LLM",LLM_Data_Entry!$H$3:$H$548,"&lt;&gt;HOLD",LLM_Data_Entry!$T$3:$T$548,"&lt;&gt;")</f>
        <v>0</v>
      </c>
      <c r="N44" s="54" t="str">
        <f>IFERROR(AVERAGEIFS(LLM_Data_Entry!$T$3:$T$548,LLM_Data_Entry!$A$3:$A$548,$I44,LLM_Data_Entry!$F$3:$F$548,"LLM",LLM_Data_Entry!$H$3:$H$548,"&lt;&gt;HOLD",LLM_Data_Entry!$T$3:$T$548,"&lt;&gt;"),"")</f>
        <v/>
      </c>
      <c r="O44" s="54">
        <f>IFERROR(SUMIFS(LLM_Data_Entry!$T$3:$T$548,LLM_Data_Entry!$A$3:$A$548,$I44,LLM_Data_Entry!$F$3:$F$548,"LLM",LLM_Data_Entry!$H$3:$H$548,"&lt;&gt;HOLD"),"")</f>
        <v>0</v>
      </c>
    </row>
    <row r="45" spans="1:15" ht="16.25" customHeight="1" x14ac:dyDescent="0.2">
      <c r="A45" s="19" t="s">
        <v>1726</v>
      </c>
      <c r="B45" s="51">
        <f>COUNTIFS(Human_Data_Entry!$A$3:$A$524,$A45,Human_Data_Entry!$H$3:$H$524,"Human",Human_Data_Entry!$S$3:$S$524,"?*")</f>
        <v>13</v>
      </c>
      <c r="C45" s="51">
        <f>COUNTIFS(Human_Data_Entry!$A$3:$A$524,$A45,Human_Data_Entry!$H$3:$H$524,"Human",Human_Data_Entry!$S$3:$S$524,"YES")</f>
        <v>6</v>
      </c>
      <c r="D45" s="56">
        <f t="shared" si="6"/>
        <v>0.46153846153846156</v>
      </c>
      <c r="E45" s="51">
        <f>COUNTIFS(LLM_Data_Entry!$A$3:$A$548,$A45,LLM_Data_Entry!$F$3:$F$548,"LLM",LLM_Data_Entry!$R$3:$R$548,"&lt;&gt;")</f>
        <v>0</v>
      </c>
      <c r="F45" s="53">
        <f>COUNTIFS(LLM_Data_Entry!$A$3:$A$548,$A45,LLM_Data_Entry!$F$3:$F$548,"LLM",LLM_Data_Entry!$R$3:$R$548,"YES")</f>
        <v>0</v>
      </c>
      <c r="G45" s="56" t="str">
        <f t="shared" si="7"/>
        <v>-</v>
      </c>
      <c r="H45" s="20"/>
      <c r="I45" s="50" t="str">
        <f t="shared" si="8"/>
        <v>ExxonMobil</v>
      </c>
      <c r="J45" s="21">
        <f>SUMPRODUCT((Human_Data_Entry!$A$3:$A$524=$I45)*(Human_Data_Entry!$H$3:$H$524="Human")*((Human_Data_Entry!$J$3:$J$524="BUY")+(Human_Data_Entry!$J$3:$J$524="SELL"))*ISNUMBER(Human_Data_Entry!$U$3:$U$524))</f>
        <v>6</v>
      </c>
      <c r="K45" s="54">
        <f>IFERROR(AVERAGEIFS(Human_Data_Entry!$U$3:$U$524,Human_Data_Entry!$A$3:$A$524,$I45,Human_Data_Entry!$H$3:$H$524,"Human",Human_Data_Entry!$J$3:$J$524,"&lt;&gt;HOLD",Human_Data_Entry!$U$3:$U$524,"&lt;&gt;"),"")</f>
        <v>-2.9999999999999992E-3</v>
      </c>
      <c r="L45" s="54">
        <f>IFERROR(SUMIFS(Human_Data_Entry!$U$3:$U$524,Human_Data_Entry!$A$3:$A$524,$I45,Human_Data_Entry!$H$3:$H$524,"Human",Human_Data_Entry!$J$3:$J$524,"&lt;&gt;HOLD"),"")</f>
        <v>-1.7999999999999995E-2</v>
      </c>
      <c r="M45" s="21">
        <f>COUNTIFS(LLM_Data_Entry!$A$3:$A$548,$I45,LLM_Data_Entry!$F$3:$F$548,"LLM",LLM_Data_Entry!$H$3:$H$548,"&lt;&gt;HOLD",LLM_Data_Entry!$T$3:$T$548,"&lt;&gt;")</f>
        <v>0</v>
      </c>
      <c r="N45" s="54" t="str">
        <f>IFERROR(AVERAGEIFS(LLM_Data_Entry!$T$3:$T$548,LLM_Data_Entry!$A$3:$A$548,$I45,LLM_Data_Entry!$F$3:$F$548,"LLM",LLM_Data_Entry!$H$3:$H$548,"&lt;&gt;HOLD",LLM_Data_Entry!$T$3:$T$548,"&lt;&gt;"),"")</f>
        <v/>
      </c>
      <c r="O45" s="54">
        <f>IFERROR(SUMIFS(LLM_Data_Entry!$T$3:$T$548,LLM_Data_Entry!$A$3:$A$548,$I45,LLM_Data_Entry!$F$3:$F$548,"LLM",LLM_Data_Entry!$H$3:$H$548,"&lt;&gt;HOLD"),"")</f>
        <v>0</v>
      </c>
    </row>
    <row r="46" spans="1:15" ht="16.25" customHeight="1" x14ac:dyDescent="0.2">
      <c r="A46" s="19" t="s">
        <v>935</v>
      </c>
      <c r="B46" s="51">
        <f>COUNTIFS(Human_Data_Entry!$A$3:$A$524,$A46,Human_Data_Entry!$H$3:$H$524,"Human",Human_Data_Entry!$S$3:$S$524,"?*")</f>
        <v>4</v>
      </c>
      <c r="C46" s="51">
        <f>COUNTIFS(Human_Data_Entry!$A$3:$A$524,$A46,Human_Data_Entry!$H$3:$H$524,"Human",Human_Data_Entry!$S$3:$S$524,"YES")</f>
        <v>2</v>
      </c>
      <c r="D46" s="56">
        <f t="shared" si="6"/>
        <v>0.5</v>
      </c>
      <c r="E46" s="51">
        <f>COUNTIFS(LLM_Data_Entry!$A$3:$A$548,$A46,LLM_Data_Entry!$F$3:$F$548,"LLM",LLM_Data_Entry!$R$3:$R$548,"&lt;&gt;")</f>
        <v>4</v>
      </c>
      <c r="F46" s="53">
        <f>COUNTIFS(LLM_Data_Entry!$A$3:$A$548,$A46,LLM_Data_Entry!$F$3:$F$548,"LLM",LLM_Data_Entry!$R$3:$R$548,"YES")</f>
        <v>1</v>
      </c>
      <c r="G46" s="56">
        <f t="shared" si="7"/>
        <v>0.25</v>
      </c>
      <c r="H46" s="20"/>
      <c r="I46" s="50" t="str">
        <f t="shared" si="8"/>
        <v>Uber</v>
      </c>
      <c r="J46" s="21">
        <f>SUMPRODUCT((Human_Data_Entry!$A$3:$A$524=$I46)*(Human_Data_Entry!$H$3:$H$524="Human")*((Human_Data_Entry!$J$3:$J$524="BUY")+(Human_Data_Entry!$J$3:$J$524="SELL"))*ISNUMBER(Human_Data_Entry!$U$3:$U$524))</f>
        <v>4</v>
      </c>
      <c r="K46" s="54">
        <f>IFERROR(AVERAGEIFS(Human_Data_Entry!$U$3:$U$524,Human_Data_Entry!$A$3:$A$524,$I46,Human_Data_Entry!$H$3:$H$524,"Human",Human_Data_Entry!$J$3:$J$524,"&lt;&gt;HOLD",Human_Data_Entry!$U$3:$U$524,"&lt;&gt;"),"")</f>
        <v>1.9299999999999998E-2</v>
      </c>
      <c r="L46" s="54">
        <f>IFERROR(SUMIFS(Human_Data_Entry!$U$3:$U$524,Human_Data_Entry!$A$3:$A$524,$I46,Human_Data_Entry!$H$3:$H$524,"Human",Human_Data_Entry!$J$3:$J$524,"&lt;&gt;HOLD"),"")</f>
        <v>7.7199999999999991E-2</v>
      </c>
      <c r="M46" s="21">
        <f>COUNTIFS(LLM_Data_Entry!$A$3:$A$548,$I46,LLM_Data_Entry!$F$3:$F$548,"LLM",LLM_Data_Entry!$H$3:$H$548,"&lt;&gt;HOLD",LLM_Data_Entry!$T$3:$T$548,"&lt;&gt;")</f>
        <v>1</v>
      </c>
      <c r="N46" s="54">
        <f>IFERROR(AVERAGEIFS(LLM_Data_Entry!$T$3:$T$548,LLM_Data_Entry!$A$3:$A$548,$I46,LLM_Data_Entry!$F$3:$F$548,"LLM",LLM_Data_Entry!$H$3:$H$548,"&lt;&gt;HOLD",LLM_Data_Entry!$T$3:$T$548,"&lt;&gt;"),"")</f>
        <v>-3.0578000000000001E-2</v>
      </c>
      <c r="O46" s="54">
        <f>IFERROR(SUMIFS(LLM_Data_Entry!$T$3:$T$548,LLM_Data_Entry!$A$3:$A$548,$I46,LLM_Data_Entry!$F$3:$F$548,"LLM",LLM_Data_Entry!$H$3:$H$548,"&lt;&gt;HOLD"),"")</f>
        <v>-3.0578000000000001E-2</v>
      </c>
    </row>
    <row r="47" spans="1:15" ht="16.25" customHeight="1" x14ac:dyDescent="0.2">
      <c r="A47" s="19" t="s">
        <v>838</v>
      </c>
      <c r="B47" s="51">
        <f>COUNTIFS(Human_Data_Entry!$A$3:$A$524,$A47,Human_Data_Entry!$H$3:$H$524,"Human",Human_Data_Entry!$S$3:$S$524,"?*")</f>
        <v>5</v>
      </c>
      <c r="C47" s="51">
        <f>COUNTIFS(Human_Data_Entry!$A$3:$A$524,$A47,Human_Data_Entry!$H$3:$H$524,"Human",Human_Data_Entry!$S$3:$S$524,"YES")</f>
        <v>3</v>
      </c>
      <c r="D47" s="56">
        <f t="shared" si="6"/>
        <v>0.6</v>
      </c>
      <c r="E47" s="51">
        <f>COUNTIFS(LLM_Data_Entry!$A$3:$A$548,$A47,LLM_Data_Entry!$F$3:$F$548,"LLM",LLM_Data_Entry!$R$3:$R$548,"&lt;&gt;")</f>
        <v>5</v>
      </c>
      <c r="F47" s="53">
        <f>COUNTIFS(LLM_Data_Entry!$A$3:$A$548,$A47,LLM_Data_Entry!$F$3:$F$548,"LLM",LLM_Data_Entry!$R$3:$R$548,"YES")</f>
        <v>4</v>
      </c>
      <c r="G47" s="56">
        <f t="shared" si="7"/>
        <v>0.8</v>
      </c>
      <c r="H47" s="20"/>
      <c r="I47" s="50" t="str">
        <f t="shared" si="8"/>
        <v>Walmart</v>
      </c>
      <c r="J47" s="21">
        <f>SUMPRODUCT((Human_Data_Entry!$A$3:$A$524=$I47)*(Human_Data_Entry!$H$3:$H$524="Human")*((Human_Data_Entry!$J$3:$J$524="BUY")+(Human_Data_Entry!$J$3:$J$524="SELL"))*ISNUMBER(Human_Data_Entry!$U$3:$U$524))</f>
        <v>5</v>
      </c>
      <c r="K47" s="54">
        <f>IFERROR(AVERAGEIFS(Human_Data_Entry!$U$3:$U$524,Human_Data_Entry!$A$3:$A$524,$I47,Human_Data_Entry!$H$3:$H$524,"Human",Human_Data_Entry!$J$3:$J$524,"&lt;&gt;HOLD",Human_Data_Entry!$U$3:$U$524,"&lt;&gt;"),"")</f>
        <v>1.7480000000000002E-2</v>
      </c>
      <c r="L47" s="54">
        <f>IFERROR(SUMIFS(Human_Data_Entry!$U$3:$U$524,Human_Data_Entry!$A$3:$A$524,$I47,Human_Data_Entry!$H$3:$H$524,"Human",Human_Data_Entry!$J$3:$J$524,"&lt;&gt;HOLD"),"")</f>
        <v>8.7400000000000005E-2</v>
      </c>
      <c r="M47" s="21">
        <f>COUNTIFS(LLM_Data_Entry!$A$3:$A$548,$I47,LLM_Data_Entry!$F$3:$F$548,"LLM",LLM_Data_Entry!$H$3:$H$548,"&lt;&gt;HOLD",LLM_Data_Entry!$T$3:$T$548,"&lt;&gt;")</f>
        <v>3</v>
      </c>
      <c r="N47" s="54">
        <f>IFERROR(AVERAGEIFS(LLM_Data_Entry!$T$3:$T$548,LLM_Data_Entry!$A$3:$A$548,$I47,LLM_Data_Entry!$F$3:$F$548,"LLM",LLM_Data_Entry!$H$3:$H$548,"&lt;&gt;HOLD",LLM_Data_Entry!$T$3:$T$548,"&lt;&gt;"),"")</f>
        <v>3.5147666666666667E-2</v>
      </c>
      <c r="O47" s="54">
        <f>IFERROR(SUMIFS(LLM_Data_Entry!$T$3:$T$548,LLM_Data_Entry!$A$3:$A$548,$I47,LLM_Data_Entry!$F$3:$F$548,"LLM",LLM_Data_Entry!$H$3:$H$548,"&lt;&gt;HOLD"),"")</f>
        <v>0.10544300000000001</v>
      </c>
    </row>
    <row r="48" spans="1:15" ht="16.25" customHeight="1" x14ac:dyDescent="0.2">
      <c r="A48" s="19" t="s">
        <v>976</v>
      </c>
      <c r="B48" s="51">
        <f>COUNTIFS(Human_Data_Entry!$A$3:$A$524,$A48,Human_Data_Entry!$H$3:$H$524,"Human",Human_Data_Entry!$S$3:$S$524,"?*")</f>
        <v>4</v>
      </c>
      <c r="C48" s="51">
        <f>COUNTIFS(Human_Data_Entry!$A$3:$A$524,$A48,Human_Data_Entry!$H$3:$H$524,"Human",Human_Data_Entry!$S$3:$S$524,"YES")</f>
        <v>2</v>
      </c>
      <c r="D48" s="56">
        <f t="shared" si="6"/>
        <v>0.5</v>
      </c>
      <c r="E48" s="51">
        <f>COUNTIFS(LLM_Data_Entry!$A$3:$A$548,$A48,LLM_Data_Entry!$F$3:$F$548,"LLM",LLM_Data_Entry!$R$3:$R$548,"&lt;&gt;")</f>
        <v>4</v>
      </c>
      <c r="F48" s="53">
        <f>COUNTIFS(LLM_Data_Entry!$A$3:$A$548,$A48,LLM_Data_Entry!$F$3:$F$548,"LLM",LLM_Data_Entry!$R$3:$R$548,"YES")</f>
        <v>1</v>
      </c>
      <c r="G48" s="56">
        <f t="shared" si="7"/>
        <v>0.25</v>
      </c>
      <c r="H48" s="20"/>
      <c r="I48" s="50" t="str">
        <f t="shared" si="8"/>
        <v>Pfizer</v>
      </c>
      <c r="J48" s="21">
        <f>SUMPRODUCT((Human_Data_Entry!$A$3:$A$524=$I48)*(Human_Data_Entry!$H$3:$H$524="Human")*((Human_Data_Entry!$J$3:$J$524="BUY")+(Human_Data_Entry!$J$3:$J$524="SELL"))*ISNUMBER(Human_Data_Entry!$U$3:$U$524))</f>
        <v>4</v>
      </c>
      <c r="K48" s="54">
        <f>IFERROR(AVERAGEIFS(Human_Data_Entry!$U$3:$U$524,Human_Data_Entry!$A$3:$A$524,$I48,Human_Data_Entry!$H$3:$H$524,"Human",Human_Data_Entry!$J$3:$J$524,"&lt;&gt;HOLD",Human_Data_Entry!$U$3:$U$524,"&lt;&gt;"),"")</f>
        <v>2.4174999999999999E-2</v>
      </c>
      <c r="L48" s="54">
        <f>IFERROR(SUMIFS(Human_Data_Entry!$U$3:$U$524,Human_Data_Entry!$A$3:$A$524,$I48,Human_Data_Entry!$H$3:$H$524,"Human",Human_Data_Entry!$J$3:$J$524,"&lt;&gt;HOLD"),"")</f>
        <v>9.6699999999999994E-2</v>
      </c>
      <c r="M48" s="21">
        <f>COUNTIFS(LLM_Data_Entry!$A$3:$A$548,$I48,LLM_Data_Entry!$F$3:$F$548,"LLM",LLM_Data_Entry!$H$3:$H$548,"&lt;&gt;HOLD",LLM_Data_Entry!$T$3:$T$548,"&lt;&gt;")</f>
        <v>1</v>
      </c>
      <c r="N48" s="54">
        <f>IFERROR(AVERAGEIFS(LLM_Data_Entry!$T$3:$T$548,LLM_Data_Entry!$A$3:$A$548,$I48,LLM_Data_Entry!$F$3:$F$548,"LLM",LLM_Data_Entry!$H$3:$H$548,"&lt;&gt;HOLD",LLM_Data_Entry!$T$3:$T$548,"&lt;&gt;"),"")</f>
        <v>8.5439999999999995E-3</v>
      </c>
      <c r="O48" s="54">
        <f>IFERROR(SUMIFS(LLM_Data_Entry!$T$3:$T$548,LLM_Data_Entry!$A$3:$A$548,$I48,LLM_Data_Entry!$F$3:$F$548,"LLM",LLM_Data_Entry!$H$3:$H$548,"&lt;&gt;HOLD"),"")</f>
        <v>8.5439999999999995E-3</v>
      </c>
    </row>
    <row r="49" spans="1:15" ht="16.25" customHeight="1" x14ac:dyDescent="0.2">
      <c r="A49" s="19" t="s">
        <v>987</v>
      </c>
      <c r="B49" s="51">
        <f>COUNTIFS(Human_Data_Entry!$A$3:$A$524,$A49,Human_Data_Entry!$H$3:$H$524,"Human",Human_Data_Entry!$S$3:$S$524,"?*")</f>
        <v>3</v>
      </c>
      <c r="C49" s="51">
        <f>COUNTIFS(Human_Data_Entry!$A$3:$A$524,$A49,Human_Data_Entry!$H$3:$H$524,"Human",Human_Data_Entry!$S$3:$S$524,"YES")</f>
        <v>2</v>
      </c>
      <c r="D49" s="56">
        <f t="shared" si="6"/>
        <v>0.66666666666666663</v>
      </c>
      <c r="E49" s="51">
        <f>COUNTIFS(LLM_Data_Entry!$A$3:$A$548,$A49,LLM_Data_Entry!$F$3:$F$548,"LLM",LLM_Data_Entry!$R$3:$R$548,"&lt;&gt;")</f>
        <v>3</v>
      </c>
      <c r="F49" s="53">
        <f>COUNTIFS(LLM_Data_Entry!$A$3:$A$548,$A49,LLM_Data_Entry!$F$3:$F$548,"LLM",LLM_Data_Entry!$R$3:$R$548,"YES")</f>
        <v>0</v>
      </c>
      <c r="G49" s="56">
        <f t="shared" si="7"/>
        <v>0</v>
      </c>
      <c r="H49" s="20"/>
      <c r="I49" s="50" t="str">
        <f t="shared" si="8"/>
        <v>Microsoft</v>
      </c>
      <c r="J49" s="21">
        <f>SUMPRODUCT((Human_Data_Entry!$A$3:$A$524=$I49)*(Human_Data_Entry!$H$3:$H$524="Human")*((Human_Data_Entry!$J$3:$J$524="BUY")+(Human_Data_Entry!$J$3:$J$524="SELL"))*ISNUMBER(Human_Data_Entry!$U$3:$U$524))</f>
        <v>2</v>
      </c>
      <c r="K49" s="54">
        <f>IFERROR(AVERAGEIFS(Human_Data_Entry!$U$3:$U$524,Human_Data_Entry!$A$3:$A$524,$I49,Human_Data_Entry!$H$3:$H$524,"Human",Human_Data_Entry!$J$3:$J$524,"&lt;&gt;HOLD",Human_Data_Entry!$U$3:$U$524,"&lt;&gt;"),"")</f>
        <v>3.585E-2</v>
      </c>
      <c r="L49" s="54">
        <f>IFERROR(SUMIFS(Human_Data_Entry!$U$3:$U$524,Human_Data_Entry!$A$3:$A$524,$I49,Human_Data_Entry!$H$3:$H$524,"Human",Human_Data_Entry!$J$3:$J$524,"&lt;&gt;HOLD"),"")</f>
        <v>7.17E-2</v>
      </c>
      <c r="M49" s="21">
        <f>COUNTIFS(LLM_Data_Entry!$A$3:$A$548,$I49,LLM_Data_Entry!$F$3:$F$548,"LLM",LLM_Data_Entry!$H$3:$H$548,"&lt;&gt;HOLD",LLM_Data_Entry!$T$3:$T$548,"&lt;&gt;")</f>
        <v>2</v>
      </c>
      <c r="N49" s="54">
        <f>IFERROR(AVERAGEIFS(LLM_Data_Entry!$T$3:$T$548,LLM_Data_Entry!$A$3:$A$548,$I49,LLM_Data_Entry!$F$3:$F$548,"LLM",LLM_Data_Entry!$H$3:$H$548,"&lt;&gt;HOLD",LLM_Data_Entry!$T$3:$T$548,"&lt;&gt;"),"")</f>
        <v>-3.7851999999999997E-2</v>
      </c>
      <c r="O49" s="54">
        <f>IFERROR(SUMIFS(LLM_Data_Entry!$T$3:$T$548,LLM_Data_Entry!$A$3:$A$548,$I49,LLM_Data_Entry!$F$3:$F$548,"LLM",LLM_Data_Entry!$H$3:$H$548,"&lt;&gt;HOLD"),"")</f>
        <v>-7.5703999999999994E-2</v>
      </c>
    </row>
    <row r="50" spans="1:15" ht="16.25" customHeight="1" x14ac:dyDescent="0.2">
      <c r="A50" s="19" t="s">
        <v>999</v>
      </c>
      <c r="B50" s="51">
        <f>COUNTIFS(Human_Data_Entry!$A$3:$A$524,$A50,Human_Data_Entry!$H$3:$H$524,"Human",Human_Data_Entry!$S$3:$S$524,"?*")</f>
        <v>3</v>
      </c>
      <c r="C50" s="51">
        <f>COUNTIFS(Human_Data_Entry!$A$3:$A$524,$A50,Human_Data_Entry!$H$3:$H$524,"Human",Human_Data_Entry!$S$3:$S$524,"YES")</f>
        <v>3</v>
      </c>
      <c r="D50" s="56">
        <f t="shared" ref="D50:D81" si="9">IF(B50=0,"-",C50/B50)</f>
        <v>1</v>
      </c>
      <c r="E50" s="51">
        <f>COUNTIFS(LLM_Data_Entry!$A$3:$A$548,$A50,LLM_Data_Entry!$F$3:$F$548,"LLM",LLM_Data_Entry!$R$3:$R$548,"&lt;&gt;")</f>
        <v>3</v>
      </c>
      <c r="F50" s="53">
        <f>COUNTIFS(LLM_Data_Entry!$A$3:$A$548,$A50,LLM_Data_Entry!$F$3:$F$548,"LLM",LLM_Data_Entry!$R$3:$R$548,"YES")</f>
        <v>0</v>
      </c>
      <c r="G50" s="56">
        <f t="shared" ref="G50:G81" si="10">IF(E50=0,"-",F50/E50)</f>
        <v>0</v>
      </c>
      <c r="H50" s="20"/>
      <c r="I50" s="50" t="str">
        <f t="shared" ref="I50:I81" si="11">A50</f>
        <v>Ford</v>
      </c>
      <c r="J50" s="21">
        <f>SUMPRODUCT((Human_Data_Entry!$A$3:$A$524=$I50)*(Human_Data_Entry!$H$3:$H$524="Human")*((Human_Data_Entry!$J$3:$J$524="BUY")+(Human_Data_Entry!$J$3:$J$524="SELL"))*ISNUMBER(Human_Data_Entry!$U$3:$U$524))</f>
        <v>1</v>
      </c>
      <c r="K50" s="54">
        <f>IFERROR(AVERAGEIFS(Human_Data_Entry!$U$3:$U$524,Human_Data_Entry!$A$3:$A$524,$I50,Human_Data_Entry!$H$3:$H$524,"Human",Human_Data_Entry!$J$3:$J$524,"&lt;&gt;HOLD",Human_Data_Entry!$U$3:$U$524,"&lt;&gt;"),"")</f>
        <v>5.5399999999999998E-2</v>
      </c>
      <c r="L50" s="54">
        <f>IFERROR(SUMIFS(Human_Data_Entry!$U$3:$U$524,Human_Data_Entry!$A$3:$A$524,$I50,Human_Data_Entry!$H$3:$H$524,"Human",Human_Data_Entry!$J$3:$J$524,"&lt;&gt;HOLD"),"")</f>
        <v>5.5399999999999998E-2</v>
      </c>
      <c r="M50" s="21">
        <f>COUNTIFS(LLM_Data_Entry!$A$3:$A$548,$I50,LLM_Data_Entry!$F$3:$F$548,"LLM",LLM_Data_Entry!$H$3:$H$548,"&lt;&gt;HOLD",LLM_Data_Entry!$T$3:$T$548,"&lt;&gt;")</f>
        <v>2</v>
      </c>
      <c r="N50" s="54">
        <f>IFERROR(AVERAGEIFS(LLM_Data_Entry!$T$3:$T$548,LLM_Data_Entry!$A$3:$A$548,$I50,LLM_Data_Entry!$F$3:$F$548,"LLM",LLM_Data_Entry!$H$3:$H$548,"&lt;&gt;HOLD",LLM_Data_Entry!$T$3:$T$548,"&lt;&gt;"),"")</f>
        <v>5.4425000000000003E-3</v>
      </c>
      <c r="O50" s="54">
        <f>IFERROR(SUMIFS(LLM_Data_Entry!$T$3:$T$548,LLM_Data_Entry!$A$3:$A$548,$I50,LLM_Data_Entry!$F$3:$F$548,"LLM",LLM_Data_Entry!$H$3:$H$548,"&lt;&gt;HOLD"),"")</f>
        <v>1.0885000000000001E-2</v>
      </c>
    </row>
    <row r="51" spans="1:15" ht="16.25" customHeight="1" x14ac:dyDescent="0.2">
      <c r="A51" s="19" t="s">
        <v>1005</v>
      </c>
      <c r="B51" s="51">
        <f>COUNTIFS(Human_Data_Entry!$A$3:$A$524,$A51,Human_Data_Entry!$H$3:$H$524,"Human",Human_Data_Entry!$S$3:$S$524,"?*")</f>
        <v>3</v>
      </c>
      <c r="C51" s="51">
        <f>COUNTIFS(Human_Data_Entry!$A$3:$A$524,$A51,Human_Data_Entry!$H$3:$H$524,"Human",Human_Data_Entry!$S$3:$S$524,"YES")</f>
        <v>3</v>
      </c>
      <c r="D51" s="56">
        <f t="shared" si="9"/>
        <v>1</v>
      </c>
      <c r="E51" s="51">
        <f>COUNTIFS(LLM_Data_Entry!$A$3:$A$548,$A51,LLM_Data_Entry!$F$3:$F$548,"LLM",LLM_Data_Entry!$R$3:$R$548,"&lt;&gt;")</f>
        <v>3</v>
      </c>
      <c r="F51" s="53">
        <f>COUNTIFS(LLM_Data_Entry!$A$3:$A$548,$A51,LLM_Data_Entry!$F$3:$F$548,"LLM",LLM_Data_Entry!$R$3:$R$548,"YES")</f>
        <v>1</v>
      </c>
      <c r="G51" s="56">
        <f t="shared" si="10"/>
        <v>0.33333333333333331</v>
      </c>
      <c r="H51" s="20"/>
      <c r="I51" s="50" t="str">
        <f t="shared" si="11"/>
        <v>Barclays</v>
      </c>
      <c r="J51" s="21">
        <f>SUMPRODUCT((Human_Data_Entry!$A$3:$A$524=$I51)*(Human_Data_Entry!$H$3:$H$524="Human")*((Human_Data_Entry!$J$3:$J$524="BUY")+(Human_Data_Entry!$J$3:$J$524="SELL"))*ISNUMBER(Human_Data_Entry!$U$3:$U$524))</f>
        <v>2</v>
      </c>
      <c r="K51" s="54">
        <f>IFERROR(AVERAGEIFS(Human_Data_Entry!$U$3:$U$524,Human_Data_Entry!$A$3:$A$524,$I51,Human_Data_Entry!$H$3:$H$524,"Human",Human_Data_Entry!$J$3:$J$524,"&lt;&gt;HOLD",Human_Data_Entry!$U$3:$U$524,"&lt;&gt;"),"")</f>
        <v>3.4699999999999995E-2</v>
      </c>
      <c r="L51" s="54">
        <f>IFERROR(SUMIFS(Human_Data_Entry!$U$3:$U$524,Human_Data_Entry!$A$3:$A$524,$I51,Human_Data_Entry!$H$3:$H$524,"Human",Human_Data_Entry!$J$3:$J$524,"&lt;&gt;HOLD"),"")</f>
        <v>6.9399999999999989E-2</v>
      </c>
      <c r="M51" s="21">
        <f>COUNTIFS(LLM_Data_Entry!$A$3:$A$548,$I51,LLM_Data_Entry!$F$3:$F$548,"LLM",LLM_Data_Entry!$H$3:$H$548,"&lt;&gt;HOLD",LLM_Data_Entry!$T$3:$T$548,"&lt;&gt;")</f>
        <v>2</v>
      </c>
      <c r="N51" s="54">
        <f>IFERROR(AVERAGEIFS(LLM_Data_Entry!$T$3:$T$548,LLM_Data_Entry!$A$3:$A$548,$I51,LLM_Data_Entry!$F$3:$F$548,"LLM",LLM_Data_Entry!$H$3:$H$548,"&lt;&gt;HOLD",LLM_Data_Entry!$T$3:$T$548,"&lt;&gt;"),"")</f>
        <v>2.7822E-2</v>
      </c>
      <c r="O51" s="54">
        <f>IFERROR(SUMIFS(LLM_Data_Entry!$T$3:$T$548,LLM_Data_Entry!$A$3:$A$548,$I51,LLM_Data_Entry!$F$3:$F$548,"LLM",LLM_Data_Entry!$H$3:$H$548,"&lt;&gt;HOLD"),"")</f>
        <v>5.5643999999999999E-2</v>
      </c>
    </row>
    <row r="52" spans="1:15" ht="16.25" customHeight="1" x14ac:dyDescent="0.2">
      <c r="A52" s="19" t="s">
        <v>862</v>
      </c>
      <c r="B52" s="51">
        <f>COUNTIFS(Human_Data_Entry!$A$3:$A$524,$A52,Human_Data_Entry!$H$3:$H$524,"Human",Human_Data_Entry!$S$3:$S$524,"?*")</f>
        <v>4</v>
      </c>
      <c r="C52" s="51">
        <f>COUNTIFS(Human_Data_Entry!$A$3:$A$524,$A52,Human_Data_Entry!$H$3:$H$524,"Human",Human_Data_Entry!$S$3:$S$524,"YES")</f>
        <v>0</v>
      </c>
      <c r="D52" s="56">
        <f t="shared" si="9"/>
        <v>0</v>
      </c>
      <c r="E52" s="51">
        <f>COUNTIFS(LLM_Data_Entry!$A$3:$A$548,$A52,LLM_Data_Entry!$F$3:$F$548,"LLM",LLM_Data_Entry!$R$3:$R$548,"&lt;&gt;")</f>
        <v>4</v>
      </c>
      <c r="F52" s="53">
        <f>COUNTIFS(LLM_Data_Entry!$A$3:$A$548,$A52,LLM_Data_Entry!$F$3:$F$548,"LLM",LLM_Data_Entry!$R$3:$R$548,"YES")</f>
        <v>0</v>
      </c>
      <c r="G52" s="56">
        <f t="shared" si="10"/>
        <v>0</v>
      </c>
      <c r="H52" s="20"/>
      <c r="I52" s="50" t="str">
        <f t="shared" si="11"/>
        <v>Maersk</v>
      </c>
      <c r="J52" s="21">
        <f>SUMPRODUCT((Human_Data_Entry!$A$3:$A$524=$I52)*(Human_Data_Entry!$H$3:$H$524="Human")*((Human_Data_Entry!$J$3:$J$524="BUY")+(Human_Data_Entry!$J$3:$J$524="SELL"))*ISNUMBER(Human_Data_Entry!$U$3:$U$524))</f>
        <v>3</v>
      </c>
      <c r="K52" s="54">
        <f>IFERROR(AVERAGEIFS(Human_Data_Entry!$U$3:$U$524,Human_Data_Entry!$A$3:$A$524,$I52,Human_Data_Entry!$H$3:$H$524,"Human",Human_Data_Entry!$J$3:$J$524,"&lt;&gt;HOLD",Human_Data_Entry!$U$3:$U$524,"&lt;&gt;"),"")</f>
        <v>7.6666666666666669E-4</v>
      </c>
      <c r="L52" s="54">
        <f>IFERROR(SUMIFS(Human_Data_Entry!$U$3:$U$524,Human_Data_Entry!$A$3:$A$524,$I52,Human_Data_Entry!$H$3:$H$524,"Human",Human_Data_Entry!$J$3:$J$524,"&lt;&gt;HOLD"),"")</f>
        <v>2.3E-3</v>
      </c>
      <c r="M52" s="21">
        <f>COUNTIFS(LLM_Data_Entry!$A$3:$A$548,$I52,LLM_Data_Entry!$F$3:$F$548,"LLM",LLM_Data_Entry!$H$3:$H$548,"&lt;&gt;HOLD",LLM_Data_Entry!$T$3:$T$548,"&lt;&gt;")</f>
        <v>4</v>
      </c>
      <c r="N52" s="54">
        <f>IFERROR(AVERAGEIFS(LLM_Data_Entry!$T$3:$T$548,LLM_Data_Entry!$A$3:$A$548,$I52,LLM_Data_Entry!$F$3:$F$548,"LLM",LLM_Data_Entry!$H$3:$H$548,"&lt;&gt;HOLD",LLM_Data_Entry!$T$3:$T$548,"&lt;&gt;"),"")</f>
        <v>-1.3639249999999997E-2</v>
      </c>
      <c r="O52" s="54">
        <f>IFERROR(SUMIFS(LLM_Data_Entry!$T$3:$T$548,LLM_Data_Entry!$A$3:$A$548,$I52,LLM_Data_Entry!$F$3:$F$548,"LLM",LLM_Data_Entry!$H$3:$H$548,"&lt;&gt;HOLD"),"")</f>
        <v>-5.4556999999999987E-2</v>
      </c>
    </row>
    <row r="53" spans="1:15" ht="16.25" customHeight="1" x14ac:dyDescent="0.2">
      <c r="A53" s="19" t="s">
        <v>1013</v>
      </c>
      <c r="B53" s="51">
        <f>COUNTIFS(Human_Data_Entry!$A$3:$A$524,$A53,Human_Data_Entry!$H$3:$H$524,"Human",Human_Data_Entry!$S$3:$S$524,"?*")</f>
        <v>4</v>
      </c>
      <c r="C53" s="51">
        <f>COUNTIFS(Human_Data_Entry!$A$3:$A$524,$A53,Human_Data_Entry!$H$3:$H$524,"Human",Human_Data_Entry!$S$3:$S$524,"YES")</f>
        <v>3</v>
      </c>
      <c r="D53" s="56">
        <f t="shared" si="9"/>
        <v>0.75</v>
      </c>
      <c r="E53" s="51">
        <f>COUNTIFS(LLM_Data_Entry!$A$3:$A$548,$A53,LLM_Data_Entry!$F$3:$F$548,"LLM",LLM_Data_Entry!$R$3:$R$548,"&lt;&gt;")</f>
        <v>4</v>
      </c>
      <c r="F53" s="53">
        <f>COUNTIFS(LLM_Data_Entry!$A$3:$A$548,$A53,LLM_Data_Entry!$F$3:$F$548,"LLM",LLM_Data_Entry!$R$3:$R$548,"YES")</f>
        <v>1</v>
      </c>
      <c r="G53" s="56">
        <f t="shared" si="10"/>
        <v>0.25</v>
      </c>
      <c r="H53" s="20"/>
      <c r="I53" s="50" t="str">
        <f t="shared" si="11"/>
        <v>United Airlines</v>
      </c>
      <c r="J53" s="21">
        <f>SUMPRODUCT((Human_Data_Entry!$A$3:$A$524=$I53)*(Human_Data_Entry!$H$3:$H$524="Human")*((Human_Data_Entry!$J$3:$J$524="BUY")+(Human_Data_Entry!$J$3:$J$524="SELL"))*ISNUMBER(Human_Data_Entry!$U$3:$U$524))</f>
        <v>4</v>
      </c>
      <c r="K53" s="54">
        <f>IFERROR(AVERAGEIFS(Human_Data_Entry!$U$3:$U$524,Human_Data_Entry!$A$3:$A$524,$I53,Human_Data_Entry!$H$3:$H$524,"Human",Human_Data_Entry!$J$3:$J$524,"&lt;&gt;HOLD",Human_Data_Entry!$U$3:$U$524,"&lt;&gt;"),"")</f>
        <v>2.3625E-2</v>
      </c>
      <c r="L53" s="54">
        <f>IFERROR(SUMIFS(Human_Data_Entry!$U$3:$U$524,Human_Data_Entry!$A$3:$A$524,$I53,Human_Data_Entry!$H$3:$H$524,"Human",Human_Data_Entry!$J$3:$J$524,"&lt;&gt;HOLD"),"")</f>
        <v>9.4500000000000001E-2</v>
      </c>
      <c r="M53" s="21">
        <f>COUNTIFS(LLM_Data_Entry!$A$3:$A$548,$I53,LLM_Data_Entry!$F$3:$F$548,"LLM",LLM_Data_Entry!$H$3:$H$548,"&lt;&gt;HOLD",LLM_Data_Entry!$T$3:$T$548,"&lt;&gt;")</f>
        <v>3</v>
      </c>
      <c r="N53" s="54">
        <f>IFERROR(AVERAGEIFS(LLM_Data_Entry!$T$3:$T$548,LLM_Data_Entry!$A$3:$A$548,$I53,LLM_Data_Entry!$F$3:$F$548,"LLM",LLM_Data_Entry!$H$3:$H$548,"&lt;&gt;HOLD",LLM_Data_Entry!$T$3:$T$548,"&lt;&gt;"),"")</f>
        <v>-7.3130000000000001E-3</v>
      </c>
      <c r="O53" s="54">
        <f>IFERROR(SUMIFS(LLM_Data_Entry!$T$3:$T$548,LLM_Data_Entry!$A$3:$A$548,$I53,LLM_Data_Entry!$F$3:$F$548,"LLM",LLM_Data_Entry!$H$3:$H$548,"&lt;&gt;HOLD"),"")</f>
        <v>-2.1939E-2</v>
      </c>
    </row>
    <row r="54" spans="1:15" ht="16.25" customHeight="1" x14ac:dyDescent="0.2">
      <c r="A54" s="19" t="s">
        <v>1024</v>
      </c>
      <c r="B54" s="51">
        <f>COUNTIFS(Human_Data_Entry!$A$3:$A$524,$A54,Human_Data_Entry!$H$3:$H$524,"Human",Human_Data_Entry!$S$3:$S$524,"?*")</f>
        <v>4</v>
      </c>
      <c r="C54" s="51">
        <f>COUNTIFS(Human_Data_Entry!$A$3:$A$524,$A54,Human_Data_Entry!$H$3:$H$524,"Human",Human_Data_Entry!$S$3:$S$524,"YES")</f>
        <v>1</v>
      </c>
      <c r="D54" s="56">
        <f t="shared" si="9"/>
        <v>0.25</v>
      </c>
      <c r="E54" s="51">
        <f>COUNTIFS(LLM_Data_Entry!$A$3:$A$548,$A54,LLM_Data_Entry!$F$3:$F$548,"LLM",LLM_Data_Entry!$R$3:$R$548,"&lt;&gt;")</f>
        <v>4</v>
      </c>
      <c r="F54" s="53">
        <f>COUNTIFS(LLM_Data_Entry!$A$3:$A$548,$A54,LLM_Data_Entry!$F$3:$F$548,"LLM",LLM_Data_Entry!$R$3:$R$548,"YES")</f>
        <v>2</v>
      </c>
      <c r="G54" s="56">
        <f t="shared" si="10"/>
        <v>0.5</v>
      </c>
      <c r="H54" s="20"/>
      <c r="I54" s="50" t="str">
        <f t="shared" si="11"/>
        <v>Novo Nordisk</v>
      </c>
      <c r="J54" s="21">
        <f>SUMPRODUCT((Human_Data_Entry!$A$3:$A$524=$I54)*(Human_Data_Entry!$H$3:$H$524="Human")*((Human_Data_Entry!$J$3:$J$524="BUY")+(Human_Data_Entry!$J$3:$J$524="SELL"))*ISNUMBER(Human_Data_Entry!$U$3:$U$524))</f>
        <v>3</v>
      </c>
      <c r="K54" s="54">
        <f>IFERROR(AVERAGEIFS(Human_Data_Entry!$U$3:$U$524,Human_Data_Entry!$A$3:$A$524,$I54,Human_Data_Entry!$H$3:$H$524,"Human",Human_Data_Entry!$J$3:$J$524,"&lt;&gt;HOLD",Human_Data_Entry!$U$3:$U$524,"&lt;&gt;"),"")</f>
        <v>8.8333333333333319E-3</v>
      </c>
      <c r="L54" s="54">
        <f>IFERROR(SUMIFS(Human_Data_Entry!$U$3:$U$524,Human_Data_Entry!$A$3:$A$524,$I54,Human_Data_Entry!$H$3:$H$524,"Human",Human_Data_Entry!$J$3:$J$524,"&lt;&gt;HOLD"),"")</f>
        <v>2.6499999999999996E-2</v>
      </c>
      <c r="M54" s="21">
        <f>COUNTIFS(LLM_Data_Entry!$A$3:$A$548,$I54,LLM_Data_Entry!$F$3:$F$548,"LLM",LLM_Data_Entry!$H$3:$H$548,"&lt;&gt;HOLD",LLM_Data_Entry!$T$3:$T$548,"&lt;&gt;")</f>
        <v>4</v>
      </c>
      <c r="N54" s="54">
        <f>IFERROR(AVERAGEIFS(LLM_Data_Entry!$T$3:$T$548,LLM_Data_Entry!$A$3:$A$548,$I54,LLM_Data_Entry!$F$3:$F$548,"LLM",LLM_Data_Entry!$H$3:$H$548,"&lt;&gt;HOLD",LLM_Data_Entry!$T$3:$T$548,"&lt;&gt;"),"")</f>
        <v>3.1184999999999997E-3</v>
      </c>
      <c r="O54" s="54">
        <f>IFERROR(SUMIFS(LLM_Data_Entry!$T$3:$T$548,LLM_Data_Entry!$A$3:$A$548,$I54,LLM_Data_Entry!$F$3:$F$548,"LLM",LLM_Data_Entry!$H$3:$H$548,"&lt;&gt;HOLD"),"")</f>
        <v>1.2473999999999999E-2</v>
      </c>
    </row>
    <row r="55" spans="1:15" ht="16.25" customHeight="1" x14ac:dyDescent="0.2">
      <c r="A55" s="19" t="s">
        <v>1035</v>
      </c>
      <c r="B55" s="51">
        <f>COUNTIFS(Human_Data_Entry!$A$3:$A$524,$A55,Human_Data_Entry!$H$3:$H$524,"Human",Human_Data_Entry!$S$3:$S$524,"?*")</f>
        <v>4</v>
      </c>
      <c r="C55" s="51">
        <f>COUNTIFS(Human_Data_Entry!$A$3:$A$524,$A55,Human_Data_Entry!$H$3:$H$524,"Human",Human_Data_Entry!$S$3:$S$524,"YES")</f>
        <v>0</v>
      </c>
      <c r="D55" s="56">
        <f t="shared" si="9"/>
        <v>0</v>
      </c>
      <c r="E55" s="51">
        <f>COUNTIFS(LLM_Data_Entry!$A$3:$A$548,$A55,LLM_Data_Entry!$F$3:$F$548,"LLM",LLM_Data_Entry!$R$3:$R$548,"&lt;&gt;")</f>
        <v>4</v>
      </c>
      <c r="F55" s="53">
        <f>COUNTIFS(LLM_Data_Entry!$A$3:$A$548,$A55,LLM_Data_Entry!$F$3:$F$548,"LLM",LLM_Data_Entry!$R$3:$R$548,"YES")</f>
        <v>2</v>
      </c>
      <c r="G55" s="56">
        <f t="shared" si="10"/>
        <v>0.5</v>
      </c>
      <c r="H55" s="103"/>
      <c r="I55" s="50" t="str">
        <f t="shared" si="11"/>
        <v>Lockheed Martin</v>
      </c>
      <c r="J55" s="21">
        <f>SUMPRODUCT((Human_Data_Entry!$A$3:$A$524=$I55)*(Human_Data_Entry!$H$3:$H$524="Human")*((Human_Data_Entry!$J$3:$J$524="BUY")+(Human_Data_Entry!$J$3:$J$524="SELL"))*ISNUMBER(Human_Data_Entry!$U$3:$U$524))</f>
        <v>3</v>
      </c>
      <c r="K55" s="54">
        <f>IFERROR(AVERAGEIFS(Human_Data_Entry!$U$3:$U$524,Human_Data_Entry!$A$3:$A$524,$I55,Human_Data_Entry!$H$3:$H$524,"Human",Human_Data_Entry!$J$3:$J$524,"&lt;&gt;HOLD",Human_Data_Entry!$U$3:$U$524,"&lt;&gt;"),"")</f>
        <v>-9.7999999999999997E-3</v>
      </c>
      <c r="L55" s="54">
        <f>IFERROR(SUMIFS(Human_Data_Entry!$U$3:$U$524,Human_Data_Entry!$A$3:$A$524,$I55,Human_Data_Entry!$H$3:$H$524,"Human",Human_Data_Entry!$J$3:$J$524,"&lt;&gt;HOLD"),"")</f>
        <v>-2.9399999999999999E-2</v>
      </c>
      <c r="M55" s="21">
        <f>COUNTIFS(LLM_Data_Entry!$A$3:$A$548,$I55,LLM_Data_Entry!$F$3:$F$548,"LLM",LLM_Data_Entry!$H$3:$H$548,"&lt;&gt;HOLD",LLM_Data_Entry!$T$3:$T$548,"&lt;&gt;")</f>
        <v>4</v>
      </c>
      <c r="N55" s="54">
        <f>IFERROR(AVERAGEIFS(LLM_Data_Entry!$T$3:$T$548,LLM_Data_Entry!$A$3:$A$548,$I55,LLM_Data_Entry!$F$3:$F$548,"LLM",LLM_Data_Entry!$H$3:$H$548,"&lt;&gt;HOLD",LLM_Data_Entry!$T$3:$T$548,"&lt;&gt;"),"")</f>
        <v>1.3212249999999998E-2</v>
      </c>
      <c r="O55" s="54">
        <f>IFERROR(SUMIFS(LLM_Data_Entry!$T$3:$T$548,LLM_Data_Entry!$A$3:$A$548,$I55,LLM_Data_Entry!$F$3:$F$548,"LLM",LLM_Data_Entry!$H$3:$H$548,"&lt;&gt;HOLD"),"")</f>
        <v>5.2848999999999993E-2</v>
      </c>
    </row>
    <row r="56" spans="1:15" x14ac:dyDescent="0.2">
      <c r="A56" s="19" t="s">
        <v>1046</v>
      </c>
      <c r="B56" s="51">
        <f>COUNTIFS(Human_Data_Entry!$A$3:$A$524,$A56,Human_Data_Entry!$H$3:$H$524,"Human",Human_Data_Entry!$S$3:$S$524,"?*")</f>
        <v>2</v>
      </c>
      <c r="C56" s="51">
        <f>COUNTIFS(Human_Data_Entry!$A$3:$A$524,$A56,Human_Data_Entry!$H$3:$H$524,"Human",Human_Data_Entry!$S$3:$S$524,"YES")</f>
        <v>1</v>
      </c>
      <c r="D56" s="56">
        <f t="shared" si="9"/>
        <v>0.5</v>
      </c>
      <c r="E56" s="51">
        <f>COUNTIFS(LLM_Data_Entry!$A$3:$A$548,$A56,LLM_Data_Entry!$F$3:$F$548,"LLM",LLM_Data_Entry!$R$3:$R$548,"&lt;&gt;")</f>
        <v>2</v>
      </c>
      <c r="F56" s="53">
        <f>COUNTIFS(LLM_Data_Entry!$A$3:$A$548,$A56,LLM_Data_Entry!$F$3:$F$548,"LLM",LLM_Data_Entry!$R$3:$R$548,"YES")</f>
        <v>1</v>
      </c>
      <c r="G56" s="56">
        <f t="shared" si="10"/>
        <v>0.5</v>
      </c>
      <c r="I56" s="50" t="str">
        <f t="shared" si="11"/>
        <v>LVMH</v>
      </c>
      <c r="J56" s="21">
        <f>SUMPRODUCT((Human_Data_Entry!$A$3:$A$524=$I56)*(Human_Data_Entry!$H$3:$H$524="Human")*((Human_Data_Entry!$J$3:$J$524="BUY")+(Human_Data_Entry!$J$3:$J$524="SELL"))*ISNUMBER(Human_Data_Entry!$U$3:$U$524))</f>
        <v>2</v>
      </c>
      <c r="K56" s="54">
        <f>IFERROR(AVERAGEIFS(Human_Data_Entry!$U$3:$U$524,Human_Data_Entry!$A$3:$A$524,$I56,Human_Data_Entry!$H$3:$H$524,"Human",Human_Data_Entry!$J$3:$J$524,"&lt;&gt;HOLD",Human_Data_Entry!$U$3:$U$524,"&lt;&gt;"),"")</f>
        <v>3.2899999999999999E-2</v>
      </c>
      <c r="L56" s="54">
        <f>IFERROR(SUMIFS(Human_Data_Entry!$U$3:$U$524,Human_Data_Entry!$A$3:$A$524,$I56,Human_Data_Entry!$H$3:$H$524,"Human",Human_Data_Entry!$J$3:$J$524,"&lt;&gt;HOLD"),"")</f>
        <v>6.5799999999999997E-2</v>
      </c>
      <c r="M56" s="21">
        <f>COUNTIFS(LLM_Data_Entry!$A$3:$A$548,$I56,LLM_Data_Entry!$F$3:$F$548,"LLM",LLM_Data_Entry!$H$3:$H$548,"&lt;&gt;HOLD",LLM_Data_Entry!$T$3:$T$548,"&lt;&gt;")</f>
        <v>0</v>
      </c>
      <c r="N56" s="54" t="str">
        <f>IFERROR(AVERAGEIFS(LLM_Data_Entry!$T$3:$T$548,LLM_Data_Entry!$A$3:$A$548,$I56,LLM_Data_Entry!$F$3:$F$548,"LLM",LLM_Data_Entry!$H$3:$H$548,"&lt;&gt;HOLD",LLM_Data_Entry!$T$3:$T$548,"&lt;&gt;"),"")</f>
        <v/>
      </c>
      <c r="O56" s="54">
        <f>IFERROR(SUMIFS(LLM_Data_Entry!$T$3:$T$548,LLM_Data_Entry!$A$3:$A$548,$I56,LLM_Data_Entry!$F$3:$F$548,"LLM",LLM_Data_Entry!$H$3:$H$548,"&lt;&gt;HOLD"),"")</f>
        <v>0</v>
      </c>
    </row>
    <row r="57" spans="1:15" x14ac:dyDescent="0.2">
      <c r="A57" s="109" t="s">
        <v>1165</v>
      </c>
      <c r="B57" s="111">
        <f>COUNTIFS(Human_Data_Entry!$A$3:$A$524,$A57,Human_Data_Entry!$H$3:$H$524,"Human",Human_Data_Entry!$S$3:$S$524,"?*")</f>
        <v>4</v>
      </c>
      <c r="C57" s="111">
        <f>COUNTIFS(Human_Data_Entry!$A$3:$A$524,$A57,Human_Data_Entry!$H$3:$H$524,"Human",Human_Data_Entry!$S$3:$S$524,"YES")</f>
        <v>1</v>
      </c>
      <c r="D57" s="112">
        <f t="shared" si="9"/>
        <v>0.25</v>
      </c>
      <c r="E57" s="111">
        <f>COUNTIFS(LLM_Data_Entry!$A$3:$A$548,$A57,LLM_Data_Entry!$F$3:$F$548,"LLM",LLM_Data_Entry!$R$3:$R$548,"&lt;&gt;")</f>
        <v>4</v>
      </c>
      <c r="F57" s="113">
        <f>COUNTIFS(LLM_Data_Entry!$A$3:$A$548,$A57,LLM_Data_Entry!$F$3:$F$548,"LLM",LLM_Data_Entry!$R$3:$R$548,"YES")</f>
        <v>0</v>
      </c>
      <c r="G57" s="112">
        <f t="shared" si="10"/>
        <v>0</v>
      </c>
      <c r="I57" s="110" t="str">
        <f t="shared" si="11"/>
        <v>Puma</v>
      </c>
      <c r="J57" s="108">
        <f>SUMPRODUCT((Human_Data_Entry!$A$3:$A$524=$I57)*(Human_Data_Entry!$H$3:$H$524="Human")*((Human_Data_Entry!$J$3:$J$524="BUY")+(Human_Data_Entry!$J$3:$J$524="SELL"))*ISNUMBER(Human_Data_Entry!$U$3:$U$524))</f>
        <v>3</v>
      </c>
      <c r="K57" s="114">
        <f>IFERROR(AVERAGEIFS(Human_Data_Entry!$U$3:$U$524,Human_Data_Entry!$A$3:$A$524,$I57,Human_Data_Entry!$H$3:$H$524,"Human",Human_Data_Entry!$J$3:$J$524,"&lt;&gt;HOLD",Human_Data_Entry!$U$3:$U$524,"&lt;&gt;"),"")</f>
        <v>-1.1133333333333334E-2</v>
      </c>
      <c r="L57" s="114">
        <f>IFERROR(SUMIFS(Human_Data_Entry!$U$3:$U$524,Human_Data_Entry!$A$3:$A$524,$I57,Human_Data_Entry!$H$3:$H$524,"Human",Human_Data_Entry!$J$3:$J$524,"&lt;&gt;HOLD"),"")</f>
        <v>-3.3399999999999999E-2</v>
      </c>
      <c r="M57" s="108">
        <f>COUNTIFS(LLM_Data_Entry!$A$3:$A$548,$I57,LLM_Data_Entry!$F$3:$F$548,"LLM",LLM_Data_Entry!$H$3:$H$548,"&lt;&gt;HOLD",LLM_Data_Entry!$T$3:$T$548,"&lt;&gt;")</f>
        <v>4</v>
      </c>
      <c r="N57" s="114">
        <f>IFERROR(AVERAGEIFS(LLM_Data_Entry!$T$3:$T$548,LLM_Data_Entry!$A$3:$A$548,$I57,LLM_Data_Entry!$F$3:$F$548,"LLM",LLM_Data_Entry!$H$3:$H$548,"&lt;&gt;HOLD",LLM_Data_Entry!$T$3:$T$548,"&lt;&gt;"),"")</f>
        <v>-1.2095000000000002E-2</v>
      </c>
      <c r="O57" s="114">
        <f>IFERROR(SUMIFS(LLM_Data_Entry!$T$3:$T$548,LLM_Data_Entry!$A$3:$A$548,$I57,LLM_Data_Entry!$F$3:$F$548,"LLM",LLM_Data_Entry!$H$3:$H$548,"&lt;&gt;HOLD"),"")</f>
        <v>-4.8380000000000006E-2</v>
      </c>
    </row>
    <row r="58" spans="1:15" x14ac:dyDescent="0.2">
      <c r="A58" s="109" t="s">
        <v>1293</v>
      </c>
      <c r="B58" s="111">
        <f>COUNTIFS(Human_Data_Entry!$A$3:$A$524,$A58,Human_Data_Entry!$H$3:$H$524,"Human",Human_Data_Entry!$S$3:$S$524,"?*")</f>
        <v>7</v>
      </c>
      <c r="C58" s="111">
        <f>COUNTIFS(Human_Data_Entry!$A$3:$A$524,$A58,Human_Data_Entry!$H$3:$H$524,"Human",Human_Data_Entry!$S$3:$S$524,"YES")</f>
        <v>2</v>
      </c>
      <c r="D58" s="112">
        <f t="shared" si="9"/>
        <v>0.2857142857142857</v>
      </c>
      <c r="E58" s="111">
        <f>COUNTIFS(LLM_Data_Entry!$A$3:$A$548,$A58,LLM_Data_Entry!$F$3:$F$548,"LLM",LLM_Data_Entry!$R$3:$R$548,"&lt;&gt;")</f>
        <v>3</v>
      </c>
      <c r="F58" s="113">
        <f>COUNTIFS(LLM_Data_Entry!$A$3:$A$548,$A58,LLM_Data_Entry!$F$3:$F$548,"LLM",LLM_Data_Entry!$R$3:$R$548,"YES")</f>
        <v>1</v>
      </c>
      <c r="G58" s="112">
        <f t="shared" si="10"/>
        <v>0.33333333333333331</v>
      </c>
      <c r="I58" s="110" t="str">
        <f t="shared" si="11"/>
        <v>Booking Holdings</v>
      </c>
      <c r="J58" s="108">
        <f>SUMPRODUCT((Human_Data_Entry!$A$3:$A$524=$I58)*(Human_Data_Entry!$H$3:$H$524="Human")*((Human_Data_Entry!$J$3:$J$524="BUY")+(Human_Data_Entry!$J$3:$J$524="SELL"))*ISNUMBER(Human_Data_Entry!$U$3:$U$524))</f>
        <v>6</v>
      </c>
      <c r="K58" s="114">
        <f>IFERROR(AVERAGEIFS(Human_Data_Entry!$U$3:$U$524,Human_Data_Entry!$A$3:$A$524,$I58,Human_Data_Entry!$H$3:$H$524,"Human",Human_Data_Entry!$J$3:$J$524,"&lt;&gt;HOLD",Human_Data_Entry!$U$3:$U$524,"&lt;&gt;"),"")</f>
        <v>-1.0433333333333331E-2</v>
      </c>
      <c r="L58" s="114">
        <f>IFERROR(SUMIFS(Human_Data_Entry!$U$3:$U$524,Human_Data_Entry!$A$3:$A$524,$I58,Human_Data_Entry!$H$3:$H$524,"Human",Human_Data_Entry!$J$3:$J$524,"&lt;&gt;HOLD"),"")</f>
        <v>-6.2599999999999989E-2</v>
      </c>
      <c r="M58" s="108">
        <f>COUNTIFS(LLM_Data_Entry!$A$3:$A$548,$I58,LLM_Data_Entry!$F$3:$F$548,"LLM",LLM_Data_Entry!$H$3:$H$548,"&lt;&gt;HOLD",LLM_Data_Entry!$T$3:$T$548,"&lt;&gt;")</f>
        <v>1</v>
      </c>
      <c r="N58" s="114">
        <f>IFERROR(AVERAGEIFS(LLM_Data_Entry!$T$3:$T$548,LLM_Data_Entry!$A$3:$A$548,$I58,LLM_Data_Entry!$F$3:$F$548,"LLM",LLM_Data_Entry!$H$3:$H$548,"&lt;&gt;HOLD",LLM_Data_Entry!$T$3:$T$548,"&lt;&gt;"),"")</f>
        <v>1.4514000000000001E-2</v>
      </c>
      <c r="O58" s="114">
        <f>IFERROR(SUMIFS(LLM_Data_Entry!$T$3:$T$548,LLM_Data_Entry!$A$3:$A$548,$I58,LLM_Data_Entry!$F$3:$F$548,"LLM",LLM_Data_Entry!$H$3:$H$548,"&lt;&gt;HOLD"),"")</f>
        <v>1.4514000000000001E-2</v>
      </c>
    </row>
    <row r="59" spans="1:15" ht="12.75" customHeight="1" x14ac:dyDescent="0.2">
      <c r="A59" s="109" t="s">
        <v>1437</v>
      </c>
      <c r="B59" s="111">
        <f>COUNTIFS(Human_Data_Entry!$A$3:$A$524,$A59,Human_Data_Entry!$H$3:$H$524,"Human",Human_Data_Entry!$S$3:$S$524,"?*")</f>
        <v>3</v>
      </c>
      <c r="C59" s="111">
        <f>COUNTIFS(Human_Data_Entry!$A$3:$A$524,$A59,Human_Data_Entry!$H$3:$H$524,"Human",Human_Data_Entry!$S$3:$S$524,"YES")</f>
        <v>0</v>
      </c>
      <c r="D59" s="112">
        <f t="shared" si="9"/>
        <v>0</v>
      </c>
      <c r="E59" s="111">
        <f>COUNTIFS(LLM_Data_Entry!$A$3:$A$548,$A59,LLM_Data_Entry!$F$3:$F$548,"LLM",LLM_Data_Entry!$R$3:$R$548,"&lt;&gt;")</f>
        <v>3</v>
      </c>
      <c r="F59" s="113">
        <f>COUNTIFS(LLM_Data_Entry!$A$3:$A$548,$A59,LLM_Data_Entry!$F$3:$F$548,"LLM",LLM_Data_Entry!$R$3:$R$548,"YES")</f>
        <v>2</v>
      </c>
      <c r="G59" s="112">
        <f t="shared" si="10"/>
        <v>0.66666666666666663</v>
      </c>
      <c r="I59" s="110" t="str">
        <f t="shared" si="11"/>
        <v>Broadcom</v>
      </c>
      <c r="J59" s="108">
        <f>SUMPRODUCT((Human_Data_Entry!$A$3:$A$524=$I59)*(Human_Data_Entry!$H$3:$H$524="Human")*((Human_Data_Entry!$J$3:$J$524="BUY")+(Human_Data_Entry!$J$3:$J$524="SELL"))*ISNUMBER(Human_Data_Entry!$U$3:$U$524))</f>
        <v>2</v>
      </c>
      <c r="K59" s="114">
        <f>IFERROR(AVERAGEIFS(Human_Data_Entry!$U$3:$U$524,Human_Data_Entry!$A$3:$A$524,$I59,Human_Data_Entry!$H$3:$H$524,"Human",Human_Data_Entry!$J$3:$J$524,"&lt;&gt;HOLD",Human_Data_Entry!$U$3:$U$524,"&lt;&gt;"),"")</f>
        <v>-0.11465</v>
      </c>
      <c r="L59" s="114">
        <f>IFERROR(SUMIFS(Human_Data_Entry!$U$3:$U$524,Human_Data_Entry!$A$3:$A$524,$I59,Human_Data_Entry!$H$3:$H$524,"Human",Human_Data_Entry!$J$3:$J$524,"&lt;&gt;HOLD"),"")</f>
        <v>-0.2293</v>
      </c>
      <c r="M59" s="108">
        <f>COUNTIFS(LLM_Data_Entry!$A$3:$A$548,$I59,LLM_Data_Entry!$F$3:$F$548,"LLM",LLM_Data_Entry!$H$3:$H$548,"&lt;&gt;HOLD",LLM_Data_Entry!$T$3:$T$548,"&lt;&gt;")</f>
        <v>3</v>
      </c>
      <c r="N59" s="114">
        <f>IFERROR(AVERAGEIFS(LLM_Data_Entry!$T$3:$T$548,LLM_Data_Entry!$A$3:$A$548,$I59,LLM_Data_Entry!$F$3:$F$548,"LLM",LLM_Data_Entry!$H$3:$H$548,"&lt;&gt;HOLD",LLM_Data_Entry!$T$3:$T$548,"&lt;&gt;"),"")</f>
        <v>4.4716333333333337E-2</v>
      </c>
      <c r="O59" s="114">
        <f>IFERROR(SUMIFS(LLM_Data_Entry!$T$3:$T$548,LLM_Data_Entry!$A$3:$A$548,$I59,LLM_Data_Entry!$F$3:$F$548,"LLM",LLM_Data_Entry!$H$3:$H$548,"&lt;&gt;HOLD"),"")</f>
        <v>0.13414900000000002</v>
      </c>
    </row>
    <row r="60" spans="1:15" ht="15" customHeight="1" x14ac:dyDescent="0.2">
      <c r="A60" s="109" t="s">
        <v>1475</v>
      </c>
      <c r="B60" s="111">
        <f>COUNTIFS(Human_Data_Entry!$A$3:$A$524,$A60,Human_Data_Entry!$H$3:$H$524,"Human",Human_Data_Entry!$S$3:$S$524,"?*")</f>
        <v>7</v>
      </c>
      <c r="C60" s="111">
        <f>COUNTIFS(Human_Data_Entry!$A$3:$A$524,$A60,Human_Data_Entry!$H$3:$H$524,"Human",Human_Data_Entry!$S$3:$S$524,"YES")</f>
        <v>6</v>
      </c>
      <c r="D60" s="112">
        <f t="shared" si="9"/>
        <v>0.8571428571428571</v>
      </c>
      <c r="E60" s="111">
        <f>COUNTIFS(LLM_Data_Entry!$A$3:$A$548,$A60,LLM_Data_Entry!$F$3:$F$548,"LLM",LLM_Data_Entry!$R$3:$R$548,"&lt;&gt;")</f>
        <v>3</v>
      </c>
      <c r="F60" s="113">
        <f>COUNTIFS(LLM_Data_Entry!$A$3:$A$548,$A60,LLM_Data_Entry!$F$3:$F$548,"LLM",LLM_Data_Entry!$R$3:$R$548,"YES")</f>
        <v>2</v>
      </c>
      <c r="G60" s="112">
        <f t="shared" si="10"/>
        <v>0.66666666666666663</v>
      </c>
      <c r="I60" s="110" t="str">
        <f t="shared" si="11"/>
        <v>Caterpillar</v>
      </c>
      <c r="J60" s="108">
        <f>SUMPRODUCT((Human_Data_Entry!$A$3:$A$524=$I60)*(Human_Data_Entry!$H$3:$H$524="Human")*((Human_Data_Entry!$J$3:$J$524="BUY")+(Human_Data_Entry!$J$3:$J$524="SELL"))*ISNUMBER(Human_Data_Entry!$U$3:$U$524))</f>
        <v>4</v>
      </c>
      <c r="K60" s="114">
        <f>IFERROR(AVERAGEIFS(Human_Data_Entry!$U$3:$U$524,Human_Data_Entry!$A$3:$A$524,$I60,Human_Data_Entry!$H$3:$H$524,"Human",Human_Data_Entry!$J$3:$J$524,"&lt;&gt;HOLD",Human_Data_Entry!$U$3:$U$524,"&lt;&gt;"),"")</f>
        <v>5.0149999999999993E-2</v>
      </c>
      <c r="L60" s="114">
        <f>IFERROR(SUMIFS(Human_Data_Entry!$U$3:$U$524,Human_Data_Entry!$A$3:$A$524,$I60,Human_Data_Entry!$H$3:$H$524,"Human",Human_Data_Entry!$J$3:$J$524,"&lt;&gt;HOLD"),"")</f>
        <v>0.20059999999999997</v>
      </c>
      <c r="M60" s="108">
        <f>COUNTIFS(LLM_Data_Entry!$A$3:$A$548,$I60,LLM_Data_Entry!$F$3:$F$548,"LLM",LLM_Data_Entry!$H$3:$H$548,"&lt;&gt;HOLD",LLM_Data_Entry!$T$3:$T$548,"&lt;&gt;")</f>
        <v>2</v>
      </c>
      <c r="N60" s="114">
        <f>IFERROR(AVERAGEIFS(LLM_Data_Entry!$T$3:$T$548,LLM_Data_Entry!$A$3:$A$548,$I60,LLM_Data_Entry!$F$3:$F$548,"LLM",LLM_Data_Entry!$H$3:$H$548,"&lt;&gt;HOLD",LLM_Data_Entry!$T$3:$T$548,"&lt;&gt;"),"")</f>
        <v>4.0378499999999998E-2</v>
      </c>
      <c r="O60" s="114">
        <f>IFERROR(SUMIFS(LLM_Data_Entry!$T$3:$T$548,LLM_Data_Entry!$A$3:$A$548,$I60,LLM_Data_Entry!$F$3:$F$548,"LLM",LLM_Data_Entry!$H$3:$H$548,"&lt;&gt;HOLD"),"")</f>
        <v>8.0756999999999995E-2</v>
      </c>
    </row>
    <row r="61" spans="1:15" x14ac:dyDescent="0.2">
      <c r="A61" s="109" t="s">
        <v>1207</v>
      </c>
      <c r="B61" s="111">
        <f>COUNTIFS(Human_Data_Entry!$A$3:$A$524,$A61,Human_Data_Entry!$H$3:$H$524,"Human",Human_Data_Entry!$S$3:$S$524,"?*")</f>
        <v>4</v>
      </c>
      <c r="C61" s="111">
        <f>COUNTIFS(Human_Data_Entry!$A$3:$A$524,$A61,Human_Data_Entry!$H$3:$H$524,"Human",Human_Data_Entry!$S$3:$S$524,"YES")</f>
        <v>2</v>
      </c>
      <c r="D61" s="112">
        <f t="shared" si="9"/>
        <v>0.5</v>
      </c>
      <c r="E61" s="111">
        <f>COUNTIFS(LLM_Data_Entry!$A$3:$A$548,$A61,LLM_Data_Entry!$F$3:$F$548,"LLM",LLM_Data_Entry!$R$3:$R$548,"&lt;&gt;")</f>
        <v>4</v>
      </c>
      <c r="F61" s="113">
        <f>COUNTIFS(LLM_Data_Entry!$A$3:$A$548,$A61,LLM_Data_Entry!$F$3:$F$548,"LLM",LLM_Data_Entry!$R$3:$R$548,"YES")</f>
        <v>2</v>
      </c>
      <c r="G61" s="112">
        <f t="shared" si="10"/>
        <v>0.5</v>
      </c>
      <c r="I61" s="110" t="str">
        <f t="shared" si="11"/>
        <v>Chipotle</v>
      </c>
      <c r="J61" s="108">
        <f>SUMPRODUCT((Human_Data_Entry!$A$3:$A$524=$I61)*(Human_Data_Entry!$H$3:$H$524="Human")*((Human_Data_Entry!$J$3:$J$524="BUY")+(Human_Data_Entry!$J$3:$J$524="SELL"))*ISNUMBER(Human_Data_Entry!$U$3:$U$524))</f>
        <v>1</v>
      </c>
      <c r="K61" s="114">
        <f>IFERROR(AVERAGEIFS(Human_Data_Entry!$U$3:$U$524,Human_Data_Entry!$A$3:$A$524,$I61,Human_Data_Entry!$H$3:$H$524,"Human",Human_Data_Entry!$J$3:$J$524,"&lt;&gt;HOLD",Human_Data_Entry!$U$3:$U$524,"&lt;&gt;"),"")</f>
        <v>0.1237</v>
      </c>
      <c r="L61" s="114">
        <f>IFERROR(SUMIFS(Human_Data_Entry!$U$3:$U$524,Human_Data_Entry!$A$3:$A$524,$I61,Human_Data_Entry!$H$3:$H$524,"Human",Human_Data_Entry!$J$3:$J$524,"&lt;&gt;HOLD"),"")</f>
        <v>0.1237</v>
      </c>
      <c r="M61" s="108">
        <f>COUNTIFS(LLM_Data_Entry!$A$3:$A$548,$I61,LLM_Data_Entry!$F$3:$F$548,"LLM",LLM_Data_Entry!$H$3:$H$548,"&lt;&gt;HOLD",LLM_Data_Entry!$T$3:$T$548,"&lt;&gt;")</f>
        <v>3</v>
      </c>
      <c r="N61" s="114">
        <f>IFERROR(AVERAGEIFS(LLM_Data_Entry!$T$3:$T$548,LLM_Data_Entry!$A$3:$A$548,$I61,LLM_Data_Entry!$F$3:$F$548,"LLM",LLM_Data_Entry!$H$3:$H$548,"&lt;&gt;HOLD",LLM_Data_Entry!$T$3:$T$548,"&lt;&gt;"),"")</f>
        <v>0.108725</v>
      </c>
      <c r="O61" s="114">
        <f>IFERROR(SUMIFS(LLM_Data_Entry!$T$3:$T$548,LLM_Data_Entry!$A$3:$A$548,$I61,LLM_Data_Entry!$F$3:$F$548,"LLM",LLM_Data_Entry!$H$3:$H$548,"&lt;&gt;HOLD"),"")</f>
        <v>0.32617499999999999</v>
      </c>
    </row>
    <row r="62" spans="1:15" x14ac:dyDescent="0.2">
      <c r="A62" s="109" t="s">
        <v>1176</v>
      </c>
      <c r="B62" s="111">
        <f>COUNTIFS(Human_Data_Entry!$A$3:$A$524,$A62,Human_Data_Entry!$H$3:$H$524,"Human",Human_Data_Entry!$S$3:$S$524,"?*")</f>
        <v>4</v>
      </c>
      <c r="C62" s="111">
        <f>COUNTIFS(Human_Data_Entry!$A$3:$A$524,$A62,Human_Data_Entry!$H$3:$H$524,"Human",Human_Data_Entry!$S$3:$S$524,"YES")</f>
        <v>3</v>
      </c>
      <c r="D62" s="112">
        <f t="shared" si="9"/>
        <v>0.75</v>
      </c>
      <c r="E62" s="111">
        <f>COUNTIFS(LLM_Data_Entry!$A$3:$A$548,$A62,LLM_Data_Entry!$F$3:$F$548,"LLM",LLM_Data_Entry!$R$3:$R$548,"&lt;&gt;")</f>
        <v>0</v>
      </c>
      <c r="F62" s="113">
        <f>COUNTIFS(LLM_Data_Entry!$A$3:$A$548,$A62,LLM_Data_Entry!$F$3:$F$548,"LLM",LLM_Data_Entry!$R$3:$R$548,"YES")</f>
        <v>0</v>
      </c>
      <c r="G62" s="112" t="str">
        <f t="shared" si="10"/>
        <v>-</v>
      </c>
      <c r="I62" s="67" t="str">
        <f t="shared" si="11"/>
        <v>Colgate-Palmolive</v>
      </c>
      <c r="J62" s="108">
        <f>SUMPRODUCT((Human_Data_Entry!$A$3:$A$524=$I62)*(Human_Data_Entry!$H$3:$H$524="Human")*((Human_Data_Entry!$J$3:$J$524="BUY")+(Human_Data_Entry!$J$3:$J$524="SELL"))*ISNUMBER(Human_Data_Entry!$U$3:$U$524))</f>
        <v>1</v>
      </c>
      <c r="K62" s="114">
        <f>IFERROR(AVERAGEIFS(Human_Data_Entry!$U$3:$U$524,Human_Data_Entry!$A$3:$A$524,$I62,Human_Data_Entry!$H$3:$H$524,"Human",Human_Data_Entry!$J$3:$J$524,"&lt;&gt;HOLD",Human_Data_Entry!$U$3:$U$524,"&lt;&gt;"),"")</f>
        <v>5.4999999999999997E-3</v>
      </c>
      <c r="L62" s="114">
        <f>IFERROR(SUMIFS(Human_Data_Entry!$U$3:$U$524,Human_Data_Entry!$A$3:$A$524,$I62,Human_Data_Entry!$H$3:$H$524,"Human",Human_Data_Entry!$J$3:$J$524,"&lt;&gt;HOLD"),"")</f>
        <v>5.4999999999999997E-3</v>
      </c>
      <c r="M62" s="108">
        <f>COUNTIFS(LLM_Data_Entry!$A$3:$A$548,$I62,LLM_Data_Entry!$F$3:$F$548,"LLM",LLM_Data_Entry!$H$3:$H$548,"&lt;&gt;HOLD",LLM_Data_Entry!$T$3:$T$548,"&lt;&gt;")</f>
        <v>0</v>
      </c>
      <c r="N62" s="114" t="str">
        <f>IFERROR(AVERAGEIFS(LLM_Data_Entry!$T$3:$T$548,LLM_Data_Entry!$A$3:$A$548,$I62,LLM_Data_Entry!$F$3:$F$548,"LLM",LLM_Data_Entry!$H$3:$H$548,"&lt;&gt;HOLD",LLM_Data_Entry!$T$3:$T$548,"&lt;&gt;"),"")</f>
        <v/>
      </c>
      <c r="O62" s="114">
        <f>IFERROR(SUMIFS(LLM_Data_Entry!$T$3:$T$548,LLM_Data_Entry!$A$3:$A$548,$I62,LLM_Data_Entry!$F$3:$F$548,"LLM",LLM_Data_Entry!$H$3:$H$548,"&lt;&gt;HOLD"),"")</f>
        <v>0</v>
      </c>
    </row>
    <row r="63" spans="1:15" x14ac:dyDescent="0.2">
      <c r="A63" s="19" t="s">
        <v>1129</v>
      </c>
      <c r="B63" s="111">
        <f>COUNTIFS(Human_Data_Entry!$A$3:$A$524,$A63,Human_Data_Entry!$H$3:$H$524,"Human",Human_Data_Entry!$S$3:$S$524,"?*")</f>
        <v>4</v>
      </c>
      <c r="C63" s="111">
        <f>COUNTIFS(Human_Data_Entry!$A$3:$A$524,$A63,Human_Data_Entry!$H$3:$H$524,"Human",Human_Data_Entry!$S$3:$S$524,"YES")</f>
        <v>0</v>
      </c>
      <c r="D63" s="112">
        <f t="shared" si="9"/>
        <v>0</v>
      </c>
      <c r="E63" s="111">
        <f>COUNTIFS(LLM_Data_Entry!$A$3:$A$548,$A63,LLM_Data_Entry!$F$3:$F$548,"LLM",LLM_Data_Entry!$R$3:$R$548,"&lt;&gt;")</f>
        <v>4</v>
      </c>
      <c r="F63" s="113">
        <f>COUNTIFS(LLM_Data_Entry!$A$3:$A$548,$A63,LLM_Data_Entry!$F$3:$F$548,"LLM",LLM_Data_Entry!$R$3:$R$548,"YES")</f>
        <v>2</v>
      </c>
      <c r="G63" s="112">
        <f t="shared" si="10"/>
        <v>0.5</v>
      </c>
      <c r="I63" s="19" t="str">
        <f t="shared" si="11"/>
        <v>Comcast Corporation</v>
      </c>
      <c r="J63" s="108">
        <f>SUMPRODUCT((Human_Data_Entry!$A$3:$A$524=$I63)*(Human_Data_Entry!$H$3:$H$524="Human")*((Human_Data_Entry!$J$3:$J$524="BUY")+(Human_Data_Entry!$J$3:$J$524="SELL"))*ISNUMBER(Human_Data_Entry!$U$3:$U$524))</f>
        <v>3</v>
      </c>
      <c r="K63" s="114">
        <f>IFERROR(AVERAGEIFS(Human_Data_Entry!$U$3:$U$524,Human_Data_Entry!$A$3:$A$524,$I63,Human_Data_Entry!$H$3:$H$524,"Human",Human_Data_Entry!$J$3:$J$524,"&lt;&gt;HOLD",Human_Data_Entry!$U$3:$U$524,"&lt;&gt;"),"")</f>
        <v>-3.833333333333333E-2</v>
      </c>
      <c r="L63" s="114">
        <f>IFERROR(SUMIFS(Human_Data_Entry!$U$3:$U$524,Human_Data_Entry!$A$3:$A$524,$I63,Human_Data_Entry!$H$3:$H$524,"Human",Human_Data_Entry!$J$3:$J$524,"&lt;&gt;HOLD"),"")</f>
        <v>-0.11499999999999999</v>
      </c>
      <c r="M63" s="108">
        <f>COUNTIFS(LLM_Data_Entry!$A$3:$A$548,$I63,LLM_Data_Entry!$F$3:$F$548,"LLM",LLM_Data_Entry!$H$3:$H$548,"&lt;&gt;HOLD",LLM_Data_Entry!$T$3:$T$548,"&lt;&gt;")</f>
        <v>2</v>
      </c>
      <c r="N63" s="114">
        <f>IFERROR(AVERAGEIFS(LLM_Data_Entry!$T$3:$T$548,LLM_Data_Entry!$A$3:$A$548,$I63,LLM_Data_Entry!$F$3:$F$548,"LLM",LLM_Data_Entry!$H$3:$H$548,"&lt;&gt;HOLD",LLM_Data_Entry!$T$3:$T$548,"&lt;&gt;"),"")</f>
        <v>4.8846000000000001E-2</v>
      </c>
      <c r="O63" s="114">
        <f>IFERROR(SUMIFS(LLM_Data_Entry!$T$3:$T$548,LLM_Data_Entry!$A$3:$A$548,$I63,LLM_Data_Entry!$F$3:$F$548,"LLM",LLM_Data_Entry!$H$3:$H$548,"&lt;&gt;HOLD"),"")</f>
        <v>9.7692000000000001E-2</v>
      </c>
    </row>
    <row r="64" spans="1:15" x14ac:dyDescent="0.2">
      <c r="A64" s="98" t="s">
        <v>1381</v>
      </c>
      <c r="B64" s="111">
        <f>COUNTIFS(Human_Data_Entry!$A$3:$A$524,$A64,Human_Data_Entry!$H$3:$H$524,"Human",Human_Data_Entry!$S$3:$S$524,"?*")</f>
        <v>6</v>
      </c>
      <c r="C64" s="111">
        <f>COUNTIFS(Human_Data_Entry!$A$3:$A$524,$A64,Human_Data_Entry!$H$3:$H$524,"Human",Human_Data_Entry!$S$3:$S$524,"YES")</f>
        <v>2</v>
      </c>
      <c r="D64" s="112">
        <f t="shared" si="9"/>
        <v>0.33333333333333331</v>
      </c>
      <c r="E64" s="111">
        <f>COUNTIFS(LLM_Data_Entry!$A$3:$A$548,$A64,LLM_Data_Entry!$F$3:$F$548,"LLM",LLM_Data_Entry!$R$3:$R$548,"&lt;&gt;")</f>
        <v>0</v>
      </c>
      <c r="F64" s="113">
        <f>COUNTIFS(LLM_Data_Entry!$A$3:$A$548,$A64,LLM_Data_Entry!$F$3:$F$548,"LLM",LLM_Data_Entry!$R$3:$R$548,"YES")</f>
        <v>0</v>
      </c>
      <c r="G64" s="112" t="str">
        <f t="shared" si="10"/>
        <v>-</v>
      </c>
      <c r="I64" s="98" t="str">
        <f t="shared" si="11"/>
        <v>Costco</v>
      </c>
      <c r="J64" s="108">
        <f>SUMPRODUCT((Human_Data_Entry!$A$3:$A$524=$I64)*(Human_Data_Entry!$H$3:$H$524="Human")*((Human_Data_Entry!$J$3:$J$524="BUY")+(Human_Data_Entry!$J$3:$J$524="SELL"))*ISNUMBER(Human_Data_Entry!$U$3:$U$524))</f>
        <v>4</v>
      </c>
      <c r="K64" s="114">
        <f>IFERROR(AVERAGEIFS(Human_Data_Entry!$U$3:$U$524,Human_Data_Entry!$A$3:$A$524,$I64,Human_Data_Entry!$H$3:$H$524,"Human",Human_Data_Entry!$J$3:$J$524,"&lt;&gt;HOLD",Human_Data_Entry!$U$3:$U$524,"&lt;&gt;"),"")</f>
        <v>-3.3500000000000001E-3</v>
      </c>
      <c r="L64" s="114">
        <f>IFERROR(SUMIFS(Human_Data_Entry!$U$3:$U$524,Human_Data_Entry!$A$3:$A$524,$I64,Human_Data_Entry!$H$3:$H$524,"Human",Human_Data_Entry!$J$3:$J$524,"&lt;&gt;HOLD"),"")</f>
        <v>-1.34E-2</v>
      </c>
      <c r="M64" s="108">
        <f>COUNTIFS(LLM_Data_Entry!$A$3:$A$548,$I64,LLM_Data_Entry!$F$3:$F$548,"LLM",LLM_Data_Entry!$H$3:$H$548,"&lt;&gt;HOLD",LLM_Data_Entry!$T$3:$T$548,"&lt;&gt;")</f>
        <v>0</v>
      </c>
      <c r="N64" s="114" t="str">
        <f>IFERROR(AVERAGEIFS(LLM_Data_Entry!$T$3:$T$548,LLM_Data_Entry!$A$3:$A$548,$I64,LLM_Data_Entry!$F$3:$F$548,"LLM",LLM_Data_Entry!$H$3:$H$548,"&lt;&gt;HOLD",LLM_Data_Entry!$T$3:$T$548,"&lt;&gt;"),"")</f>
        <v/>
      </c>
      <c r="O64" s="114">
        <f>IFERROR(SUMIFS(LLM_Data_Entry!$T$3:$T$548,LLM_Data_Entry!$A$3:$A$548,$I64,LLM_Data_Entry!$F$3:$F$548,"LLM",LLM_Data_Entry!$H$3:$H$548,"&lt;&gt;HOLD"),"")</f>
        <v>0</v>
      </c>
    </row>
    <row r="65" spans="1:15" x14ac:dyDescent="0.2">
      <c r="A65" s="98" t="s">
        <v>1467</v>
      </c>
      <c r="B65" s="111">
        <f>COUNTIFS(Human_Data_Entry!$A$3:$A$524,$A65,Human_Data_Entry!$H$3:$H$524,"Human",Human_Data_Entry!$S$3:$S$524,"?*")</f>
        <v>3</v>
      </c>
      <c r="C65" s="111">
        <f>COUNTIFS(Human_Data_Entry!$A$3:$A$524,$A65,Human_Data_Entry!$H$3:$H$524,"Human",Human_Data_Entry!$S$3:$S$524,"YES")</f>
        <v>0</v>
      </c>
      <c r="D65" s="112">
        <f t="shared" si="9"/>
        <v>0</v>
      </c>
      <c r="E65" s="111">
        <f>COUNTIFS(LLM_Data_Entry!$A$3:$A$548,$A65,LLM_Data_Entry!$F$3:$F$548,"LLM",LLM_Data_Entry!$R$3:$R$548,"&lt;&gt;")</f>
        <v>3</v>
      </c>
      <c r="F65" s="113">
        <f>COUNTIFS(LLM_Data_Entry!$A$3:$A$548,$A65,LLM_Data_Entry!$F$3:$F$548,"LLM",LLM_Data_Entry!$R$3:$R$548,"YES")</f>
        <v>1</v>
      </c>
      <c r="G65" s="112">
        <f t="shared" si="10"/>
        <v>0.33333333333333331</v>
      </c>
      <c r="I65" s="98" t="str">
        <f t="shared" si="11"/>
        <v>Starbucks</v>
      </c>
      <c r="J65" s="108">
        <f>SUMPRODUCT((Human_Data_Entry!$A$3:$A$524=$I65)*(Human_Data_Entry!$H$3:$H$524="Human")*((Human_Data_Entry!$J$3:$J$524="BUY")+(Human_Data_Entry!$J$3:$J$524="SELL"))*ISNUMBER(Human_Data_Entry!$U$3:$U$524))</f>
        <v>3</v>
      </c>
      <c r="K65" s="114">
        <f>IFERROR(AVERAGEIFS(Human_Data_Entry!$U$3:$U$524,Human_Data_Entry!$A$3:$A$524,$I65,Human_Data_Entry!$H$3:$H$524,"Human",Human_Data_Entry!$J$3:$J$524,"&lt;&gt;HOLD",Human_Data_Entry!$U$3:$U$524,"&lt;&gt;"),"")</f>
        <v>-3.1733333333333336E-2</v>
      </c>
      <c r="L65" s="114">
        <f>IFERROR(SUMIFS(Human_Data_Entry!$U$3:$U$524,Human_Data_Entry!$A$3:$A$524,$I65,Human_Data_Entry!$H$3:$H$524,"Human",Human_Data_Entry!$J$3:$J$524,"&lt;&gt;HOLD"),"")</f>
        <v>-9.5200000000000007E-2</v>
      </c>
      <c r="M65" s="108">
        <f>COUNTIFS(LLM_Data_Entry!$A$3:$A$548,$I65,LLM_Data_Entry!$F$3:$F$548,"LLM",LLM_Data_Entry!$H$3:$H$548,"&lt;&gt;HOLD",LLM_Data_Entry!$T$3:$T$548,"&lt;&gt;")</f>
        <v>1</v>
      </c>
      <c r="N65" s="114">
        <f>IFERROR(AVERAGEIFS(LLM_Data_Entry!$T$3:$T$548,LLM_Data_Entry!$A$3:$A$548,$I65,LLM_Data_Entry!$F$3:$F$548,"LLM",LLM_Data_Entry!$H$3:$H$548,"&lt;&gt;HOLD",LLM_Data_Entry!$T$3:$T$548,"&lt;&gt;"),"")</f>
        <v>-2.4049000000000001E-2</v>
      </c>
      <c r="O65" s="114">
        <f>IFERROR(SUMIFS(LLM_Data_Entry!$T$3:$T$548,LLM_Data_Entry!$A$3:$A$548,$I65,LLM_Data_Entry!$F$3:$F$548,"LLM",LLM_Data_Entry!$H$3:$H$548,"&lt;&gt;HOLD"),"")</f>
        <v>-2.4049000000000001E-2</v>
      </c>
    </row>
    <row r="66" spans="1:15" x14ac:dyDescent="0.2">
      <c r="A66" s="98" t="s">
        <v>1235</v>
      </c>
      <c r="B66" s="111">
        <f>COUNTIFS(Human_Data_Entry!$A$3:$A$524,$A66,Human_Data_Entry!$H$3:$H$524,"Human",Human_Data_Entry!$S$3:$S$524,"?*")</f>
        <v>4</v>
      </c>
      <c r="C66" s="111">
        <f>COUNTIFS(Human_Data_Entry!$A$3:$A$524,$A66,Human_Data_Entry!$H$3:$H$524,"Human",Human_Data_Entry!$S$3:$S$524,"YES")</f>
        <v>1</v>
      </c>
      <c r="D66" s="112">
        <f t="shared" si="9"/>
        <v>0.25</v>
      </c>
      <c r="E66" s="111">
        <f>COUNTIFS(LLM_Data_Entry!$A$3:$A$548,$A66,LLM_Data_Entry!$F$3:$F$548,"LLM",LLM_Data_Entry!$R$3:$R$548,"&lt;&gt;")</f>
        <v>0</v>
      </c>
      <c r="F66" s="113">
        <f>COUNTIFS(LLM_Data_Entry!$A$3:$A$548,$A66,LLM_Data_Entry!$F$3:$F$548,"LLM",LLM_Data_Entry!$R$3:$R$548,"YES")</f>
        <v>0</v>
      </c>
      <c r="G66" s="112" t="str">
        <f t="shared" si="10"/>
        <v>-</v>
      </c>
      <c r="I66" s="98" t="str">
        <f t="shared" si="11"/>
        <v>Datadog</v>
      </c>
      <c r="J66" s="108">
        <f>SUMPRODUCT((Human_Data_Entry!$A$3:$A$524=$I66)*(Human_Data_Entry!$H$3:$H$524="Human")*((Human_Data_Entry!$J$3:$J$524="BUY")+(Human_Data_Entry!$J$3:$J$524="SELL"))*ISNUMBER(Human_Data_Entry!$U$3:$U$524))</f>
        <v>4</v>
      </c>
      <c r="K66" s="114">
        <f>IFERROR(AVERAGEIFS(Human_Data_Entry!$U$3:$U$524,Human_Data_Entry!$A$3:$A$524,$I66,Human_Data_Entry!$H$3:$H$524,"Human",Human_Data_Entry!$J$3:$J$524,"&lt;&gt;HOLD",Human_Data_Entry!$U$3:$U$524,"&lt;&gt;"),"")</f>
        <v>4.500000000000001E-4</v>
      </c>
      <c r="L66" s="114">
        <f>IFERROR(SUMIFS(Human_Data_Entry!$U$3:$U$524,Human_Data_Entry!$A$3:$A$524,$I66,Human_Data_Entry!$H$3:$H$524,"Human",Human_Data_Entry!$J$3:$J$524,"&lt;&gt;HOLD"),"")</f>
        <v>1.8000000000000004E-3</v>
      </c>
      <c r="M66" s="108">
        <f>COUNTIFS(LLM_Data_Entry!$A$3:$A$548,$I66,LLM_Data_Entry!$F$3:$F$548,"LLM",LLM_Data_Entry!$H$3:$H$548,"&lt;&gt;HOLD",LLM_Data_Entry!$T$3:$T$548,"&lt;&gt;")</f>
        <v>0</v>
      </c>
      <c r="N66" s="114" t="str">
        <f>IFERROR(AVERAGEIFS(LLM_Data_Entry!$T$3:$T$548,LLM_Data_Entry!$A$3:$A$548,$I66,LLM_Data_Entry!$F$3:$F$548,"LLM",LLM_Data_Entry!$H$3:$H$548,"&lt;&gt;HOLD",LLM_Data_Entry!$T$3:$T$548,"&lt;&gt;"),"")</f>
        <v/>
      </c>
      <c r="O66" s="114">
        <f>IFERROR(SUMIFS(LLM_Data_Entry!$T$3:$T$548,LLM_Data_Entry!$A$3:$A$548,$I66,LLM_Data_Entry!$F$3:$F$548,"LLM",LLM_Data_Entry!$H$3:$H$548,"&lt;&gt;HOLD"),"")</f>
        <v>0</v>
      </c>
    </row>
    <row r="67" spans="1:15" x14ac:dyDescent="0.2">
      <c r="A67" s="98" t="s">
        <v>1304</v>
      </c>
      <c r="B67" s="111">
        <f>COUNTIFS(Human_Data_Entry!$A$3:$A$524,$A67,Human_Data_Entry!$H$3:$H$524,"Human",Human_Data_Entry!$S$3:$S$524,"?*")</f>
        <v>4</v>
      </c>
      <c r="C67" s="111">
        <f>COUNTIFS(Human_Data_Entry!$A$3:$A$524,$A67,Human_Data_Entry!$H$3:$H$524,"Human",Human_Data_Entry!$S$3:$S$524,"YES")</f>
        <v>3</v>
      </c>
      <c r="D67" s="112">
        <f t="shared" si="9"/>
        <v>0.75</v>
      </c>
      <c r="E67" s="111">
        <f>COUNTIFS(LLM_Data_Entry!$A$3:$A$548,$A67,LLM_Data_Entry!$F$3:$F$548,"LLM",LLM_Data_Entry!$R$3:$R$548,"&lt;&gt;")</f>
        <v>3</v>
      </c>
      <c r="F67" s="113">
        <f>COUNTIFS(LLM_Data_Entry!$A$3:$A$548,$A67,LLM_Data_Entry!$F$3:$F$548,"LLM",LLM_Data_Entry!$R$3:$R$548,"YES")</f>
        <v>2</v>
      </c>
      <c r="G67" s="112">
        <f t="shared" si="10"/>
        <v>0.66666666666666663</v>
      </c>
      <c r="I67" s="98" t="str">
        <f t="shared" si="11"/>
        <v>Dell</v>
      </c>
      <c r="J67" s="108">
        <f>SUMPRODUCT((Human_Data_Entry!$A$3:$A$524=$I67)*(Human_Data_Entry!$H$3:$H$524="Human")*((Human_Data_Entry!$J$3:$J$524="BUY")+(Human_Data_Entry!$J$3:$J$524="SELL"))*ISNUMBER(Human_Data_Entry!$U$3:$U$524))</f>
        <v>4</v>
      </c>
      <c r="K67" s="114">
        <f>IFERROR(AVERAGEIFS(Human_Data_Entry!$U$3:$U$524,Human_Data_Entry!$A$3:$A$524,$I67,Human_Data_Entry!$H$3:$H$524,"Human",Human_Data_Entry!$J$3:$J$524,"&lt;&gt;HOLD",Human_Data_Entry!$U$3:$U$524,"&lt;&gt;"),"")</f>
        <v>5.9924999999999999E-2</v>
      </c>
      <c r="L67" s="114">
        <f>IFERROR(SUMIFS(Human_Data_Entry!$U$3:$U$524,Human_Data_Entry!$A$3:$A$524,$I67,Human_Data_Entry!$H$3:$H$524,"Human",Human_Data_Entry!$J$3:$J$524,"&lt;&gt;HOLD"),"")</f>
        <v>0.2397</v>
      </c>
      <c r="M67" s="108">
        <f>COUNTIFS(LLM_Data_Entry!$A$3:$A$548,$I67,LLM_Data_Entry!$F$3:$F$548,"LLM",LLM_Data_Entry!$H$3:$H$548,"&lt;&gt;HOLD",LLM_Data_Entry!$T$3:$T$548,"&lt;&gt;")</f>
        <v>3</v>
      </c>
      <c r="N67" s="114">
        <f>IFERROR(AVERAGEIFS(LLM_Data_Entry!$T$3:$T$548,LLM_Data_Entry!$A$3:$A$548,$I67,LLM_Data_Entry!$F$3:$F$548,"LLM",LLM_Data_Entry!$H$3:$H$548,"&lt;&gt;HOLD",LLM_Data_Entry!$T$3:$T$548,"&lt;&gt;"),"")</f>
        <v>6.6345333333333326E-2</v>
      </c>
      <c r="O67" s="114">
        <f>IFERROR(SUMIFS(LLM_Data_Entry!$T$3:$T$548,LLM_Data_Entry!$A$3:$A$548,$I67,LLM_Data_Entry!$F$3:$F$548,"LLM",LLM_Data_Entry!$H$3:$H$548,"&lt;&gt;HOLD"),"")</f>
        <v>0.19903599999999999</v>
      </c>
    </row>
    <row r="68" spans="1:15" x14ac:dyDescent="0.2">
      <c r="A68" s="98" t="s">
        <v>1270</v>
      </c>
      <c r="B68" s="111">
        <f>COUNTIFS(Human_Data_Entry!$A$3:$A$524,$A68,Human_Data_Entry!$H$3:$H$524,"Human",Human_Data_Entry!$S$3:$S$524,"?*")</f>
        <v>4</v>
      </c>
      <c r="C68" s="111">
        <f>COUNTIFS(Human_Data_Entry!$A$3:$A$524,$A68,Human_Data_Entry!$H$3:$H$524,"Human",Human_Data_Entry!$S$3:$S$524,"YES")</f>
        <v>0</v>
      </c>
      <c r="D68" s="112">
        <f t="shared" si="9"/>
        <v>0</v>
      </c>
      <c r="E68" s="111">
        <f>COUNTIFS(LLM_Data_Entry!$A$3:$A$548,$A68,LLM_Data_Entry!$F$3:$F$548,"LLM",LLM_Data_Entry!$R$3:$R$548,"&lt;&gt;")</f>
        <v>4</v>
      </c>
      <c r="F68" s="113">
        <f>COUNTIFS(LLM_Data_Entry!$A$3:$A$548,$A68,LLM_Data_Entry!$F$3:$F$548,"LLM",LLM_Data_Entry!$R$3:$R$548,"YES")</f>
        <v>1</v>
      </c>
      <c r="G68" s="112">
        <f t="shared" si="10"/>
        <v>0.25</v>
      </c>
      <c r="I68" s="98" t="str">
        <f t="shared" si="11"/>
        <v>Delta Air Lines</v>
      </c>
      <c r="J68" s="108">
        <f>SUMPRODUCT((Human_Data_Entry!$A$3:$A$524=$I68)*(Human_Data_Entry!$H$3:$H$524="Human")*((Human_Data_Entry!$J$3:$J$524="BUY")+(Human_Data_Entry!$J$3:$J$524="SELL"))*ISNUMBER(Human_Data_Entry!$U$3:$U$524))</f>
        <v>3</v>
      </c>
      <c r="K68" s="114">
        <f>IFERROR(AVERAGEIFS(Human_Data_Entry!$U$3:$U$524,Human_Data_Entry!$A$3:$A$524,$I68,Human_Data_Entry!$H$3:$H$524,"Human",Human_Data_Entry!$J$3:$J$524,"&lt;&gt;HOLD",Human_Data_Entry!$U$3:$U$524,"&lt;&gt;"),"")</f>
        <v>-7.8833333333333325E-2</v>
      </c>
      <c r="L68" s="114">
        <f>IFERROR(SUMIFS(Human_Data_Entry!$U$3:$U$524,Human_Data_Entry!$A$3:$A$524,$I68,Human_Data_Entry!$H$3:$H$524,"Human",Human_Data_Entry!$J$3:$J$524,"&lt;&gt;HOLD"),"")</f>
        <v>-0.23649999999999999</v>
      </c>
      <c r="M68" s="108">
        <f>COUNTIFS(LLM_Data_Entry!$A$3:$A$548,$I68,LLM_Data_Entry!$F$3:$F$548,"LLM",LLM_Data_Entry!$H$3:$H$548,"&lt;&gt;HOLD",LLM_Data_Entry!$T$3:$T$548,"&lt;&gt;")</f>
        <v>3</v>
      </c>
      <c r="N68" s="114">
        <f>IFERROR(AVERAGEIFS(LLM_Data_Entry!$T$3:$T$548,LLM_Data_Entry!$A$3:$A$548,$I68,LLM_Data_Entry!$F$3:$F$548,"LLM",LLM_Data_Entry!$H$3:$H$548,"&lt;&gt;HOLD",LLM_Data_Entry!$T$3:$T$548,"&lt;&gt;"),"")</f>
        <v>3.5756666666666645E-3</v>
      </c>
      <c r="O68" s="114">
        <f>IFERROR(SUMIFS(LLM_Data_Entry!$T$3:$T$548,LLM_Data_Entry!$A$3:$A$548,$I68,LLM_Data_Entry!$F$3:$F$548,"LLM",LLM_Data_Entry!$H$3:$H$548,"&lt;&gt;HOLD"),"")</f>
        <v>1.0726999999999993E-2</v>
      </c>
    </row>
    <row r="69" spans="1:15" x14ac:dyDescent="0.2">
      <c r="A69" s="98" t="s">
        <v>1244</v>
      </c>
      <c r="B69" s="111">
        <f>COUNTIFS(Human_Data_Entry!$A$3:$A$524,$A69,Human_Data_Entry!$H$3:$H$524,"Human",Human_Data_Entry!$S$3:$S$524,"?*")</f>
        <v>4</v>
      </c>
      <c r="C69" s="111">
        <f>COUNTIFS(Human_Data_Entry!$A$3:$A$524,$A69,Human_Data_Entry!$H$3:$H$524,"Human",Human_Data_Entry!$S$3:$S$524,"YES")</f>
        <v>1</v>
      </c>
      <c r="D69" s="112">
        <f t="shared" si="9"/>
        <v>0.25</v>
      </c>
      <c r="E69" s="111">
        <f>COUNTIFS(LLM_Data_Entry!$A$3:$A$548,$A69,LLM_Data_Entry!$F$3:$F$548,"LLM",LLM_Data_Entry!$R$3:$R$548,"&lt;&gt;")</f>
        <v>0</v>
      </c>
      <c r="F69" s="113">
        <f>COUNTIFS(LLM_Data_Entry!$A$3:$A$548,$A69,LLM_Data_Entry!$F$3:$F$548,"LLM",LLM_Data_Entry!$R$3:$R$548,"YES")</f>
        <v>0</v>
      </c>
      <c r="G69" s="112" t="str">
        <f t="shared" si="10"/>
        <v>-</v>
      </c>
      <c r="I69" s="98" t="str">
        <f t="shared" si="11"/>
        <v>eBay</v>
      </c>
      <c r="J69" s="108">
        <f>SUMPRODUCT((Human_Data_Entry!$A$3:$A$524=$I69)*(Human_Data_Entry!$H$3:$H$524="Human")*((Human_Data_Entry!$J$3:$J$524="BUY")+(Human_Data_Entry!$J$3:$J$524="SELL"))*ISNUMBER(Human_Data_Entry!$U$3:$U$524))</f>
        <v>3</v>
      </c>
      <c r="K69" s="114">
        <f>IFERROR(AVERAGEIFS(Human_Data_Entry!$U$3:$U$524,Human_Data_Entry!$A$3:$A$524,$I69,Human_Data_Entry!$H$3:$H$524,"Human",Human_Data_Entry!$J$3:$J$524,"&lt;&gt;HOLD",Human_Data_Entry!$U$3:$U$524,"&lt;&gt;"),"")</f>
        <v>3.6666666666666618E-4</v>
      </c>
      <c r="L69" s="114">
        <f>IFERROR(SUMIFS(Human_Data_Entry!$U$3:$U$524,Human_Data_Entry!$A$3:$A$524,$I69,Human_Data_Entry!$H$3:$H$524,"Human",Human_Data_Entry!$J$3:$J$524,"&lt;&gt;HOLD"),"")</f>
        <v>1.0999999999999985E-3</v>
      </c>
      <c r="M69" s="108">
        <f>COUNTIFS(LLM_Data_Entry!$A$3:$A$548,$I69,LLM_Data_Entry!$F$3:$F$548,"LLM",LLM_Data_Entry!$H$3:$H$548,"&lt;&gt;HOLD",LLM_Data_Entry!$T$3:$T$548,"&lt;&gt;")</f>
        <v>0</v>
      </c>
      <c r="N69" s="114" t="str">
        <f>IFERROR(AVERAGEIFS(LLM_Data_Entry!$T$3:$T$548,LLM_Data_Entry!$A$3:$A$548,$I69,LLM_Data_Entry!$F$3:$F$548,"LLM",LLM_Data_Entry!$H$3:$H$548,"&lt;&gt;HOLD",LLM_Data_Entry!$T$3:$T$548,"&lt;&gt;"),"")</f>
        <v/>
      </c>
      <c r="O69" s="114">
        <f>IFERROR(SUMIFS(LLM_Data_Entry!$T$3:$T$548,LLM_Data_Entry!$A$3:$A$548,$I69,LLM_Data_Entry!$F$3:$F$548,"LLM",LLM_Data_Entry!$H$3:$H$548,"&lt;&gt;HOLD"),"")</f>
        <v>0</v>
      </c>
    </row>
    <row r="70" spans="1:15" x14ac:dyDescent="0.2">
      <c r="A70" s="98" t="s">
        <v>951</v>
      </c>
      <c r="B70" s="111">
        <f>COUNTIFS(Human_Data_Entry!$A$3:$A$524,$A70,Human_Data_Entry!$H$3:$H$524,"Human",Human_Data_Entry!$S$3:$S$524,"?*")</f>
        <v>3</v>
      </c>
      <c r="C70" s="111">
        <f>COUNTIFS(Human_Data_Entry!$A$3:$A$524,$A70,Human_Data_Entry!$H$3:$H$524,"Human",Human_Data_Entry!$S$3:$S$524,"YES")</f>
        <v>2</v>
      </c>
      <c r="D70" s="112">
        <f t="shared" si="9"/>
        <v>0.66666666666666663</v>
      </c>
      <c r="E70" s="111">
        <f>COUNTIFS(LLM_Data_Entry!$A$3:$A$548,$A70,LLM_Data_Entry!$F$3:$F$548,"LLM",LLM_Data_Entry!$R$3:$R$548,"&lt;&gt;")</f>
        <v>3</v>
      </c>
      <c r="F70" s="113">
        <f>COUNTIFS(LLM_Data_Entry!$A$3:$A$548,$A70,LLM_Data_Entry!$F$3:$F$548,"LLM",LLM_Data_Entry!$R$3:$R$548,"YES")</f>
        <v>3</v>
      </c>
      <c r="G70" s="112">
        <f t="shared" si="10"/>
        <v>1</v>
      </c>
      <c r="I70" s="98" t="str">
        <f t="shared" si="11"/>
        <v>Eli Lilly</v>
      </c>
      <c r="J70" s="108">
        <f>SUMPRODUCT((Human_Data_Entry!$A$3:$A$524=$I70)*(Human_Data_Entry!$H$3:$H$524="Human")*((Human_Data_Entry!$J$3:$J$524="BUY")+(Human_Data_Entry!$J$3:$J$524="SELL"))*ISNUMBER(Human_Data_Entry!$U$3:$U$524))</f>
        <v>3</v>
      </c>
      <c r="K70" s="114">
        <f>IFERROR(AVERAGEIFS(Human_Data_Entry!$U$3:$U$524,Human_Data_Entry!$A$3:$A$524,$I70,Human_Data_Entry!$H$3:$H$524,"Human",Human_Data_Entry!$J$3:$J$524,"&lt;&gt;HOLD",Human_Data_Entry!$U$3:$U$524,"&lt;&gt;"),"")</f>
        <v>3.1599999999999996E-2</v>
      </c>
      <c r="L70" s="114">
        <f>IFERROR(SUMIFS(Human_Data_Entry!$U$3:$U$524,Human_Data_Entry!$A$3:$A$524,$I70,Human_Data_Entry!$H$3:$H$524,"Human",Human_Data_Entry!$J$3:$J$524,"&lt;&gt;HOLD"),"")</f>
        <v>9.4799999999999995E-2</v>
      </c>
      <c r="M70" s="108">
        <f>COUNTIFS(LLM_Data_Entry!$A$3:$A$548,$I70,LLM_Data_Entry!$F$3:$F$548,"LLM",LLM_Data_Entry!$H$3:$H$548,"&lt;&gt;HOLD",LLM_Data_Entry!$T$3:$T$548,"&lt;&gt;")</f>
        <v>3</v>
      </c>
      <c r="N70" s="114">
        <f>IFERROR(AVERAGEIFS(LLM_Data_Entry!$T$3:$T$548,LLM_Data_Entry!$A$3:$A$548,$I70,LLM_Data_Entry!$F$3:$F$548,"LLM",LLM_Data_Entry!$H$3:$H$548,"&lt;&gt;HOLD",LLM_Data_Entry!$T$3:$T$548,"&lt;&gt;"),"")</f>
        <v>5.1254000000000001E-2</v>
      </c>
      <c r="O70" s="114">
        <f>IFERROR(SUMIFS(LLM_Data_Entry!$T$3:$T$548,LLM_Data_Entry!$A$3:$A$548,$I70,LLM_Data_Entry!$F$3:$F$548,"LLM",LLM_Data_Entry!$H$3:$H$548,"&lt;&gt;HOLD"),"")</f>
        <v>0.15376200000000001</v>
      </c>
    </row>
    <row r="71" spans="1:15" x14ac:dyDescent="0.2">
      <c r="A71" s="109" t="s">
        <v>943</v>
      </c>
      <c r="B71" s="111">
        <f>COUNTIFS(Human_Data_Entry!$A$3:$A$524,$A71,Human_Data_Entry!$H$3:$H$524,"Human",Human_Data_Entry!$S$3:$S$524,"?*")</f>
        <v>3</v>
      </c>
      <c r="C71" s="111">
        <f>COUNTIFS(Human_Data_Entry!$A$3:$A$524,$A71,Human_Data_Entry!$H$3:$H$524,"Human",Human_Data_Entry!$S$3:$S$524,"YES")</f>
        <v>1</v>
      </c>
      <c r="D71" s="112">
        <f t="shared" si="9"/>
        <v>0.33333333333333331</v>
      </c>
      <c r="E71" s="111">
        <f>COUNTIFS(LLM_Data_Entry!$A$3:$A$548,$A71,LLM_Data_Entry!$F$3:$F$548,"LLM",LLM_Data_Entry!$R$3:$R$548,"&lt;&gt;")</f>
        <v>3</v>
      </c>
      <c r="F71" s="113">
        <f>COUNTIFS(LLM_Data_Entry!$A$3:$A$548,$A71,LLM_Data_Entry!$F$3:$F$548,"LLM",LLM_Data_Entry!$R$3:$R$548,"YES")</f>
        <v>2</v>
      </c>
      <c r="G71" s="112">
        <f t="shared" si="10"/>
        <v>0.66666666666666663</v>
      </c>
      <c r="I71" s="110" t="str">
        <f t="shared" si="11"/>
        <v>Coinbase</v>
      </c>
      <c r="J71" s="108">
        <f>SUMPRODUCT((Human_Data_Entry!$A$3:$A$524=$I71)*(Human_Data_Entry!$H$3:$H$524="Human")*((Human_Data_Entry!$J$3:$J$524="BUY")+(Human_Data_Entry!$J$3:$J$524="SELL"))*ISNUMBER(Human_Data_Entry!$U$3:$U$524))</f>
        <v>2</v>
      </c>
      <c r="K71" s="114">
        <f>IFERROR(AVERAGEIFS(Human_Data_Entry!$U$3:$U$524,Human_Data_Entry!$A$3:$A$524,$I71,Human_Data_Entry!$H$3:$H$524,"Human",Human_Data_Entry!$J$3:$J$524,"&lt;&gt;HOLD",Human_Data_Entry!$U$3:$U$524,"&lt;&gt;"),"")</f>
        <v>-7.4999999999999997E-3</v>
      </c>
      <c r="L71" s="114">
        <f>IFERROR(SUMIFS(Human_Data_Entry!$U$3:$U$524,Human_Data_Entry!$A$3:$A$524,$I71,Human_Data_Entry!$H$3:$H$524,"Human",Human_Data_Entry!$J$3:$J$524,"&lt;&gt;HOLD"),"")</f>
        <v>-1.4999999999999999E-2</v>
      </c>
      <c r="M71" s="108">
        <f>COUNTIFS(LLM_Data_Entry!$A$3:$A$548,$I71,LLM_Data_Entry!$F$3:$F$548,"LLM",LLM_Data_Entry!$H$3:$H$548,"&lt;&gt;HOLD",LLM_Data_Entry!$T$3:$T$548,"&lt;&gt;")</f>
        <v>2</v>
      </c>
      <c r="N71" s="114">
        <f>IFERROR(AVERAGEIFS(LLM_Data_Entry!$T$3:$T$548,LLM_Data_Entry!$A$3:$A$548,$I71,LLM_Data_Entry!$F$3:$F$548,"LLM",LLM_Data_Entry!$H$3:$H$548,"&lt;&gt;HOLD",LLM_Data_Entry!$T$3:$T$548,"&lt;&gt;"),"")</f>
        <v>2.8305500000000001E-2</v>
      </c>
      <c r="O71" s="114">
        <f>IFERROR(SUMIFS(LLM_Data_Entry!$T$3:$T$548,LLM_Data_Entry!$A$3:$A$548,$I71,LLM_Data_Entry!$F$3:$F$548,"LLM",LLM_Data_Entry!$H$3:$H$548,"&lt;&gt;HOLD"),"")</f>
        <v>5.6611000000000002E-2</v>
      </c>
    </row>
    <row r="72" spans="1:15" x14ac:dyDescent="0.2">
      <c r="A72" s="109" t="s">
        <v>1111</v>
      </c>
      <c r="B72" s="111">
        <f>COUNTIFS(Human_Data_Entry!$A$3:$A$524,$A72,Human_Data_Entry!$H$3:$H$524,"Human",Human_Data_Entry!$S$3:$S$524,"?*")</f>
        <v>4</v>
      </c>
      <c r="C72" s="111">
        <f>COUNTIFS(Human_Data_Entry!$A$3:$A$524,$A72,Human_Data_Entry!$H$3:$H$524,"Human",Human_Data_Entry!$S$3:$S$524,"YES")</f>
        <v>2</v>
      </c>
      <c r="D72" s="112">
        <f t="shared" si="9"/>
        <v>0.5</v>
      </c>
      <c r="E72" s="111">
        <f>COUNTIFS(LLM_Data_Entry!$A$3:$A$548,$A72,LLM_Data_Entry!$F$3:$F$548,"LLM",LLM_Data_Entry!$R$3:$R$548,"&lt;&gt;")</f>
        <v>4</v>
      </c>
      <c r="F72" s="113">
        <f>COUNTIFS(LLM_Data_Entry!$A$3:$A$548,$A72,LLM_Data_Entry!$F$3:$F$548,"LLM",LLM_Data_Entry!$R$3:$R$548,"YES")</f>
        <v>2</v>
      </c>
      <c r="G72" s="112">
        <f t="shared" si="10"/>
        <v>0.5</v>
      </c>
      <c r="I72" s="110" t="str">
        <f t="shared" si="11"/>
        <v>Expedia</v>
      </c>
      <c r="J72" s="108">
        <f>SUMPRODUCT((Human_Data_Entry!$A$3:$A$524=$I72)*(Human_Data_Entry!$H$3:$H$524="Human")*((Human_Data_Entry!$J$3:$J$524="BUY")+(Human_Data_Entry!$J$3:$J$524="SELL"))*ISNUMBER(Human_Data_Entry!$U$3:$U$524))</f>
        <v>3</v>
      </c>
      <c r="K72" s="114">
        <f>IFERROR(AVERAGEIFS(Human_Data_Entry!$U$3:$U$524,Human_Data_Entry!$A$3:$A$524,$I72,Human_Data_Entry!$H$3:$H$524,"Human",Human_Data_Entry!$J$3:$J$524,"&lt;&gt;HOLD",Human_Data_Entry!$U$3:$U$524,"&lt;&gt;"),"")</f>
        <v>3.5699999999999996E-2</v>
      </c>
      <c r="L72" s="114">
        <f>IFERROR(SUMIFS(Human_Data_Entry!$U$3:$U$524,Human_Data_Entry!$A$3:$A$524,$I72,Human_Data_Entry!$H$3:$H$524,"Human",Human_Data_Entry!$J$3:$J$524,"&lt;&gt;HOLD"),"")</f>
        <v>0.10709999999999999</v>
      </c>
      <c r="M72" s="108">
        <f>COUNTIFS(LLM_Data_Entry!$A$3:$A$548,$I72,LLM_Data_Entry!$F$3:$F$548,"LLM",LLM_Data_Entry!$H$3:$H$548,"&lt;&gt;HOLD",LLM_Data_Entry!$T$3:$T$548,"&lt;&gt;")</f>
        <v>3</v>
      </c>
      <c r="N72" s="114">
        <f>IFERROR(AVERAGEIFS(LLM_Data_Entry!$T$3:$T$548,LLM_Data_Entry!$A$3:$A$548,$I72,LLM_Data_Entry!$F$3:$F$548,"LLM",LLM_Data_Entry!$H$3:$H$548,"&lt;&gt;HOLD",LLM_Data_Entry!$T$3:$T$548,"&lt;&gt;"),"")</f>
        <v>5.1617666666666673E-2</v>
      </c>
      <c r="O72" s="114">
        <f>IFERROR(SUMIFS(LLM_Data_Entry!$T$3:$T$548,LLM_Data_Entry!$A$3:$A$548,$I72,LLM_Data_Entry!$F$3:$F$548,"LLM",LLM_Data_Entry!$H$3:$H$548,"&lt;&gt;HOLD"),"")</f>
        <v>0.15485300000000002</v>
      </c>
    </row>
    <row r="73" spans="1:15" x14ac:dyDescent="0.2">
      <c r="A73" s="19" t="s">
        <v>1513</v>
      </c>
      <c r="B73" s="111">
        <f>COUNTIFS(Human_Data_Entry!$A$3:$A$524,$A73,Human_Data_Entry!$H$3:$H$524,"Human",Human_Data_Entry!$S$3:$S$524,"?*")</f>
        <v>3</v>
      </c>
      <c r="C73" s="111">
        <f>COUNTIFS(Human_Data_Entry!$A$3:$A$524,$A73,Human_Data_Entry!$H$3:$H$524,"Human",Human_Data_Entry!$S$3:$S$524,"YES")</f>
        <v>0</v>
      </c>
      <c r="D73" s="112">
        <f t="shared" si="9"/>
        <v>0</v>
      </c>
      <c r="E73" s="111">
        <f>COUNTIFS(LLM_Data_Entry!$A$3:$A$548,$A73,LLM_Data_Entry!$F$3:$F$548,"LLM",LLM_Data_Entry!$R$3:$R$548,"&lt;&gt;")</f>
        <v>0</v>
      </c>
      <c r="F73" s="113">
        <f>COUNTIFS(LLM_Data_Entry!$A$3:$A$548,$A73,LLM_Data_Entry!$F$3:$F$548,"LLM",LLM_Data_Entry!$R$3:$R$548,"YES")</f>
        <v>0</v>
      </c>
      <c r="G73" s="112" t="str">
        <f t="shared" si="10"/>
        <v>-</v>
      </c>
      <c r="I73" s="19" t="str">
        <f t="shared" si="11"/>
        <v>Freeport-McMoRan</v>
      </c>
      <c r="J73" s="108">
        <f>SUMPRODUCT((Human_Data_Entry!$A$3:$A$524=$I73)*(Human_Data_Entry!$H$3:$H$524="Human")*((Human_Data_Entry!$J$3:$J$524="BUY")+(Human_Data_Entry!$J$3:$J$524="SELL"))*ISNUMBER(Human_Data_Entry!$U$3:$U$524))</f>
        <v>3</v>
      </c>
      <c r="K73" s="114">
        <f>IFERROR(AVERAGEIFS(Human_Data_Entry!$U$3:$U$524,Human_Data_Entry!$A$3:$A$524,$I73,Human_Data_Entry!$H$3:$H$524,"Human",Human_Data_Entry!$J$3:$J$524,"&lt;&gt;HOLD",Human_Data_Entry!$U$3:$U$524,"&lt;&gt;"),"")</f>
        <v>-2.4000000000000007E-3</v>
      </c>
      <c r="L73" s="114">
        <f>IFERROR(SUMIFS(Human_Data_Entry!$U$3:$U$524,Human_Data_Entry!$A$3:$A$524,$I73,Human_Data_Entry!$H$3:$H$524,"Human",Human_Data_Entry!$J$3:$J$524,"&lt;&gt;HOLD"),"")</f>
        <v>-7.2000000000000015E-3</v>
      </c>
      <c r="M73" s="108">
        <f>COUNTIFS(LLM_Data_Entry!$A$3:$A$548,$I73,LLM_Data_Entry!$F$3:$F$548,"LLM",LLM_Data_Entry!$H$3:$H$548,"&lt;&gt;HOLD",LLM_Data_Entry!$T$3:$T$548,"&lt;&gt;")</f>
        <v>0</v>
      </c>
      <c r="N73" s="114" t="str">
        <f>IFERROR(AVERAGEIFS(LLM_Data_Entry!$T$3:$T$548,LLM_Data_Entry!$A$3:$A$548,$I73,LLM_Data_Entry!$F$3:$F$548,"LLM",LLM_Data_Entry!$H$3:$H$548,"&lt;&gt;HOLD",LLM_Data_Entry!$T$3:$T$548,"&lt;&gt;"),"")</f>
        <v/>
      </c>
      <c r="O73" s="114">
        <f>IFERROR(SUMIFS(LLM_Data_Entry!$T$3:$T$548,LLM_Data_Entry!$A$3:$A$548,$I73,LLM_Data_Entry!$F$3:$F$548,"LLM",LLM_Data_Entry!$H$3:$H$548,"&lt;&gt;HOLD"),"")</f>
        <v>0</v>
      </c>
    </row>
    <row r="74" spans="1:15" x14ac:dyDescent="0.2">
      <c r="A74" s="98" t="s">
        <v>1359</v>
      </c>
      <c r="B74" s="111">
        <f>COUNTIFS(Human_Data_Entry!$A$3:$A$524,$A74,Human_Data_Entry!$H$3:$H$524,"Human",Human_Data_Entry!$S$3:$S$524,"?*")</f>
        <v>3</v>
      </c>
      <c r="C74" s="111">
        <f>COUNTIFS(Human_Data_Entry!$A$3:$A$524,$A74,Human_Data_Entry!$H$3:$H$524,"Human",Human_Data_Entry!$S$3:$S$524,"YES")</f>
        <v>1</v>
      </c>
      <c r="D74" s="112">
        <f t="shared" si="9"/>
        <v>0.33333333333333331</v>
      </c>
      <c r="E74" s="111">
        <f>COUNTIFS(LLM_Data_Entry!$A$3:$A$548,$A74,LLM_Data_Entry!$F$3:$F$548,"LLM",LLM_Data_Entry!$R$3:$R$548,"&lt;&gt;")</f>
        <v>3</v>
      </c>
      <c r="F74" s="113">
        <f>COUNTIFS(LLM_Data_Entry!$A$3:$A$548,$A74,LLM_Data_Entry!$F$3:$F$548,"LLM",LLM_Data_Entry!$R$3:$R$548,"YES")</f>
        <v>0</v>
      </c>
      <c r="G74" s="112">
        <f t="shared" si="10"/>
        <v>0</v>
      </c>
      <c r="I74" s="98" t="str">
        <f t="shared" si="11"/>
        <v>General Mills</v>
      </c>
      <c r="J74" s="108">
        <f>SUMPRODUCT((Human_Data_Entry!$A$3:$A$524=$I74)*(Human_Data_Entry!$H$3:$H$524="Human")*((Human_Data_Entry!$J$3:$J$524="BUY")+(Human_Data_Entry!$J$3:$J$524="SELL"))*ISNUMBER(Human_Data_Entry!$U$3:$U$524))</f>
        <v>2</v>
      </c>
      <c r="K74" s="114">
        <f>IFERROR(AVERAGEIFS(Human_Data_Entry!$U$3:$U$524,Human_Data_Entry!$A$3:$A$524,$I74,Human_Data_Entry!$H$3:$H$524,"Human",Human_Data_Entry!$J$3:$J$524,"&lt;&gt;HOLD",Human_Data_Entry!$U$3:$U$524,"&lt;&gt;"),"")</f>
        <v>1.0549999999999999E-2</v>
      </c>
      <c r="L74" s="114">
        <f>IFERROR(SUMIFS(Human_Data_Entry!$U$3:$U$524,Human_Data_Entry!$A$3:$A$524,$I74,Human_Data_Entry!$H$3:$H$524,"Human",Human_Data_Entry!$J$3:$J$524,"&lt;&gt;HOLD"),"")</f>
        <v>2.1099999999999997E-2</v>
      </c>
      <c r="M74" s="108">
        <f>COUNTIFS(LLM_Data_Entry!$A$3:$A$548,$I74,LLM_Data_Entry!$F$3:$F$548,"LLM",LLM_Data_Entry!$H$3:$H$548,"&lt;&gt;HOLD",LLM_Data_Entry!$T$3:$T$548,"&lt;&gt;")</f>
        <v>2</v>
      </c>
      <c r="N74" s="114">
        <f>IFERROR(AVERAGEIFS(LLM_Data_Entry!$T$3:$T$548,LLM_Data_Entry!$A$3:$A$548,$I74,LLM_Data_Entry!$F$3:$F$548,"LLM",LLM_Data_Entry!$H$3:$H$548,"&lt;&gt;HOLD",LLM_Data_Entry!$T$3:$T$548,"&lt;&gt;"),"")</f>
        <v>-4.1792499999999996E-2</v>
      </c>
      <c r="O74" s="114">
        <f>IFERROR(SUMIFS(LLM_Data_Entry!$T$3:$T$548,LLM_Data_Entry!$A$3:$A$548,$I74,LLM_Data_Entry!$F$3:$F$548,"LLM",LLM_Data_Entry!$H$3:$H$548,"&lt;&gt;HOLD"),"")</f>
        <v>-8.3584999999999993E-2</v>
      </c>
    </row>
    <row r="75" spans="1:15" x14ac:dyDescent="0.2">
      <c r="A75" s="98" t="s">
        <v>1216</v>
      </c>
      <c r="B75" s="111">
        <f>COUNTIFS(Human_Data_Entry!$A$3:$A$524,$A75,Human_Data_Entry!$H$3:$H$524,"Human",Human_Data_Entry!$S$3:$S$524,"?*")</f>
        <v>4</v>
      </c>
      <c r="C75" s="111">
        <f>COUNTIFS(Human_Data_Entry!$A$3:$A$524,$A75,Human_Data_Entry!$H$3:$H$524,"Human",Human_Data_Entry!$S$3:$S$524,"YES")</f>
        <v>0</v>
      </c>
      <c r="D75" s="112">
        <f t="shared" si="9"/>
        <v>0</v>
      </c>
      <c r="E75" s="111">
        <f>COUNTIFS(LLM_Data_Entry!$A$3:$A$548,$A75,LLM_Data_Entry!$F$3:$F$548,"LLM",LLM_Data_Entry!$R$3:$R$548,"&lt;&gt;")</f>
        <v>0</v>
      </c>
      <c r="F75" s="113">
        <f>COUNTIFS(LLM_Data_Entry!$A$3:$A$548,$A75,LLM_Data_Entry!$F$3:$F$548,"LLM",LLM_Data_Entry!$R$3:$R$548,"YES")</f>
        <v>0</v>
      </c>
      <c r="G75" s="112" t="str">
        <f t="shared" si="10"/>
        <v>-</v>
      </c>
      <c r="I75" s="98" t="str">
        <f t="shared" si="11"/>
        <v>Heineken</v>
      </c>
      <c r="J75" s="108">
        <f>SUMPRODUCT((Human_Data_Entry!$A$3:$A$524=$I75)*(Human_Data_Entry!$H$3:$H$524="Human")*((Human_Data_Entry!$J$3:$J$524="BUY")+(Human_Data_Entry!$J$3:$J$524="SELL"))*ISNUMBER(Human_Data_Entry!$U$3:$U$524))</f>
        <v>4</v>
      </c>
      <c r="K75" s="114">
        <f>IFERROR(AVERAGEIFS(Human_Data_Entry!$U$3:$U$524,Human_Data_Entry!$A$3:$A$524,$I75,Human_Data_Entry!$H$3:$H$524,"Human",Human_Data_Entry!$J$3:$J$524,"&lt;&gt;HOLD",Human_Data_Entry!$U$3:$U$524,"&lt;&gt;"),"")</f>
        <v>-1.2750000000000001E-3</v>
      </c>
      <c r="L75" s="114">
        <f>IFERROR(SUMIFS(Human_Data_Entry!$U$3:$U$524,Human_Data_Entry!$A$3:$A$524,$I75,Human_Data_Entry!$H$3:$H$524,"Human",Human_Data_Entry!$J$3:$J$524,"&lt;&gt;HOLD"),"")</f>
        <v>-5.1000000000000004E-3</v>
      </c>
      <c r="M75" s="108">
        <f>COUNTIFS(LLM_Data_Entry!$A$3:$A$548,$I75,LLM_Data_Entry!$F$3:$F$548,"LLM",LLM_Data_Entry!$H$3:$H$548,"&lt;&gt;HOLD",LLM_Data_Entry!$T$3:$T$548,"&lt;&gt;")</f>
        <v>0</v>
      </c>
      <c r="N75" s="114" t="str">
        <f>IFERROR(AVERAGEIFS(LLM_Data_Entry!$T$3:$T$548,LLM_Data_Entry!$A$3:$A$548,$I75,LLM_Data_Entry!$F$3:$F$548,"LLM",LLM_Data_Entry!$H$3:$H$548,"&lt;&gt;HOLD",LLM_Data_Entry!$T$3:$T$548,"&lt;&gt;"),"")</f>
        <v/>
      </c>
      <c r="O75" s="114">
        <f>IFERROR(SUMIFS(LLM_Data_Entry!$T$3:$T$548,LLM_Data_Entry!$A$3:$A$548,$I75,LLM_Data_Entry!$F$3:$F$548,"LLM",LLM_Data_Entry!$H$3:$H$548,"&lt;&gt;HOLD"),"")</f>
        <v>0</v>
      </c>
    </row>
    <row r="76" spans="1:15" x14ac:dyDescent="0.2">
      <c r="A76" s="98" t="s">
        <v>2086</v>
      </c>
      <c r="B76" s="111">
        <f>COUNTIFS(Human_Data_Entry!$A$3:$A$524,$A76,Human_Data_Entry!$H$3:$H$524,"Human",Human_Data_Entry!$S$3:$S$524,"?*")</f>
        <v>0</v>
      </c>
      <c r="C76" s="111">
        <f>COUNTIFS(Human_Data_Entry!$A$3:$A$524,$A76,Human_Data_Entry!$H$3:$H$524,"Human",Human_Data_Entry!$S$3:$S$524,"YES")</f>
        <v>0</v>
      </c>
      <c r="D76" s="112" t="str">
        <f t="shared" si="9"/>
        <v>-</v>
      </c>
      <c r="E76" s="111">
        <f>COUNTIFS(LLM_Data_Entry!$A$3:$A$548,$A76,LLM_Data_Entry!$F$3:$F$548,"LLM",LLM_Data_Entry!$R$3:$R$548,"&lt;&gt;")</f>
        <v>0</v>
      </c>
      <c r="F76" s="113">
        <f>COUNTIFS(LLM_Data_Entry!$A$3:$A$548,$A76,LLM_Data_Entry!$F$3:$F$548,"LLM",LLM_Data_Entry!$R$3:$R$548,"YES")</f>
        <v>0</v>
      </c>
      <c r="G76" s="112" t="str">
        <f t="shared" si="10"/>
        <v>-</v>
      </c>
      <c r="I76" s="98" t="str">
        <f t="shared" si="11"/>
        <v>Hermes</v>
      </c>
      <c r="J76" s="108">
        <f>SUMPRODUCT((Human_Data_Entry!$A$3:$A$524=$I76)*(Human_Data_Entry!$H$3:$H$524="Human")*((Human_Data_Entry!$J$3:$J$524="BUY")+(Human_Data_Entry!$J$3:$J$524="SELL"))*ISNUMBER(Human_Data_Entry!$U$3:$U$524))</f>
        <v>0</v>
      </c>
      <c r="K76" s="114" t="str">
        <f>IFERROR(AVERAGEIFS(Human_Data_Entry!$U$3:$U$524,Human_Data_Entry!$A$3:$A$524,$I76,Human_Data_Entry!$H$3:$H$524,"Human",Human_Data_Entry!$J$3:$J$524,"&lt;&gt;HOLD",Human_Data_Entry!$U$3:$U$524,"&lt;&gt;"),"")</f>
        <v/>
      </c>
      <c r="L76" s="114">
        <f>IFERROR(SUMIFS(Human_Data_Entry!$U$3:$U$524,Human_Data_Entry!$A$3:$A$524,$I76,Human_Data_Entry!$H$3:$H$524,"Human",Human_Data_Entry!$J$3:$J$524,"&lt;&gt;HOLD"),"")</f>
        <v>0</v>
      </c>
      <c r="M76" s="108">
        <f>COUNTIFS(LLM_Data_Entry!$A$3:$A$548,$I76,LLM_Data_Entry!$F$3:$F$548,"LLM",LLM_Data_Entry!$H$3:$H$548,"&lt;&gt;HOLD",LLM_Data_Entry!$T$3:$T$548,"&lt;&gt;")</f>
        <v>0</v>
      </c>
      <c r="N76" s="114" t="str">
        <f>IFERROR(AVERAGEIFS(LLM_Data_Entry!$T$3:$T$548,LLM_Data_Entry!$A$3:$A$548,$I76,LLM_Data_Entry!$F$3:$F$548,"LLM",LLM_Data_Entry!$H$3:$H$548,"&lt;&gt;HOLD",LLM_Data_Entry!$T$3:$T$548,"&lt;&gt;"),"")</f>
        <v/>
      </c>
      <c r="O76" s="114">
        <f>IFERROR(SUMIFS(LLM_Data_Entry!$T$3:$T$548,LLM_Data_Entry!$A$3:$A$548,$I76,LLM_Data_Entry!$F$3:$F$548,"LLM",LLM_Data_Entry!$H$3:$H$548,"&lt;&gt;HOLD"),"")</f>
        <v>0</v>
      </c>
    </row>
    <row r="77" spans="1:15" x14ac:dyDescent="0.2">
      <c r="A77" s="19" t="s">
        <v>1530</v>
      </c>
      <c r="B77" s="111">
        <f>COUNTIFS(Human_Data_Entry!$A$3:$A$524,$A77,Human_Data_Entry!$H$3:$H$524,"Human",Human_Data_Entry!$S$3:$S$524,"?*")</f>
        <v>4</v>
      </c>
      <c r="C77" s="111">
        <f>COUNTIFS(Human_Data_Entry!$A$3:$A$524,$A77,Human_Data_Entry!$H$3:$H$524,"Human",Human_Data_Entry!$S$3:$S$524,"YES")</f>
        <v>2</v>
      </c>
      <c r="D77" s="112">
        <f t="shared" si="9"/>
        <v>0.5</v>
      </c>
      <c r="E77" s="111">
        <f>COUNTIFS(LLM_Data_Entry!$A$3:$A$548,$A77,LLM_Data_Entry!$F$3:$F$548,"LLM",LLM_Data_Entry!$R$3:$R$548,"&lt;&gt;")</f>
        <v>0</v>
      </c>
      <c r="F77" s="113">
        <f>COUNTIFS(LLM_Data_Entry!$A$3:$A$548,$A77,LLM_Data_Entry!$F$3:$F$548,"LLM",LLM_Data_Entry!$R$3:$R$548,"YES")</f>
        <v>0</v>
      </c>
      <c r="G77" s="112" t="str">
        <f t="shared" si="10"/>
        <v>-</v>
      </c>
      <c r="I77" s="19" t="str">
        <f t="shared" si="11"/>
        <v>Home Depot</v>
      </c>
      <c r="J77" s="108">
        <f>SUMPRODUCT((Human_Data_Entry!$A$3:$A$524=$I77)*(Human_Data_Entry!$H$3:$H$524="Human")*((Human_Data_Entry!$J$3:$J$524="BUY")+(Human_Data_Entry!$J$3:$J$524="SELL"))*ISNUMBER(Human_Data_Entry!$U$3:$U$524))</f>
        <v>2</v>
      </c>
      <c r="K77" s="114">
        <f>IFERROR(AVERAGEIFS(Human_Data_Entry!$U$3:$U$524,Human_Data_Entry!$A$3:$A$524,$I77,Human_Data_Entry!$H$3:$H$524,"Human",Human_Data_Entry!$J$3:$J$524,"&lt;&gt;HOLD",Human_Data_Entry!$U$3:$U$524,"&lt;&gt;"),"")</f>
        <v>1.9500000000000001E-3</v>
      </c>
      <c r="L77" s="114">
        <f>IFERROR(SUMIFS(Human_Data_Entry!$U$3:$U$524,Human_Data_Entry!$A$3:$A$524,$I77,Human_Data_Entry!$H$3:$H$524,"Human",Human_Data_Entry!$J$3:$J$524,"&lt;&gt;HOLD"),"")</f>
        <v>3.9000000000000003E-3</v>
      </c>
      <c r="M77" s="108">
        <f>COUNTIFS(LLM_Data_Entry!$A$3:$A$548,$I77,LLM_Data_Entry!$F$3:$F$548,"LLM",LLM_Data_Entry!$H$3:$H$548,"&lt;&gt;HOLD",LLM_Data_Entry!$T$3:$T$548,"&lt;&gt;")</f>
        <v>0</v>
      </c>
      <c r="N77" s="114" t="str">
        <f>IFERROR(AVERAGEIFS(LLM_Data_Entry!$T$3:$T$548,LLM_Data_Entry!$A$3:$A$548,$I77,LLM_Data_Entry!$F$3:$F$548,"LLM",LLM_Data_Entry!$H$3:$H$548,"&lt;&gt;HOLD",LLM_Data_Entry!$T$3:$T$548,"&lt;&gt;"),"")</f>
        <v/>
      </c>
      <c r="O77" s="114">
        <f>IFERROR(SUMIFS(LLM_Data_Entry!$T$3:$T$548,LLM_Data_Entry!$A$3:$A$548,$I77,LLM_Data_Entry!$F$3:$F$548,"LLM",LLM_Data_Entry!$H$3:$H$548,"&lt;&gt;HOLD"),"")</f>
        <v>0</v>
      </c>
    </row>
    <row r="78" spans="1:15" x14ac:dyDescent="0.2">
      <c r="A78" s="19" t="s">
        <v>1104</v>
      </c>
      <c r="B78" s="111">
        <f>COUNTIFS(Human_Data_Entry!$A$3:$A$524,$A78,Human_Data_Entry!$H$3:$H$524,"Human",Human_Data_Entry!$S$3:$S$524,"?*")</f>
        <v>4</v>
      </c>
      <c r="C78" s="111">
        <f>COUNTIFS(Human_Data_Entry!$A$3:$A$524,$A78,Human_Data_Entry!$H$3:$H$524,"Human",Human_Data_Entry!$S$3:$S$524,"YES")</f>
        <v>1</v>
      </c>
      <c r="D78" s="112">
        <f t="shared" si="9"/>
        <v>0.25</v>
      </c>
      <c r="E78" s="111">
        <f>COUNTIFS(LLM_Data_Entry!$A$3:$A$548,$A78,LLM_Data_Entry!$F$3:$F$548,"LLM",LLM_Data_Entry!$R$3:$R$548,"&lt;&gt;")</f>
        <v>3</v>
      </c>
      <c r="F78" s="113">
        <f>COUNTIFS(LLM_Data_Entry!$A$3:$A$548,$A78,LLM_Data_Entry!$F$3:$F$548,"LLM",LLM_Data_Entry!$R$3:$R$548,"YES")</f>
        <v>2</v>
      </c>
      <c r="G78" s="112">
        <f t="shared" si="10"/>
        <v>0.66666666666666663</v>
      </c>
      <c r="I78" s="19" t="str">
        <f t="shared" si="11"/>
        <v>Johnson &amp; Johnson</v>
      </c>
      <c r="J78" s="108">
        <f>SUMPRODUCT((Human_Data_Entry!$A$3:$A$524=$I78)*(Human_Data_Entry!$H$3:$H$524="Human")*((Human_Data_Entry!$J$3:$J$524="BUY")+(Human_Data_Entry!$J$3:$J$524="SELL"))*ISNUMBER(Human_Data_Entry!$U$3:$U$524))</f>
        <v>4</v>
      </c>
      <c r="K78" s="114">
        <f>IFERROR(AVERAGEIFS(Human_Data_Entry!$U$3:$U$524,Human_Data_Entry!$A$3:$A$524,$I78,Human_Data_Entry!$H$3:$H$524,"Human",Human_Data_Entry!$J$3:$J$524,"&lt;&gt;HOLD",Human_Data_Entry!$U$3:$U$524,"&lt;&gt;"),"")</f>
        <v>1.52E-2</v>
      </c>
      <c r="L78" s="114">
        <f>IFERROR(SUMIFS(Human_Data_Entry!$U$3:$U$524,Human_Data_Entry!$A$3:$A$524,$I78,Human_Data_Entry!$H$3:$H$524,"Human",Human_Data_Entry!$J$3:$J$524,"&lt;&gt;HOLD"),"")</f>
        <v>6.08E-2</v>
      </c>
      <c r="M78" s="108">
        <f>COUNTIFS(LLM_Data_Entry!$A$3:$A$548,$I78,LLM_Data_Entry!$F$3:$F$548,"LLM",LLM_Data_Entry!$H$3:$H$548,"&lt;&gt;HOLD",LLM_Data_Entry!$T$3:$T$548,"&lt;&gt;")</f>
        <v>2</v>
      </c>
      <c r="N78" s="114">
        <f>IFERROR(AVERAGEIFS(LLM_Data_Entry!$T$3:$T$548,LLM_Data_Entry!$A$3:$A$548,$I78,LLM_Data_Entry!$F$3:$F$548,"LLM",LLM_Data_Entry!$H$3:$H$548,"&lt;&gt;HOLD",LLM_Data_Entry!$T$3:$T$548,"&lt;&gt;"),"")</f>
        <v>2.0820999999999999E-2</v>
      </c>
      <c r="O78" s="114">
        <f>IFERROR(SUMIFS(LLM_Data_Entry!$T$3:$T$548,LLM_Data_Entry!$A$3:$A$548,$I78,LLM_Data_Entry!$F$3:$F$548,"LLM",LLM_Data_Entry!$H$3:$H$548,"&lt;&gt;HOLD"),"")</f>
        <v>4.1641999999999998E-2</v>
      </c>
    </row>
    <row r="79" spans="1:15" x14ac:dyDescent="0.2">
      <c r="A79" s="19" t="s">
        <v>1145</v>
      </c>
      <c r="B79" s="111">
        <f>COUNTIFS(Human_Data_Entry!$A$3:$A$524,$A79,Human_Data_Entry!$H$3:$H$524,"Human",Human_Data_Entry!$S$3:$S$524,"?*")</f>
        <v>3</v>
      </c>
      <c r="C79" s="111">
        <f>COUNTIFS(Human_Data_Entry!$A$3:$A$524,$A79,Human_Data_Entry!$H$3:$H$524,"Human",Human_Data_Entry!$S$3:$S$524,"YES")</f>
        <v>1</v>
      </c>
      <c r="D79" s="112">
        <f t="shared" si="9"/>
        <v>0.33333333333333331</v>
      </c>
      <c r="E79" s="111">
        <f>COUNTIFS(LLM_Data_Entry!$A$3:$A$548,$A79,LLM_Data_Entry!$F$3:$F$548,"LLM",LLM_Data_Entry!$R$3:$R$548,"&lt;&gt;")</f>
        <v>3</v>
      </c>
      <c r="F79" s="113">
        <f>COUNTIFS(LLM_Data_Entry!$A$3:$A$548,$A79,LLM_Data_Entry!$F$3:$F$548,"LLM",LLM_Data_Entry!$R$3:$R$548,"YES")</f>
        <v>2</v>
      </c>
      <c r="G79" s="112">
        <f t="shared" si="10"/>
        <v>0.66666666666666663</v>
      </c>
      <c r="I79" s="19" t="str">
        <f t="shared" si="11"/>
        <v>Kraft Heinz</v>
      </c>
      <c r="J79" s="108">
        <f>SUMPRODUCT((Human_Data_Entry!$A$3:$A$524=$I79)*(Human_Data_Entry!$H$3:$H$524="Human")*((Human_Data_Entry!$J$3:$J$524="BUY")+(Human_Data_Entry!$J$3:$J$524="SELL"))*ISNUMBER(Human_Data_Entry!$U$3:$U$524))</f>
        <v>1</v>
      </c>
      <c r="K79" s="114">
        <f>IFERROR(AVERAGEIFS(Human_Data_Entry!$U$3:$U$524,Human_Data_Entry!$A$3:$A$524,$I79,Human_Data_Entry!$H$3:$H$524,"Human",Human_Data_Entry!$J$3:$J$524,"&lt;&gt;HOLD",Human_Data_Entry!$U$3:$U$524,"&lt;&gt;"),"")</f>
        <v>6.83E-2</v>
      </c>
      <c r="L79" s="114">
        <f>IFERROR(SUMIFS(Human_Data_Entry!$U$3:$U$524,Human_Data_Entry!$A$3:$A$524,$I79,Human_Data_Entry!$H$3:$H$524,"Human",Human_Data_Entry!$J$3:$J$524,"&lt;&gt;HOLD"),"")</f>
        <v>6.83E-2</v>
      </c>
      <c r="M79" s="108">
        <f>COUNTIFS(LLM_Data_Entry!$A$3:$A$548,$I79,LLM_Data_Entry!$F$3:$F$548,"LLM",LLM_Data_Entry!$H$3:$H$548,"&lt;&gt;HOLD",LLM_Data_Entry!$T$3:$T$548,"&lt;&gt;")</f>
        <v>3</v>
      </c>
      <c r="N79" s="114">
        <f>IFERROR(AVERAGEIFS(LLM_Data_Entry!$T$3:$T$548,LLM_Data_Entry!$A$3:$A$548,$I79,LLM_Data_Entry!$F$3:$F$548,"LLM",LLM_Data_Entry!$H$3:$H$548,"&lt;&gt;HOLD",LLM_Data_Entry!$T$3:$T$548,"&lt;&gt;"),"")</f>
        <v>2.7510333333333335E-2</v>
      </c>
      <c r="O79" s="114">
        <f>IFERROR(SUMIFS(LLM_Data_Entry!$T$3:$T$548,LLM_Data_Entry!$A$3:$A$548,$I79,LLM_Data_Entry!$F$3:$F$548,"LLM",LLM_Data_Entry!$H$3:$H$548,"&lt;&gt;HOLD"),"")</f>
        <v>8.2531000000000007E-2</v>
      </c>
    </row>
    <row r="80" spans="1:15" x14ac:dyDescent="0.2">
      <c r="A80" t="s">
        <v>1429</v>
      </c>
      <c r="B80" s="111">
        <f>COUNTIFS(Human_Data_Entry!$A$3:$A$524,$A80,Human_Data_Entry!$H$3:$H$524,"Human",Human_Data_Entry!$S$3:$S$524,"?*")</f>
        <v>3</v>
      </c>
      <c r="C80" s="111">
        <f>COUNTIFS(Human_Data_Entry!$A$3:$A$524,$A80,Human_Data_Entry!$H$3:$H$524,"Human",Human_Data_Entry!$S$3:$S$524,"YES")</f>
        <v>0</v>
      </c>
      <c r="D80" s="112">
        <f t="shared" si="9"/>
        <v>0</v>
      </c>
      <c r="E80" s="111">
        <f>COUNTIFS(LLM_Data_Entry!$A$3:$A$548,$A80,LLM_Data_Entry!$F$3:$F$548,"LLM",LLM_Data_Entry!$R$3:$R$548,"&lt;&gt;")</f>
        <v>3</v>
      </c>
      <c r="F80" s="113">
        <f>COUNTIFS(LLM_Data_Entry!$A$3:$A$548,$A80,LLM_Data_Entry!$F$3:$F$548,"LLM",LLM_Data_Entry!$R$3:$R$548,"YES")</f>
        <v>1</v>
      </c>
      <c r="G80" s="112">
        <f t="shared" si="10"/>
        <v>0.33333333333333331</v>
      </c>
      <c r="I80" t="str">
        <f t="shared" si="11"/>
        <v>Alphabet</v>
      </c>
      <c r="J80" s="108">
        <f>SUMPRODUCT((Human_Data_Entry!$A$3:$A$524=$I80)*(Human_Data_Entry!$H$3:$H$524="Human")*((Human_Data_Entry!$J$3:$J$524="BUY")+(Human_Data_Entry!$J$3:$J$524="SELL"))*ISNUMBER(Human_Data_Entry!$U$3:$U$524))</f>
        <v>3</v>
      </c>
      <c r="K80" s="114">
        <f>IFERROR(AVERAGEIFS(Human_Data_Entry!$U$3:$U$524,Human_Data_Entry!$A$3:$A$524,$I80,Human_Data_Entry!$H$3:$H$524,"Human",Human_Data_Entry!$J$3:$J$524,"&lt;&gt;HOLD",Human_Data_Entry!$U$3:$U$524,"&lt;&gt;"),"")</f>
        <v>-6.5500000000000003E-2</v>
      </c>
      <c r="L80" s="114">
        <f>IFERROR(SUMIFS(Human_Data_Entry!$U$3:$U$524,Human_Data_Entry!$A$3:$A$524,$I80,Human_Data_Entry!$H$3:$H$524,"Human",Human_Data_Entry!$J$3:$J$524,"&lt;&gt;HOLD"),"")</f>
        <v>-0.19650000000000001</v>
      </c>
      <c r="M80" s="108">
        <f>COUNTIFS(LLM_Data_Entry!$A$3:$A$548,$I80,LLM_Data_Entry!$F$3:$F$548,"LLM",LLM_Data_Entry!$H$3:$H$548,"&lt;&gt;HOLD",LLM_Data_Entry!$T$3:$T$548,"&lt;&gt;")</f>
        <v>2</v>
      </c>
      <c r="N80" s="114">
        <f>IFERROR(AVERAGEIFS(LLM_Data_Entry!$T$3:$T$548,LLM_Data_Entry!$A$3:$A$548,$I80,LLM_Data_Entry!$F$3:$F$548,"LLM",LLM_Data_Entry!$H$3:$H$548,"&lt;&gt;HOLD",LLM_Data_Entry!$T$3:$T$548,"&lt;&gt;"),"")</f>
        <v>-1.2635000000000007E-3</v>
      </c>
      <c r="O80" s="114">
        <f>IFERROR(SUMIFS(LLM_Data_Entry!$T$3:$T$548,LLM_Data_Entry!$A$3:$A$548,$I80,LLM_Data_Entry!$F$3:$F$548,"LLM",LLM_Data_Entry!$H$3:$H$548,"&lt;&gt;HOLD"),"")</f>
        <v>-2.5270000000000015E-3</v>
      </c>
    </row>
    <row r="81" spans="1:15" x14ac:dyDescent="0.2">
      <c r="A81" t="s">
        <v>1190</v>
      </c>
      <c r="B81" s="111">
        <f>COUNTIFS(Human_Data_Entry!$A$3:$A$524,$A81,Human_Data_Entry!$H$3:$H$524,"Human",Human_Data_Entry!$S$3:$S$524,"?*")</f>
        <v>4</v>
      </c>
      <c r="C81" s="111">
        <f>COUNTIFS(Human_Data_Entry!$A$3:$A$524,$A81,Human_Data_Entry!$H$3:$H$524,"Human",Human_Data_Entry!$S$3:$S$524,"YES")</f>
        <v>3</v>
      </c>
      <c r="D81" s="112">
        <f t="shared" si="9"/>
        <v>0.75</v>
      </c>
      <c r="E81" s="111">
        <f>COUNTIFS(LLM_Data_Entry!$A$3:$A$548,$A81,LLM_Data_Entry!$F$3:$F$548,"LLM",LLM_Data_Entry!$R$3:$R$548,"&lt;&gt;")</f>
        <v>4</v>
      </c>
      <c r="F81" s="113">
        <f>COUNTIFS(LLM_Data_Entry!$A$3:$A$548,$A81,LLM_Data_Entry!$F$3:$F$548,"LLM",LLM_Data_Entry!$R$3:$R$548,"YES")</f>
        <v>2</v>
      </c>
      <c r="G81" s="112">
        <f t="shared" si="10"/>
        <v>0.5</v>
      </c>
      <c r="I81" t="str">
        <f t="shared" si="11"/>
        <v>Lenovo</v>
      </c>
      <c r="J81" s="108">
        <f>SUMPRODUCT((Human_Data_Entry!$A$3:$A$524=$I81)*(Human_Data_Entry!$H$3:$H$524="Human")*((Human_Data_Entry!$J$3:$J$524="BUY")+(Human_Data_Entry!$J$3:$J$524="SELL"))*ISNUMBER(Human_Data_Entry!$U$3:$U$524))</f>
        <v>4</v>
      </c>
      <c r="K81" s="114">
        <f>IFERROR(AVERAGEIFS(Human_Data_Entry!$U$3:$U$524,Human_Data_Entry!$A$3:$A$524,$I81,Human_Data_Entry!$H$3:$H$524,"Human",Human_Data_Entry!$J$3:$J$524,"&lt;&gt;HOLD",Human_Data_Entry!$U$3:$U$524,"&lt;&gt;"),"")</f>
        <v>5.8124999999999996E-2</v>
      </c>
      <c r="L81" s="114">
        <f>IFERROR(SUMIFS(Human_Data_Entry!$U$3:$U$524,Human_Data_Entry!$A$3:$A$524,$I81,Human_Data_Entry!$H$3:$H$524,"Human",Human_Data_Entry!$J$3:$J$524,"&lt;&gt;HOLD"),"")</f>
        <v>0.23249999999999998</v>
      </c>
      <c r="M81" s="108">
        <f>COUNTIFS(LLM_Data_Entry!$A$3:$A$548,$I81,LLM_Data_Entry!$F$3:$F$548,"LLM",LLM_Data_Entry!$H$3:$H$548,"&lt;&gt;HOLD",LLM_Data_Entry!$T$3:$T$548,"&lt;&gt;")</f>
        <v>1</v>
      </c>
      <c r="N81" s="114">
        <f>IFERROR(AVERAGEIFS(LLM_Data_Entry!$T$3:$T$548,LLM_Data_Entry!$A$3:$A$548,$I81,LLM_Data_Entry!$F$3:$F$548,"LLM",LLM_Data_Entry!$H$3:$H$548,"&lt;&gt;HOLD",LLM_Data_Entry!$T$3:$T$548,"&lt;&gt;"),"")</f>
        <v>2.4697E-2</v>
      </c>
      <c r="O81" s="114">
        <f>IFERROR(SUMIFS(LLM_Data_Entry!$T$3:$T$548,LLM_Data_Entry!$A$3:$A$548,$I81,LLM_Data_Entry!$F$3:$F$548,"LLM",LLM_Data_Entry!$H$3:$H$548,"&lt;&gt;HOLD"),"")</f>
        <v>2.4697E-2</v>
      </c>
    </row>
    <row r="82" spans="1:15" x14ac:dyDescent="0.2">
      <c r="A82" t="s">
        <v>1155</v>
      </c>
      <c r="B82" s="111">
        <f>COUNTIFS(Human_Data_Entry!$A$3:$A$524,$A82,Human_Data_Entry!$H$3:$H$524,"Human",Human_Data_Entry!$S$3:$S$524,"?*")</f>
        <v>3</v>
      </c>
      <c r="C82" s="111">
        <f>COUNTIFS(Human_Data_Entry!$A$3:$A$524,$A82,Human_Data_Entry!$H$3:$H$524,"Human",Human_Data_Entry!$S$3:$S$524,"YES")</f>
        <v>2</v>
      </c>
      <c r="D82" s="112">
        <f t="shared" ref="D82:D113" si="12">IF(B82=0,"-",C82/B82)</f>
        <v>0.66666666666666663</v>
      </c>
      <c r="E82" s="111">
        <f>COUNTIFS(LLM_Data_Entry!$A$3:$A$548,$A82,LLM_Data_Entry!$F$3:$F$548,"LLM",LLM_Data_Entry!$R$3:$R$548,"&lt;&gt;")</f>
        <v>3</v>
      </c>
      <c r="F82" s="113">
        <f>COUNTIFS(LLM_Data_Entry!$A$3:$A$548,$A82,LLM_Data_Entry!$F$3:$F$548,"LLM",LLM_Data_Entry!$R$3:$R$548,"YES")</f>
        <v>1</v>
      </c>
      <c r="G82" s="112">
        <f t="shared" ref="G82:G113" si="13">IF(E82=0,"-",F82/E82)</f>
        <v>0.33333333333333331</v>
      </c>
      <c r="I82" t="str">
        <f t="shared" ref="I82:I108" si="14">A82</f>
        <v>Linde</v>
      </c>
      <c r="J82" s="108">
        <f>SUMPRODUCT((Human_Data_Entry!$A$3:$A$524=$I82)*(Human_Data_Entry!$H$3:$H$524="Human")*((Human_Data_Entry!$J$3:$J$524="BUY")+(Human_Data_Entry!$J$3:$J$524="SELL"))*ISNUMBER(Human_Data_Entry!$U$3:$U$524))</f>
        <v>1</v>
      </c>
      <c r="K82" s="114">
        <f>IFERROR(AVERAGEIFS(Human_Data_Entry!$U$3:$U$524,Human_Data_Entry!$A$3:$A$524,$I82,Human_Data_Entry!$H$3:$H$524,"Human",Human_Data_Entry!$J$3:$J$524,"&lt;&gt;HOLD",Human_Data_Entry!$U$3:$U$524,"&lt;&gt;"),"")</f>
        <v>-5.1999999999999998E-3</v>
      </c>
      <c r="L82" s="114">
        <f>IFERROR(SUMIFS(Human_Data_Entry!$U$3:$U$524,Human_Data_Entry!$A$3:$A$524,$I82,Human_Data_Entry!$H$3:$H$524,"Human",Human_Data_Entry!$J$3:$J$524,"&lt;&gt;HOLD"),"")</f>
        <v>-5.1999999999999998E-3</v>
      </c>
      <c r="M82" s="108">
        <f>COUNTIFS(LLM_Data_Entry!$A$3:$A$548,$I82,LLM_Data_Entry!$F$3:$F$548,"LLM",LLM_Data_Entry!$H$3:$H$548,"&lt;&gt;HOLD",LLM_Data_Entry!$T$3:$T$548,"&lt;&gt;")</f>
        <v>2</v>
      </c>
      <c r="N82" s="114">
        <f>IFERROR(AVERAGEIFS(LLM_Data_Entry!$T$3:$T$548,LLM_Data_Entry!$A$3:$A$548,$I82,LLM_Data_Entry!$F$3:$F$548,"LLM",LLM_Data_Entry!$H$3:$H$548,"&lt;&gt;HOLD",LLM_Data_Entry!$T$3:$T$548,"&lt;&gt;"),"")</f>
        <v>-1.1184999999999999E-3</v>
      </c>
      <c r="O82" s="114">
        <f>IFERROR(SUMIFS(LLM_Data_Entry!$T$3:$T$548,LLM_Data_Entry!$A$3:$A$548,$I82,LLM_Data_Entry!$F$3:$F$548,"LLM",LLM_Data_Entry!$H$3:$H$548,"&lt;&gt;HOLD"),"")</f>
        <v>-2.2369999999999998E-3</v>
      </c>
    </row>
    <row r="83" spans="1:15" x14ac:dyDescent="0.2">
      <c r="A83" t="s">
        <v>815</v>
      </c>
      <c r="B83" s="111">
        <f>COUNTIFS(Human_Data_Entry!$A$3:$A$524,$A83,Human_Data_Entry!$H$3:$H$524,"Human",Human_Data_Entry!$S$3:$S$524,"?*")</f>
        <v>3</v>
      </c>
      <c r="C83" s="111">
        <f>COUNTIFS(Human_Data_Entry!$A$3:$A$524,$A83,Human_Data_Entry!$H$3:$H$524,"Human",Human_Data_Entry!$S$3:$S$524,"YES")</f>
        <v>1</v>
      </c>
      <c r="D83" s="112">
        <f t="shared" si="12"/>
        <v>0.33333333333333331</v>
      </c>
      <c r="E83" s="111">
        <f>COUNTIFS(LLM_Data_Entry!$A$3:$A$548,$A83,LLM_Data_Entry!$F$3:$F$548,"LLM",LLM_Data_Entry!$R$3:$R$548,"&lt;&gt;")</f>
        <v>3</v>
      </c>
      <c r="F83" s="113">
        <f>COUNTIFS(LLM_Data_Entry!$A$3:$A$548,$A83,LLM_Data_Entry!$F$3:$F$548,"LLM",LLM_Data_Entry!$R$3:$R$548,"YES")</f>
        <v>1</v>
      </c>
      <c r="G83" s="112">
        <f t="shared" si="13"/>
        <v>0.33333333333333331</v>
      </c>
      <c r="I83" t="str">
        <f t="shared" si="14"/>
        <v>Lululemon</v>
      </c>
      <c r="J83" s="108">
        <f>SUMPRODUCT((Human_Data_Entry!$A$3:$A$524=$I83)*(Human_Data_Entry!$H$3:$H$524="Human")*((Human_Data_Entry!$J$3:$J$524="BUY")+(Human_Data_Entry!$J$3:$J$524="SELL"))*ISNUMBER(Human_Data_Entry!$U$3:$U$524))</f>
        <v>3</v>
      </c>
      <c r="K83" s="114">
        <f>IFERROR(AVERAGEIFS(Human_Data_Entry!$U$3:$U$524,Human_Data_Entry!$A$3:$A$524,$I83,Human_Data_Entry!$H$3:$H$524,"Human",Human_Data_Entry!$J$3:$J$524,"&lt;&gt;HOLD",Human_Data_Entry!$U$3:$U$524,"&lt;&gt;"),"")</f>
        <v>8.8999999999999999E-3</v>
      </c>
      <c r="L83" s="114">
        <f>IFERROR(SUMIFS(Human_Data_Entry!$U$3:$U$524,Human_Data_Entry!$A$3:$A$524,$I83,Human_Data_Entry!$H$3:$H$524,"Human",Human_Data_Entry!$J$3:$J$524,"&lt;&gt;HOLD"),"")</f>
        <v>2.6700000000000002E-2</v>
      </c>
      <c r="M83" s="108">
        <f>COUNTIFS(LLM_Data_Entry!$A$3:$A$548,$I83,LLM_Data_Entry!$F$3:$F$548,"LLM",LLM_Data_Entry!$H$3:$H$548,"&lt;&gt;HOLD",LLM_Data_Entry!$T$3:$T$548,"&lt;&gt;")</f>
        <v>3</v>
      </c>
      <c r="N83" s="114">
        <f>IFERROR(AVERAGEIFS(LLM_Data_Entry!$T$3:$T$548,LLM_Data_Entry!$A$3:$A$548,$I83,LLM_Data_Entry!$F$3:$F$548,"LLM",LLM_Data_Entry!$H$3:$H$548,"&lt;&gt;HOLD",LLM_Data_Entry!$T$3:$T$548,"&lt;&gt;"),"")</f>
        <v>8.921666666666668E-3</v>
      </c>
      <c r="O83" s="114">
        <f>IFERROR(SUMIFS(LLM_Data_Entry!$T$3:$T$548,LLM_Data_Entry!$A$3:$A$548,$I83,LLM_Data_Entry!$F$3:$F$548,"LLM",LLM_Data_Entry!$H$3:$H$548,"&lt;&gt;HOLD"),"")</f>
        <v>2.6765000000000004E-2</v>
      </c>
    </row>
    <row r="84" spans="1:15" x14ac:dyDescent="0.2">
      <c r="A84" t="s">
        <v>959</v>
      </c>
      <c r="B84" s="111">
        <f>COUNTIFS(Human_Data_Entry!$A$3:$A$524,$A84,Human_Data_Entry!$H$3:$H$524,"Human",Human_Data_Entry!$S$3:$S$524,"?*")</f>
        <v>3</v>
      </c>
      <c r="C84" s="111">
        <f>COUNTIFS(Human_Data_Entry!$A$3:$A$524,$A84,Human_Data_Entry!$H$3:$H$524,"Human",Human_Data_Entry!$S$3:$S$524,"YES")</f>
        <v>1</v>
      </c>
      <c r="D84" s="112">
        <f t="shared" si="12"/>
        <v>0.33333333333333331</v>
      </c>
      <c r="E84" s="111">
        <f>COUNTIFS(LLM_Data_Entry!$A$3:$A$548,$A84,LLM_Data_Entry!$F$3:$F$548,"LLM",LLM_Data_Entry!$R$3:$R$548,"&lt;&gt;")</f>
        <v>3</v>
      </c>
      <c r="F84" s="113">
        <f>COUNTIFS(LLM_Data_Entry!$A$3:$A$548,$A84,LLM_Data_Entry!$F$3:$F$548,"LLM",LLM_Data_Entry!$R$3:$R$548,"YES")</f>
        <v>3</v>
      </c>
      <c r="G84" s="112">
        <f t="shared" si="13"/>
        <v>1</v>
      </c>
      <c r="I84" t="str">
        <f t="shared" si="14"/>
        <v>Meta</v>
      </c>
      <c r="J84" s="108">
        <f>SUMPRODUCT((Human_Data_Entry!$A$3:$A$524=$I84)*(Human_Data_Entry!$H$3:$H$524="Human")*((Human_Data_Entry!$J$3:$J$524="BUY")+(Human_Data_Entry!$J$3:$J$524="SELL"))*ISNUMBER(Human_Data_Entry!$U$3:$U$524))</f>
        <v>3</v>
      </c>
      <c r="K84" s="114">
        <f>IFERROR(AVERAGEIFS(Human_Data_Entry!$U$3:$U$524,Human_Data_Entry!$A$3:$A$524,$I84,Human_Data_Entry!$H$3:$H$524,"Human",Human_Data_Entry!$J$3:$J$524,"&lt;&gt;HOLD",Human_Data_Entry!$U$3:$U$524,"&lt;&gt;"),"")</f>
        <v>-2.8166666666666659E-2</v>
      </c>
      <c r="L84" s="114">
        <f>IFERROR(SUMIFS(Human_Data_Entry!$U$3:$U$524,Human_Data_Entry!$A$3:$A$524,$I84,Human_Data_Entry!$H$3:$H$524,"Human",Human_Data_Entry!$J$3:$J$524,"&lt;&gt;HOLD"),"")</f>
        <v>-8.4499999999999978E-2</v>
      </c>
      <c r="M84" s="108">
        <f>COUNTIFS(LLM_Data_Entry!$A$3:$A$548,$I84,LLM_Data_Entry!$F$3:$F$548,"LLM",LLM_Data_Entry!$H$3:$H$548,"&lt;&gt;HOLD",LLM_Data_Entry!$T$3:$T$548,"&lt;&gt;")</f>
        <v>3</v>
      </c>
      <c r="N84" s="114">
        <f>IFERROR(AVERAGEIFS(LLM_Data_Entry!$T$3:$T$548,LLM_Data_Entry!$A$3:$A$548,$I84,LLM_Data_Entry!$F$3:$F$548,"LLM",LLM_Data_Entry!$H$3:$H$548,"&lt;&gt;HOLD",LLM_Data_Entry!$T$3:$T$548,"&lt;&gt;"),"")</f>
        <v>9.4646666666666671E-2</v>
      </c>
      <c r="O84" s="114">
        <f>IFERROR(SUMIFS(LLM_Data_Entry!$T$3:$T$548,LLM_Data_Entry!$A$3:$A$548,$I84,LLM_Data_Entry!$F$3:$F$548,"LLM",LLM_Data_Entry!$H$3:$H$548,"&lt;&gt;HOLD"),"")</f>
        <v>0.28394000000000003</v>
      </c>
    </row>
    <row r="85" spans="1:15" x14ac:dyDescent="0.2">
      <c r="A85" t="s">
        <v>1484</v>
      </c>
      <c r="B85" s="111">
        <f>COUNTIFS(Human_Data_Entry!$A$3:$A$524,$A85,Human_Data_Entry!$H$3:$H$524,"Human",Human_Data_Entry!$S$3:$S$524,"?*")</f>
        <v>3</v>
      </c>
      <c r="C85" s="111">
        <f>COUNTIFS(Human_Data_Entry!$A$3:$A$524,$A85,Human_Data_Entry!$H$3:$H$524,"Human",Human_Data_Entry!$S$3:$S$524,"YES")</f>
        <v>0</v>
      </c>
      <c r="D85" s="112">
        <f t="shared" si="12"/>
        <v>0</v>
      </c>
      <c r="E85" s="111">
        <f>COUNTIFS(LLM_Data_Entry!$A$3:$A$548,$A85,LLM_Data_Entry!$F$3:$F$548,"LLM",LLM_Data_Entry!$R$3:$R$548,"&lt;&gt;")</f>
        <v>3</v>
      </c>
      <c r="F85" s="113">
        <f>COUNTIFS(LLM_Data_Entry!$A$3:$A$548,$A85,LLM_Data_Entry!$F$3:$F$548,"LLM",LLM_Data_Entry!$R$3:$R$548,"YES")</f>
        <v>1</v>
      </c>
      <c r="G85" s="112">
        <f t="shared" si="13"/>
        <v>0.33333333333333331</v>
      </c>
      <c r="I85" t="str">
        <f t="shared" si="14"/>
        <v>Micron</v>
      </c>
      <c r="J85" s="108">
        <f>SUMPRODUCT((Human_Data_Entry!$A$3:$A$524=$I85)*(Human_Data_Entry!$H$3:$H$524="Human")*((Human_Data_Entry!$J$3:$J$524="BUY")+(Human_Data_Entry!$J$3:$J$524="SELL"))*ISNUMBER(Human_Data_Entry!$U$3:$U$524))</f>
        <v>2</v>
      </c>
      <c r="K85" s="114">
        <f>IFERROR(AVERAGEIFS(Human_Data_Entry!$U$3:$U$524,Human_Data_Entry!$A$3:$A$524,$I85,Human_Data_Entry!$H$3:$H$524,"Human",Human_Data_Entry!$J$3:$J$524,"&lt;&gt;HOLD",Human_Data_Entry!$U$3:$U$524,"&lt;&gt;"),"")</f>
        <v>-4.4800000000000006E-2</v>
      </c>
      <c r="L85" s="114">
        <f>IFERROR(SUMIFS(Human_Data_Entry!$U$3:$U$524,Human_Data_Entry!$A$3:$A$524,$I85,Human_Data_Entry!$H$3:$H$524,"Human",Human_Data_Entry!$J$3:$J$524,"&lt;&gt;HOLD"),"")</f>
        <v>-8.9600000000000013E-2</v>
      </c>
      <c r="M85" s="108">
        <f>COUNTIFS(LLM_Data_Entry!$A$3:$A$548,$I85,LLM_Data_Entry!$F$3:$F$548,"LLM",LLM_Data_Entry!$H$3:$H$548,"&lt;&gt;HOLD",LLM_Data_Entry!$T$3:$T$548,"&lt;&gt;")</f>
        <v>3</v>
      </c>
      <c r="N85" s="114">
        <f>IFERROR(AVERAGEIFS(LLM_Data_Entry!$T$3:$T$548,LLM_Data_Entry!$A$3:$A$548,$I85,LLM_Data_Entry!$F$3:$F$548,"LLM",LLM_Data_Entry!$H$3:$H$548,"&lt;&gt;HOLD",LLM_Data_Entry!$T$3:$T$548,"&lt;&gt;"),"")</f>
        <v>1.5632666666666659E-2</v>
      </c>
      <c r="O85" s="114">
        <f>IFERROR(SUMIFS(LLM_Data_Entry!$T$3:$T$548,LLM_Data_Entry!$A$3:$A$548,$I85,LLM_Data_Entry!$F$3:$F$548,"LLM",LLM_Data_Entry!$H$3:$H$548,"&lt;&gt;HOLD"),"")</f>
        <v>4.6897999999999981E-2</v>
      </c>
    </row>
    <row r="86" spans="1:15" x14ac:dyDescent="0.2">
      <c r="A86" t="s">
        <v>2087</v>
      </c>
      <c r="B86" s="111">
        <f>COUNTIFS(Human_Data_Entry!$A$3:$A$524,$A86,Human_Data_Entry!$H$3:$H$524,"Human",Human_Data_Entry!$S$3:$S$524,"?*")</f>
        <v>0</v>
      </c>
      <c r="C86" s="111">
        <f>COUNTIFS(Human_Data_Entry!$A$3:$A$524,$A86,Human_Data_Entry!$H$3:$H$524,"Human",Human_Data_Entry!$S$3:$S$524,"YES")</f>
        <v>0</v>
      </c>
      <c r="D86" s="112" t="str">
        <f t="shared" si="12"/>
        <v>-</v>
      </c>
      <c r="E86" s="111">
        <f>COUNTIFS(LLM_Data_Entry!$A$3:$A$548,$A86,LLM_Data_Entry!$F$3:$F$548,"LLM",LLM_Data_Entry!$R$3:$R$548,"&lt;&gt;")</f>
        <v>0</v>
      </c>
      <c r="F86" s="113">
        <f>COUNTIFS(LLM_Data_Entry!$A$3:$A$548,$A86,LLM_Data_Entry!$F$3:$F$548,"LLM",LLM_Data_Entry!$R$3:$R$548,"YES")</f>
        <v>0</v>
      </c>
      <c r="G86" s="112" t="str">
        <f t="shared" si="13"/>
        <v>-</v>
      </c>
      <c r="I86" t="str">
        <f t="shared" si="14"/>
        <v>Nestle</v>
      </c>
      <c r="J86" s="108">
        <f>SUMPRODUCT((Human_Data_Entry!$A$3:$A$524=$I86)*(Human_Data_Entry!$H$3:$H$524="Human")*((Human_Data_Entry!$J$3:$J$524="BUY")+(Human_Data_Entry!$J$3:$J$524="SELL"))*ISNUMBER(Human_Data_Entry!$U$3:$U$524))</f>
        <v>0</v>
      </c>
      <c r="K86" s="114" t="str">
        <f>IFERROR(AVERAGEIFS(Human_Data_Entry!$U$3:$U$524,Human_Data_Entry!$A$3:$A$524,$I86,Human_Data_Entry!$H$3:$H$524,"Human",Human_Data_Entry!$J$3:$J$524,"&lt;&gt;HOLD",Human_Data_Entry!$U$3:$U$524,"&lt;&gt;"),"")</f>
        <v/>
      </c>
      <c r="L86" s="114">
        <f>IFERROR(SUMIFS(Human_Data_Entry!$U$3:$U$524,Human_Data_Entry!$A$3:$A$524,$I86,Human_Data_Entry!$H$3:$H$524,"Human",Human_Data_Entry!$J$3:$J$524,"&lt;&gt;HOLD"),"")</f>
        <v>0</v>
      </c>
      <c r="M86" s="108">
        <f>COUNTIFS(LLM_Data_Entry!$A$3:$A$548,$I86,LLM_Data_Entry!$F$3:$F$548,"LLM",LLM_Data_Entry!$H$3:$H$548,"&lt;&gt;HOLD",LLM_Data_Entry!$T$3:$T$548,"&lt;&gt;")</f>
        <v>0</v>
      </c>
      <c r="N86" s="114" t="str">
        <f>IFERROR(AVERAGEIFS(LLM_Data_Entry!$T$3:$T$548,LLM_Data_Entry!$A$3:$A$548,$I86,LLM_Data_Entry!$F$3:$F$548,"LLM",LLM_Data_Entry!$H$3:$H$548,"&lt;&gt;HOLD",LLM_Data_Entry!$T$3:$T$548,"&lt;&gt;"),"")</f>
        <v/>
      </c>
      <c r="O86" s="114">
        <f>IFERROR(SUMIFS(LLM_Data_Entry!$T$3:$T$548,LLM_Data_Entry!$A$3:$A$548,$I86,LLM_Data_Entry!$F$3:$F$548,"LLM",LLM_Data_Entry!$H$3:$H$548,"&lt;&gt;HOLD"),"")</f>
        <v>0</v>
      </c>
    </row>
    <row r="87" spans="1:15" x14ac:dyDescent="0.2">
      <c r="A87" t="s">
        <v>1455</v>
      </c>
      <c r="B87" s="111">
        <f>COUNTIFS(Human_Data_Entry!$A$3:$A$524,$A87,Human_Data_Entry!$H$3:$H$524,"Human",Human_Data_Entry!$S$3:$S$524,"?*")</f>
        <v>3</v>
      </c>
      <c r="C87" s="111">
        <f>COUNTIFS(Human_Data_Entry!$A$3:$A$524,$A87,Human_Data_Entry!$H$3:$H$524,"Human",Human_Data_Entry!$S$3:$S$524,"YES")</f>
        <v>0</v>
      </c>
      <c r="D87" s="112">
        <f t="shared" si="12"/>
        <v>0</v>
      </c>
      <c r="E87" s="111">
        <f>COUNTIFS(LLM_Data_Entry!$A$3:$A$548,$A87,LLM_Data_Entry!$F$3:$F$548,"LLM",LLM_Data_Entry!$R$3:$R$548,"&lt;&gt;")</f>
        <v>3</v>
      </c>
      <c r="F87" s="113">
        <f>COUNTIFS(LLM_Data_Entry!$A$3:$A$548,$A87,LLM_Data_Entry!$F$3:$F$548,"LLM",LLM_Data_Entry!$R$3:$R$548,"YES")</f>
        <v>2</v>
      </c>
      <c r="G87" s="112">
        <f t="shared" si="13"/>
        <v>0.66666666666666663</v>
      </c>
      <c r="I87" t="str">
        <f t="shared" si="14"/>
        <v>Oracle</v>
      </c>
      <c r="J87" s="108">
        <f>SUMPRODUCT((Human_Data_Entry!$A$3:$A$524=$I87)*(Human_Data_Entry!$H$3:$H$524="Human")*((Human_Data_Entry!$J$3:$J$524="BUY")+(Human_Data_Entry!$J$3:$J$524="SELL"))*ISNUMBER(Human_Data_Entry!$U$3:$U$524))</f>
        <v>3</v>
      </c>
      <c r="K87" s="114">
        <f>IFERROR(AVERAGEIFS(Human_Data_Entry!$U$3:$U$524,Human_Data_Entry!$A$3:$A$524,$I87,Human_Data_Entry!$H$3:$H$524,"Human",Human_Data_Entry!$J$3:$J$524,"&lt;&gt;HOLD",Human_Data_Entry!$U$3:$U$524,"&lt;&gt;"),"")</f>
        <v>-0.19450000000000001</v>
      </c>
      <c r="L87" s="114">
        <f>IFERROR(SUMIFS(Human_Data_Entry!$U$3:$U$524,Human_Data_Entry!$A$3:$A$524,$I87,Human_Data_Entry!$H$3:$H$524,"Human",Human_Data_Entry!$J$3:$J$524,"&lt;&gt;HOLD"),"")</f>
        <v>-0.58350000000000002</v>
      </c>
      <c r="M87" s="108">
        <f>COUNTIFS(LLM_Data_Entry!$A$3:$A$548,$I87,LLM_Data_Entry!$F$3:$F$548,"LLM",LLM_Data_Entry!$H$3:$H$548,"&lt;&gt;HOLD",LLM_Data_Entry!$T$3:$T$548,"&lt;&gt;")</f>
        <v>3</v>
      </c>
      <c r="N87" s="114">
        <f>IFERROR(AVERAGEIFS(LLM_Data_Entry!$T$3:$T$548,LLM_Data_Entry!$A$3:$A$548,$I87,LLM_Data_Entry!$F$3:$F$548,"LLM",LLM_Data_Entry!$H$3:$H$548,"&lt;&gt;HOLD",LLM_Data_Entry!$T$3:$T$548,"&lt;&gt;"),"")</f>
        <v>9.5686000000000007E-2</v>
      </c>
      <c r="O87" s="114">
        <f>IFERROR(SUMIFS(LLM_Data_Entry!$T$3:$T$548,LLM_Data_Entry!$A$3:$A$548,$I87,LLM_Data_Entry!$F$3:$F$548,"LLM",LLM_Data_Entry!$H$3:$H$548,"&lt;&gt;HOLD"),"")</f>
        <v>0.28705800000000004</v>
      </c>
    </row>
    <row r="88" spans="1:15" x14ac:dyDescent="0.2">
      <c r="A88" t="s">
        <v>1314</v>
      </c>
      <c r="B88" s="111">
        <f>COUNTIFS(Human_Data_Entry!$A$3:$A$524,$A88,Human_Data_Entry!$H$3:$H$524,"Human",Human_Data_Entry!$S$3:$S$524,"?*")</f>
        <v>4</v>
      </c>
      <c r="C88" s="111">
        <f>COUNTIFS(Human_Data_Entry!$A$3:$A$524,$A88,Human_Data_Entry!$H$3:$H$524,"Human",Human_Data_Entry!$S$3:$S$524,"YES")</f>
        <v>2</v>
      </c>
      <c r="D88" s="112">
        <f t="shared" si="12"/>
        <v>0.5</v>
      </c>
      <c r="E88" s="111">
        <f>COUNTIFS(LLM_Data_Entry!$A$3:$A$548,$A88,LLM_Data_Entry!$F$3:$F$548,"LLM",LLM_Data_Entry!$R$3:$R$548,"&lt;&gt;")</f>
        <v>4</v>
      </c>
      <c r="F88" s="113">
        <f>COUNTIFS(LLM_Data_Entry!$A$3:$A$548,$A88,LLM_Data_Entry!$F$3:$F$548,"LLM",LLM_Data_Entry!$R$3:$R$548,"YES")</f>
        <v>2</v>
      </c>
      <c r="G88" s="112">
        <f t="shared" si="13"/>
        <v>0.5</v>
      </c>
      <c r="I88" t="str">
        <f t="shared" si="14"/>
        <v>Palantir</v>
      </c>
      <c r="J88" s="108">
        <f>SUMPRODUCT((Human_Data_Entry!$A$3:$A$524=$I88)*(Human_Data_Entry!$H$3:$H$524="Human")*((Human_Data_Entry!$J$3:$J$524="BUY")+(Human_Data_Entry!$J$3:$J$524="SELL"))*ISNUMBER(Human_Data_Entry!$U$3:$U$524))</f>
        <v>4</v>
      </c>
      <c r="K88" s="114">
        <f>IFERROR(AVERAGEIFS(Human_Data_Entry!$U$3:$U$524,Human_Data_Entry!$A$3:$A$524,$I88,Human_Data_Entry!$H$3:$H$524,"Human",Human_Data_Entry!$J$3:$J$524,"&lt;&gt;HOLD",Human_Data_Entry!$U$3:$U$524,"&lt;&gt;"),"")</f>
        <v>5.0250000000000017E-3</v>
      </c>
      <c r="L88" s="114">
        <f>IFERROR(SUMIFS(Human_Data_Entry!$U$3:$U$524,Human_Data_Entry!$A$3:$A$524,$I88,Human_Data_Entry!$H$3:$H$524,"Human",Human_Data_Entry!$J$3:$J$524,"&lt;&gt;HOLD"),"")</f>
        <v>2.0100000000000007E-2</v>
      </c>
      <c r="M88" s="108">
        <f>COUNTIFS(LLM_Data_Entry!$A$3:$A$548,$I88,LLM_Data_Entry!$F$3:$F$548,"LLM",LLM_Data_Entry!$H$3:$H$548,"&lt;&gt;HOLD",LLM_Data_Entry!$T$3:$T$548,"&lt;&gt;")</f>
        <v>3</v>
      </c>
      <c r="N88" s="114">
        <f>IFERROR(AVERAGEIFS(LLM_Data_Entry!$T$3:$T$548,LLM_Data_Entry!$A$3:$A$548,$I88,LLM_Data_Entry!$F$3:$F$548,"LLM",LLM_Data_Entry!$H$3:$H$548,"&lt;&gt;HOLD",LLM_Data_Entry!$T$3:$T$548,"&lt;&gt;"),"")</f>
        <v>3.6827666666666668E-2</v>
      </c>
      <c r="O88" s="114">
        <f>IFERROR(SUMIFS(LLM_Data_Entry!$T$3:$T$548,LLM_Data_Entry!$A$3:$A$548,$I88,LLM_Data_Entry!$F$3:$F$548,"LLM",LLM_Data_Entry!$H$3:$H$548,"&lt;&gt;HOLD"),"")</f>
        <v>0.11048300000000001</v>
      </c>
    </row>
    <row r="89" spans="1:15" x14ac:dyDescent="0.2">
      <c r="A89" t="s">
        <v>2088</v>
      </c>
      <c r="B89" s="111">
        <f>COUNTIFS(Human_Data_Entry!$A$3:$A$524,$A89,Human_Data_Entry!$H$3:$H$524,"Human",Human_Data_Entry!$S$3:$S$524,"?*")</f>
        <v>4</v>
      </c>
      <c r="C89" s="111">
        <f>COUNTIFS(Human_Data_Entry!$A$3:$A$524,$A89,Human_Data_Entry!$H$3:$H$524,"Human",Human_Data_Entry!$S$3:$S$524,"YES")</f>
        <v>3</v>
      </c>
      <c r="D89" s="112">
        <f t="shared" si="12"/>
        <v>0.75</v>
      </c>
      <c r="E89" s="111">
        <f>COUNTIFS(LLM_Data_Entry!$A$3:$A$548,$A89,LLM_Data_Entry!$F$3:$F$548,"LLM",LLM_Data_Entry!$R$3:$R$548,"&lt;&gt;")</f>
        <v>4</v>
      </c>
      <c r="F89" s="113">
        <f>COUNTIFS(LLM_Data_Entry!$A$3:$A$548,$A89,LLM_Data_Entry!$F$3:$F$548,"LLM",LLM_Data_Entry!$R$3:$R$548,"YES")</f>
        <v>2</v>
      </c>
      <c r="G89" s="112">
        <f t="shared" si="13"/>
        <v>0.5</v>
      </c>
      <c r="I89" t="str">
        <f t="shared" si="14"/>
        <v>Paypal</v>
      </c>
      <c r="J89" s="108">
        <f>SUMPRODUCT((Human_Data_Entry!$A$3:$A$524=$I89)*(Human_Data_Entry!$H$3:$H$524="Human")*((Human_Data_Entry!$J$3:$J$524="BUY")+(Human_Data_Entry!$J$3:$J$524="SELL"))*ISNUMBER(Human_Data_Entry!$U$3:$U$524))</f>
        <v>4</v>
      </c>
      <c r="K89" s="114">
        <f>IFERROR(AVERAGEIFS(Human_Data_Entry!$U$3:$U$524,Human_Data_Entry!$A$3:$A$524,$I89,Human_Data_Entry!$H$3:$H$524,"Human",Human_Data_Entry!$J$3:$J$524,"&lt;&gt;HOLD",Human_Data_Entry!$U$3:$U$524,"&lt;&gt;"),"")</f>
        <v>2.9899999999999996E-2</v>
      </c>
      <c r="L89" s="114">
        <f>IFERROR(SUMIFS(Human_Data_Entry!$U$3:$U$524,Human_Data_Entry!$A$3:$A$524,$I89,Human_Data_Entry!$H$3:$H$524,"Human",Human_Data_Entry!$J$3:$J$524,"&lt;&gt;HOLD"),"")</f>
        <v>0.11959999999999998</v>
      </c>
      <c r="M89" s="108">
        <f>COUNTIFS(LLM_Data_Entry!$A$3:$A$548,$I89,LLM_Data_Entry!$F$3:$F$548,"LLM",LLM_Data_Entry!$H$3:$H$548,"&lt;&gt;HOLD",LLM_Data_Entry!$T$3:$T$548,"&lt;&gt;")</f>
        <v>4</v>
      </c>
      <c r="N89" s="114">
        <f>IFERROR(AVERAGEIFS(LLM_Data_Entry!$T$3:$T$548,LLM_Data_Entry!$A$3:$A$548,$I89,LLM_Data_Entry!$F$3:$F$548,"LLM",LLM_Data_Entry!$H$3:$H$548,"&lt;&gt;HOLD",LLM_Data_Entry!$T$3:$T$548,"&lt;&gt;"),"")</f>
        <v>1.8828499999999998E-2</v>
      </c>
      <c r="O89" s="114">
        <f>IFERROR(SUMIFS(LLM_Data_Entry!$T$3:$T$548,LLM_Data_Entry!$A$3:$A$548,$I89,LLM_Data_Entry!$F$3:$F$548,"LLM",LLM_Data_Entry!$H$3:$H$548,"&lt;&gt;HOLD"),"")</f>
        <v>7.5313999999999992E-2</v>
      </c>
    </row>
    <row r="90" spans="1:15" x14ac:dyDescent="0.2">
      <c r="A90" t="s">
        <v>1137</v>
      </c>
      <c r="B90" s="111">
        <f>COUNTIFS(Human_Data_Entry!$A$3:$A$524,$A90,Human_Data_Entry!$H$3:$H$524,"Human",Human_Data_Entry!$S$3:$S$524,"?*")</f>
        <v>6</v>
      </c>
      <c r="C90" s="111">
        <f>COUNTIFS(Human_Data_Entry!$A$3:$A$524,$A90,Human_Data_Entry!$H$3:$H$524,"Human",Human_Data_Entry!$S$3:$S$524,"YES")</f>
        <v>4</v>
      </c>
      <c r="D90" s="112">
        <f t="shared" si="12"/>
        <v>0.66666666666666663</v>
      </c>
      <c r="E90" s="111">
        <f>COUNTIFS(LLM_Data_Entry!$A$3:$A$548,$A90,LLM_Data_Entry!$F$3:$F$548,"LLM",LLM_Data_Entry!$R$3:$R$548,"&lt;&gt;")</f>
        <v>3</v>
      </c>
      <c r="F90" s="113">
        <f>COUNTIFS(LLM_Data_Entry!$A$3:$A$548,$A90,LLM_Data_Entry!$F$3:$F$548,"LLM",LLM_Data_Entry!$R$3:$R$548,"YES")</f>
        <v>1</v>
      </c>
      <c r="G90" s="112">
        <f t="shared" si="13"/>
        <v>0.33333333333333331</v>
      </c>
      <c r="I90" t="str">
        <f t="shared" si="14"/>
        <v>Pinterest</v>
      </c>
      <c r="J90" s="108">
        <f>SUMPRODUCT((Human_Data_Entry!$A$3:$A$524=$I90)*(Human_Data_Entry!$H$3:$H$524="Human")*((Human_Data_Entry!$J$3:$J$524="BUY")+(Human_Data_Entry!$J$3:$J$524="SELL"))*ISNUMBER(Human_Data_Entry!$U$3:$U$524))</f>
        <v>4</v>
      </c>
      <c r="K90" s="114">
        <f>IFERROR(AVERAGEIFS(Human_Data_Entry!$U$3:$U$524,Human_Data_Entry!$A$3:$A$524,$I90,Human_Data_Entry!$H$3:$H$524,"Human",Human_Data_Entry!$J$3:$J$524,"&lt;&gt;HOLD",Human_Data_Entry!$U$3:$U$524,"&lt;&gt;"),"")</f>
        <v>0.20019999999999999</v>
      </c>
      <c r="L90" s="114">
        <f>IFERROR(SUMIFS(Human_Data_Entry!$U$3:$U$524,Human_Data_Entry!$A$3:$A$524,$I90,Human_Data_Entry!$H$3:$H$524,"Human",Human_Data_Entry!$J$3:$J$524,"&lt;&gt;HOLD"),"")</f>
        <v>0.80079999999999996</v>
      </c>
      <c r="M90" s="108">
        <f>COUNTIFS(LLM_Data_Entry!$A$3:$A$548,$I90,LLM_Data_Entry!$F$3:$F$548,"LLM",LLM_Data_Entry!$H$3:$H$548,"&lt;&gt;HOLD",LLM_Data_Entry!$T$3:$T$548,"&lt;&gt;")</f>
        <v>2</v>
      </c>
      <c r="N90" s="114">
        <f>IFERROR(AVERAGEIFS(LLM_Data_Entry!$T$3:$T$548,LLM_Data_Entry!$A$3:$A$548,$I90,LLM_Data_Entry!$F$3:$F$548,"LLM",LLM_Data_Entry!$H$3:$H$548,"&lt;&gt;HOLD",LLM_Data_Entry!$T$3:$T$548,"&lt;&gt;"),"")</f>
        <v>1.9972500000000004E-2</v>
      </c>
      <c r="O90" s="114">
        <f>IFERROR(SUMIFS(LLM_Data_Entry!$T$3:$T$548,LLM_Data_Entry!$A$3:$A$548,$I90,LLM_Data_Entry!$F$3:$F$548,"LLM",LLM_Data_Entry!$H$3:$H$548,"&lt;&gt;HOLD"),"")</f>
        <v>3.9945000000000008E-2</v>
      </c>
    </row>
    <row r="91" spans="1:15" x14ac:dyDescent="0.2">
      <c r="A91" t="s">
        <v>1120</v>
      </c>
      <c r="B91" s="111">
        <f>COUNTIFS(Human_Data_Entry!$A$3:$A$524,$A91,Human_Data_Entry!$H$3:$H$524,"Human",Human_Data_Entry!$S$3:$S$524,"?*")</f>
        <v>4</v>
      </c>
      <c r="C91" s="111">
        <f>COUNTIFS(Human_Data_Entry!$A$3:$A$524,$A91,Human_Data_Entry!$H$3:$H$524,"Human",Human_Data_Entry!$S$3:$S$524,"YES")</f>
        <v>2</v>
      </c>
      <c r="D91" s="112">
        <f t="shared" si="12"/>
        <v>0.5</v>
      </c>
      <c r="E91" s="111">
        <f>COUNTIFS(LLM_Data_Entry!$A$3:$A$548,$A91,LLM_Data_Entry!$F$3:$F$548,"LLM",LLM_Data_Entry!$R$3:$R$548,"&lt;&gt;")</f>
        <v>4</v>
      </c>
      <c r="F91" s="113">
        <f>COUNTIFS(LLM_Data_Entry!$A$3:$A$548,$A91,LLM_Data_Entry!$F$3:$F$548,"LLM",LLM_Data_Entry!$R$3:$R$548,"YES")</f>
        <v>0</v>
      </c>
      <c r="G91" s="112">
        <f t="shared" si="13"/>
        <v>0</v>
      </c>
      <c r="I91" t="str">
        <f t="shared" si="14"/>
        <v>Robinhood Markets</v>
      </c>
      <c r="J91" s="108">
        <f>SUMPRODUCT((Human_Data_Entry!$A$3:$A$524=$I91)*(Human_Data_Entry!$H$3:$H$524="Human")*((Human_Data_Entry!$J$3:$J$524="BUY")+(Human_Data_Entry!$J$3:$J$524="SELL"))*ISNUMBER(Human_Data_Entry!$U$3:$U$524))</f>
        <v>4</v>
      </c>
      <c r="K91" s="114">
        <f>IFERROR(AVERAGEIFS(Human_Data_Entry!$U$3:$U$524,Human_Data_Entry!$A$3:$A$524,$I91,Human_Data_Entry!$H$3:$H$524,"Human",Human_Data_Entry!$J$3:$J$524,"&lt;&gt;HOLD",Human_Data_Entry!$U$3:$U$524,"&lt;&gt;"),"")</f>
        <v>2.9374999999999998E-2</v>
      </c>
      <c r="L91" s="114">
        <f>IFERROR(SUMIFS(Human_Data_Entry!$U$3:$U$524,Human_Data_Entry!$A$3:$A$524,$I91,Human_Data_Entry!$H$3:$H$524,"Human",Human_Data_Entry!$J$3:$J$524,"&lt;&gt;HOLD"),"")</f>
        <v>0.11749999999999999</v>
      </c>
      <c r="M91" s="108">
        <f>COUNTIFS(LLM_Data_Entry!$A$3:$A$548,$I91,LLM_Data_Entry!$F$3:$F$548,"LLM",LLM_Data_Entry!$H$3:$H$548,"&lt;&gt;HOLD",LLM_Data_Entry!$T$3:$T$548,"&lt;&gt;")</f>
        <v>1</v>
      </c>
      <c r="N91" s="114">
        <f>IFERROR(AVERAGEIFS(LLM_Data_Entry!$T$3:$T$548,LLM_Data_Entry!$A$3:$A$548,$I91,LLM_Data_Entry!$F$3:$F$548,"LLM",LLM_Data_Entry!$H$3:$H$548,"&lt;&gt;HOLD",LLM_Data_Entry!$T$3:$T$548,"&lt;&gt;"),"")</f>
        <v>-1.8405999999999999E-2</v>
      </c>
      <c r="O91" s="114">
        <f>IFERROR(SUMIFS(LLM_Data_Entry!$T$3:$T$548,LLM_Data_Entry!$A$3:$A$548,$I91,LLM_Data_Entry!$F$3:$F$548,"LLM",LLM_Data_Entry!$H$3:$H$548,"&lt;&gt;HOLD"),"")</f>
        <v>-1.8405999999999999E-2</v>
      </c>
    </row>
    <row r="92" spans="1:15" x14ac:dyDescent="0.2">
      <c r="A92" t="s">
        <v>1494</v>
      </c>
      <c r="B92" s="111">
        <f>COUNTIFS(Human_Data_Entry!$A$3:$A$524,$A92,Human_Data_Entry!$H$3:$H$524,"Human",Human_Data_Entry!$S$3:$S$524,"?*")</f>
        <v>3</v>
      </c>
      <c r="C92" s="111">
        <f>COUNTIFS(Human_Data_Entry!$A$3:$A$524,$A92,Human_Data_Entry!$H$3:$H$524,"Human",Human_Data_Entry!$S$3:$S$524,"YES")</f>
        <v>0</v>
      </c>
      <c r="D92" s="112">
        <f t="shared" si="12"/>
        <v>0</v>
      </c>
      <c r="E92" s="111">
        <f>COUNTIFS(LLM_Data_Entry!$A$3:$A$548,$A92,LLM_Data_Entry!$F$3:$F$548,"LLM",LLM_Data_Entry!$R$3:$R$548,"&lt;&gt;")</f>
        <v>3</v>
      </c>
      <c r="F92" s="113">
        <f>COUNTIFS(LLM_Data_Entry!$A$3:$A$548,$A92,LLM_Data_Entry!$F$3:$F$548,"LLM",LLM_Data_Entry!$R$3:$R$548,"YES")</f>
        <v>1</v>
      </c>
      <c r="G92" s="112">
        <f t="shared" si="13"/>
        <v>0.33333333333333331</v>
      </c>
      <c r="I92" t="str">
        <f t="shared" si="14"/>
        <v>Salesforce</v>
      </c>
      <c r="J92" s="108">
        <f>SUMPRODUCT((Human_Data_Entry!$A$3:$A$524=$I92)*(Human_Data_Entry!$H$3:$H$524="Human")*((Human_Data_Entry!$J$3:$J$524="BUY")+(Human_Data_Entry!$J$3:$J$524="SELL"))*ISNUMBER(Human_Data_Entry!$U$3:$U$524))</f>
        <v>3</v>
      </c>
      <c r="K92" s="114">
        <f>IFERROR(AVERAGEIFS(Human_Data_Entry!$U$3:$U$524,Human_Data_Entry!$A$3:$A$524,$I92,Human_Data_Entry!$H$3:$H$524,"Human",Human_Data_Entry!$J$3:$J$524,"&lt;&gt;HOLD",Human_Data_Entry!$U$3:$U$524,"&lt;&gt;"),"")</f>
        <v>-3.7933333333333333E-2</v>
      </c>
      <c r="L92" s="114">
        <f>IFERROR(SUMIFS(Human_Data_Entry!$U$3:$U$524,Human_Data_Entry!$A$3:$A$524,$I92,Human_Data_Entry!$H$3:$H$524,"Human",Human_Data_Entry!$J$3:$J$524,"&lt;&gt;HOLD"),"")</f>
        <v>-0.1138</v>
      </c>
      <c r="M92" s="108">
        <f>COUNTIFS(LLM_Data_Entry!$A$3:$A$548,$I92,LLM_Data_Entry!$F$3:$F$548,"LLM",LLM_Data_Entry!$H$3:$H$548,"&lt;&gt;HOLD",LLM_Data_Entry!$T$3:$T$548,"&lt;&gt;")</f>
        <v>2</v>
      </c>
      <c r="N92" s="114">
        <f>IFERROR(AVERAGEIFS(LLM_Data_Entry!$T$3:$T$548,LLM_Data_Entry!$A$3:$A$548,$I92,LLM_Data_Entry!$F$3:$F$548,"LLM",LLM_Data_Entry!$H$3:$H$548,"&lt;&gt;HOLD",LLM_Data_Entry!$T$3:$T$548,"&lt;&gt;"),"")</f>
        <v>-2.2545999999999997E-2</v>
      </c>
      <c r="O92" s="114">
        <f>IFERROR(SUMIFS(LLM_Data_Entry!$T$3:$T$548,LLM_Data_Entry!$A$3:$A$548,$I92,LLM_Data_Entry!$F$3:$F$548,"LLM",LLM_Data_Entry!$H$3:$H$548,"&lt;&gt;HOLD"),"")</f>
        <v>-4.5091999999999993E-2</v>
      </c>
    </row>
    <row r="93" spans="1:15" x14ac:dyDescent="0.2">
      <c r="A93" t="s">
        <v>1397</v>
      </c>
      <c r="B93" s="111">
        <f>COUNTIFS(Human_Data_Entry!$A$3:$A$524,$A93,Human_Data_Entry!$H$3:$H$524,"Human",Human_Data_Entry!$S$3:$S$524,"?*")</f>
        <v>3</v>
      </c>
      <c r="C93" s="111">
        <f>COUNTIFS(Human_Data_Entry!$A$3:$A$524,$A93,Human_Data_Entry!$H$3:$H$524,"Human",Human_Data_Entry!$S$3:$S$524,"YES")</f>
        <v>0</v>
      </c>
      <c r="D93" s="112">
        <f t="shared" si="12"/>
        <v>0</v>
      </c>
      <c r="E93" s="111">
        <f>COUNTIFS(LLM_Data_Entry!$A$3:$A$548,$A93,LLM_Data_Entry!$F$3:$F$548,"LLM",LLM_Data_Entry!$R$3:$R$548,"&lt;&gt;")</f>
        <v>0</v>
      </c>
      <c r="F93" s="113">
        <f>COUNTIFS(LLM_Data_Entry!$A$3:$A$548,$A93,LLM_Data_Entry!$F$3:$F$548,"LLM",LLM_Data_Entry!$R$3:$R$548,"YES")</f>
        <v>0</v>
      </c>
      <c r="G93" s="112" t="str">
        <f t="shared" si="13"/>
        <v>-</v>
      </c>
      <c r="I93" t="str">
        <f t="shared" si="14"/>
        <v>Shopify</v>
      </c>
      <c r="J93" s="108">
        <f>SUMPRODUCT((Human_Data_Entry!$A$3:$A$524=$I93)*(Human_Data_Entry!$H$3:$H$524="Human")*((Human_Data_Entry!$J$3:$J$524="BUY")+(Human_Data_Entry!$J$3:$J$524="SELL"))*ISNUMBER(Human_Data_Entry!$U$3:$U$524))</f>
        <v>3</v>
      </c>
      <c r="K93" s="114">
        <f>IFERROR(AVERAGEIFS(Human_Data_Entry!$U$3:$U$524,Human_Data_Entry!$A$3:$A$524,$I93,Human_Data_Entry!$H$3:$H$524,"Human",Human_Data_Entry!$J$3:$J$524,"&lt;&gt;HOLD",Human_Data_Entry!$U$3:$U$524,"&lt;&gt;"),"")</f>
        <v>2.3000000000000004E-3</v>
      </c>
      <c r="L93" s="114">
        <f>IFERROR(SUMIFS(Human_Data_Entry!$U$3:$U$524,Human_Data_Entry!$A$3:$A$524,$I93,Human_Data_Entry!$H$3:$H$524,"Human",Human_Data_Entry!$J$3:$J$524,"&lt;&gt;HOLD"),"")</f>
        <v>6.9000000000000008E-3</v>
      </c>
      <c r="M93" s="108">
        <f>COUNTIFS(LLM_Data_Entry!$A$3:$A$548,$I93,LLM_Data_Entry!$F$3:$F$548,"LLM",LLM_Data_Entry!$H$3:$H$548,"&lt;&gt;HOLD",LLM_Data_Entry!$T$3:$T$548,"&lt;&gt;")</f>
        <v>0</v>
      </c>
      <c r="N93" s="114" t="str">
        <f>IFERROR(AVERAGEIFS(LLM_Data_Entry!$T$3:$T$548,LLM_Data_Entry!$A$3:$A$548,$I93,LLM_Data_Entry!$F$3:$F$548,"LLM",LLM_Data_Entry!$H$3:$H$548,"&lt;&gt;HOLD",LLM_Data_Entry!$T$3:$T$548,"&lt;&gt;"),"")</f>
        <v/>
      </c>
      <c r="O93" s="114">
        <f>IFERROR(SUMIFS(LLM_Data_Entry!$T$3:$T$548,LLM_Data_Entry!$A$3:$A$548,$I93,LLM_Data_Entry!$F$3:$F$548,"LLM",LLM_Data_Entry!$H$3:$H$548,"&lt;&gt;HOLD"),"")</f>
        <v>0</v>
      </c>
    </row>
    <row r="94" spans="1:15" x14ac:dyDescent="0.2">
      <c r="A94" t="s">
        <v>1371</v>
      </c>
      <c r="B94" s="111">
        <f>COUNTIFS(Human_Data_Entry!$A$3:$A$524,$A94,Human_Data_Entry!$H$3:$H$524,"Human",Human_Data_Entry!$S$3:$S$524,"?*")</f>
        <v>3</v>
      </c>
      <c r="C94" s="111">
        <f>COUNTIFS(Human_Data_Entry!$A$3:$A$524,$A94,Human_Data_Entry!$H$3:$H$524,"Human",Human_Data_Entry!$S$3:$S$524,"YES")</f>
        <v>2</v>
      </c>
      <c r="D94" s="112">
        <f t="shared" si="12"/>
        <v>0.66666666666666663</v>
      </c>
      <c r="E94" s="111">
        <f>COUNTIFS(LLM_Data_Entry!$A$3:$A$548,$A94,LLM_Data_Entry!$F$3:$F$548,"LLM",LLM_Data_Entry!$R$3:$R$548,"&lt;&gt;")</f>
        <v>3</v>
      </c>
      <c r="F94" s="113">
        <f>COUNTIFS(LLM_Data_Entry!$A$3:$A$548,$A94,LLM_Data_Entry!$F$3:$F$548,"LLM",LLM_Data_Entry!$R$3:$R$548,"YES")</f>
        <v>2</v>
      </c>
      <c r="G94" s="112">
        <f t="shared" si="13"/>
        <v>0.66666666666666663</v>
      </c>
      <c r="I94" t="str">
        <f t="shared" si="14"/>
        <v>Siemens</v>
      </c>
      <c r="J94" s="108">
        <f>SUMPRODUCT((Human_Data_Entry!$A$3:$A$524=$I94)*(Human_Data_Entry!$H$3:$H$524="Human")*((Human_Data_Entry!$J$3:$J$524="BUY")+(Human_Data_Entry!$J$3:$J$524="SELL"))*ISNUMBER(Human_Data_Entry!$U$3:$U$524))</f>
        <v>1</v>
      </c>
      <c r="K94" s="114">
        <f>IFERROR(AVERAGEIFS(Human_Data_Entry!$U$3:$U$524,Human_Data_Entry!$A$3:$A$524,$I94,Human_Data_Entry!$H$3:$H$524,"Human",Human_Data_Entry!$J$3:$J$524,"&lt;&gt;HOLD",Human_Data_Entry!$U$3:$U$524,"&lt;&gt;"),"")</f>
        <v>2.64E-2</v>
      </c>
      <c r="L94" s="114">
        <f>IFERROR(SUMIFS(Human_Data_Entry!$U$3:$U$524,Human_Data_Entry!$A$3:$A$524,$I94,Human_Data_Entry!$H$3:$H$524,"Human",Human_Data_Entry!$J$3:$J$524,"&lt;&gt;HOLD"),"")</f>
        <v>2.64E-2</v>
      </c>
      <c r="M94" s="108">
        <f>COUNTIFS(LLM_Data_Entry!$A$3:$A$548,$I94,LLM_Data_Entry!$F$3:$F$548,"LLM",LLM_Data_Entry!$H$3:$H$548,"&lt;&gt;HOLD",LLM_Data_Entry!$T$3:$T$548,"&lt;&gt;")</f>
        <v>2</v>
      </c>
      <c r="N94" s="114">
        <f>IFERROR(AVERAGEIFS(LLM_Data_Entry!$T$3:$T$548,LLM_Data_Entry!$A$3:$A$548,$I94,LLM_Data_Entry!$F$3:$F$548,"LLM",LLM_Data_Entry!$H$3:$H$548,"&lt;&gt;HOLD",LLM_Data_Entry!$T$3:$T$548,"&lt;&gt;"),"")</f>
        <v>1.5273000000000002E-2</v>
      </c>
      <c r="O94" s="114">
        <f>IFERROR(SUMIFS(LLM_Data_Entry!$T$3:$T$548,LLM_Data_Entry!$A$3:$A$548,$I94,LLM_Data_Entry!$F$3:$F$548,"LLM",LLM_Data_Entry!$H$3:$H$548,"&lt;&gt;HOLD"),"")</f>
        <v>3.0546000000000004E-2</v>
      </c>
    </row>
    <row r="95" spans="1:15" x14ac:dyDescent="0.2">
      <c r="A95" t="s">
        <v>1407</v>
      </c>
      <c r="B95" s="111">
        <f>COUNTIFS(Human_Data_Entry!$A$3:$A$524,$A95,Human_Data_Entry!$H$3:$H$524,"Human",Human_Data_Entry!$S$3:$S$524,"?*")</f>
        <v>3</v>
      </c>
      <c r="C95" s="111">
        <f>COUNTIFS(Human_Data_Entry!$A$3:$A$524,$A95,Human_Data_Entry!$H$3:$H$524,"Human",Human_Data_Entry!$S$3:$S$524,"YES")</f>
        <v>2</v>
      </c>
      <c r="D95" s="112">
        <f t="shared" si="12"/>
        <v>0.66666666666666663</v>
      </c>
      <c r="E95" s="111">
        <f>COUNTIFS(LLM_Data_Entry!$A$3:$A$548,$A95,LLM_Data_Entry!$F$3:$F$548,"LLM",LLM_Data_Entry!$R$3:$R$548,"&lt;&gt;")</f>
        <v>0</v>
      </c>
      <c r="F95" s="113">
        <f>COUNTIFS(LLM_Data_Entry!$A$3:$A$548,$A95,LLM_Data_Entry!$F$3:$F$548,"LLM",LLM_Data_Entry!$R$3:$R$548,"YES")</f>
        <v>0</v>
      </c>
      <c r="G95" s="112" t="str">
        <f t="shared" si="13"/>
        <v>-</v>
      </c>
      <c r="I95" t="str">
        <f t="shared" si="14"/>
        <v>Sony</v>
      </c>
      <c r="J95" s="108">
        <f>SUMPRODUCT((Human_Data_Entry!$A$3:$A$524=$I95)*(Human_Data_Entry!$H$3:$H$524="Human")*((Human_Data_Entry!$J$3:$J$524="BUY")+(Human_Data_Entry!$J$3:$J$524="SELL"))*ISNUMBER(Human_Data_Entry!$U$3:$U$524))</f>
        <v>1</v>
      </c>
      <c r="K95" s="114">
        <f>IFERROR(AVERAGEIFS(Human_Data_Entry!$U$3:$U$524,Human_Data_Entry!$A$3:$A$524,$I95,Human_Data_Entry!$H$3:$H$524,"Human",Human_Data_Entry!$J$3:$J$524,"&lt;&gt;HOLD",Human_Data_Entry!$U$3:$U$524,"&lt;&gt;"),"")</f>
        <v>8.9000000000000017E-3</v>
      </c>
      <c r="L95" s="114">
        <f>IFERROR(SUMIFS(Human_Data_Entry!$U$3:$U$524,Human_Data_Entry!$A$3:$A$524,$I95,Human_Data_Entry!$H$3:$H$524,"Human",Human_Data_Entry!$J$3:$J$524,"&lt;&gt;HOLD"),"")</f>
        <v>8.9000000000000017E-3</v>
      </c>
      <c r="M95" s="108">
        <f>COUNTIFS(LLM_Data_Entry!$A$3:$A$548,$I95,LLM_Data_Entry!$F$3:$F$548,"LLM",LLM_Data_Entry!$H$3:$H$548,"&lt;&gt;HOLD",LLM_Data_Entry!$T$3:$T$548,"&lt;&gt;")</f>
        <v>0</v>
      </c>
      <c r="N95" s="114" t="str">
        <f>IFERROR(AVERAGEIFS(LLM_Data_Entry!$T$3:$T$548,LLM_Data_Entry!$A$3:$A$548,$I95,LLM_Data_Entry!$F$3:$F$548,"LLM",LLM_Data_Entry!$H$3:$H$548,"&lt;&gt;HOLD",LLM_Data_Entry!$T$3:$T$548,"&lt;&gt;"),"")</f>
        <v/>
      </c>
      <c r="O95" s="114">
        <f>IFERROR(SUMIFS(LLM_Data_Entry!$T$3:$T$548,LLM_Data_Entry!$A$3:$A$548,$I95,LLM_Data_Entry!$F$3:$F$548,"LLM",LLM_Data_Entry!$H$3:$H$548,"&lt;&gt;HOLD"),"")</f>
        <v>0</v>
      </c>
    </row>
    <row r="96" spans="1:15" x14ac:dyDescent="0.2">
      <c r="A96" t="s">
        <v>1200</v>
      </c>
      <c r="B96" s="111">
        <f>COUNTIFS(Human_Data_Entry!$A$3:$A$524,$A96,Human_Data_Entry!$H$3:$H$524,"Human",Human_Data_Entry!$S$3:$S$524,"?*")</f>
        <v>4</v>
      </c>
      <c r="C96" s="111">
        <f>COUNTIFS(Human_Data_Entry!$A$3:$A$524,$A96,Human_Data_Entry!$H$3:$H$524,"Human",Human_Data_Entry!$S$3:$S$524,"YES")</f>
        <v>1</v>
      </c>
      <c r="D96" s="112">
        <f t="shared" si="12"/>
        <v>0.25</v>
      </c>
      <c r="E96" s="111">
        <f>COUNTIFS(LLM_Data_Entry!$A$3:$A$548,$A96,LLM_Data_Entry!$F$3:$F$548,"LLM",LLM_Data_Entry!$R$3:$R$548,"&lt;&gt;")</f>
        <v>4</v>
      </c>
      <c r="F96" s="113">
        <f>COUNTIFS(LLM_Data_Entry!$A$3:$A$548,$A96,LLM_Data_Entry!$F$3:$F$548,"LLM",LLM_Data_Entry!$R$3:$R$548,"YES")</f>
        <v>1</v>
      </c>
      <c r="G96" s="112">
        <f t="shared" si="13"/>
        <v>0.25</v>
      </c>
      <c r="I96" t="str">
        <f t="shared" si="14"/>
        <v>Spotify</v>
      </c>
      <c r="J96" s="108">
        <f>SUMPRODUCT((Human_Data_Entry!$A$3:$A$524=$I96)*(Human_Data_Entry!$H$3:$H$524="Human")*((Human_Data_Entry!$J$3:$J$524="BUY")+(Human_Data_Entry!$J$3:$J$524="SELL"))*ISNUMBER(Human_Data_Entry!$U$3:$U$524))</f>
        <v>4</v>
      </c>
      <c r="K96" s="114">
        <f>IFERROR(AVERAGEIFS(Human_Data_Entry!$U$3:$U$524,Human_Data_Entry!$A$3:$A$524,$I96,Human_Data_Entry!$H$3:$H$524,"Human",Human_Data_Entry!$J$3:$J$524,"&lt;&gt;HOLD",Human_Data_Entry!$U$3:$U$524,"&lt;&gt;"),"")</f>
        <v>-2.0575E-2</v>
      </c>
      <c r="L96" s="114">
        <f>IFERROR(SUMIFS(Human_Data_Entry!$U$3:$U$524,Human_Data_Entry!$A$3:$A$524,$I96,Human_Data_Entry!$H$3:$H$524,"Human",Human_Data_Entry!$J$3:$J$524,"&lt;&gt;HOLD"),"")</f>
        <v>-8.2299999999999998E-2</v>
      </c>
      <c r="M96" s="108">
        <f>COUNTIFS(LLM_Data_Entry!$A$3:$A$548,$I96,LLM_Data_Entry!$F$3:$F$548,"LLM",LLM_Data_Entry!$H$3:$H$548,"&lt;&gt;HOLD",LLM_Data_Entry!$T$3:$T$548,"&lt;&gt;")</f>
        <v>2</v>
      </c>
      <c r="N96" s="114">
        <f>IFERROR(AVERAGEIFS(LLM_Data_Entry!$T$3:$T$548,LLM_Data_Entry!$A$3:$A$548,$I96,LLM_Data_Entry!$F$3:$F$548,"LLM",LLM_Data_Entry!$H$3:$H$548,"&lt;&gt;HOLD",LLM_Data_Entry!$T$3:$T$548,"&lt;&gt;"),"")</f>
        <v>4.2102000000000001E-2</v>
      </c>
      <c r="O96" s="114">
        <f>IFERROR(SUMIFS(LLM_Data_Entry!$T$3:$T$548,LLM_Data_Entry!$A$3:$A$548,$I96,LLM_Data_Entry!$F$3:$F$548,"LLM",LLM_Data_Entry!$H$3:$H$548,"&lt;&gt;HOLD"),"")</f>
        <v>8.4204000000000001E-2</v>
      </c>
    </row>
    <row r="97" spans="1:15" x14ac:dyDescent="0.2">
      <c r="A97" t="s">
        <v>1309</v>
      </c>
      <c r="B97" s="111">
        <f>COUNTIFS(Human_Data_Entry!$A$3:$A$524,$A97,Human_Data_Entry!$H$3:$H$524,"Human",Human_Data_Entry!$S$3:$S$524,"?*")</f>
        <v>4</v>
      </c>
      <c r="C97" s="111">
        <f>COUNTIFS(Human_Data_Entry!$A$3:$A$524,$A97,Human_Data_Entry!$H$3:$H$524,"Human",Human_Data_Entry!$S$3:$S$524,"YES")</f>
        <v>1</v>
      </c>
      <c r="D97" s="112">
        <f t="shared" si="12"/>
        <v>0.25</v>
      </c>
      <c r="E97" s="111">
        <f>COUNTIFS(LLM_Data_Entry!$A$3:$A$548,$A97,LLM_Data_Entry!$F$3:$F$548,"LLM",LLM_Data_Entry!$R$3:$R$548,"&lt;&gt;")</f>
        <v>4</v>
      </c>
      <c r="F97" s="113">
        <f>COUNTIFS(LLM_Data_Entry!$A$3:$A$548,$A97,LLM_Data_Entry!$F$3:$F$548,"LLM",LLM_Data_Entry!$R$3:$R$548,"YES")</f>
        <v>2</v>
      </c>
      <c r="G97" s="112">
        <f t="shared" si="13"/>
        <v>0.5</v>
      </c>
      <c r="I97" t="str">
        <f t="shared" si="14"/>
        <v>Standard Chartered</v>
      </c>
      <c r="J97" s="108">
        <f>SUMPRODUCT((Human_Data_Entry!$A$3:$A$524=$I97)*(Human_Data_Entry!$H$3:$H$524="Human")*((Human_Data_Entry!$J$3:$J$524="BUY")+(Human_Data_Entry!$J$3:$J$524="SELL"))*ISNUMBER(Human_Data_Entry!$U$3:$U$524))</f>
        <v>2</v>
      </c>
      <c r="K97" s="114">
        <f>IFERROR(AVERAGEIFS(Human_Data_Entry!$U$3:$U$524,Human_Data_Entry!$A$3:$A$524,$I97,Human_Data_Entry!$H$3:$H$524,"Human",Human_Data_Entry!$J$3:$J$524,"&lt;&gt;HOLD",Human_Data_Entry!$U$3:$U$524,"&lt;&gt;"),"")</f>
        <v>1.295E-2</v>
      </c>
      <c r="L97" s="114">
        <f>IFERROR(SUMIFS(Human_Data_Entry!$U$3:$U$524,Human_Data_Entry!$A$3:$A$524,$I97,Human_Data_Entry!$H$3:$H$524,"Human",Human_Data_Entry!$J$3:$J$524,"&lt;&gt;HOLD"),"")</f>
        <v>2.5899999999999999E-2</v>
      </c>
      <c r="M97" s="108">
        <f>COUNTIFS(LLM_Data_Entry!$A$3:$A$548,$I97,LLM_Data_Entry!$F$3:$F$548,"LLM",LLM_Data_Entry!$H$3:$H$548,"&lt;&gt;HOLD",LLM_Data_Entry!$T$3:$T$548,"&lt;&gt;")</f>
        <v>2</v>
      </c>
      <c r="N97" s="114">
        <f>IFERROR(AVERAGEIFS(LLM_Data_Entry!$T$3:$T$548,LLM_Data_Entry!$A$3:$A$548,$I97,LLM_Data_Entry!$F$3:$F$548,"LLM",LLM_Data_Entry!$H$3:$H$548,"&lt;&gt;HOLD",LLM_Data_Entry!$T$3:$T$548,"&lt;&gt;"),"")</f>
        <v>-6.4764999999999996E-3</v>
      </c>
      <c r="O97" s="114">
        <f>IFERROR(SUMIFS(LLM_Data_Entry!$T$3:$T$548,LLM_Data_Entry!$A$3:$A$548,$I97,LLM_Data_Entry!$F$3:$F$548,"LLM",LLM_Data_Entry!$H$3:$H$548,"&lt;&gt;HOLD"),"")</f>
        <v>-1.2952999999999999E-2</v>
      </c>
    </row>
    <row r="98" spans="1:15" x14ac:dyDescent="0.2">
      <c r="A98" t="s">
        <v>967</v>
      </c>
      <c r="B98" s="111">
        <f>COUNTIFS(Human_Data_Entry!$A$3:$A$524,$A98,Human_Data_Entry!$H$3:$H$524,"Human",Human_Data_Entry!$S$3:$S$524,"?*")</f>
        <v>3</v>
      </c>
      <c r="C98" s="111">
        <f>COUNTIFS(Human_Data_Entry!$A$3:$A$524,$A98,Human_Data_Entry!$H$3:$H$524,"Human",Human_Data_Entry!$S$3:$S$524,"YES")</f>
        <v>0</v>
      </c>
      <c r="D98" s="112">
        <f t="shared" si="12"/>
        <v>0</v>
      </c>
      <c r="E98" s="111">
        <f>COUNTIFS(LLM_Data_Entry!$A$3:$A$548,$A98,LLM_Data_Entry!$F$3:$F$548,"LLM",LLM_Data_Entry!$R$3:$R$548,"&lt;&gt;")</f>
        <v>3</v>
      </c>
      <c r="F98" s="113">
        <f>COUNTIFS(LLM_Data_Entry!$A$3:$A$548,$A98,LLM_Data_Entry!$F$3:$F$548,"LLM",LLM_Data_Entry!$R$3:$R$548,"YES")</f>
        <v>1</v>
      </c>
      <c r="G98" s="112">
        <f t="shared" si="13"/>
        <v>0.33333333333333331</v>
      </c>
      <c r="I98" t="str">
        <f t="shared" si="14"/>
        <v>Tesla</v>
      </c>
      <c r="J98" s="108">
        <f>SUMPRODUCT((Human_Data_Entry!$A$3:$A$524=$I98)*(Human_Data_Entry!$H$3:$H$524="Human")*((Human_Data_Entry!$J$3:$J$524="BUY")+(Human_Data_Entry!$J$3:$J$524="SELL"))*ISNUMBER(Human_Data_Entry!$U$3:$U$524))</f>
        <v>3</v>
      </c>
      <c r="K98" s="114">
        <f>IFERROR(AVERAGEIFS(Human_Data_Entry!$U$3:$U$524,Human_Data_Entry!$A$3:$A$524,$I98,Human_Data_Entry!$H$3:$H$524,"Human",Human_Data_Entry!$J$3:$J$524,"&lt;&gt;HOLD",Human_Data_Entry!$U$3:$U$524,"&lt;&gt;"),"")</f>
        <v>-2.1033333333333334E-2</v>
      </c>
      <c r="L98" s="114">
        <f>IFERROR(SUMIFS(Human_Data_Entry!$U$3:$U$524,Human_Data_Entry!$A$3:$A$524,$I98,Human_Data_Entry!$H$3:$H$524,"Human",Human_Data_Entry!$J$3:$J$524,"&lt;&gt;HOLD"),"")</f>
        <v>-6.3100000000000003E-2</v>
      </c>
      <c r="M98" s="108">
        <f>COUNTIFS(LLM_Data_Entry!$A$3:$A$548,$I98,LLM_Data_Entry!$F$3:$F$548,"LLM",LLM_Data_Entry!$H$3:$H$548,"&lt;&gt;HOLD",LLM_Data_Entry!$T$3:$T$548,"&lt;&gt;")</f>
        <v>2</v>
      </c>
      <c r="N98" s="114">
        <f>IFERROR(AVERAGEIFS(LLM_Data_Entry!$T$3:$T$548,LLM_Data_Entry!$A$3:$A$548,$I98,LLM_Data_Entry!$F$3:$F$548,"LLM",LLM_Data_Entry!$H$3:$H$548,"&lt;&gt;HOLD",LLM_Data_Entry!$T$3:$T$548,"&lt;&gt;"),"")</f>
        <v>2.2127500000000001E-2</v>
      </c>
      <c r="O98" s="114">
        <f>IFERROR(SUMIFS(LLM_Data_Entry!$T$3:$T$548,LLM_Data_Entry!$A$3:$A$548,$I98,LLM_Data_Entry!$F$3:$F$548,"LLM",LLM_Data_Entry!$H$3:$H$548,"&lt;&gt;HOLD"),"")</f>
        <v>4.4255000000000003E-2</v>
      </c>
    </row>
    <row r="99" spans="1:15" x14ac:dyDescent="0.2">
      <c r="A99" t="s">
        <v>586</v>
      </c>
      <c r="B99" s="111">
        <f>COUNTIFS(Human_Data_Entry!$A$3:$A$524,$A99,Human_Data_Entry!$H$3:$H$524,"Human",Human_Data_Entry!$S$3:$S$524,"?*")</f>
        <v>4</v>
      </c>
      <c r="C99" s="111">
        <f>COUNTIFS(Human_Data_Entry!$A$3:$A$524,$A99,Human_Data_Entry!$H$3:$H$524,"Human",Human_Data_Entry!$S$3:$S$524,"YES")</f>
        <v>3</v>
      </c>
      <c r="D99" s="112">
        <f t="shared" si="12"/>
        <v>0.75</v>
      </c>
      <c r="E99" s="111">
        <f>COUNTIFS(LLM_Data_Entry!$A$3:$A$548,$A99,LLM_Data_Entry!$F$3:$F$548,"LLM",LLM_Data_Entry!$R$3:$R$548,"&lt;&gt;")</f>
        <v>4</v>
      </c>
      <c r="F99" s="113">
        <f>COUNTIFS(LLM_Data_Entry!$A$3:$A$548,$A99,LLM_Data_Entry!$F$3:$F$548,"LLM",LLM_Data_Entry!$R$3:$R$548,"YES")</f>
        <v>1</v>
      </c>
      <c r="G99" s="112">
        <f t="shared" si="13"/>
        <v>0.25</v>
      </c>
      <c r="I99" t="str">
        <f t="shared" si="14"/>
        <v>Nvidia</v>
      </c>
      <c r="J99" s="108">
        <f>SUMPRODUCT((Human_Data_Entry!$A$3:$A$524=$I99)*(Human_Data_Entry!$H$3:$H$524="Human")*((Human_Data_Entry!$J$3:$J$524="BUY")+(Human_Data_Entry!$J$3:$J$524="SELL"))*ISNUMBER(Human_Data_Entry!$U$3:$U$524))</f>
        <v>4</v>
      </c>
      <c r="K99" s="114">
        <f>IFERROR(AVERAGEIFS(Human_Data_Entry!$U$3:$U$524,Human_Data_Entry!$A$3:$A$524,$I99,Human_Data_Entry!$H$3:$H$524,"Human",Human_Data_Entry!$J$3:$J$524,"&lt;&gt;HOLD",Human_Data_Entry!$U$3:$U$524,"&lt;&gt;"),"")</f>
        <v>3.1449999999999999E-2</v>
      </c>
      <c r="L99" s="114">
        <f>IFERROR(SUMIFS(Human_Data_Entry!$U$3:$U$524,Human_Data_Entry!$A$3:$A$524,$I99,Human_Data_Entry!$H$3:$H$524,"Human",Human_Data_Entry!$J$3:$J$524,"&lt;&gt;HOLD"),"")</f>
        <v>0.1258</v>
      </c>
      <c r="M99" s="108">
        <f>COUNTIFS(LLM_Data_Entry!$A$3:$A$548,$I99,LLM_Data_Entry!$F$3:$F$548,"LLM",LLM_Data_Entry!$H$3:$H$548,"&lt;&gt;HOLD",LLM_Data_Entry!$T$3:$T$548,"&lt;&gt;")</f>
        <v>3</v>
      </c>
      <c r="N99" s="114">
        <f>IFERROR(AVERAGEIFS(LLM_Data_Entry!$T$3:$T$548,LLM_Data_Entry!$A$3:$A$548,$I99,LLM_Data_Entry!$F$3:$F$548,"LLM",LLM_Data_Entry!$H$3:$H$548,"&lt;&gt;HOLD",LLM_Data_Entry!$T$3:$T$548,"&lt;&gt;"),"")</f>
        <v>4.9756666666666656E-3</v>
      </c>
      <c r="O99" s="114">
        <f>IFERROR(SUMIFS(LLM_Data_Entry!$T$3:$T$548,LLM_Data_Entry!$A$3:$A$548,$I99,LLM_Data_Entry!$F$3:$F$548,"LLM",LLM_Data_Entry!$H$3:$H$548,"&lt;&gt;HOLD"),"")</f>
        <v>1.4926999999999996E-2</v>
      </c>
    </row>
    <row r="100" spans="1:15" x14ac:dyDescent="0.2">
      <c r="A100" t="s">
        <v>1521</v>
      </c>
      <c r="B100" s="111">
        <f>COUNTIFS(Human_Data_Entry!$A$3:$A$524,$A100,Human_Data_Entry!$H$3:$H$524,"Human",Human_Data_Entry!$S$3:$S$524,"?*")</f>
        <v>4</v>
      </c>
      <c r="C100" s="111">
        <f>COUNTIFS(Human_Data_Entry!$A$3:$A$524,$A100,Human_Data_Entry!$H$3:$H$524,"Human",Human_Data_Entry!$S$3:$S$524,"YES")</f>
        <v>1</v>
      </c>
      <c r="D100" s="112">
        <f t="shared" si="12"/>
        <v>0.25</v>
      </c>
      <c r="E100" s="111">
        <f>COUNTIFS(LLM_Data_Entry!$A$3:$A$548,$A100,LLM_Data_Entry!$F$3:$F$548,"LLM",LLM_Data_Entry!$R$3:$R$548,"&lt;&gt;")</f>
        <v>0</v>
      </c>
      <c r="F100" s="113">
        <f>COUNTIFS(LLM_Data_Entry!$A$3:$A$548,$A100,LLM_Data_Entry!$F$3:$F$548,"LLM",LLM_Data_Entry!$R$3:$R$548,"YES")</f>
        <v>0</v>
      </c>
      <c r="G100" s="112" t="str">
        <f t="shared" si="13"/>
        <v>-</v>
      </c>
      <c r="I100" t="str">
        <f t="shared" si="14"/>
        <v>Union Pacific</v>
      </c>
      <c r="J100" s="108">
        <f>SUMPRODUCT((Human_Data_Entry!$A$3:$A$524=$I100)*(Human_Data_Entry!$H$3:$H$524="Human")*((Human_Data_Entry!$J$3:$J$524="BUY")+(Human_Data_Entry!$J$3:$J$524="SELL"))*ISNUMBER(Human_Data_Entry!$U$3:$U$524))</f>
        <v>3</v>
      </c>
      <c r="K100" s="114">
        <f>IFERROR(AVERAGEIFS(Human_Data_Entry!$U$3:$U$524,Human_Data_Entry!$A$3:$A$524,$I100,Human_Data_Entry!$H$3:$H$524,"Human",Human_Data_Entry!$J$3:$J$524,"&lt;&gt;HOLD",Human_Data_Entry!$U$3:$U$524,"&lt;&gt;"),"")</f>
        <v>6.8333333333333336E-3</v>
      </c>
      <c r="L100" s="114">
        <f>IFERROR(SUMIFS(Human_Data_Entry!$U$3:$U$524,Human_Data_Entry!$A$3:$A$524,$I100,Human_Data_Entry!$H$3:$H$524,"Human",Human_Data_Entry!$J$3:$J$524,"&lt;&gt;HOLD"),"")</f>
        <v>2.0500000000000001E-2</v>
      </c>
      <c r="M100" s="108">
        <f>COUNTIFS(LLM_Data_Entry!$A$3:$A$548,$I100,LLM_Data_Entry!$F$3:$F$548,"LLM",LLM_Data_Entry!$H$3:$H$548,"&lt;&gt;HOLD",LLM_Data_Entry!$T$3:$T$548,"&lt;&gt;")</f>
        <v>0</v>
      </c>
      <c r="N100" s="114" t="str">
        <f>IFERROR(AVERAGEIFS(LLM_Data_Entry!$T$3:$T$548,LLM_Data_Entry!$A$3:$A$548,$I100,LLM_Data_Entry!$F$3:$F$548,"LLM",LLM_Data_Entry!$H$3:$H$548,"&lt;&gt;HOLD",LLM_Data_Entry!$T$3:$T$548,"&lt;&gt;"),"")</f>
        <v/>
      </c>
      <c r="O100" s="114">
        <f>IFERROR(SUMIFS(LLM_Data_Entry!$T$3:$T$548,LLM_Data_Entry!$A$3:$A$548,$I100,LLM_Data_Entry!$F$3:$F$548,"LLM",LLM_Data_Entry!$H$3:$H$548,"&lt;&gt;HOLD"),"")</f>
        <v>0</v>
      </c>
    </row>
    <row r="101" spans="1:15" x14ac:dyDescent="0.2">
      <c r="A101" t="s">
        <v>1505</v>
      </c>
      <c r="B101" s="111">
        <f>COUNTIFS(Human_Data_Entry!$A$3:$A$524,$A101,Human_Data_Entry!$H$3:$H$524,"Human",Human_Data_Entry!$S$3:$S$524,"?*")</f>
        <v>7</v>
      </c>
      <c r="C101" s="111">
        <f>COUNTIFS(Human_Data_Entry!$A$3:$A$524,$A101,Human_Data_Entry!$H$3:$H$524,"Human",Human_Data_Entry!$S$3:$S$524,"YES")</f>
        <v>2</v>
      </c>
      <c r="D101" s="112">
        <f t="shared" si="12"/>
        <v>0.2857142857142857</v>
      </c>
      <c r="E101" s="111">
        <f>COUNTIFS(LLM_Data_Entry!$A$3:$A$548,$A101,LLM_Data_Entry!$F$3:$F$548,"LLM",LLM_Data_Entry!$R$3:$R$548,"&lt;&gt;")</f>
        <v>3</v>
      </c>
      <c r="F101" s="113">
        <f>COUNTIFS(LLM_Data_Entry!$A$3:$A$548,$A101,LLM_Data_Entry!$F$3:$F$548,"LLM",LLM_Data_Entry!$R$3:$R$548,"YES")</f>
        <v>3</v>
      </c>
      <c r="G101" s="112">
        <f t="shared" si="13"/>
        <v>1</v>
      </c>
      <c r="I101" t="str">
        <f t="shared" si="14"/>
        <v>UnitedHealth</v>
      </c>
      <c r="J101" s="108">
        <f>SUMPRODUCT((Human_Data_Entry!$A$3:$A$524=$I101)*(Human_Data_Entry!$H$3:$H$524="Human")*((Human_Data_Entry!$J$3:$J$524="BUY")+(Human_Data_Entry!$J$3:$J$524="SELL"))*ISNUMBER(Human_Data_Entry!$U$3:$U$524))</f>
        <v>6</v>
      </c>
      <c r="K101" s="114">
        <f>IFERROR(AVERAGEIFS(Human_Data_Entry!$U$3:$U$524,Human_Data_Entry!$A$3:$A$524,$I101,Human_Data_Entry!$H$3:$H$524,"Human",Human_Data_Entry!$J$3:$J$524,"&lt;&gt;HOLD",Human_Data_Entry!$U$3:$U$524,"&lt;&gt;"),"")</f>
        <v>-4.7150000000000004E-2</v>
      </c>
      <c r="L101" s="114">
        <f>IFERROR(SUMIFS(Human_Data_Entry!$U$3:$U$524,Human_Data_Entry!$A$3:$A$524,$I101,Human_Data_Entry!$H$3:$H$524,"Human",Human_Data_Entry!$J$3:$J$524,"&lt;&gt;HOLD"),"")</f>
        <v>-0.28290000000000004</v>
      </c>
      <c r="M101" s="108">
        <f>COUNTIFS(LLM_Data_Entry!$A$3:$A$548,$I101,LLM_Data_Entry!$F$3:$F$548,"LLM",LLM_Data_Entry!$H$3:$H$548,"&lt;&gt;HOLD",LLM_Data_Entry!$T$3:$T$548,"&lt;&gt;")</f>
        <v>3</v>
      </c>
      <c r="N101" s="114">
        <f>IFERROR(AVERAGEIFS(LLM_Data_Entry!$T$3:$T$548,LLM_Data_Entry!$A$3:$A$548,$I101,LLM_Data_Entry!$F$3:$F$548,"LLM",LLM_Data_Entry!$H$3:$H$548,"&lt;&gt;HOLD",LLM_Data_Entry!$T$3:$T$548,"&lt;&gt;"),"")</f>
        <v>8.6457000000000006E-2</v>
      </c>
      <c r="O101" s="114">
        <f>IFERROR(SUMIFS(LLM_Data_Entry!$T$3:$T$548,LLM_Data_Entry!$A$3:$A$548,$I101,LLM_Data_Entry!$F$3:$F$548,"LLM",LLM_Data_Entry!$H$3:$H$548,"&lt;&gt;HOLD"),"")</f>
        <v>0.25937100000000002</v>
      </c>
    </row>
    <row r="102" spans="1:15" x14ac:dyDescent="0.2">
      <c r="A102" t="s">
        <v>1097</v>
      </c>
      <c r="B102" s="111">
        <f>COUNTIFS(Human_Data_Entry!$A$3:$A$524,$A102,Human_Data_Entry!$H$3:$H$524,"Human",Human_Data_Entry!$S$3:$S$524,"?*")</f>
        <v>4</v>
      </c>
      <c r="C102" s="111">
        <f>COUNTIFS(Human_Data_Entry!$A$3:$A$524,$A102,Human_Data_Entry!$H$3:$H$524,"Human",Human_Data_Entry!$S$3:$S$524,"YES")</f>
        <v>1</v>
      </c>
      <c r="D102" s="112">
        <f t="shared" si="12"/>
        <v>0.25</v>
      </c>
      <c r="E102" s="111">
        <f>COUNTIFS(LLM_Data_Entry!$A$3:$A$548,$A102,LLM_Data_Entry!$F$3:$F$548,"LLM",LLM_Data_Entry!$R$3:$R$548,"&lt;&gt;")</f>
        <v>4</v>
      </c>
      <c r="F102" s="113">
        <f>COUNTIFS(LLM_Data_Entry!$A$3:$A$548,$A102,LLM_Data_Entry!$F$3:$F$548,"LLM",LLM_Data_Entry!$R$3:$R$548,"YES")</f>
        <v>2</v>
      </c>
      <c r="G102" s="112">
        <f t="shared" si="13"/>
        <v>0.5</v>
      </c>
      <c r="I102" t="str">
        <f t="shared" si="14"/>
        <v>Visa</v>
      </c>
      <c r="J102" s="108">
        <f>SUMPRODUCT((Human_Data_Entry!$A$3:$A$524=$I102)*(Human_Data_Entry!$H$3:$H$524="Human")*((Human_Data_Entry!$J$3:$J$524="BUY")+(Human_Data_Entry!$J$3:$J$524="SELL"))*ISNUMBER(Human_Data_Entry!$U$3:$U$524))</f>
        <v>4</v>
      </c>
      <c r="K102" s="114">
        <f>IFERROR(AVERAGEIFS(Human_Data_Entry!$U$3:$U$524,Human_Data_Entry!$A$3:$A$524,$I102,Human_Data_Entry!$H$3:$H$524,"Human",Human_Data_Entry!$J$3:$J$524,"&lt;&gt;HOLD",Human_Data_Entry!$U$3:$U$524,"&lt;&gt;"),"")</f>
        <v>1.5375E-2</v>
      </c>
      <c r="L102" s="114">
        <f>IFERROR(SUMIFS(Human_Data_Entry!$U$3:$U$524,Human_Data_Entry!$A$3:$A$524,$I102,Human_Data_Entry!$H$3:$H$524,"Human",Human_Data_Entry!$J$3:$J$524,"&lt;&gt;HOLD"),"")</f>
        <v>6.1499999999999999E-2</v>
      </c>
      <c r="M102" s="108">
        <f>COUNTIFS(LLM_Data_Entry!$A$3:$A$548,$I102,LLM_Data_Entry!$F$3:$F$548,"LLM",LLM_Data_Entry!$H$3:$H$548,"&lt;&gt;HOLD",LLM_Data_Entry!$T$3:$T$548,"&lt;&gt;")</f>
        <v>2</v>
      </c>
      <c r="N102" s="114">
        <f>IFERROR(AVERAGEIFS(LLM_Data_Entry!$T$3:$T$548,LLM_Data_Entry!$A$3:$A$548,$I102,LLM_Data_Entry!$F$3:$F$548,"LLM",LLM_Data_Entry!$H$3:$H$548,"&lt;&gt;HOLD",LLM_Data_Entry!$T$3:$T$548,"&lt;&gt;"),"")</f>
        <v>8.0684999999999993E-3</v>
      </c>
      <c r="O102" s="114">
        <f>IFERROR(SUMIFS(LLM_Data_Entry!$T$3:$T$548,LLM_Data_Entry!$A$3:$A$548,$I102,LLM_Data_Entry!$F$3:$F$548,"LLM",LLM_Data_Entry!$H$3:$H$548,"&lt;&gt;HOLD"),"")</f>
        <v>1.6136999999999999E-2</v>
      </c>
    </row>
    <row r="103" spans="1:15" x14ac:dyDescent="0.2">
      <c r="A103" t="s">
        <v>1287</v>
      </c>
      <c r="B103" s="111">
        <f>COUNTIFS(Human_Data_Entry!$A$3:$A$524,$A103,Human_Data_Entry!$H$3:$H$524,"Human",Human_Data_Entry!$S$3:$S$524,"?*")</f>
        <v>4</v>
      </c>
      <c r="C103" s="111">
        <f>COUNTIFS(Human_Data_Entry!$A$3:$A$524,$A103,Human_Data_Entry!$H$3:$H$524,"Human",Human_Data_Entry!$S$3:$S$524,"YES")</f>
        <v>0</v>
      </c>
      <c r="D103" s="112">
        <f t="shared" si="12"/>
        <v>0</v>
      </c>
      <c r="E103" s="111">
        <f>COUNTIFS(LLM_Data_Entry!$A$3:$A$548,$A103,LLM_Data_Entry!$F$3:$F$548,"LLM",LLM_Data_Entry!$R$3:$R$548,"&lt;&gt;")</f>
        <v>4</v>
      </c>
      <c r="F103" s="113">
        <f>COUNTIFS(LLM_Data_Entry!$A$3:$A$548,$A103,LLM_Data_Entry!$F$3:$F$548,"LLM",LLM_Data_Entry!$R$3:$R$548,"YES")</f>
        <v>0</v>
      </c>
      <c r="G103" s="112">
        <f t="shared" si="13"/>
        <v>0</v>
      </c>
      <c r="I103" t="str">
        <f t="shared" si="14"/>
        <v>Workday</v>
      </c>
      <c r="J103" s="108">
        <f>SUMPRODUCT((Human_Data_Entry!$A$3:$A$524=$I103)*(Human_Data_Entry!$H$3:$H$524="Human")*((Human_Data_Entry!$J$3:$J$524="BUY")+(Human_Data_Entry!$J$3:$J$524="SELL"))*ISNUMBER(Human_Data_Entry!$U$3:$U$524))</f>
        <v>4</v>
      </c>
      <c r="K103" s="114">
        <f>IFERROR(AVERAGEIFS(Human_Data_Entry!$U$3:$U$524,Human_Data_Entry!$A$3:$A$524,$I103,Human_Data_Entry!$H$3:$H$524,"Human",Human_Data_Entry!$J$3:$J$524,"&lt;&gt;HOLD",Human_Data_Entry!$U$3:$U$524,"&lt;&gt;"),"")</f>
        <v>-8.4150000000000003E-2</v>
      </c>
      <c r="L103" s="114">
        <f>IFERROR(SUMIFS(Human_Data_Entry!$U$3:$U$524,Human_Data_Entry!$A$3:$A$524,$I103,Human_Data_Entry!$H$3:$H$524,"Human",Human_Data_Entry!$J$3:$J$524,"&lt;&gt;HOLD"),"")</f>
        <v>-0.33660000000000001</v>
      </c>
      <c r="M103" s="108">
        <f>COUNTIFS(LLM_Data_Entry!$A$3:$A$548,$I103,LLM_Data_Entry!$F$3:$F$548,"LLM",LLM_Data_Entry!$H$3:$H$548,"&lt;&gt;HOLD",LLM_Data_Entry!$T$3:$T$548,"&lt;&gt;")</f>
        <v>1</v>
      </c>
      <c r="N103" s="114">
        <f>IFERROR(AVERAGEIFS(LLM_Data_Entry!$T$3:$T$548,LLM_Data_Entry!$A$3:$A$548,$I103,LLM_Data_Entry!$F$3:$F$548,"LLM",LLM_Data_Entry!$H$3:$H$548,"&lt;&gt;HOLD",LLM_Data_Entry!$T$3:$T$548,"&lt;&gt;"),"")</f>
        <v>-6.1199000000000003E-2</v>
      </c>
      <c r="O103" s="114">
        <f>IFERROR(SUMIFS(LLM_Data_Entry!$T$3:$T$548,LLM_Data_Entry!$A$3:$A$548,$I103,LLM_Data_Entry!$F$3:$F$548,"LLM",LLM_Data_Entry!$H$3:$H$548,"&lt;&gt;HOLD"),"")</f>
        <v>-6.1199000000000003E-2</v>
      </c>
    </row>
    <row r="104" spans="1:15" x14ac:dyDescent="0.2">
      <c r="A104" t="s">
        <v>1793</v>
      </c>
      <c r="B104" s="111">
        <f>COUNTIFS(Human_Data_Entry!$A$3:$A$524,$A104,Human_Data_Entry!$H$3:$H$524,"Human",Human_Data_Entry!$S$3:$S$524,"?*")</f>
        <v>7</v>
      </c>
      <c r="C104" s="111">
        <f>COUNTIFS(Human_Data_Entry!$A$3:$A$524,$A104,Human_Data_Entry!$H$3:$H$524,"Human",Human_Data_Entry!$S$3:$S$524,"YES")</f>
        <v>4</v>
      </c>
      <c r="D104" s="112">
        <f t="shared" si="12"/>
        <v>0.5714285714285714</v>
      </c>
      <c r="E104" s="111">
        <f>COUNTIFS(LLM_Data_Entry!$A$3:$A$548,$A104,LLM_Data_Entry!$F$3:$F$548,"LLM",LLM_Data_Entry!$R$3:$R$548,"&lt;&gt;")</f>
        <v>0</v>
      </c>
      <c r="F104" s="113">
        <f>COUNTIFS(LLM_Data_Entry!$A$3:$A$548,$A104,LLM_Data_Entry!$F$3:$F$548,"LLM",LLM_Data_Entry!$R$3:$R$548,"YES")</f>
        <v>0</v>
      </c>
      <c r="G104" s="112" t="str">
        <f t="shared" si="13"/>
        <v>-</v>
      </c>
      <c r="I104" t="str">
        <f t="shared" si="14"/>
        <v>American Express</v>
      </c>
      <c r="J104" s="108">
        <f>SUMPRODUCT((Human_Data_Entry!$A$3:$A$524=$I104)*(Human_Data_Entry!$H$3:$H$524="Human")*((Human_Data_Entry!$J$3:$J$524="BUY")+(Human_Data_Entry!$J$3:$J$524="SELL"))*ISNUMBER(Human_Data_Entry!$U$3:$U$524))</f>
        <v>3</v>
      </c>
      <c r="K104" s="114">
        <f>IFERROR(AVERAGEIFS(Human_Data_Entry!$U$3:$U$524,Human_Data_Entry!$A$3:$A$524,$I104,Human_Data_Entry!$H$3:$H$524,"Human",Human_Data_Entry!$J$3:$J$524,"&lt;&gt;HOLD",Human_Data_Entry!$U$3:$U$524,"&lt;&gt;"),"")</f>
        <v>-7.3333333333333323E-4</v>
      </c>
      <c r="L104" s="114">
        <f>IFERROR(SUMIFS(Human_Data_Entry!$U$3:$U$524,Human_Data_Entry!$A$3:$A$524,$I104,Human_Data_Entry!$H$3:$H$524,"Human",Human_Data_Entry!$J$3:$J$524,"&lt;&gt;HOLD"),"")</f>
        <v>-2.1999999999999997E-3</v>
      </c>
      <c r="M104" s="108">
        <f>COUNTIFS(LLM_Data_Entry!$A$3:$A$548,$I104,LLM_Data_Entry!$F$3:$F$548,"LLM",LLM_Data_Entry!$H$3:$H$548,"&lt;&gt;HOLD",LLM_Data_Entry!$T$3:$T$548,"&lt;&gt;")</f>
        <v>0</v>
      </c>
      <c r="N104" s="114" t="str">
        <f>IFERROR(AVERAGEIFS(LLM_Data_Entry!$T$3:$T$548,LLM_Data_Entry!$A$3:$A$548,$I104,LLM_Data_Entry!$F$3:$F$548,"LLM",LLM_Data_Entry!$H$3:$H$548,"&lt;&gt;HOLD",LLM_Data_Entry!$T$3:$T$548,"&lt;&gt;"),"")</f>
        <v/>
      </c>
      <c r="O104" s="114">
        <f>IFERROR(SUMIFS(LLM_Data_Entry!$T$3:$T$548,LLM_Data_Entry!$A$3:$A$548,$I104,LLM_Data_Entry!$F$3:$F$548,"LLM",LLM_Data_Entry!$H$3:$H$548,"&lt;&gt;HOLD"),"")</f>
        <v>0</v>
      </c>
    </row>
    <row r="105" spans="1:15" x14ac:dyDescent="0.2">
      <c r="A105" t="s">
        <v>1814</v>
      </c>
      <c r="B105" s="111">
        <f>COUNTIFS(Human_Data_Entry!$A$3:$A$524,$A105,Human_Data_Entry!$H$3:$H$524,"Human",Human_Data_Entry!$S$3:$S$524,"?*")</f>
        <v>7</v>
      </c>
      <c r="C105" s="111">
        <f>COUNTIFS(Human_Data_Entry!$A$3:$A$524,$A105,Human_Data_Entry!$H$3:$H$524,"Human",Human_Data_Entry!$S$3:$S$524,"YES")</f>
        <v>4</v>
      </c>
      <c r="D105" s="112">
        <f t="shared" si="12"/>
        <v>0.5714285714285714</v>
      </c>
      <c r="E105" s="111">
        <f>COUNTIFS(LLM_Data_Entry!$A$3:$A$548,$A105,LLM_Data_Entry!$F$3:$F$548,"LLM",LLM_Data_Entry!$R$3:$R$548,"&lt;&gt;")</f>
        <v>0</v>
      </c>
      <c r="F105" s="113">
        <f>COUNTIFS(LLM_Data_Entry!$A$3:$A$548,$A105,LLM_Data_Entry!$F$3:$F$548,"LLM",LLM_Data_Entry!$R$3:$R$548,"YES")</f>
        <v>0</v>
      </c>
      <c r="G105" s="112" t="str">
        <f t="shared" si="13"/>
        <v>-</v>
      </c>
      <c r="I105" t="str">
        <f t="shared" si="14"/>
        <v>Chevron</v>
      </c>
      <c r="J105" s="108">
        <f>SUMPRODUCT((Human_Data_Entry!$A$3:$A$524=$I105)*(Human_Data_Entry!$H$3:$H$524="Human")*((Human_Data_Entry!$J$3:$J$524="BUY")+(Human_Data_Entry!$J$3:$J$524="SELL"))*ISNUMBER(Human_Data_Entry!$U$3:$U$524))</f>
        <v>1</v>
      </c>
      <c r="K105" s="114">
        <f>IFERROR(AVERAGEIFS(Human_Data_Entry!$U$3:$U$524,Human_Data_Entry!$A$3:$A$524,$I105,Human_Data_Entry!$H$3:$H$524,"Human",Human_Data_Entry!$J$3:$J$524,"&lt;&gt;HOLD",Human_Data_Entry!$U$3:$U$524,"&lt;&gt;"),"")</f>
        <v>-2.5000000000000001E-2</v>
      </c>
      <c r="L105" s="114">
        <f>IFERROR(SUMIFS(Human_Data_Entry!$U$3:$U$524,Human_Data_Entry!$A$3:$A$524,$I105,Human_Data_Entry!$H$3:$H$524,"Human",Human_Data_Entry!$J$3:$J$524,"&lt;&gt;HOLD"),"")</f>
        <v>-2.5000000000000001E-2</v>
      </c>
      <c r="M105" s="108">
        <f>COUNTIFS(LLM_Data_Entry!$A$3:$A$548,$I105,LLM_Data_Entry!$F$3:$F$548,"LLM",LLM_Data_Entry!$H$3:$H$548,"&lt;&gt;HOLD",LLM_Data_Entry!$T$3:$T$548,"&lt;&gt;")</f>
        <v>0</v>
      </c>
      <c r="N105" s="114" t="str">
        <f>IFERROR(AVERAGEIFS(LLM_Data_Entry!$T$3:$T$548,LLM_Data_Entry!$A$3:$A$548,$I105,LLM_Data_Entry!$F$3:$F$548,"LLM",LLM_Data_Entry!$H$3:$H$548,"&lt;&gt;HOLD",LLM_Data_Entry!$T$3:$T$548,"&lt;&gt;"),"")</f>
        <v/>
      </c>
      <c r="O105" s="114">
        <f>IFERROR(SUMIFS(LLM_Data_Entry!$T$3:$T$548,LLM_Data_Entry!$A$3:$A$548,$I105,LLM_Data_Entry!$F$3:$F$548,"LLM",LLM_Data_Entry!$H$3:$H$548,"&lt;&gt;HOLD"),"")</f>
        <v>0</v>
      </c>
    </row>
    <row r="106" spans="1:15" x14ac:dyDescent="0.2">
      <c r="A106" t="s">
        <v>1835</v>
      </c>
      <c r="B106" s="111">
        <f>COUNTIFS(Human_Data_Entry!$A$3:$A$524,$A106,Human_Data_Entry!$H$3:$H$524,"Human",Human_Data_Entry!$S$3:$S$524,"?*")</f>
        <v>7</v>
      </c>
      <c r="C106" s="111">
        <f>COUNTIFS(Human_Data_Entry!$A$3:$A$524,$A106,Human_Data_Entry!$H$3:$H$524,"Human",Human_Data_Entry!$S$3:$S$524,"YES")</f>
        <v>3</v>
      </c>
      <c r="D106" s="112">
        <f t="shared" si="12"/>
        <v>0.42857142857142855</v>
      </c>
      <c r="E106" s="111">
        <f>COUNTIFS(LLM_Data_Entry!$A$3:$A$548,$A106,LLM_Data_Entry!$F$3:$F$548,"LLM",LLM_Data_Entry!$R$3:$R$548,"&lt;&gt;")</f>
        <v>0</v>
      </c>
      <c r="F106" s="113">
        <f>COUNTIFS(LLM_Data_Entry!$A$3:$A$548,$A106,LLM_Data_Entry!$F$3:$F$548,"LLM",LLM_Data_Entry!$R$3:$R$548,"YES")</f>
        <v>0</v>
      </c>
      <c r="G106" s="112" t="str">
        <f t="shared" si="13"/>
        <v>-</v>
      </c>
      <c r="I106" t="str">
        <f t="shared" si="14"/>
        <v>Intel</v>
      </c>
      <c r="J106" s="108">
        <f>SUMPRODUCT((Human_Data_Entry!$A$3:$A$524=$I106)*(Human_Data_Entry!$H$3:$H$524="Human")*((Human_Data_Entry!$J$3:$J$524="BUY")+(Human_Data_Entry!$J$3:$J$524="SELL"))*ISNUMBER(Human_Data_Entry!$U$3:$U$524))</f>
        <v>4</v>
      </c>
      <c r="K106" s="114">
        <f>IFERROR(AVERAGEIFS(Human_Data_Entry!$U$3:$U$524,Human_Data_Entry!$A$3:$A$524,$I106,Human_Data_Entry!$H$3:$H$524,"Human",Human_Data_Entry!$J$3:$J$524,"&lt;&gt;HOLD",Human_Data_Entry!$U$3:$U$524,"&lt;&gt;"),"")</f>
        <v>-8.0500000000000016E-3</v>
      </c>
      <c r="L106" s="114">
        <f>IFERROR(SUMIFS(Human_Data_Entry!$U$3:$U$524,Human_Data_Entry!$A$3:$A$524,$I106,Human_Data_Entry!$H$3:$H$524,"Human",Human_Data_Entry!$J$3:$J$524,"&lt;&gt;HOLD"),"")</f>
        <v>-3.2200000000000006E-2</v>
      </c>
      <c r="M106" s="108">
        <f>COUNTIFS(LLM_Data_Entry!$A$3:$A$548,$I106,LLM_Data_Entry!$F$3:$F$548,"LLM",LLM_Data_Entry!$H$3:$H$548,"&lt;&gt;HOLD",LLM_Data_Entry!$T$3:$T$548,"&lt;&gt;")</f>
        <v>0</v>
      </c>
      <c r="N106" s="114" t="str">
        <f>IFERROR(AVERAGEIFS(LLM_Data_Entry!$T$3:$T$548,LLM_Data_Entry!$A$3:$A$548,$I106,LLM_Data_Entry!$F$3:$F$548,"LLM",LLM_Data_Entry!$H$3:$H$548,"&lt;&gt;HOLD",LLM_Data_Entry!$T$3:$T$548,"&lt;&gt;"),"")</f>
        <v/>
      </c>
      <c r="O106" s="114">
        <f>IFERROR(SUMIFS(LLM_Data_Entry!$T$3:$T$548,LLM_Data_Entry!$A$3:$A$548,$I106,LLM_Data_Entry!$F$3:$F$548,"LLM",LLM_Data_Entry!$H$3:$H$548,"&lt;&gt;HOLD"),"")</f>
        <v>0</v>
      </c>
    </row>
    <row r="107" spans="1:15" x14ac:dyDescent="0.2">
      <c r="A107" t="s">
        <v>1857</v>
      </c>
      <c r="B107" s="111">
        <f>COUNTIFS(Human_Data_Entry!$A$3:$A$524,$A107,Human_Data_Entry!$H$3:$H$524,"Human",Human_Data_Entry!$S$3:$S$524,"?*")</f>
        <v>7</v>
      </c>
      <c r="C107" s="111">
        <f>COUNTIFS(Human_Data_Entry!$A$3:$A$524,$A107,Human_Data_Entry!$H$3:$H$524,"Human",Human_Data_Entry!$S$3:$S$524,"YES")</f>
        <v>4</v>
      </c>
      <c r="D107" s="112">
        <f t="shared" si="12"/>
        <v>0.5714285714285714</v>
      </c>
      <c r="E107" s="111">
        <f>COUNTIFS(LLM_Data_Entry!$A$3:$A$548,$A107,LLM_Data_Entry!$F$3:$F$548,"LLM",LLM_Data_Entry!$R$3:$R$548,"&lt;&gt;")</f>
        <v>0</v>
      </c>
      <c r="F107" s="113">
        <f>COUNTIFS(LLM_Data_Entry!$A$3:$A$548,$A107,LLM_Data_Entry!$F$3:$F$548,"LLM",LLM_Data_Entry!$R$3:$R$548,"YES")</f>
        <v>0</v>
      </c>
      <c r="G107" s="112" t="str">
        <f t="shared" si="13"/>
        <v>-</v>
      </c>
      <c r="I107" t="str">
        <f t="shared" si="14"/>
        <v>Mastercard</v>
      </c>
      <c r="J107" s="108">
        <f>SUMPRODUCT((Human_Data_Entry!$A$3:$A$524=$I107)*(Human_Data_Entry!$H$3:$H$524="Human")*((Human_Data_Entry!$J$3:$J$524="BUY")+(Human_Data_Entry!$J$3:$J$524="SELL"))*ISNUMBER(Human_Data_Entry!$U$3:$U$524))</f>
        <v>3</v>
      </c>
      <c r="K107" s="114">
        <f>IFERROR(AVERAGEIFS(Human_Data_Entry!$U$3:$U$524,Human_Data_Entry!$A$3:$A$524,$I107,Human_Data_Entry!$H$3:$H$524,"Human",Human_Data_Entry!$J$3:$J$524,"&lt;&gt;HOLD",Human_Data_Entry!$U$3:$U$524,"&lt;&gt;"),"")</f>
        <v>-4.0666666666666663E-3</v>
      </c>
      <c r="L107" s="114">
        <f>IFERROR(SUMIFS(Human_Data_Entry!$U$3:$U$524,Human_Data_Entry!$A$3:$A$524,$I107,Human_Data_Entry!$H$3:$H$524,"Human",Human_Data_Entry!$J$3:$J$524,"&lt;&gt;HOLD"),"")</f>
        <v>-1.2199999999999999E-2</v>
      </c>
      <c r="M107" s="108">
        <f>COUNTIFS(LLM_Data_Entry!$A$3:$A$548,$I107,LLM_Data_Entry!$F$3:$F$548,"LLM",LLM_Data_Entry!$H$3:$H$548,"&lt;&gt;HOLD",LLM_Data_Entry!$T$3:$T$548,"&lt;&gt;")</f>
        <v>0</v>
      </c>
      <c r="N107" s="114" t="str">
        <f>IFERROR(AVERAGEIFS(LLM_Data_Entry!$T$3:$T$548,LLM_Data_Entry!$A$3:$A$548,$I107,LLM_Data_Entry!$F$3:$F$548,"LLM",LLM_Data_Entry!$H$3:$H$548,"&lt;&gt;HOLD",LLM_Data_Entry!$T$3:$T$548,"&lt;&gt;"),"")</f>
        <v/>
      </c>
      <c r="O107" s="114">
        <f>IFERROR(SUMIFS(LLM_Data_Entry!$T$3:$T$548,LLM_Data_Entry!$A$3:$A$548,$I107,LLM_Data_Entry!$F$3:$F$548,"LLM",LLM_Data_Entry!$H$3:$H$548,"&lt;&gt;HOLD"),"")</f>
        <v>0</v>
      </c>
    </row>
    <row r="108" spans="1:15" x14ac:dyDescent="0.2">
      <c r="A108" t="s">
        <v>1878</v>
      </c>
      <c r="B108" s="111">
        <f>COUNTIFS(Human_Data_Entry!$A$3:$A$524,$A108,Human_Data_Entry!$H$3:$H$524,"Human",Human_Data_Entry!$S$3:$S$524,"?*")</f>
        <v>7</v>
      </c>
      <c r="C108" s="111">
        <f>COUNTIFS(Human_Data_Entry!$A$3:$A$524,$A108,Human_Data_Entry!$H$3:$H$524,"Human",Human_Data_Entry!$S$3:$S$524,"YES")</f>
        <v>4</v>
      </c>
      <c r="D108" s="112">
        <f t="shared" si="12"/>
        <v>0.5714285714285714</v>
      </c>
      <c r="E108" s="111">
        <f>COUNTIFS(LLM_Data_Entry!$A$3:$A$548,$A108,LLM_Data_Entry!$F$3:$F$548,"LLM",LLM_Data_Entry!$R$3:$R$548,"&lt;&gt;")</f>
        <v>0</v>
      </c>
      <c r="F108" s="113">
        <f>COUNTIFS(LLM_Data_Entry!$A$3:$A$548,$A108,LLM_Data_Entry!$F$3:$F$548,"LLM",LLM_Data_Entry!$R$3:$R$548,"YES")</f>
        <v>0</v>
      </c>
      <c r="G108" s="112" t="str">
        <f t="shared" si="13"/>
        <v>-</v>
      </c>
      <c r="I108" t="str">
        <f t="shared" si="14"/>
        <v>Shell</v>
      </c>
      <c r="J108" s="108">
        <f>SUMPRODUCT((Human_Data_Entry!$A$3:$A$524=$I108)*(Human_Data_Entry!$H$3:$H$524="Human")*((Human_Data_Entry!$J$3:$J$524="BUY")+(Human_Data_Entry!$J$3:$J$524="SELL"))*ISNUMBER(Human_Data_Entry!$U$3:$U$524))</f>
        <v>2</v>
      </c>
      <c r="K108" s="114">
        <f>IFERROR(AVERAGEIFS(Human_Data_Entry!$U$3:$U$524,Human_Data_Entry!$A$3:$A$524,$I108,Human_Data_Entry!$H$3:$H$524,"Human",Human_Data_Entry!$J$3:$J$524,"&lt;&gt;HOLD",Human_Data_Entry!$U$3:$U$524,"&lt;&gt;"),"")</f>
        <v>3.4499999999999999E-3</v>
      </c>
      <c r="L108" s="114">
        <f>IFERROR(SUMIFS(Human_Data_Entry!$U$3:$U$524,Human_Data_Entry!$A$3:$A$524,$I108,Human_Data_Entry!$H$3:$H$524,"Human",Human_Data_Entry!$J$3:$J$524,"&lt;&gt;HOLD"),"")</f>
        <v>6.8999999999999999E-3</v>
      </c>
      <c r="M108" s="108">
        <f>COUNTIFS(LLM_Data_Entry!$A$3:$A$548,$I108,LLM_Data_Entry!$F$3:$F$548,"LLM",LLM_Data_Entry!$H$3:$H$548,"&lt;&gt;HOLD",LLM_Data_Entry!$T$3:$T$548,"&lt;&gt;")</f>
        <v>0</v>
      </c>
      <c r="N108" s="114" t="str">
        <f>IFERROR(AVERAGEIFS(LLM_Data_Entry!$T$3:$T$548,LLM_Data_Entry!$A$3:$A$548,$I108,LLM_Data_Entry!$F$3:$F$548,"LLM",LLM_Data_Entry!$H$3:$H$548,"&lt;&gt;HOLD",LLM_Data_Entry!$T$3:$T$548,"&lt;&gt;"),"")</f>
        <v/>
      </c>
      <c r="O108" s="114">
        <f>IFERROR(SUMIFS(LLM_Data_Entry!$T$3:$T$548,LLM_Data_Entry!$A$3:$A$548,$I108,LLM_Data_Entry!$F$3:$F$548,"LLM",LLM_Data_Entry!$H$3:$H$548,"&lt;&gt;HOLD"),"")</f>
        <v>0</v>
      </c>
    </row>
    <row r="115" spans="1:4" x14ac:dyDescent="0.2">
      <c r="A115" s="10" t="s">
        <v>2089</v>
      </c>
    </row>
    <row r="116" spans="1:4" ht="30" customHeight="1" x14ac:dyDescent="0.2">
      <c r="B116" s="17" t="s">
        <v>2090</v>
      </c>
      <c r="C116" s="17" t="s">
        <v>2091</v>
      </c>
      <c r="D116" s="17" t="s">
        <v>2092</v>
      </c>
    </row>
    <row r="117" spans="1:4" x14ac:dyDescent="0.2">
      <c r="A117" s="11" t="s">
        <v>2093</v>
      </c>
      <c r="B117" s="57">
        <f>COUNTIF(Human_Data_Entry!$S$3:$S$524,"?*")</f>
        <v>420</v>
      </c>
      <c r="C117" s="57">
        <f>COUNTIF(Human_Data_Entry!$R$3:$R$524,"DOWN")</f>
        <v>117</v>
      </c>
      <c r="D117" s="58">
        <f>IF(B117=0,"-",C117/B117)</f>
        <v>0.27857142857142858</v>
      </c>
    </row>
    <row r="118" spans="1:4" ht="169" customHeight="1" x14ac:dyDescent="0.2">
      <c r="A118" s="134" t="s">
        <v>2094</v>
      </c>
    </row>
    <row r="121" spans="1:4" x14ac:dyDescent="0.2">
      <c r="A121" t="s">
        <v>2095</v>
      </c>
    </row>
    <row r="122" spans="1:4" x14ac:dyDescent="0.2">
      <c r="A122" t="s">
        <v>2096</v>
      </c>
    </row>
    <row r="124" spans="1:4" x14ac:dyDescent="0.2">
      <c r="B124" t="s">
        <v>2097</v>
      </c>
      <c r="C124" t="s">
        <v>2098</v>
      </c>
    </row>
    <row r="125" spans="1:4" x14ac:dyDescent="0.2">
      <c r="A125" t="s">
        <v>2099</v>
      </c>
      <c r="B125">
        <f>SUMPRODUCT(--(Human_Data_Entry!$AJ$3:$AJ$524&lt;&gt;""))</f>
        <v>400</v>
      </c>
      <c r="C125">
        <f>SUMPRODUCT(--(LLM_Data_Entry!$AE$3:$AE$430&lt;&gt;""))</f>
        <v>268</v>
      </c>
    </row>
    <row r="126" spans="1:4" x14ac:dyDescent="0.2">
      <c r="A126" t="s">
        <v>2064</v>
      </c>
      <c r="B126">
        <f>SUMPRODUCT(--(Human_Data_Entry!$AJ$3:$AJ$524="YES"))</f>
        <v>155</v>
      </c>
      <c r="C126">
        <f>SUMPRODUCT(--(LLM_Data_Entry!$AE$3:$AE$430="YES"))</f>
        <v>111</v>
      </c>
    </row>
    <row r="127" spans="1:4" x14ac:dyDescent="0.2">
      <c r="A127" t="s">
        <v>2057</v>
      </c>
      <c r="B127">
        <f>IFERROR(B126/B125,"")</f>
        <v>0.38750000000000001</v>
      </c>
      <c r="C127">
        <f>IFERROR(C126/C125,"")</f>
        <v>0.41417910447761191</v>
      </c>
    </row>
    <row r="128" spans="1:4" x14ac:dyDescent="0.2">
      <c r="A128" t="s">
        <v>2100</v>
      </c>
      <c r="B128">
        <f>IFERROR(MAX(SUMPRODUCT(--(Human_Data_Entry!$AI$3:$AI$524="UP")),SUMPRODUCT(--(Human_Data_Entry!$AI$3:$AI$524="DOWN")),SUMPRODUCT(--(Human_Data_Entry!$AI$3:$AI$524="FLAT")))/B125,"")</f>
        <v>0.39500000000000002</v>
      </c>
      <c r="C128">
        <f>IFERROR(MAX(SUMPRODUCT(--(LLM_Data_Entry!$AD$3:$AD$430="UP")),SUMPRODUCT(--(LLM_Data_Entry!$AD$3:$AD$430="DOWN")),SUMPRODUCT(--(LLM_Data_Entry!$AD$3:$AD$430="FLAT")))/C125,"")</f>
        <v>0.35820895522388058</v>
      </c>
    </row>
    <row r="129" spans="1:3" x14ac:dyDescent="0.2">
      <c r="A129" t="s">
        <v>2059</v>
      </c>
      <c r="B129">
        <f>SUMPRODUCT(--(Human_Data_Entry!$AJ$3:$AJ$524&lt;&gt;""),--((Human_Data_Entry!$J$3:$J$524="BUY")+(Human_Data_Entry!$J$3:$J$524="SELL")&gt;0))</f>
        <v>288</v>
      </c>
      <c r="C129">
        <f>SUMPRODUCT(--(LLM_Data_Entry!$AE$3:$AE$430&lt;&gt;""),--((LLM_Data_Entry!$H$3:$H$430="BUY")+(LLM_Data_Entry!$H$3:$H$430="SELL")&gt;0))</f>
        <v>171</v>
      </c>
    </row>
    <row r="130" spans="1:3" x14ac:dyDescent="0.2">
      <c r="A130" t="s">
        <v>2101</v>
      </c>
      <c r="B130">
        <f>SUM(Human_Data_Entry!$AK$3:$AK$524)</f>
        <v>0.50416999999999967</v>
      </c>
      <c r="C130">
        <f>SUM(LLM_Data_Entry!$AF$3:$AF$430)</f>
        <v>3.540875999999999</v>
      </c>
    </row>
    <row r="131" spans="1:3" x14ac:dyDescent="0.2">
      <c r="A131" t="s">
        <v>2061</v>
      </c>
      <c r="B131">
        <f>IFERROR(B130/B129,"")</f>
        <v>1.7505902777777767E-3</v>
      </c>
      <c r="C131">
        <f>IFERROR(C130/C129,"")</f>
        <v>2.0706877192982451E-2</v>
      </c>
    </row>
    <row r="132" spans="1:3" x14ac:dyDescent="0.2">
      <c r="A132" t="s">
        <v>2102</v>
      </c>
      <c r="B132">
        <f>SUMPRODUCT(--(Human_Data_Entry!$AI$3:$AI$524="UP"))</f>
        <v>112</v>
      </c>
      <c r="C132">
        <f>SUMPRODUCT(--(LLM_Data_Entry!$AD$3:$AD$430="UP"))</f>
        <v>88</v>
      </c>
    </row>
    <row r="133" spans="1:3" x14ac:dyDescent="0.2">
      <c r="A133" t="s">
        <v>2103</v>
      </c>
      <c r="B133">
        <f>SUMPRODUCT(--(Human_Data_Entry!$AI$3:$AI$524="DOWN"))</f>
        <v>130</v>
      </c>
      <c r="C133">
        <f>SUMPRODUCT(--(LLM_Data_Entry!$AD$3:$AD$430="DOWN"))</f>
        <v>96</v>
      </c>
    </row>
    <row r="134" spans="1:3" x14ac:dyDescent="0.2">
      <c r="A134" t="s">
        <v>2104</v>
      </c>
      <c r="B134">
        <f>SUMPRODUCT(--(Human_Data_Entry!$AI$3:$AI$524="FLAT"))</f>
        <v>158</v>
      </c>
      <c r="C134">
        <f>SUMPRODUCT(--(LLM_Data_Entry!$AD$3:$AD$430="FLAT"))</f>
        <v>84</v>
      </c>
    </row>
    <row r="135" spans="1:3" x14ac:dyDescent="0.2">
      <c r="A135" t="s">
        <v>2105</v>
      </c>
      <c r="B135">
        <v>0</v>
      </c>
      <c r="C135">
        <v>0</v>
      </c>
    </row>
    <row r="137" spans="1:3" x14ac:dyDescent="0.2">
      <c r="A137" t="s">
        <v>2106</v>
      </c>
    </row>
    <row r="138" spans="1:3" x14ac:dyDescent="0.2">
      <c r="A138" t="s">
        <v>2107</v>
      </c>
      <c r="B138">
        <v>279</v>
      </c>
    </row>
    <row r="139" spans="1:3" x14ac:dyDescent="0.2">
      <c r="A139" t="s">
        <v>2108</v>
      </c>
      <c r="B139">
        <v>47</v>
      </c>
    </row>
    <row r="140" spans="1:3" x14ac:dyDescent="0.2">
      <c r="A140" t="s">
        <v>2109</v>
      </c>
      <c r="B140">
        <v>56</v>
      </c>
    </row>
    <row r="141" spans="1:3" x14ac:dyDescent="0.2">
      <c r="A141" t="s">
        <v>2110</v>
      </c>
      <c r="B141">
        <v>69</v>
      </c>
    </row>
    <row r="142" spans="1:3" x14ac:dyDescent="0.2">
      <c r="A142" t="s">
        <v>2111</v>
      </c>
      <c r="B142">
        <v>107</v>
      </c>
    </row>
    <row r="143" spans="1:3" x14ac:dyDescent="0.2">
      <c r="A143" t="s">
        <v>2112</v>
      </c>
      <c r="B143">
        <v>108</v>
      </c>
    </row>
    <row r="144" spans="1:3" x14ac:dyDescent="0.2">
      <c r="A144" t="s">
        <v>2113</v>
      </c>
      <c r="B144">
        <v>-13</v>
      </c>
    </row>
    <row r="145" spans="1:18" x14ac:dyDescent="0.2">
      <c r="A145" t="s">
        <v>2114</v>
      </c>
      <c r="B145">
        <v>0</v>
      </c>
    </row>
    <row r="147" spans="1:18" x14ac:dyDescent="0.2">
      <c r="A147" t="s">
        <v>2115</v>
      </c>
    </row>
    <row r="150" spans="1:18" x14ac:dyDescent="0.2">
      <c r="A150" t="s">
        <v>2116</v>
      </c>
    </row>
    <row r="151" spans="1:18" x14ac:dyDescent="0.2">
      <c r="A151" t="s">
        <v>2117</v>
      </c>
    </row>
    <row r="153" spans="1:18" x14ac:dyDescent="0.2">
      <c r="A153" t="s">
        <v>2118</v>
      </c>
    </row>
    <row r="154" spans="1:18" x14ac:dyDescent="0.2">
      <c r="A154" t="s">
        <v>2119</v>
      </c>
    </row>
    <row r="156" spans="1:18" x14ac:dyDescent="0.2">
      <c r="A156" t="s">
        <v>501</v>
      </c>
      <c r="B156" t="s">
        <v>2120</v>
      </c>
      <c r="C156" t="s">
        <v>2121</v>
      </c>
      <c r="D156" t="s">
        <v>2122</v>
      </c>
      <c r="E156" t="s">
        <v>2123</v>
      </c>
      <c r="F156" t="s">
        <v>2124</v>
      </c>
      <c r="G156" t="s">
        <v>2125</v>
      </c>
      <c r="H156" t="s">
        <v>2126</v>
      </c>
      <c r="I156" t="s">
        <v>2127</v>
      </c>
      <c r="J156" t="s">
        <v>2128</v>
      </c>
      <c r="K156" t="s">
        <v>2129</v>
      </c>
      <c r="L156" t="s">
        <v>2130</v>
      </c>
      <c r="M156" t="s">
        <v>2131</v>
      </c>
      <c r="N156" t="s">
        <v>2132</v>
      </c>
      <c r="O156" t="s">
        <v>2133</v>
      </c>
      <c r="P156" t="s">
        <v>2134</v>
      </c>
      <c r="Q156" t="s">
        <v>2135</v>
      </c>
      <c r="R156" t="s">
        <v>2136</v>
      </c>
    </row>
    <row r="157" spans="1:18" x14ac:dyDescent="0.2">
      <c r="A157" t="s">
        <v>2137</v>
      </c>
      <c r="B157">
        <f>COUNTIFS(Human_Data_Entry!$S$3:$S$524,"?*",Human_Data_Entry!$H$3:$H$524,"Human",Human_Data_Entry!$AL$3:$AL$524,"P2")</f>
        <v>260</v>
      </c>
      <c r="C157">
        <f>COUNTIFS(Human_Data_Entry!$S$3:$S$524,"YES",Human_Data_Entry!$H$3:$H$524,"Human",Human_Data_Entry!$AL$3:$AL$524,"P2")</f>
        <v>96</v>
      </c>
      <c r="D157">
        <f>IFERROR(C157/B157,"")</f>
        <v>0.36923076923076925</v>
      </c>
      <c r="E157">
        <f>COUNTIFS(Human_Data_Entry!$J$3:$J$524,"BUY",Human_Data_Entry!$S$3:$S$524,"?*",Human_Data_Entry!$H$3:$H$524,"Human",Human_Data_Entry!$AL$3:$AL$524,"P2")+COUNTIFS(Human_Data_Entry!$J$3:$J$524,"SELL",Human_Data_Entry!$S$3:$S$524,"?*",Human_Data_Entry!$H$3:$H$524,"Human",Human_Data_Entry!$AL$3:$AL$524,"P2")</f>
        <v>184</v>
      </c>
      <c r="F157">
        <f>SUMIFS(Human_Data_Entry!$AT$3:$AT$524,Human_Data_Entry!$AL$3:$AL$524,"P2")</f>
        <v>-1.0992999999999995</v>
      </c>
      <c r="G157">
        <f>IFERROR(F157/$F$161,"")</f>
        <v>23.590128755365473</v>
      </c>
      <c r="H157">
        <f>COUNTIFS(LLM_Data_Entry!$R$3:$R$430,"?*",LLM_Data_Entry!$AG$3:$AG$430,"P2")</f>
        <v>181</v>
      </c>
      <c r="I157">
        <f>COUNTIFS(LLM_Data_Entry!$R$3:$R$430,"YES",LLM_Data_Entry!$AG$3:$AG$430,"P2")</f>
        <v>77</v>
      </c>
      <c r="J157">
        <f>IFERROR(I157/H157,"")</f>
        <v>0.425414364640884</v>
      </c>
      <c r="K157">
        <f>COUNTIFS(LLM_Data_Entry!$H$3:$H$430,"BUY",LLM_Data_Entry!$R$3:$R$430,"?*",LLM_Data_Entry!$AG$3:$AG$430,"P2")+COUNTIFS(LLM_Data_Entry!$H$3:$H$430,"SELL",LLM_Data_Entry!$R$3:$R$430,"?*",LLM_Data_Entry!$AG$3:$AG$430,"P2")</f>
        <v>116</v>
      </c>
      <c r="L157">
        <f>SUMIFS(LLM_Data_Entry!$AM$3:$AM$430,LLM_Data_Entry!$AG$3:$AG$430,"P2")</f>
        <v>1.8635270000000002</v>
      </c>
      <c r="M157">
        <f>COUNTIFS(Human_Data_Entry!$AJ$3:$AJ$524,"?*",Human_Data_Entry!$H$3:$H$524,"Human",Human_Data_Entry!$AL$3:$AL$524,"P2")</f>
        <v>260</v>
      </c>
      <c r="N157">
        <f>IFERROR(COUNTIFS(Human_Data_Entry!$AJ$3:$AJ$524,"YES",Human_Data_Entry!$H$3:$H$524,"Human",Human_Data_Entry!$AL$3:$AL$524,"P2")/M157,"")</f>
        <v>0.40384615384615385</v>
      </c>
      <c r="O157">
        <f>SUMIFS(Human_Data_Entry!$AU$3:$AU$524,Human_Data_Entry!$AL$3:$AL$524,"P2")</f>
        <v>-0.43265699999999963</v>
      </c>
      <c r="P157">
        <f>COUNTIFS(LLM_Data_Entry!$AE$3:$AE$430,"?*",LLM_Data_Entry!$AG$3:$AG$430,"P2")</f>
        <v>181</v>
      </c>
      <c r="Q157">
        <f>IFERROR(COUNTIFS(LLM_Data_Entry!$AE$3:$AE$430,"YES",LLM_Data_Entry!$AG$3:$AG$430,"P2")/P157,"")</f>
        <v>0.4143646408839779</v>
      </c>
      <c r="R157">
        <f>SUMIFS(LLM_Data_Entry!$AN$3:$AN$430,LLM_Data_Entry!$AG$3:$AG$430,"P2")</f>
        <v>2.0800009999999998</v>
      </c>
    </row>
    <row r="158" spans="1:18" x14ac:dyDescent="0.2">
      <c r="A158" t="s">
        <v>2138</v>
      </c>
      <c r="B158">
        <f>COUNTIFS(Human_Data_Entry!$S$3:$S$524,"?*",Human_Data_Entry!$H$3:$H$524,"Human",Human_Data_Entry!$AL$3:$AL$524,"P3")</f>
        <v>119</v>
      </c>
      <c r="C158">
        <f>COUNTIFS(Human_Data_Entry!$S$3:$S$524,"YES",Human_Data_Entry!$H$3:$H$524,"Human",Human_Data_Entry!$AL$3:$AL$524,"P3")</f>
        <v>42</v>
      </c>
      <c r="D158">
        <f>IFERROR(C158/B158,"")</f>
        <v>0.35294117647058826</v>
      </c>
      <c r="E158">
        <f>COUNTIFS(Human_Data_Entry!$J$3:$J$524,"BUY",Human_Data_Entry!$S$3:$S$524,"?*",Human_Data_Entry!$H$3:$H$524,"Human",Human_Data_Entry!$AL$3:$AL$524,"P3")+COUNTIFS(Human_Data_Entry!$J$3:$J$524,"SELL",Human_Data_Entry!$S$3:$S$524,"?*",Human_Data_Entry!$H$3:$H$524,"Human",Human_Data_Entry!$AL$3:$AL$524,"P3")</f>
        <v>92</v>
      </c>
      <c r="F158">
        <f>SUMIFS(Human_Data_Entry!$AT$3:$AT$524,Human_Data_Entry!$AL$3:$AL$524,"P3")</f>
        <v>1.2562999999999998</v>
      </c>
      <c r="G158">
        <f>IFERROR(F158/$F$161,"")</f>
        <v>-26.959227467811928</v>
      </c>
      <c r="H158">
        <f>COUNTIFS(LLM_Data_Entry!$R$3:$R$430,"?*",LLM_Data_Entry!$AG$3:$AG$430,"P3")</f>
        <v>74</v>
      </c>
      <c r="I158">
        <f>COUNTIFS(LLM_Data_Entry!$R$3:$R$430,"YES",LLM_Data_Entry!$AG$3:$AG$430,"P3")</f>
        <v>29</v>
      </c>
      <c r="J158">
        <f>IFERROR(I158/H158,"")</f>
        <v>0.39189189189189189</v>
      </c>
      <c r="K158">
        <f>COUNTIFS(LLM_Data_Entry!$H$3:$H$430,"BUY",LLM_Data_Entry!$R$3:$R$430,"?*",LLM_Data_Entry!$AG$3:$AG$430,"P3")+COUNTIFS(LLM_Data_Entry!$H$3:$H$430,"SELL",LLM_Data_Entry!$R$3:$R$430,"?*",LLM_Data_Entry!$AG$3:$AG$430,"P3")</f>
        <v>47</v>
      </c>
      <c r="L158">
        <f>SUMIFS(LLM_Data_Entry!$AM$3:$AM$430,LLM_Data_Entry!$AG$3:$AG$430,"P3")</f>
        <v>1.0672219999999999</v>
      </c>
      <c r="M158">
        <f>COUNTIFS(Human_Data_Entry!$AJ$3:$AJ$524,"?*",Human_Data_Entry!$H$3:$H$524,"Human",Human_Data_Entry!$AL$3:$AL$524,"P3")</f>
        <v>99</v>
      </c>
      <c r="N158">
        <f>IFERROR(COUNTIFS(Human_Data_Entry!$AJ$3:$AJ$524,"YES",Human_Data_Entry!$H$3:$H$524,"Human",Human_Data_Entry!$AL$3:$AL$524,"P3")/M158,"")</f>
        <v>0.34343434343434343</v>
      </c>
      <c r="O158">
        <f>SUMIFS(Human_Data_Entry!$AU$3:$AU$524,Human_Data_Entry!$AL$3:$AL$524,"P3")</f>
        <v>1.2258350000000005</v>
      </c>
      <c r="P158">
        <f>COUNTIFS(LLM_Data_Entry!$AE$3:$AE$430,"?*",LLM_Data_Entry!$AG$3:$AG$430,"P3")</f>
        <v>74</v>
      </c>
      <c r="Q158">
        <f>IFERROR(COUNTIFS(LLM_Data_Entry!$AE$3:$AE$430,"YES",LLM_Data_Entry!$AG$3:$AG$430,"P3")/P158,"")</f>
        <v>0.3783783783783784</v>
      </c>
      <c r="R158">
        <f>SUMIFS(LLM_Data_Entry!$AN$3:$AN$430,LLM_Data_Entry!$AG$3:$AG$430,"P3")</f>
        <v>1.0169309999999996</v>
      </c>
    </row>
    <row r="159" spans="1:18" x14ac:dyDescent="0.2">
      <c r="A159" t="s">
        <v>2139</v>
      </c>
      <c r="B159">
        <f>COUNTIFS(Human_Data_Entry!$S$3:$S$524,"?*",Human_Data_Entry!$H$3:$H$524,"Human",Human_Data_Entry!$AL$3:$AL$524,"both")</f>
        <v>35</v>
      </c>
      <c r="C159">
        <f>COUNTIFS(Human_Data_Entry!$S$3:$S$524,"YES",Human_Data_Entry!$H$3:$H$524,"Human",Human_Data_Entry!$AL$3:$AL$524,"both")</f>
        <v>15</v>
      </c>
      <c r="D159">
        <f>IFERROR(C159/B159,"")</f>
        <v>0.42857142857142855</v>
      </c>
      <c r="E159">
        <f>COUNTIFS(Human_Data_Entry!$J$3:$J$524,"BUY",Human_Data_Entry!$S$3:$S$524,"?*",Human_Data_Entry!$H$3:$H$524,"Human",Human_Data_Entry!$AL$3:$AL$524,"both")+COUNTIFS(Human_Data_Entry!$J$3:$J$524,"SELL",Human_Data_Entry!$S$3:$S$524,"?*",Human_Data_Entry!$H$3:$H$524,"Human",Human_Data_Entry!$AL$3:$AL$524,"both")</f>
        <v>26</v>
      </c>
      <c r="F159">
        <f>SUMIFS(Human_Data_Entry!$AT$3:$AT$524,Human_Data_Entry!$AL$3:$AL$524,"both")</f>
        <v>-0.19569999999999999</v>
      </c>
      <c r="G159">
        <f>IFERROR(F159/$F$161,"")</f>
        <v>4.1995708154507643</v>
      </c>
      <c r="H159">
        <f>COUNTIFS(LLM_Data_Entry!$R$3:$R$430,"?*",LLM_Data_Entry!$AG$3:$AG$430,"both")</f>
        <v>13</v>
      </c>
      <c r="I159">
        <f>COUNTIFS(LLM_Data_Entry!$R$3:$R$430,"YES",LLM_Data_Entry!$AG$3:$AG$430,"both")</f>
        <v>8</v>
      </c>
      <c r="J159">
        <f>IFERROR(I159/H159,"")</f>
        <v>0.61538461538461542</v>
      </c>
      <c r="K159">
        <f>COUNTIFS(LLM_Data_Entry!$H$3:$H$430,"BUY",LLM_Data_Entry!$R$3:$R$430,"?*",LLM_Data_Entry!$AG$3:$AG$430,"both")+COUNTIFS(LLM_Data_Entry!$H$3:$H$430,"SELL",LLM_Data_Entry!$R$3:$R$430,"?*",LLM_Data_Entry!$AG$3:$AG$430,"both")</f>
        <v>8</v>
      </c>
      <c r="L159">
        <f>SUMIFS(LLM_Data_Entry!$AM$3:$AM$430,LLM_Data_Entry!$AG$3:$AG$430,"both")</f>
        <v>0.44394400000000001</v>
      </c>
      <c r="M159">
        <f>COUNTIFS(Human_Data_Entry!$AJ$3:$AJ$524,"?*",Human_Data_Entry!$H$3:$H$524,"Human",Human_Data_Entry!$AL$3:$AL$524,"both")</f>
        <v>35</v>
      </c>
      <c r="N159">
        <f>IFERROR(COUNTIFS(Human_Data_Entry!$AJ$3:$AJ$524,"YES",Human_Data_Entry!$H$3:$H$524,"Human",Human_Data_Entry!$AL$3:$AL$524,"both")/M159,"")</f>
        <v>0.42857142857142855</v>
      </c>
      <c r="O159">
        <f>SUMIFS(Human_Data_Entry!$AU$3:$AU$524,Human_Data_Entry!$AL$3:$AL$524,"both")</f>
        <v>-0.22803300000000007</v>
      </c>
      <c r="P159">
        <f>COUNTIFS(LLM_Data_Entry!$AE$3:$AE$430,"?*",LLM_Data_Entry!$AG$3:$AG$430,"both")</f>
        <v>13</v>
      </c>
      <c r="Q159">
        <f>IFERROR(COUNTIFS(LLM_Data_Entry!$AE$3:$AE$430,"YES",LLM_Data_Entry!$AG$3:$AG$430,"both")/P159,"")</f>
        <v>0.61538461538461542</v>
      </c>
      <c r="R159">
        <f>SUMIFS(LLM_Data_Entry!$AN$3:$AN$430,LLM_Data_Entry!$AG$3:$AG$430,"both")</f>
        <v>0.44394400000000001</v>
      </c>
    </row>
    <row r="160" spans="1:18" x14ac:dyDescent="0.2">
      <c r="A160" t="s">
        <v>2140</v>
      </c>
      <c r="B160">
        <f>COUNTIFS(Human_Data_Entry!$S$3:$S$524,"?*",Human_Data_Entry!$H$3:$H$524,"Human",Human_Data_Entry!$AL$3:$AL$524,"unassigned")</f>
        <v>6</v>
      </c>
      <c r="C160">
        <f>COUNTIFS(Human_Data_Entry!$S$3:$S$524,"YES",Human_Data_Entry!$H$3:$H$524,"Human",Human_Data_Entry!$AL$3:$AL$524,"unassigned")</f>
        <v>3</v>
      </c>
      <c r="D160">
        <f>IFERROR(C160/B160,"")</f>
        <v>0.5</v>
      </c>
      <c r="E160">
        <f>COUNTIFS(Human_Data_Entry!$J$3:$J$524,"BUY",Human_Data_Entry!$S$3:$S$524,"?*",Human_Data_Entry!$H$3:$H$524,"Human",Human_Data_Entry!$AL$3:$AL$524,"unassigned")+COUNTIFS(Human_Data_Entry!$J$3:$J$524,"SELL",Human_Data_Entry!$S$3:$S$524,"?*",Human_Data_Entry!$H$3:$H$524,"Human",Human_Data_Entry!$AL$3:$AL$524,"unassigned")</f>
        <v>4</v>
      </c>
      <c r="F160">
        <f>SUMIFS(Human_Data_Entry!$AT$3:$AT$524,Human_Data_Entry!$AL$3:$AL$524,"unassigned")</f>
        <v>-7.9000000000000008E-3</v>
      </c>
      <c r="G160">
        <f>IFERROR(F160/$F$161,"")</f>
        <v>0.16952789699571302</v>
      </c>
      <c r="H160">
        <f>COUNTIFS(LLM_Data_Entry!$R$3:$R$430,"?*",LLM_Data_Entry!$AG$3:$AG$430,"unassigned")</f>
        <v>2</v>
      </c>
      <c r="I160">
        <f>COUNTIFS(LLM_Data_Entry!$R$3:$R$430,"YES",LLM_Data_Entry!$AG$3:$AG$430,"unassigned")</f>
        <v>0</v>
      </c>
      <c r="J160">
        <f>IFERROR(I160/H160,"")</f>
        <v>0</v>
      </c>
      <c r="K160">
        <f>COUNTIFS(LLM_Data_Entry!$H$3:$H$430,"BUY",LLM_Data_Entry!$R$3:$R$430,"?*",LLM_Data_Entry!$AG$3:$AG$430,"unassigned")+COUNTIFS(LLM_Data_Entry!$H$3:$H$430,"SELL",LLM_Data_Entry!$R$3:$R$430,"?*",LLM_Data_Entry!$AG$3:$AG$430,"unassigned")</f>
        <v>0</v>
      </c>
      <c r="L160">
        <f>SUMIFS(LLM_Data_Entry!$AM$3:$AM$430,LLM_Data_Entry!$AG$3:$AG$430,"unassigned")</f>
        <v>0</v>
      </c>
      <c r="M160">
        <f>COUNTIFS(Human_Data_Entry!$AJ$3:$AJ$524,"?*",Human_Data_Entry!$H$3:$H$524,"Human",Human_Data_Entry!$AL$3:$AL$524,"unassigned")</f>
        <v>6</v>
      </c>
      <c r="N160">
        <f>IFERROR(COUNTIFS(Human_Data_Entry!$AJ$3:$AJ$524,"YES",Human_Data_Entry!$H$3:$H$524,"Human",Human_Data_Entry!$AL$3:$AL$524,"unassigned")/M160,"")</f>
        <v>0.16666666666666666</v>
      </c>
      <c r="O160">
        <f>SUMIFS(Human_Data_Entry!$AU$3:$AU$524,Human_Data_Entry!$AL$3:$AL$524,"unassigned")</f>
        <v>-6.0974999999999994E-2</v>
      </c>
      <c r="P160">
        <f>COUNTIFS(LLM_Data_Entry!$AE$3:$AE$430,"?*",LLM_Data_Entry!$AG$3:$AG$430,"unassigned")</f>
        <v>0</v>
      </c>
      <c r="Q160" t="str">
        <f>IFERROR(COUNTIFS(LLM_Data_Entry!$AE$3:$AE$430,"YES",LLM_Data_Entry!$AG$3:$AG$430,"unassigned")/P160,"")</f>
        <v/>
      </c>
      <c r="R160">
        <f>SUMIFS(LLM_Data_Entry!$AN$3:$AN$430,LLM_Data_Entry!$AG$3:$AG$430,"unassigned")</f>
        <v>0</v>
      </c>
    </row>
    <row r="161" spans="1:18" x14ac:dyDescent="0.2">
      <c r="A161" t="s">
        <v>2141</v>
      </c>
      <c r="B161">
        <f>COUNTIFS(Human_Data_Entry!$S$3:$S$524,"?*",Human_Data_Entry!$H$3:$H$524,"Human")</f>
        <v>420</v>
      </c>
      <c r="C161">
        <f>COUNTIFS(Human_Data_Entry!$S$3:$S$524,"YES",Human_Data_Entry!$H$3:$H$524,"Human")</f>
        <v>156</v>
      </c>
      <c r="D161">
        <f>IFERROR(C161/B161,"")</f>
        <v>0.37142857142857144</v>
      </c>
      <c r="E161">
        <f>COUNTIFS(Human_Data_Entry!$J$3:$J$524,"BUY",Human_Data_Entry!$S$3:$S$524,"?*",Human_Data_Entry!$H$3:$H$524,"Human")+COUNTIFS(Human_Data_Entry!$J$3:$J$524,"SELL",Human_Data_Entry!$S$3:$S$524,"?*",Human_Data_Entry!$H$3:$H$524,"Human")</f>
        <v>306</v>
      </c>
      <c r="F161">
        <f>SUM(Human_Data_Entry!$AT$3:$AT$524)</f>
        <v>-4.6599999999998663E-2</v>
      </c>
      <c r="G161">
        <f>IFERROR(F161/$F$161,"")</f>
        <v>1</v>
      </c>
      <c r="H161">
        <f>COUNTIFS(LLM_Data_Entry!$R$3:$R$430,"?*")</f>
        <v>270</v>
      </c>
      <c r="I161">
        <f>COUNTIFS(LLM_Data_Entry!$R$3:$R$430,"YES")</f>
        <v>114</v>
      </c>
      <c r="J161">
        <f>IFERROR(I161/H161,"")</f>
        <v>0.42222222222222222</v>
      </c>
      <c r="K161">
        <f>COUNTIFS(LLM_Data_Entry!$H$3:$H$430,"BUY",LLM_Data_Entry!$R$3:$R$430,"?*")+COUNTIFS(LLM_Data_Entry!$H$3:$H$430,"SELL",LLM_Data_Entry!$R$3:$R$430,"?*")</f>
        <v>171</v>
      </c>
      <c r="L161">
        <f>SUM(LLM_Data_Entry!$AM$3:$AM$430)</f>
        <v>3.3746929999999997</v>
      </c>
      <c r="M161">
        <f>COUNTIFS(Human_Data_Entry!$AJ$3:$AJ$524,"?*",Human_Data_Entry!$H$3:$H$524,"Human")</f>
        <v>400</v>
      </c>
      <c r="N161">
        <f>IFERROR(COUNTIFS(Human_Data_Entry!$AJ$3:$AJ$524,"YES",Human_Data_Entry!$H$3:$H$524,"Human")/M161,"")</f>
        <v>0.38750000000000001</v>
      </c>
      <c r="O161">
        <f>SUM(Human_Data_Entry!$AU$3:$AU$524)</f>
        <v>0.50416999999999967</v>
      </c>
      <c r="P161">
        <f>COUNTIFS(LLM_Data_Entry!$AE$3:$AE$430,"?*")</f>
        <v>268</v>
      </c>
      <c r="Q161">
        <f>IFERROR(COUNTIFS(LLM_Data_Entry!$AE$3:$AE$430,"YES")/P161,"")</f>
        <v>0.41417910447761191</v>
      </c>
      <c r="R161">
        <f>SUM(LLM_Data_Entry!$AN$3:$AN$430)</f>
        <v>3.540875999999999</v>
      </c>
    </row>
    <row r="162" spans="1:18" x14ac:dyDescent="0.2">
      <c r="A162" t="s">
        <v>2142</v>
      </c>
      <c r="B162" t="str">
        <f>IF(SUM(B157:B160)=B161,"OK","MISMATCH")</f>
        <v>OK</v>
      </c>
      <c r="H162" t="str">
        <f>IF(SUM(H157:H160)=H161,"OK","MISMATCH")</f>
        <v>OK</v>
      </c>
      <c r="M162" t="str">
        <f>IF(SUM(M157:M160)=M161,"OK","MISMATCH")</f>
        <v>OK</v>
      </c>
      <c r="P162" t="str">
        <f>IF(SUM(P157:P160)=P161,"OK","MISMATCH")</f>
        <v>OK</v>
      </c>
    </row>
    <row r="164" spans="1:18" x14ac:dyDescent="0.2">
      <c r="A164" t="s">
        <v>2143</v>
      </c>
    </row>
    <row r="165" spans="1:18" x14ac:dyDescent="0.2">
      <c r="A165" t="s">
        <v>2144</v>
      </c>
    </row>
    <row r="167" spans="1:18" x14ac:dyDescent="0.2">
      <c r="A167" t="s">
        <v>515</v>
      </c>
      <c r="B167" t="s">
        <v>2120</v>
      </c>
      <c r="C167" t="s">
        <v>2121</v>
      </c>
      <c r="D167" t="s">
        <v>2122</v>
      </c>
      <c r="E167" t="s">
        <v>2123</v>
      </c>
      <c r="F167" t="s">
        <v>2124</v>
      </c>
      <c r="G167" t="s">
        <v>2125</v>
      </c>
      <c r="H167" t="s">
        <v>2126</v>
      </c>
      <c r="I167" t="s">
        <v>2127</v>
      </c>
      <c r="J167" t="s">
        <v>2128</v>
      </c>
      <c r="K167" t="s">
        <v>2129</v>
      </c>
      <c r="L167" t="s">
        <v>2130</v>
      </c>
      <c r="M167" t="s">
        <v>2131</v>
      </c>
      <c r="N167" t="s">
        <v>2132</v>
      </c>
      <c r="O167" t="s">
        <v>2133</v>
      </c>
      <c r="P167" t="s">
        <v>2134</v>
      </c>
      <c r="Q167" t="s">
        <v>2135</v>
      </c>
      <c r="R167" t="s">
        <v>2136</v>
      </c>
    </row>
    <row r="168" spans="1:18" x14ac:dyDescent="0.2">
      <c r="A168" t="s">
        <v>2145</v>
      </c>
      <c r="B168">
        <f>COUNTIFS(Human_Data_Entry!$S$3:$S$524,"?*",Human_Data_Entry!$H$3:$H$524,"Human",Human_Data_Entry!$AZ$3:$AZ$524,"Information Technology")</f>
        <v>62</v>
      </c>
      <c r="C168">
        <f>COUNTIFS(Human_Data_Entry!$S$3:$S$524,"YES",Human_Data_Entry!$H$3:$H$524,"Human",Human_Data_Entry!$AZ$3:$AZ$524,"Information Technology")</f>
        <v>20</v>
      </c>
      <c r="D168">
        <f t="shared" ref="D168:D179" si="15">IFERROR(C168/B168,"")</f>
        <v>0.32258064516129031</v>
      </c>
      <c r="E168">
        <f>COUNTIFS(Human_Data_Entry!$J$3:$J$524,"BUY",Human_Data_Entry!$S$3:$S$524,"?*",Human_Data_Entry!$H$3:$H$524,"Human",Human_Data_Entry!$AZ$3:$AZ$524,"Information Technology")+COUNTIFS(Human_Data_Entry!$J$3:$J$524,"SELL",Human_Data_Entry!$S$3:$S$524,"?*",Human_Data_Entry!$H$3:$H$524,"Human",Human_Data_Entry!$AZ$3:$AZ$524,"Information Technology")</f>
        <v>55</v>
      </c>
      <c r="F168">
        <f>SUMIFS(Human_Data_Entry!$AT$3:$AT$524,Human_Data_Entry!$AZ$3:$AZ$524,"Information Technology")</f>
        <v>-0.68849999999999989</v>
      </c>
      <c r="G168">
        <f t="shared" ref="G168:G179" si="16">IFERROR(F168/$F$179,"")</f>
        <v>14.774678111588404</v>
      </c>
      <c r="H168">
        <f>COUNTIFS(LLM_Data_Entry!$R$3:$R$430,"?*",LLM_Data_Entry!$AS$3:$AS$430,"Information Technology")</f>
        <v>43</v>
      </c>
      <c r="I168">
        <f>COUNTIFS(LLM_Data_Entry!$R$3:$R$430,"YES",LLM_Data_Entry!$AS$3:$AS$430,"Information Technology")</f>
        <v>17</v>
      </c>
      <c r="J168">
        <f t="shared" ref="J168:J179" si="17">IFERROR(I168/H168,"")</f>
        <v>0.39534883720930231</v>
      </c>
      <c r="K168">
        <f>COUNTIFS(LLM_Data_Entry!$H$3:$H$430,"BUY",LLM_Data_Entry!$R$3:$R$430,"?*",LLM_Data_Entry!$AS$3:$AS$430,"Information Technology")+COUNTIFS(LLM_Data_Entry!$H$3:$H$430,"SELL",LLM_Data_Entry!$R$3:$R$430,"?*",LLM_Data_Entry!$AS$3:$AS$430,"Information Technology")</f>
        <v>30</v>
      </c>
      <c r="L168">
        <f>SUMIFS(LLM_Data_Entry!$AM$3:$AM$430,LLM_Data_Entry!$AS$3:$AS$430,"Information Technology")</f>
        <v>0.68543800000000021</v>
      </c>
      <c r="M168">
        <f>COUNTIFS(Human_Data_Entry!$AJ$3:$AJ$524,"?*",Human_Data_Entry!$H$3:$H$524,"Human",Human_Data_Entry!$AZ$3:$AZ$524,"Information Technology")</f>
        <v>50</v>
      </c>
      <c r="N168">
        <f>IFERROR(COUNTIFS(Human_Data_Entry!$AJ$3:$AJ$524,"YES",Human_Data_Entry!$H$3:$H$524,"Human",Human_Data_Entry!$AZ$3:$AZ$524,"Information Technology")/M168,"")</f>
        <v>0.38</v>
      </c>
      <c r="O168">
        <f>SUMIFS(Human_Data_Entry!$AU$3:$AU$524,Human_Data_Entry!$AZ$3:$AZ$524,"Information Technology")</f>
        <v>1.4794000000000057E-2</v>
      </c>
      <c r="P168">
        <f>COUNTIFS(LLM_Data_Entry!$AE$3:$AE$430,"?*",LLM_Data_Entry!$AS$3:$AS$430,"Information Technology")</f>
        <v>43</v>
      </c>
      <c r="Q168">
        <f>IFERROR(COUNTIFS(LLM_Data_Entry!$AE$3:$AE$430,"YES",LLM_Data_Entry!$AS$3:$AS$430,"Information Technology")/P168,"")</f>
        <v>0.37209302325581395</v>
      </c>
      <c r="R168">
        <f>SUMIFS(LLM_Data_Entry!$AN$3:$AN$430,LLM_Data_Entry!$AS$3:$AS$430,"Information Technology")</f>
        <v>0.65655900000000011</v>
      </c>
    </row>
    <row r="169" spans="1:18" x14ac:dyDescent="0.2">
      <c r="A169" t="s">
        <v>2146</v>
      </c>
      <c r="B169">
        <f>COUNTIFS(Human_Data_Entry!$S$3:$S$524,"?*",Human_Data_Entry!$H$3:$H$524,"Human",Human_Data_Entry!$AZ$3:$AZ$524,"Communication Services")</f>
        <v>38</v>
      </c>
      <c r="C169">
        <f>COUNTIFS(Human_Data_Entry!$S$3:$S$524,"YES",Human_Data_Entry!$H$3:$H$524,"Human",Human_Data_Entry!$AZ$3:$AZ$524,"Communication Services")</f>
        <v>9</v>
      </c>
      <c r="D169">
        <f t="shared" si="15"/>
        <v>0.23684210526315788</v>
      </c>
      <c r="E169">
        <f>COUNTIFS(Human_Data_Entry!$J$3:$J$524,"BUY",Human_Data_Entry!$S$3:$S$524,"?*",Human_Data_Entry!$H$3:$H$524,"Human",Human_Data_Entry!$AZ$3:$AZ$524,"Communication Services")+COUNTIFS(Human_Data_Entry!$J$3:$J$524,"SELL",Human_Data_Entry!$S$3:$S$524,"?*",Human_Data_Entry!$H$3:$H$524,"Human",Human_Data_Entry!$AZ$3:$AZ$524,"Communication Services")</f>
        <v>32</v>
      </c>
      <c r="F169">
        <f>SUMIFS(Human_Data_Entry!$AT$3:$AT$524,Human_Data_Entry!$AZ$3:$AZ$524,"Communication Services")</f>
        <v>-0.10450000000000026</v>
      </c>
      <c r="G169">
        <f t="shared" si="16"/>
        <v>2.2424892703863359</v>
      </c>
      <c r="H169">
        <f>COUNTIFS(LLM_Data_Entry!$R$3:$R$430,"?*",LLM_Data_Entry!$AS$3:$AS$430,"Communication Services")</f>
        <v>26</v>
      </c>
      <c r="I169">
        <f>COUNTIFS(LLM_Data_Entry!$R$3:$R$430,"YES",LLM_Data_Entry!$AS$3:$AS$430,"Communication Services")</f>
        <v>10</v>
      </c>
      <c r="J169">
        <f t="shared" si="17"/>
        <v>0.38461538461538464</v>
      </c>
      <c r="K169">
        <f>COUNTIFS(LLM_Data_Entry!$H$3:$H$430,"BUY",LLM_Data_Entry!$R$3:$R$430,"?*",LLM_Data_Entry!$AS$3:$AS$430,"Communication Services")+COUNTIFS(LLM_Data_Entry!$H$3:$H$430,"SELL",LLM_Data_Entry!$R$3:$R$430,"?*",LLM_Data_Entry!$AS$3:$AS$430,"Communication Services")</f>
        <v>16</v>
      </c>
      <c r="L169">
        <f>SUMIFS(LLM_Data_Entry!$AM$3:$AM$430,LLM_Data_Entry!$AS$3:$AS$430,"Communication Services")</f>
        <v>0.619255</v>
      </c>
      <c r="M169">
        <f>COUNTIFS(Human_Data_Entry!$AJ$3:$AJ$524,"?*",Human_Data_Entry!$H$3:$H$524,"Human",Human_Data_Entry!$AZ$3:$AZ$524,"Communication Services")</f>
        <v>38</v>
      </c>
      <c r="N169">
        <f>IFERROR(COUNTIFS(Human_Data_Entry!$AJ$3:$AJ$524,"YES",Human_Data_Entry!$H$3:$H$524,"Human",Human_Data_Entry!$AZ$3:$AZ$524,"Communication Services")/M169,"")</f>
        <v>0.23684210526315788</v>
      </c>
      <c r="O169">
        <f>SUMIFS(Human_Data_Entry!$AU$3:$AU$524,Human_Data_Entry!$AZ$3:$AZ$524,"Communication Services")</f>
        <v>-0.10433100000000019</v>
      </c>
      <c r="P169">
        <f>COUNTIFS(LLM_Data_Entry!$AE$3:$AE$430,"?*",LLM_Data_Entry!$AS$3:$AS$430,"Communication Services")</f>
        <v>26</v>
      </c>
      <c r="Q169">
        <f>IFERROR(COUNTIFS(LLM_Data_Entry!$AE$3:$AE$430,"YES",LLM_Data_Entry!$AS$3:$AS$430,"Communication Services")/P169,"")</f>
        <v>0.38461538461538464</v>
      </c>
      <c r="R169">
        <f>SUMIFS(LLM_Data_Entry!$AN$3:$AN$430,LLM_Data_Entry!$AS$3:$AS$430,"Communication Services")</f>
        <v>0.619255</v>
      </c>
    </row>
    <row r="170" spans="1:18" x14ac:dyDescent="0.2">
      <c r="A170" t="s">
        <v>2147</v>
      </c>
      <c r="B170">
        <f>COUNTIFS(Human_Data_Entry!$S$3:$S$524,"?*",Human_Data_Entry!$H$3:$H$524,"Human",Human_Data_Entry!$AZ$3:$AZ$524,"Financials")</f>
        <v>79</v>
      </c>
      <c r="C170">
        <f>COUNTIFS(Human_Data_Entry!$S$3:$S$524,"YES",Human_Data_Entry!$H$3:$H$524,"Human",Human_Data_Entry!$AZ$3:$AZ$524,"Financials")</f>
        <v>29</v>
      </c>
      <c r="D170">
        <f t="shared" si="15"/>
        <v>0.36708860759493672</v>
      </c>
      <c r="E170">
        <f>COUNTIFS(Human_Data_Entry!$J$3:$J$524,"BUY",Human_Data_Entry!$S$3:$S$524,"?*",Human_Data_Entry!$H$3:$H$524,"Human",Human_Data_Entry!$AZ$3:$AZ$524,"Financials")+COUNTIFS(Human_Data_Entry!$J$3:$J$524,"SELL",Human_Data_Entry!$S$3:$S$524,"?*",Human_Data_Entry!$H$3:$H$524,"Human",Human_Data_Entry!$AZ$3:$AZ$524,"Financials")</f>
        <v>58</v>
      </c>
      <c r="F170">
        <f>SUMIFS(Human_Data_Entry!$AT$3:$AT$524,Human_Data_Entry!$AZ$3:$AZ$524,"Financials")</f>
        <v>0.4464999999999999</v>
      </c>
      <c r="G170">
        <f t="shared" si="16"/>
        <v>-9.5815450643779556</v>
      </c>
      <c r="H170">
        <f>COUNTIFS(LLM_Data_Entry!$R$3:$R$430,"?*",LLM_Data_Entry!$AS$3:$AS$430,"Financials")</f>
        <v>53</v>
      </c>
      <c r="I170">
        <f>COUNTIFS(LLM_Data_Entry!$R$3:$R$430,"YES",LLM_Data_Entry!$AS$3:$AS$430,"Financials")</f>
        <v>24</v>
      </c>
      <c r="J170">
        <f t="shared" si="17"/>
        <v>0.45283018867924529</v>
      </c>
      <c r="K170">
        <f>COUNTIFS(LLM_Data_Entry!$H$3:$H$430,"BUY",LLM_Data_Entry!$R$3:$R$430,"?*",LLM_Data_Entry!$AS$3:$AS$430,"Financials")+COUNTIFS(LLM_Data_Entry!$H$3:$H$430,"SELL",LLM_Data_Entry!$R$3:$R$430,"?*",LLM_Data_Entry!$AS$3:$AS$430,"Financials")</f>
        <v>30</v>
      </c>
      <c r="L170">
        <f>SUMIFS(LLM_Data_Entry!$AM$3:$AM$430,LLM_Data_Entry!$AS$3:$AS$430,"Financials")</f>
        <v>0.31443200000000004</v>
      </c>
      <c r="M170">
        <f>COUNTIFS(Human_Data_Entry!$AJ$3:$AJ$524,"?*",Human_Data_Entry!$H$3:$H$524,"Human",Human_Data_Entry!$AZ$3:$AZ$524,"Financials")</f>
        <v>71</v>
      </c>
      <c r="N170">
        <f>IFERROR(COUNTIFS(Human_Data_Entry!$AJ$3:$AJ$524,"YES",Human_Data_Entry!$H$3:$H$524,"Human",Human_Data_Entry!$AZ$3:$AZ$524,"Financials")/M170,"")</f>
        <v>0.39436619718309857</v>
      </c>
      <c r="O170">
        <f>SUMIFS(Human_Data_Entry!$AU$3:$AU$524,Human_Data_Entry!$AZ$3:$AZ$524,"Financials")</f>
        <v>0.44121700000000003</v>
      </c>
      <c r="P170">
        <f>COUNTIFS(LLM_Data_Entry!$AE$3:$AE$430,"?*",LLM_Data_Entry!$AS$3:$AS$430,"Financials")</f>
        <v>53</v>
      </c>
      <c r="Q170">
        <f>IFERROR(COUNTIFS(LLM_Data_Entry!$AE$3:$AE$430,"YES",LLM_Data_Entry!$AS$3:$AS$430,"Financials")/P170,"")</f>
        <v>0.43396226415094341</v>
      </c>
      <c r="R170">
        <f>SUMIFS(LLM_Data_Entry!$AN$3:$AN$430,LLM_Data_Entry!$AS$3:$AS$430,"Financials")</f>
        <v>0.32839600000000002</v>
      </c>
    </row>
    <row r="171" spans="1:18" x14ac:dyDescent="0.2">
      <c r="A171" t="s">
        <v>2148</v>
      </c>
      <c r="B171">
        <f>COUNTIFS(Human_Data_Entry!$S$3:$S$524,"?*",Human_Data_Entry!$H$3:$H$524,"Human",Human_Data_Entry!$AZ$3:$AZ$524,"Health Care")</f>
        <v>26</v>
      </c>
      <c r="C171">
        <f>COUNTIFS(Human_Data_Entry!$S$3:$S$524,"YES",Human_Data_Entry!$H$3:$H$524,"Human",Human_Data_Entry!$AZ$3:$AZ$524,"Health Care")</f>
        <v>10</v>
      </c>
      <c r="D171">
        <f t="shared" si="15"/>
        <v>0.38461538461538464</v>
      </c>
      <c r="E171">
        <f>COUNTIFS(Human_Data_Entry!$J$3:$J$524,"BUY",Human_Data_Entry!$S$3:$S$524,"?*",Human_Data_Entry!$H$3:$H$524,"Human",Human_Data_Entry!$AZ$3:$AZ$524,"Health Care")+COUNTIFS(Human_Data_Entry!$J$3:$J$524,"SELL",Human_Data_Entry!$S$3:$S$524,"?*",Human_Data_Entry!$H$3:$H$524,"Human",Human_Data_Entry!$AZ$3:$AZ$524,"Health Care")</f>
        <v>24</v>
      </c>
      <c r="F171">
        <f>SUMIFS(Human_Data_Entry!$AT$3:$AT$524,Human_Data_Entry!$AZ$3:$AZ$524,"Health Care")</f>
        <v>8.0300000000000024E-2</v>
      </c>
      <c r="G171">
        <f t="shared" si="16"/>
        <v>-1.7231759656652861</v>
      </c>
      <c r="H171">
        <f>COUNTIFS(LLM_Data_Entry!$R$3:$R$430,"?*",LLM_Data_Entry!$AS$3:$AS$430,"Health Care")</f>
        <v>21</v>
      </c>
      <c r="I171">
        <f>COUNTIFS(LLM_Data_Entry!$R$3:$R$430,"YES",LLM_Data_Entry!$AS$3:$AS$430,"Health Care")</f>
        <v>11</v>
      </c>
      <c r="J171">
        <f t="shared" si="17"/>
        <v>0.52380952380952384</v>
      </c>
      <c r="K171">
        <f>COUNTIFS(LLM_Data_Entry!$H$3:$H$430,"BUY",LLM_Data_Entry!$R$3:$R$430,"?*",LLM_Data_Entry!$AS$3:$AS$430,"Health Care")+COUNTIFS(LLM_Data_Entry!$H$3:$H$430,"SELL",LLM_Data_Entry!$R$3:$R$430,"?*",LLM_Data_Entry!$AS$3:$AS$430,"Health Care")</f>
        <v>14</v>
      </c>
      <c r="L171">
        <f>SUMIFS(LLM_Data_Entry!$AM$3:$AM$430,LLM_Data_Entry!$AS$3:$AS$430,"Health Care")</f>
        <v>0.47844300000000001</v>
      </c>
      <c r="M171">
        <f>COUNTIFS(Human_Data_Entry!$AJ$3:$AJ$524,"?*",Human_Data_Entry!$H$3:$H$524,"Human",Human_Data_Entry!$AZ$3:$AZ$524,"Health Care")</f>
        <v>26</v>
      </c>
      <c r="N171">
        <f>IFERROR(COUNTIFS(Human_Data_Entry!$AJ$3:$AJ$524,"YES",Human_Data_Entry!$H$3:$H$524,"Human",Human_Data_Entry!$AZ$3:$AZ$524,"Health Care")/M171,"")</f>
        <v>0.38461538461538464</v>
      </c>
      <c r="O171">
        <f>SUMIFS(Human_Data_Entry!$AU$3:$AU$524,Human_Data_Entry!$AZ$3:$AZ$524,"Health Care")</f>
        <v>0.18343100000000007</v>
      </c>
      <c r="P171">
        <f>COUNTIFS(LLM_Data_Entry!$AE$3:$AE$430,"?*",LLM_Data_Entry!$AS$3:$AS$430,"Health Care")</f>
        <v>21</v>
      </c>
      <c r="Q171">
        <f>IFERROR(COUNTIFS(LLM_Data_Entry!$AE$3:$AE$430,"YES",LLM_Data_Entry!$AS$3:$AS$430,"Health Care")/P171,"")</f>
        <v>0.52380952380952384</v>
      </c>
      <c r="R171">
        <f>SUMIFS(LLM_Data_Entry!$AN$3:$AN$430,LLM_Data_Entry!$AS$3:$AS$430,"Health Care")</f>
        <v>0.60560799999999992</v>
      </c>
    </row>
    <row r="172" spans="1:18" x14ac:dyDescent="0.2">
      <c r="A172" t="s">
        <v>2149</v>
      </c>
      <c r="B172">
        <f>COUNTIFS(Human_Data_Entry!$S$3:$S$524,"?*",Human_Data_Entry!$H$3:$H$524,"Human",Human_Data_Entry!$AZ$3:$AZ$524,"Consumer Discretionary")</f>
        <v>71</v>
      </c>
      <c r="C172">
        <f>COUNTIFS(Human_Data_Entry!$S$3:$S$524,"YES",Human_Data_Entry!$H$3:$H$524,"Human",Human_Data_Entry!$AZ$3:$AZ$524,"Consumer Discretionary")</f>
        <v>26</v>
      </c>
      <c r="D172">
        <f t="shared" si="15"/>
        <v>0.36619718309859156</v>
      </c>
      <c r="E172">
        <f>COUNTIFS(Human_Data_Entry!$J$3:$J$524,"BUY",Human_Data_Entry!$S$3:$S$524,"?*",Human_Data_Entry!$H$3:$H$524,"Human",Human_Data_Entry!$AZ$3:$AZ$524,"Consumer Discretionary")+COUNTIFS(Human_Data_Entry!$J$3:$J$524,"SELL",Human_Data_Entry!$S$3:$S$524,"?*",Human_Data_Entry!$H$3:$H$524,"Human",Human_Data_Entry!$AZ$3:$AZ$524,"Consumer Discretionary")</f>
        <v>50</v>
      </c>
      <c r="F172">
        <f>SUMIFS(Human_Data_Entry!$AT$3:$AT$524,Human_Data_Entry!$AZ$3:$AZ$524,"Consumer Discretionary")</f>
        <v>3.0000000000000047E-2</v>
      </c>
      <c r="G172">
        <f t="shared" si="16"/>
        <v>-0.64377682403435421</v>
      </c>
      <c r="H172">
        <f>COUNTIFS(LLM_Data_Entry!$R$3:$R$430,"?*",LLM_Data_Entry!$AS$3:$AS$430,"Consumer Discretionary")</f>
        <v>56</v>
      </c>
      <c r="I172">
        <f>COUNTIFS(LLM_Data_Entry!$R$3:$R$430,"YES",LLM_Data_Entry!$AS$3:$AS$430,"Consumer Discretionary")</f>
        <v>23</v>
      </c>
      <c r="J172">
        <f t="shared" si="17"/>
        <v>0.4107142857142857</v>
      </c>
      <c r="K172">
        <f>COUNTIFS(LLM_Data_Entry!$H$3:$H$430,"BUY",LLM_Data_Entry!$R$3:$R$430,"?*",LLM_Data_Entry!$AS$3:$AS$430,"Consumer Discretionary")+COUNTIFS(LLM_Data_Entry!$H$3:$H$430,"SELL",LLM_Data_Entry!$R$3:$R$430,"?*",LLM_Data_Entry!$AS$3:$AS$430,"Consumer Discretionary")</f>
        <v>37</v>
      </c>
      <c r="L172">
        <f>SUMIFS(LLM_Data_Entry!$AM$3:$AM$430,LLM_Data_Entry!$AS$3:$AS$430,"Consumer Discretionary")</f>
        <v>0.81596100000000016</v>
      </c>
      <c r="M172">
        <f>COUNTIFS(Human_Data_Entry!$AJ$3:$AJ$524,"?*",Human_Data_Entry!$H$3:$H$524,"Human",Human_Data_Entry!$AZ$3:$AZ$524,"Consumer Discretionary")</f>
        <v>71</v>
      </c>
      <c r="N172">
        <f>IFERROR(COUNTIFS(Human_Data_Entry!$AJ$3:$AJ$524,"YES",Human_Data_Entry!$H$3:$H$524,"Human",Human_Data_Entry!$AZ$3:$AZ$524,"Consumer Discretionary")/M172,"")</f>
        <v>0.29577464788732394</v>
      </c>
      <c r="O172">
        <f>SUMIFS(Human_Data_Entry!$AU$3:$AU$524,Human_Data_Entry!$AZ$3:$AZ$524,"Consumer Discretionary")</f>
        <v>-0.19241199999999997</v>
      </c>
      <c r="P172">
        <f>COUNTIFS(LLM_Data_Entry!$AE$3:$AE$430,"?*",LLM_Data_Entry!$AS$3:$AS$430,"Consumer Discretionary")</f>
        <v>56</v>
      </c>
      <c r="Q172">
        <f>IFERROR(COUNTIFS(LLM_Data_Entry!$AE$3:$AE$430,"YES",LLM_Data_Entry!$AS$3:$AS$430,"Consumer Discretionary")/P172,"")</f>
        <v>0.35714285714285715</v>
      </c>
      <c r="R172">
        <f>SUMIFS(LLM_Data_Entry!$AN$3:$AN$430,LLM_Data_Entry!$AS$3:$AS$430,"Consumer Discretionary")</f>
        <v>0.73004500000000005</v>
      </c>
    </row>
    <row r="173" spans="1:18" x14ac:dyDescent="0.2">
      <c r="A173" t="s">
        <v>2150</v>
      </c>
      <c r="B173">
        <f>COUNTIFS(Human_Data_Entry!$S$3:$S$524,"?*",Human_Data_Entry!$H$3:$H$524,"Human",Human_Data_Entry!$AZ$3:$AZ$524,"Consumer Staples")</f>
        <v>50</v>
      </c>
      <c r="C173">
        <f>COUNTIFS(Human_Data_Entry!$S$3:$S$524,"YES",Human_Data_Entry!$H$3:$H$524,"Human",Human_Data_Entry!$AZ$3:$AZ$524,"Consumer Staples")</f>
        <v>22</v>
      </c>
      <c r="D173">
        <f t="shared" si="15"/>
        <v>0.44</v>
      </c>
      <c r="E173">
        <f>COUNTIFS(Human_Data_Entry!$J$3:$J$524,"BUY",Human_Data_Entry!$S$3:$S$524,"?*",Human_Data_Entry!$H$3:$H$524,"Human",Human_Data_Entry!$AZ$3:$AZ$524,"Consumer Staples")+COUNTIFS(Human_Data_Entry!$J$3:$J$524,"SELL",Human_Data_Entry!$S$3:$S$524,"?*",Human_Data_Entry!$H$3:$H$524,"Human",Human_Data_Entry!$AZ$3:$AZ$524,"Consumer Staples")</f>
        <v>31</v>
      </c>
      <c r="F173">
        <f>SUMIFS(Human_Data_Entry!$AT$3:$AT$524,Human_Data_Entry!$AZ$3:$AZ$524,"Consumer Staples")</f>
        <v>9.9999999999999978E-2</v>
      </c>
      <c r="G173">
        <f t="shared" si="16"/>
        <v>-2.145922746781177</v>
      </c>
      <c r="H173">
        <f>COUNTIFS(LLM_Data_Entry!$R$3:$R$430,"?*",LLM_Data_Entry!$AS$3:$AS$430,"Consumer Staples")</f>
        <v>32</v>
      </c>
      <c r="I173">
        <f>COUNTIFS(LLM_Data_Entry!$R$3:$R$430,"YES",LLM_Data_Entry!$AS$3:$AS$430,"Consumer Staples")</f>
        <v>16</v>
      </c>
      <c r="J173">
        <f t="shared" si="17"/>
        <v>0.5</v>
      </c>
      <c r="K173">
        <f>COUNTIFS(LLM_Data_Entry!$H$3:$H$430,"BUY",LLM_Data_Entry!$R$3:$R$430,"?*",LLM_Data_Entry!$AS$3:$AS$430,"Consumer Staples")+COUNTIFS(LLM_Data_Entry!$H$3:$H$430,"SELL",LLM_Data_Entry!$R$3:$R$430,"?*",LLM_Data_Entry!$AS$3:$AS$430,"Consumer Staples")</f>
        <v>20</v>
      </c>
      <c r="L173">
        <f>SUMIFS(LLM_Data_Entry!$AM$3:$AM$430,LLM_Data_Entry!$AS$3:$AS$430,"Consumer Staples")</f>
        <v>0.3283330000000001</v>
      </c>
      <c r="M173">
        <f>COUNTIFS(Human_Data_Entry!$AJ$3:$AJ$524,"?*",Human_Data_Entry!$H$3:$H$524,"Human",Human_Data_Entry!$AZ$3:$AZ$524,"Consumer Staples")</f>
        <v>50</v>
      </c>
      <c r="N173">
        <f>IFERROR(COUNTIFS(Human_Data_Entry!$AJ$3:$AJ$524,"YES",Human_Data_Entry!$H$3:$H$524,"Human",Human_Data_Entry!$AZ$3:$AZ$524,"Consumer Staples")/M173,"")</f>
        <v>0.4</v>
      </c>
      <c r="O173">
        <f>SUMIFS(Human_Data_Entry!$AU$3:$AU$524,Human_Data_Entry!$AZ$3:$AZ$524,"Consumer Staples")</f>
        <v>2.3588000000000053E-2</v>
      </c>
      <c r="P173">
        <f>COUNTIFS(LLM_Data_Entry!$AE$3:$AE$430,"?*",LLM_Data_Entry!$AS$3:$AS$430,"Consumer Staples")</f>
        <v>32</v>
      </c>
      <c r="Q173">
        <f>IFERROR(COUNTIFS(LLM_Data_Entry!$AE$3:$AE$430,"YES",LLM_Data_Entry!$AS$3:$AS$430,"Consumer Staples")/P173,"")</f>
        <v>0.5</v>
      </c>
      <c r="R173">
        <f>SUMIFS(LLM_Data_Entry!$AN$3:$AN$430,LLM_Data_Entry!$AS$3:$AS$430,"Consumer Staples")</f>
        <v>0.3283330000000001</v>
      </c>
    </row>
    <row r="174" spans="1:18" x14ac:dyDescent="0.2">
      <c r="A174" t="s">
        <v>2151</v>
      </c>
      <c r="B174">
        <f>COUNTIFS(Human_Data_Entry!$S$3:$S$524,"?*",Human_Data_Entry!$H$3:$H$524,"Human",Human_Data_Entry!$AZ$3:$AZ$524,"Energy")</f>
        <v>27</v>
      </c>
      <c r="C174">
        <f>COUNTIFS(Human_Data_Entry!$S$3:$S$524,"YES",Human_Data_Entry!$H$3:$H$524,"Human",Human_Data_Entry!$AZ$3:$AZ$524,"Energy")</f>
        <v>14</v>
      </c>
      <c r="D174">
        <f t="shared" si="15"/>
        <v>0.51851851851851849</v>
      </c>
      <c r="E174">
        <f>COUNTIFS(Human_Data_Entry!$J$3:$J$524,"BUY",Human_Data_Entry!$S$3:$S$524,"?*",Human_Data_Entry!$H$3:$H$524,"Human",Human_Data_Entry!$AZ$3:$AZ$524,"Energy")+COUNTIFS(Human_Data_Entry!$J$3:$J$524,"SELL",Human_Data_Entry!$S$3:$S$524,"?*",Human_Data_Entry!$H$3:$H$524,"Human",Human_Data_Entry!$AZ$3:$AZ$524,"Energy")</f>
        <v>9</v>
      </c>
      <c r="F174">
        <f>SUMIFS(Human_Data_Entry!$AT$3:$AT$524,Human_Data_Entry!$AZ$3:$AZ$524,"Energy")</f>
        <v>-3.61E-2</v>
      </c>
      <c r="G174">
        <f t="shared" si="16"/>
        <v>0.77467811158800504</v>
      </c>
      <c r="H174">
        <f>COUNTIFS(LLM_Data_Entry!$R$3:$R$430,"?*",LLM_Data_Entry!$AS$3:$AS$430,"Energy")</f>
        <v>0</v>
      </c>
      <c r="I174">
        <f>COUNTIFS(LLM_Data_Entry!$R$3:$R$430,"YES",LLM_Data_Entry!$AS$3:$AS$430,"Energy")</f>
        <v>0</v>
      </c>
      <c r="J174" t="str">
        <f t="shared" si="17"/>
        <v/>
      </c>
      <c r="K174">
        <f>COUNTIFS(LLM_Data_Entry!$H$3:$H$430,"BUY",LLM_Data_Entry!$R$3:$R$430,"?*",LLM_Data_Entry!$AS$3:$AS$430,"Energy")+COUNTIFS(LLM_Data_Entry!$H$3:$H$430,"SELL",LLM_Data_Entry!$R$3:$R$430,"?*",LLM_Data_Entry!$AS$3:$AS$430,"Energy")</f>
        <v>0</v>
      </c>
      <c r="L174">
        <f>SUMIFS(LLM_Data_Entry!$AM$3:$AM$430,LLM_Data_Entry!$AS$3:$AS$430,"Energy")</f>
        <v>0</v>
      </c>
      <c r="M174">
        <f>COUNTIFS(Human_Data_Entry!$AJ$3:$AJ$524,"?*",Human_Data_Entry!$H$3:$H$524,"Human",Human_Data_Entry!$AZ$3:$AZ$524,"Energy")</f>
        <v>27</v>
      </c>
      <c r="N174">
        <f>IFERROR(COUNTIFS(Human_Data_Entry!$AJ$3:$AJ$524,"YES",Human_Data_Entry!$H$3:$H$524,"Human",Human_Data_Entry!$AZ$3:$AZ$524,"Energy")/M174,"")</f>
        <v>0.70370370370370372</v>
      </c>
      <c r="O174">
        <f>SUMIFS(Human_Data_Entry!$AU$3:$AU$524,Human_Data_Entry!$AZ$3:$AZ$524,"Energy")</f>
        <v>2.2788000000000003E-2</v>
      </c>
      <c r="P174">
        <f>COUNTIFS(LLM_Data_Entry!$AE$3:$AE$430,"?*",LLM_Data_Entry!$AS$3:$AS$430,"Energy")</f>
        <v>0</v>
      </c>
      <c r="Q174" t="str">
        <f>IFERROR(COUNTIFS(LLM_Data_Entry!$AE$3:$AE$430,"YES",LLM_Data_Entry!$AS$3:$AS$430,"Energy")/P174,"")</f>
        <v/>
      </c>
      <c r="R174">
        <f>SUMIFS(LLM_Data_Entry!$AN$3:$AN$430,LLM_Data_Entry!$AS$3:$AS$430,"Energy")</f>
        <v>0</v>
      </c>
    </row>
    <row r="175" spans="1:18" x14ac:dyDescent="0.2">
      <c r="A175" t="s">
        <v>2152</v>
      </c>
      <c r="B175">
        <f>COUNTIFS(Human_Data_Entry!$S$3:$S$524,"?*",Human_Data_Entry!$H$3:$H$524,"Human",Human_Data_Entry!$AZ$3:$AZ$524,"Utilities")</f>
        <v>13</v>
      </c>
      <c r="C175">
        <f>COUNTIFS(Human_Data_Entry!$S$3:$S$524,"YES",Human_Data_Entry!$H$3:$H$524,"Human",Human_Data_Entry!$AZ$3:$AZ$524,"Utilities")</f>
        <v>5</v>
      </c>
      <c r="D175">
        <f t="shared" si="15"/>
        <v>0.38461538461538464</v>
      </c>
      <c r="E175">
        <f>COUNTIFS(Human_Data_Entry!$J$3:$J$524,"BUY",Human_Data_Entry!$S$3:$S$524,"?*",Human_Data_Entry!$H$3:$H$524,"Human",Human_Data_Entry!$AZ$3:$AZ$524,"Utilities")+COUNTIFS(Human_Data_Entry!$J$3:$J$524,"SELL",Human_Data_Entry!$S$3:$S$524,"?*",Human_Data_Entry!$H$3:$H$524,"Human",Human_Data_Entry!$AZ$3:$AZ$524,"Utilities")</f>
        <v>8</v>
      </c>
      <c r="F175">
        <f>SUMIFS(Human_Data_Entry!$AT$3:$AT$524,Human_Data_Entry!$AZ$3:$AZ$524,"Utilities")</f>
        <v>8.3000000000000001E-3</v>
      </c>
      <c r="G175">
        <f t="shared" si="16"/>
        <v>-0.17811158798283772</v>
      </c>
      <c r="H175">
        <f>COUNTIFS(LLM_Data_Entry!$R$3:$R$430,"?*",LLM_Data_Entry!$AS$3:$AS$430,"Utilities")</f>
        <v>0</v>
      </c>
      <c r="I175">
        <f>COUNTIFS(LLM_Data_Entry!$R$3:$R$430,"YES",LLM_Data_Entry!$AS$3:$AS$430,"Utilities")</f>
        <v>0</v>
      </c>
      <c r="J175" t="str">
        <f t="shared" si="17"/>
        <v/>
      </c>
      <c r="K175">
        <f>COUNTIFS(LLM_Data_Entry!$H$3:$H$430,"BUY",LLM_Data_Entry!$R$3:$R$430,"?*",LLM_Data_Entry!$AS$3:$AS$430,"Utilities")+COUNTIFS(LLM_Data_Entry!$H$3:$H$430,"SELL",LLM_Data_Entry!$R$3:$R$430,"?*",LLM_Data_Entry!$AS$3:$AS$430,"Utilities")</f>
        <v>0</v>
      </c>
      <c r="L175">
        <f>SUMIFS(LLM_Data_Entry!$AM$3:$AM$430,LLM_Data_Entry!$AS$3:$AS$430,"Utilities")</f>
        <v>0</v>
      </c>
      <c r="M175">
        <f>COUNTIFS(Human_Data_Entry!$AJ$3:$AJ$524,"?*",Human_Data_Entry!$H$3:$H$524,"Human",Human_Data_Entry!$AZ$3:$AZ$524,"Utilities")</f>
        <v>13</v>
      </c>
      <c r="N175">
        <f>IFERROR(COUNTIFS(Human_Data_Entry!$AJ$3:$AJ$524,"YES",Human_Data_Entry!$H$3:$H$524,"Human",Human_Data_Entry!$AZ$3:$AZ$524,"Utilities")/M175,"")</f>
        <v>0.46153846153846156</v>
      </c>
      <c r="O175">
        <f>SUMIFS(Human_Data_Entry!$AU$3:$AU$524,Human_Data_Entry!$AZ$3:$AZ$524,"Utilities")</f>
        <v>3.0954000000000002E-2</v>
      </c>
      <c r="P175">
        <f>COUNTIFS(LLM_Data_Entry!$AE$3:$AE$430,"?*",LLM_Data_Entry!$AS$3:$AS$430,"Utilities")</f>
        <v>0</v>
      </c>
      <c r="Q175" t="str">
        <f>IFERROR(COUNTIFS(LLM_Data_Entry!$AE$3:$AE$430,"YES",LLM_Data_Entry!$AS$3:$AS$430,"Utilities")/P175,"")</f>
        <v/>
      </c>
      <c r="R175">
        <f>SUMIFS(LLM_Data_Entry!$AN$3:$AN$430,LLM_Data_Entry!$AS$3:$AS$430,"Utilities")</f>
        <v>0</v>
      </c>
    </row>
    <row r="176" spans="1:18" x14ac:dyDescent="0.2">
      <c r="A176" t="s">
        <v>2153</v>
      </c>
      <c r="B176">
        <f>COUNTIFS(Human_Data_Entry!$S$3:$S$524,"?*",Human_Data_Entry!$H$3:$H$524,"Human",Human_Data_Entry!$AZ$3:$AZ$524,"Industrials")</f>
        <v>42</v>
      </c>
      <c r="C176">
        <f>COUNTIFS(Human_Data_Entry!$S$3:$S$524,"YES",Human_Data_Entry!$H$3:$H$524,"Human",Human_Data_Entry!$AZ$3:$AZ$524,"Industrials")</f>
        <v>16</v>
      </c>
      <c r="D176">
        <f t="shared" si="15"/>
        <v>0.38095238095238093</v>
      </c>
      <c r="E176">
        <f>COUNTIFS(Human_Data_Entry!$J$3:$J$524,"BUY",Human_Data_Entry!$S$3:$S$524,"?*",Human_Data_Entry!$H$3:$H$524,"Human",Human_Data_Entry!$AZ$3:$AZ$524,"Industrials")+COUNTIFS(Human_Data_Entry!$J$3:$J$524,"SELL",Human_Data_Entry!$S$3:$S$524,"?*",Human_Data_Entry!$H$3:$H$524,"Human",Human_Data_Entry!$AZ$3:$AZ$524,"Industrials")</f>
        <v>31</v>
      </c>
      <c r="F176">
        <f>SUMIFS(Human_Data_Entry!$AT$3:$AT$524,Human_Data_Entry!$AZ$3:$AZ$524,"Industrials")</f>
        <v>0.13769999999999996</v>
      </c>
      <c r="G176">
        <f t="shared" si="16"/>
        <v>-2.9549356223176804</v>
      </c>
      <c r="H176">
        <f>COUNTIFS(LLM_Data_Entry!$R$3:$R$430,"?*",LLM_Data_Entry!$AS$3:$AS$430,"Industrials")</f>
        <v>34</v>
      </c>
      <c r="I176">
        <f>COUNTIFS(LLM_Data_Entry!$R$3:$R$430,"YES",LLM_Data_Entry!$AS$3:$AS$430,"Industrials")</f>
        <v>12</v>
      </c>
      <c r="J176">
        <f t="shared" si="17"/>
        <v>0.35294117647058826</v>
      </c>
      <c r="K176">
        <f>COUNTIFS(LLM_Data_Entry!$H$3:$H$430,"BUY",LLM_Data_Entry!$R$3:$R$430,"?*",LLM_Data_Entry!$AS$3:$AS$430,"Industrials")+COUNTIFS(LLM_Data_Entry!$H$3:$H$430,"SELL",LLM_Data_Entry!$R$3:$R$430,"?*",LLM_Data_Entry!$AS$3:$AS$430,"Industrials")</f>
        <v>22</v>
      </c>
      <c r="L176">
        <f>SUMIFS(LLM_Data_Entry!$AM$3:$AM$430,LLM_Data_Entry!$AS$3:$AS$430,"Industrials")</f>
        <v>0.13506799999999999</v>
      </c>
      <c r="M176">
        <f>COUNTIFS(Human_Data_Entry!$AJ$3:$AJ$524,"?*",Human_Data_Entry!$H$3:$H$524,"Human",Human_Data_Entry!$AZ$3:$AZ$524,"Industrials")</f>
        <v>42</v>
      </c>
      <c r="N176">
        <f>IFERROR(COUNTIFS(Human_Data_Entry!$AJ$3:$AJ$524,"YES",Human_Data_Entry!$H$3:$H$524,"Human",Human_Data_Entry!$AZ$3:$AZ$524,"Industrials")/M176,"")</f>
        <v>0.47619047619047616</v>
      </c>
      <c r="O176">
        <f>SUMIFS(Human_Data_Entry!$AU$3:$AU$524,Human_Data_Entry!$AZ$3:$AZ$524,"Industrials")</f>
        <v>0.289879</v>
      </c>
      <c r="P176">
        <f>COUNTIFS(LLM_Data_Entry!$AE$3:$AE$430,"?*",LLM_Data_Entry!$AS$3:$AS$430,"Industrials")</f>
        <v>34</v>
      </c>
      <c r="Q176">
        <f>IFERROR(COUNTIFS(LLM_Data_Entry!$AE$3:$AE$430,"YES",LLM_Data_Entry!$AS$3:$AS$430,"Industrials")/P176,"")</f>
        <v>0.41176470588235292</v>
      </c>
      <c r="R176">
        <f>SUMIFS(LLM_Data_Entry!$AN$3:$AN$430,LLM_Data_Entry!$AS$3:$AS$430,"Industrials")</f>
        <v>0.27491700000000002</v>
      </c>
    </row>
    <row r="177" spans="1:18" x14ac:dyDescent="0.2">
      <c r="A177" t="s">
        <v>2154</v>
      </c>
      <c r="B177">
        <f>COUNTIFS(Human_Data_Entry!$S$3:$S$524,"?*",Human_Data_Entry!$H$3:$H$524,"Human",Human_Data_Entry!$AZ$3:$AZ$524,"Materials")</f>
        <v>6</v>
      </c>
      <c r="C177">
        <f>COUNTIFS(Human_Data_Entry!$S$3:$S$524,"YES",Human_Data_Entry!$H$3:$H$524,"Human",Human_Data_Entry!$AZ$3:$AZ$524,"Materials")</f>
        <v>2</v>
      </c>
      <c r="D177">
        <f t="shared" si="15"/>
        <v>0.33333333333333331</v>
      </c>
      <c r="E177">
        <f>COUNTIFS(Human_Data_Entry!$J$3:$J$524,"BUY",Human_Data_Entry!$S$3:$S$524,"?*",Human_Data_Entry!$H$3:$H$524,"Human",Human_Data_Entry!$AZ$3:$AZ$524,"Materials")+COUNTIFS(Human_Data_Entry!$J$3:$J$524,"SELL",Human_Data_Entry!$S$3:$S$524,"?*",Human_Data_Entry!$H$3:$H$524,"Human",Human_Data_Entry!$AZ$3:$AZ$524,"Materials")</f>
        <v>4</v>
      </c>
      <c r="F177">
        <f>SUMIFS(Human_Data_Entry!$AT$3:$AT$524,Human_Data_Entry!$AZ$3:$AZ$524,"Materials")</f>
        <v>-1.2400000000000001E-2</v>
      </c>
      <c r="G177">
        <f t="shared" si="16"/>
        <v>0.26609442060086602</v>
      </c>
      <c r="H177">
        <f>COUNTIFS(LLM_Data_Entry!$R$3:$R$430,"?*",LLM_Data_Entry!$AS$3:$AS$430,"Materials")</f>
        <v>3</v>
      </c>
      <c r="I177">
        <f>COUNTIFS(LLM_Data_Entry!$R$3:$R$430,"YES",LLM_Data_Entry!$AS$3:$AS$430,"Materials")</f>
        <v>1</v>
      </c>
      <c r="J177">
        <f t="shared" si="17"/>
        <v>0.33333333333333331</v>
      </c>
      <c r="K177">
        <f>COUNTIFS(LLM_Data_Entry!$H$3:$H$430,"BUY",LLM_Data_Entry!$R$3:$R$430,"?*",LLM_Data_Entry!$AS$3:$AS$430,"Materials")+COUNTIFS(LLM_Data_Entry!$H$3:$H$430,"SELL",LLM_Data_Entry!$R$3:$R$430,"?*",LLM_Data_Entry!$AS$3:$AS$430,"Materials")</f>
        <v>2</v>
      </c>
      <c r="L177">
        <f>SUMIFS(LLM_Data_Entry!$AM$3:$AM$430,LLM_Data_Entry!$AS$3:$AS$430,"Materials")</f>
        <v>-2.2369999999999998E-3</v>
      </c>
      <c r="M177">
        <f>COUNTIFS(Human_Data_Entry!$AJ$3:$AJ$524,"?*",Human_Data_Entry!$H$3:$H$524,"Human",Human_Data_Entry!$AZ$3:$AZ$524,"Materials")</f>
        <v>6</v>
      </c>
      <c r="N177">
        <f>IFERROR(COUNTIFS(Human_Data_Entry!$AJ$3:$AJ$524,"YES",Human_Data_Entry!$H$3:$H$524,"Human",Human_Data_Entry!$AZ$3:$AZ$524,"Materials")/M177,"")</f>
        <v>0.33333333333333331</v>
      </c>
      <c r="O177">
        <f>SUMIFS(Human_Data_Entry!$AU$3:$AU$524,Human_Data_Entry!$AZ$3:$AZ$524,"Materials")</f>
        <v>-0.144763</v>
      </c>
      <c r="P177">
        <f>COUNTIFS(LLM_Data_Entry!$AE$3:$AE$430,"?*",LLM_Data_Entry!$AS$3:$AS$430,"Materials")</f>
        <v>3</v>
      </c>
      <c r="Q177">
        <f>IFERROR(COUNTIFS(LLM_Data_Entry!$AE$3:$AE$430,"YES",LLM_Data_Entry!$AS$3:$AS$430,"Materials")/P177,"")</f>
        <v>0.33333333333333331</v>
      </c>
      <c r="R177">
        <f>SUMIFS(LLM_Data_Entry!$AN$3:$AN$430,LLM_Data_Entry!$AS$3:$AS$430,"Materials")</f>
        <v>-2.2369999999999998E-3</v>
      </c>
    </row>
    <row r="178" spans="1:18" x14ac:dyDescent="0.2">
      <c r="A178" t="s">
        <v>2155</v>
      </c>
      <c r="B178">
        <f>COUNTIFS(Human_Data_Entry!$S$3:$S$524,"?*",Human_Data_Entry!$H$3:$H$524,"Human",Human_Data_Entry!$AZ$3:$AZ$524,"unassigned")</f>
        <v>6</v>
      </c>
      <c r="C178">
        <f>COUNTIFS(Human_Data_Entry!$S$3:$S$524,"YES",Human_Data_Entry!$H$3:$H$524,"Human",Human_Data_Entry!$AZ$3:$AZ$524,"unassigned")</f>
        <v>3</v>
      </c>
      <c r="D178">
        <f t="shared" si="15"/>
        <v>0.5</v>
      </c>
      <c r="E178">
        <f>COUNTIFS(Human_Data_Entry!$J$3:$J$524,"BUY",Human_Data_Entry!$S$3:$S$524,"?*",Human_Data_Entry!$H$3:$H$524,"Human",Human_Data_Entry!$AZ$3:$AZ$524,"unassigned")+COUNTIFS(Human_Data_Entry!$J$3:$J$524,"SELL",Human_Data_Entry!$S$3:$S$524,"?*",Human_Data_Entry!$H$3:$H$524,"Human",Human_Data_Entry!$AZ$3:$AZ$524,"unassigned")</f>
        <v>4</v>
      </c>
      <c r="F178">
        <f>SUMIFS(Human_Data_Entry!$AT$3:$AT$524,Human_Data_Entry!$AZ$3:$AZ$524,"unassigned")</f>
        <v>-7.9000000000000008E-3</v>
      </c>
      <c r="G178">
        <f t="shared" si="16"/>
        <v>0.16952789699571302</v>
      </c>
      <c r="H178">
        <f>COUNTIFS(LLM_Data_Entry!$R$3:$R$430,"?*",LLM_Data_Entry!$AS$3:$AS$430,"unassigned")</f>
        <v>2</v>
      </c>
      <c r="I178">
        <f>COUNTIFS(LLM_Data_Entry!$R$3:$R$430,"YES",LLM_Data_Entry!$AS$3:$AS$430,"unassigned")</f>
        <v>0</v>
      </c>
      <c r="J178">
        <f t="shared" si="17"/>
        <v>0</v>
      </c>
      <c r="K178">
        <f>COUNTIFS(LLM_Data_Entry!$H$3:$H$430,"BUY",LLM_Data_Entry!$R$3:$R$430,"?*",LLM_Data_Entry!$AS$3:$AS$430,"unassigned")+COUNTIFS(LLM_Data_Entry!$H$3:$H$430,"SELL",LLM_Data_Entry!$R$3:$R$430,"?*",LLM_Data_Entry!$AS$3:$AS$430,"unassigned")</f>
        <v>0</v>
      </c>
      <c r="L178">
        <f>SUMIFS(LLM_Data_Entry!$AM$3:$AM$430,LLM_Data_Entry!$AS$3:$AS$430,"unassigned")</f>
        <v>0</v>
      </c>
      <c r="M178">
        <f>COUNTIFS(Human_Data_Entry!$AJ$3:$AJ$524,"?*",Human_Data_Entry!$H$3:$H$524,"Human",Human_Data_Entry!$AZ$3:$AZ$524,"unassigned")</f>
        <v>6</v>
      </c>
      <c r="N178">
        <f>IFERROR(COUNTIFS(Human_Data_Entry!$AJ$3:$AJ$524,"YES",Human_Data_Entry!$H$3:$H$524,"Human",Human_Data_Entry!$AZ$3:$AZ$524,"unassigned")/M178,"")</f>
        <v>0.16666666666666666</v>
      </c>
      <c r="O178">
        <f>SUMIFS(Human_Data_Entry!$AU$3:$AU$524,Human_Data_Entry!$AZ$3:$AZ$524,"unassigned")</f>
        <v>-6.0974999999999994E-2</v>
      </c>
      <c r="P178">
        <f>COUNTIFS(LLM_Data_Entry!$AE$3:$AE$430,"?*",LLM_Data_Entry!$AS$3:$AS$430,"unassigned")</f>
        <v>0</v>
      </c>
      <c r="Q178" t="str">
        <f>IFERROR(COUNTIFS(LLM_Data_Entry!$AE$3:$AE$430,"YES",LLM_Data_Entry!$AS$3:$AS$430,"unassigned")/P178,"")</f>
        <v/>
      </c>
      <c r="R178">
        <f>SUMIFS(LLM_Data_Entry!$AN$3:$AN$430,LLM_Data_Entry!$AS$3:$AS$430,"unassigned")</f>
        <v>0</v>
      </c>
    </row>
    <row r="179" spans="1:18" x14ac:dyDescent="0.2">
      <c r="A179" t="s">
        <v>2156</v>
      </c>
      <c r="B179">
        <f>COUNTIFS(Human_Data_Entry!$S$3:$S$524,"?*",Human_Data_Entry!$H$3:$H$524,"Human")</f>
        <v>420</v>
      </c>
      <c r="C179">
        <f>COUNTIFS(Human_Data_Entry!$S$3:$S$524,"YES",Human_Data_Entry!$H$3:$H$524,"Human")</f>
        <v>156</v>
      </c>
      <c r="D179">
        <f t="shared" si="15"/>
        <v>0.37142857142857144</v>
      </c>
      <c r="E179">
        <f>COUNTIFS(Human_Data_Entry!$J$3:$J$524,"BUY",Human_Data_Entry!$S$3:$S$524,"?*",Human_Data_Entry!$H$3:$H$524,"Human")+COUNTIFS(Human_Data_Entry!$J$3:$J$524,"SELL",Human_Data_Entry!$S$3:$S$524,"?*",Human_Data_Entry!$H$3:$H$524,"Human")</f>
        <v>306</v>
      </c>
      <c r="F179">
        <f>SUM(Human_Data_Entry!$AT$3:$AT$524)</f>
        <v>-4.6599999999998663E-2</v>
      </c>
      <c r="G179">
        <f t="shared" si="16"/>
        <v>1</v>
      </c>
      <c r="H179">
        <f>COUNTIFS(LLM_Data_Entry!$R$3:$R$430,"?*")</f>
        <v>270</v>
      </c>
      <c r="I179">
        <f>COUNTIFS(LLM_Data_Entry!$R$3:$R$430,"YES")</f>
        <v>114</v>
      </c>
      <c r="J179">
        <f t="shared" si="17"/>
        <v>0.42222222222222222</v>
      </c>
      <c r="K179">
        <f>COUNTIFS(LLM_Data_Entry!$H$3:$H$430,"BUY",LLM_Data_Entry!$R$3:$R$430,"?*")+COUNTIFS(LLM_Data_Entry!$H$3:$H$430,"SELL",LLM_Data_Entry!$R$3:$R$430,"?*")</f>
        <v>171</v>
      </c>
      <c r="L179">
        <f>SUM(LLM_Data_Entry!$AM$3:$AM$430)</f>
        <v>3.3746929999999997</v>
      </c>
      <c r="M179">
        <f>COUNTIFS(Human_Data_Entry!$AJ$3:$AJ$524,"?*",Human_Data_Entry!$H$3:$H$524,"Human")</f>
        <v>400</v>
      </c>
      <c r="N179">
        <f>IFERROR(COUNTIFS(Human_Data_Entry!$AJ$3:$AJ$524,"YES",Human_Data_Entry!$H$3:$H$524,"Human")/M179,"")</f>
        <v>0.38750000000000001</v>
      </c>
      <c r="O179">
        <f>SUM(Human_Data_Entry!$AU$3:$AU$524)</f>
        <v>0.50416999999999967</v>
      </c>
      <c r="P179">
        <f>COUNTIFS(LLM_Data_Entry!$AE$3:$AE$430,"?*")</f>
        <v>268</v>
      </c>
      <c r="Q179">
        <f>IFERROR(COUNTIFS(LLM_Data_Entry!$AE$3:$AE$430,"YES")/P179,"")</f>
        <v>0.41417910447761191</v>
      </c>
      <c r="R179">
        <f>SUM(LLM_Data_Entry!$AN$3:$AN$430)</f>
        <v>3.540875999999999</v>
      </c>
    </row>
    <row r="180" spans="1:18" x14ac:dyDescent="0.2">
      <c r="A180" t="s">
        <v>2157</v>
      </c>
      <c r="B180" t="str">
        <f>IF(SUM(B168:B178)=B179,"OK","MISMATCH")</f>
        <v>OK</v>
      </c>
      <c r="H180" t="str">
        <f>IF(SUM(H168:H178)=H179,"OK","MISMATCH")</f>
        <v>OK</v>
      </c>
      <c r="M180" t="str">
        <f>IF(SUM(M168:M178)=M179,"OK","MISMATCH")</f>
        <v>OK</v>
      </c>
      <c r="P180" t="str">
        <f>IF(SUM(P168:P178)=P179,"OK","MISMATCH")</f>
        <v>OK</v>
      </c>
    </row>
    <row r="182" spans="1:18" x14ac:dyDescent="0.2">
      <c r="A182" t="s">
        <v>2158</v>
      </c>
    </row>
    <row r="183" spans="1:18" x14ac:dyDescent="0.2">
      <c r="A183" t="s">
        <v>2159</v>
      </c>
    </row>
    <row r="185" spans="1:18" x14ac:dyDescent="0.2">
      <c r="A185" t="s">
        <v>2160</v>
      </c>
      <c r="B185" t="s">
        <v>2161</v>
      </c>
      <c r="C185" t="s">
        <v>2162</v>
      </c>
      <c r="D185" t="s">
        <v>2163</v>
      </c>
      <c r="E185" t="s">
        <v>2164</v>
      </c>
    </row>
    <row r="186" spans="1:18" x14ac:dyDescent="0.2">
      <c r="A186" t="s">
        <v>2165</v>
      </c>
      <c r="B186">
        <f>IFERROR(COUNTIFS(Human_Data_Entry!$R$3:$R$524,"UP",Human_Data_Entry!$H$3:$H$524,"Human")/(COUNTIFS(Human_Data_Entry!$R$3:$R$524,"UP",Human_Data_Entry!$H$3:$H$524,"Human")+COUNTIFS(Human_Data_Entry!$R$3:$R$524,"DOWN",Human_Data_Entry!$H$3:$H$524,"Human")+COUNTIFS(Human_Data_Entry!$R$3:$R$524,"FLAT",Human_Data_Entry!$H$3:$H$524,"Human")),"")</f>
        <v>0.22142857142857142</v>
      </c>
      <c r="C186">
        <f>IFERROR(COUNTIFS(Human_Data_Entry!$AI$3:$AI$524,"UP",Human_Data_Entry!$H$3:$H$524,"Human")/(COUNTIFS(Human_Data_Entry!$AI$3:$AI$524,"UP",Human_Data_Entry!$H$3:$H$524,"Human")+COUNTIFS(Human_Data_Entry!$AI$3:$AI$524,"DOWN",Human_Data_Entry!$H$3:$H$524,"Human")+COUNTIFS(Human_Data_Entry!$AI$3:$AI$524,"FLAT",Human_Data_Entry!$H$3:$H$524,"Human")),"")</f>
        <v>0.28000000000000003</v>
      </c>
      <c r="D186">
        <f>IFERROR(COUNTIFS(LLM_Data_Entry!$Q$3:$Q$430,"UP")/(COUNTIFS(LLM_Data_Entry!$Q$3:$Q$430,"UP")+COUNTIFS(LLM_Data_Entry!$Q$3:$Q$430,"DOWN")+COUNTIFS(LLM_Data_Entry!$Q$3:$Q$430,"FLAT")),"")</f>
        <v>0.31111111111111112</v>
      </c>
      <c r="E186">
        <f>IFERROR(COUNTIFS(LLM_Data_Entry!$AD$3:$AD$430,"UP")/(COUNTIFS(LLM_Data_Entry!$AD$3:$AD$430,"UP")+COUNTIFS(LLM_Data_Entry!$AD$3:$AD$430,"DOWN")+COUNTIFS(LLM_Data_Entry!$AD$3:$AD$430,"FLAT")),"")</f>
        <v>0.32835820895522388</v>
      </c>
    </row>
    <row r="187" spans="1:18" x14ac:dyDescent="0.2">
      <c r="A187" t="s">
        <v>2166</v>
      </c>
      <c r="B187">
        <f>IFERROR(COUNTIFS(Human_Data_Entry!$R$3:$R$524,"DOWN",Human_Data_Entry!$H$3:$H$524,"Human")/(COUNTIFS(Human_Data_Entry!$R$3:$R$524,"UP",Human_Data_Entry!$H$3:$H$524,"Human")+COUNTIFS(Human_Data_Entry!$R$3:$R$524,"DOWN",Human_Data_Entry!$H$3:$H$524,"Human")+COUNTIFS(Human_Data_Entry!$R$3:$R$524,"FLAT",Human_Data_Entry!$H$3:$H$524,"Human")),"")</f>
        <v>0.27857142857142858</v>
      </c>
      <c r="C187">
        <f>IFERROR(COUNTIFS(Human_Data_Entry!$AI$3:$AI$524,"DOWN",Human_Data_Entry!$H$3:$H$524,"Human")/(COUNTIFS(Human_Data_Entry!$AI$3:$AI$524,"UP",Human_Data_Entry!$H$3:$H$524,"Human")+COUNTIFS(Human_Data_Entry!$AI$3:$AI$524,"DOWN",Human_Data_Entry!$H$3:$H$524,"Human")+COUNTIFS(Human_Data_Entry!$AI$3:$AI$524,"FLAT",Human_Data_Entry!$H$3:$H$524,"Human")),"")</f>
        <v>0.32500000000000001</v>
      </c>
      <c r="D187">
        <f>IFERROR(COUNTIFS(LLM_Data_Entry!$Q$3:$Q$430,"DOWN")/(COUNTIFS(LLM_Data_Entry!$Q$3:$Q$430,"UP")+COUNTIFS(LLM_Data_Entry!$Q$3:$Q$430,"DOWN")+COUNTIFS(LLM_Data_Entry!$Q$3:$Q$430,"FLAT")),"")</f>
        <v>0.34444444444444444</v>
      </c>
      <c r="E187">
        <f>IFERROR(COUNTIFS(LLM_Data_Entry!$AD$3:$AD$430,"DOWN")/(COUNTIFS(LLM_Data_Entry!$AD$3:$AD$430,"UP")+COUNTIFS(LLM_Data_Entry!$AD$3:$AD$430,"DOWN")+COUNTIFS(LLM_Data_Entry!$AD$3:$AD$430,"FLAT")),"")</f>
        <v>0.35820895522388058</v>
      </c>
    </row>
    <row r="188" spans="1:18" x14ac:dyDescent="0.2">
      <c r="A188" t="s">
        <v>2167</v>
      </c>
      <c r="B188">
        <f>IFERROR(COUNTIFS(Human_Data_Entry!$R$3:$R$524,"FLAT",Human_Data_Entry!$H$3:$H$524,"Human")/(COUNTIFS(Human_Data_Entry!$R$3:$R$524,"UP",Human_Data_Entry!$H$3:$H$524,"Human")+COUNTIFS(Human_Data_Entry!$R$3:$R$524,"DOWN",Human_Data_Entry!$H$3:$H$524,"Human")+COUNTIFS(Human_Data_Entry!$R$3:$R$524,"FLAT",Human_Data_Entry!$H$3:$H$524,"Human")),"")</f>
        <v>0.5</v>
      </c>
      <c r="C188">
        <f>IFERROR(COUNTIFS(Human_Data_Entry!$AI$3:$AI$524,"FLAT",Human_Data_Entry!$H$3:$H$524,"Human")/(COUNTIFS(Human_Data_Entry!$AI$3:$AI$524,"UP",Human_Data_Entry!$H$3:$H$524,"Human")+COUNTIFS(Human_Data_Entry!$AI$3:$AI$524,"DOWN",Human_Data_Entry!$H$3:$H$524,"Human")+COUNTIFS(Human_Data_Entry!$AI$3:$AI$524,"FLAT",Human_Data_Entry!$H$3:$H$524,"Human")),"")</f>
        <v>0.39500000000000002</v>
      </c>
      <c r="D188">
        <f>IFERROR(COUNTIFS(LLM_Data_Entry!$Q$3:$Q$430,"FLAT")/(COUNTIFS(LLM_Data_Entry!$Q$3:$Q$430,"UP")+COUNTIFS(LLM_Data_Entry!$Q$3:$Q$430,"DOWN")+COUNTIFS(LLM_Data_Entry!$Q$3:$Q$430,"FLAT")),"")</f>
        <v>0.34444444444444444</v>
      </c>
      <c r="E188">
        <f>IFERROR(COUNTIFS(LLM_Data_Entry!$AD$3:$AD$430,"FLAT")/(COUNTIFS(LLM_Data_Entry!$AD$3:$AD$430,"UP")+COUNTIFS(LLM_Data_Entry!$AD$3:$AD$430,"DOWN")+COUNTIFS(LLM_Data_Entry!$AD$3:$AD$430,"FLAT")),"")</f>
        <v>0.31343283582089554</v>
      </c>
    </row>
    <row r="189" spans="1:18" x14ac:dyDescent="0.2">
      <c r="A189" t="s">
        <v>2168</v>
      </c>
      <c r="B189">
        <f>MAX(B186:B188)</f>
        <v>0.5</v>
      </c>
      <c r="C189">
        <f>MAX(C186:C188)</f>
        <v>0.39500000000000002</v>
      </c>
      <c r="D189">
        <f>MAX(D186:D188)</f>
        <v>0.34444444444444444</v>
      </c>
      <c r="E189">
        <f>MAX(E186:E188)</f>
        <v>0.35820895522388058</v>
      </c>
    </row>
    <row r="190" spans="1:18" x14ac:dyDescent="0.2">
      <c r="A190" t="s">
        <v>2169</v>
      </c>
      <c r="B190">
        <f>COUNTIFS(Human_Data_Entry!$R$3:$R$524,"UP",Human_Data_Entry!$H$3:$H$524,"Human")+COUNTIFS(Human_Data_Entry!$R$3:$R$524,"DOWN",Human_Data_Entry!$H$3:$H$524,"Human")+COUNTIFS(Human_Data_Entry!$R$3:$R$524,"FLAT",Human_Data_Entry!$H$3:$H$524,"Human")</f>
        <v>420</v>
      </c>
      <c r="C190">
        <f>COUNTIFS(Human_Data_Entry!$AI$3:$AI$524,"UP",Human_Data_Entry!$H$3:$H$524,"Human")+COUNTIFS(Human_Data_Entry!$AI$3:$AI$524,"DOWN",Human_Data_Entry!$H$3:$H$524,"Human")+COUNTIFS(Human_Data_Entry!$AI$3:$AI$524,"FLAT",Human_Data_Entry!$H$3:$H$524,"Human")</f>
        <v>400</v>
      </c>
      <c r="D190">
        <f>COUNTIFS(LLM_Data_Entry!$Q$3:$Q$430,"UP")+COUNTIFS(LLM_Data_Entry!$Q$3:$Q$430,"DOWN")+COUNTIFS(LLM_Data_Entry!$Q$3:$Q$430,"FLAT")</f>
        <v>270</v>
      </c>
      <c r="E190">
        <f>COUNTIFS(LLM_Data_Entry!$AD$3:$AD$430,"UP")+COUNTIFS(LLM_Data_Entry!$AD$3:$AD$430,"DOWN")+COUNTIFS(LLM_Data_Entry!$AD$3:$AD$430,"FLAT")</f>
        <v>268</v>
      </c>
    </row>
    <row r="191" spans="1:18" x14ac:dyDescent="0.2">
      <c r="A191" t="s">
        <v>2170</v>
      </c>
      <c r="B191">
        <f>IFERROR(COUNTIFS(Human_Data_Entry!$S$3:$S$524,"YES",Human_Data_Entry!$H$3:$H$524,"Human")/COUNTIFS(Human_Data_Entry!$S$3:$S$524,"?*",Human_Data_Entry!$H$3:$H$524,"Human"),"")</f>
        <v>0.37142857142857144</v>
      </c>
      <c r="C191">
        <f>IFERROR(COUNTIFS(Human_Data_Entry!$AJ$3:$AJ$524,"YES",Human_Data_Entry!$H$3:$H$524,"Human")/COUNTIFS(Human_Data_Entry!$AJ$3:$AJ$524,"?*",Human_Data_Entry!$H$3:$H$524,"Human"),"")</f>
        <v>0.38750000000000001</v>
      </c>
      <c r="D191">
        <f>IFERROR(COUNTIFS(LLM_Data_Entry!$R$3:$R$430,"YES")/COUNTIFS(LLM_Data_Entry!$R$3:$R$430,"?*"),"")</f>
        <v>0.42222222222222222</v>
      </c>
      <c r="E191">
        <f>IFERROR(COUNTIFS(LLM_Data_Entry!$AE$3:$AE$430,"YES")/COUNTIFS(LLM_Data_Entry!$AE$3:$AE$430,"?*"),"")</f>
        <v>0.41417910447761191</v>
      </c>
    </row>
    <row r="192" spans="1:18" x14ac:dyDescent="0.2">
      <c r="A192" t="s">
        <v>2171</v>
      </c>
      <c r="B192">
        <f>(B191-B189)*100</f>
        <v>-12.857142857142856</v>
      </c>
      <c r="C192">
        <f>(C191-C189)*100</f>
        <v>-0.75000000000000067</v>
      </c>
      <c r="D192">
        <f>(D191-D189)*100</f>
        <v>7.7777777777777777</v>
      </c>
      <c r="E192">
        <f>(E191-E189)*100</f>
        <v>5.5970149253731343</v>
      </c>
    </row>
    <row r="194" spans="1:9" x14ac:dyDescent="0.2">
      <c r="A194" t="s">
        <v>2172</v>
      </c>
    </row>
    <row r="195" spans="1:9" x14ac:dyDescent="0.2">
      <c r="A195" t="s">
        <v>2173</v>
      </c>
    </row>
    <row r="197" spans="1:9" x14ac:dyDescent="0.2">
      <c r="A197" t="s">
        <v>466</v>
      </c>
      <c r="B197" t="s">
        <v>2120</v>
      </c>
      <c r="C197" t="s">
        <v>2122</v>
      </c>
      <c r="D197" t="s">
        <v>2132</v>
      </c>
      <c r="E197" t="s">
        <v>2126</v>
      </c>
      <c r="F197" t="s">
        <v>2128</v>
      </c>
      <c r="G197" t="s">
        <v>2135</v>
      </c>
    </row>
    <row r="198" spans="1:9" x14ac:dyDescent="0.2">
      <c r="A198">
        <v>2023</v>
      </c>
      <c r="B198">
        <f>COUNTIFS(Human_Data_Entry!$S$3:$S$524,"?*",Human_Data_Entry!$H$3:$H$524,"Human",Human_Data_Entry!$C$3:$C$524,2023)</f>
        <v>16</v>
      </c>
      <c r="C198">
        <f>IFERROR(COUNTIFS(Human_Data_Entry!$S$3:$S$524,"YES",Human_Data_Entry!$H$3:$H$524,"Human",Human_Data_Entry!$C$3:$C$524,2023)/B198,"")</f>
        <v>0.75</v>
      </c>
      <c r="D198">
        <f>IFERROR(COUNTIFS(Human_Data_Entry!$AJ$3:$AJ$524,"YES",Human_Data_Entry!$H$3:$H$524,"Human",Human_Data_Entry!$C$3:$C$524,2023)/COUNTIFS(Human_Data_Entry!$AJ$3:$AJ$524,"?*",Human_Data_Entry!$H$3:$H$524,"Human",Human_Data_Entry!$C$3:$C$524,2023),"")</f>
        <v>0.75</v>
      </c>
      <c r="E198">
        <f>COUNTIFS(LLM_Data_Entry!$R$3:$R$430,"?*",LLM_Data_Entry!$C$3:$C$430,2023)</f>
        <v>4</v>
      </c>
      <c r="F198">
        <f>IFERROR(COUNTIFS(LLM_Data_Entry!$R$3:$R$430,"YES",LLM_Data_Entry!$C$3:$C$430,2023)/E198,"")</f>
        <v>0</v>
      </c>
      <c r="G198">
        <f>IFERROR(COUNTIFS(LLM_Data_Entry!$AE$3:$AE$430,"YES",LLM_Data_Entry!$C$3:$C$430,2023)/COUNTIFS(LLM_Data_Entry!$AE$3:$AE$430,"?*",LLM_Data_Entry!$C$3:$C$430,2023),"")</f>
        <v>0</v>
      </c>
    </row>
    <row r="199" spans="1:9" x14ac:dyDescent="0.2">
      <c r="A199">
        <v>2024</v>
      </c>
      <c r="B199">
        <f>COUNTIFS(Human_Data_Entry!$S$3:$S$524,"?*",Human_Data_Entry!$H$3:$H$524,"Human",Human_Data_Entry!$C$3:$C$524,2024)</f>
        <v>26</v>
      </c>
      <c r="C199">
        <f>IFERROR(COUNTIFS(Human_Data_Entry!$S$3:$S$524,"YES",Human_Data_Entry!$H$3:$H$524,"Human",Human_Data_Entry!$C$3:$C$524,2024)/B199,"")</f>
        <v>0.42307692307692307</v>
      </c>
      <c r="D199">
        <f>IFERROR(COUNTIFS(Human_Data_Entry!$AJ$3:$AJ$524,"YES",Human_Data_Entry!$H$3:$H$524,"Human",Human_Data_Entry!$C$3:$C$524,2024)/COUNTIFS(Human_Data_Entry!$AJ$3:$AJ$524,"?*",Human_Data_Entry!$H$3:$H$524,"Human",Human_Data_Entry!$C$3:$C$524,2024),"")</f>
        <v>0.46153846153846156</v>
      </c>
      <c r="E199">
        <f>COUNTIFS(LLM_Data_Entry!$R$3:$R$430,"?*",LLM_Data_Entry!$C$3:$C$430,2024)</f>
        <v>11</v>
      </c>
      <c r="F199">
        <f>IFERROR(COUNTIFS(LLM_Data_Entry!$R$3:$R$430,"YES",LLM_Data_Entry!$C$3:$C$430,2024)/E199,"")</f>
        <v>0.63636363636363635</v>
      </c>
      <c r="G199">
        <f>IFERROR(COUNTIFS(LLM_Data_Entry!$AE$3:$AE$430,"YES",LLM_Data_Entry!$C$3:$C$430,2024)/COUNTIFS(LLM_Data_Entry!$AE$3:$AE$430,"?*",LLM_Data_Entry!$C$3:$C$430,2024),"")</f>
        <v>0.63636363636363635</v>
      </c>
    </row>
    <row r="200" spans="1:9" x14ac:dyDescent="0.2">
      <c r="A200">
        <v>2025</v>
      </c>
      <c r="B200">
        <f>COUNTIFS(Human_Data_Entry!$S$3:$S$524,"?*",Human_Data_Entry!$H$3:$H$524,"Human",Human_Data_Entry!$C$3:$C$524,2025)</f>
        <v>283</v>
      </c>
      <c r="C200">
        <f>IFERROR(COUNTIFS(Human_Data_Entry!$S$3:$S$524,"YES",Human_Data_Entry!$H$3:$H$524,"Human",Human_Data_Entry!$C$3:$C$524,2025)/B200,"")</f>
        <v>0.35335689045936397</v>
      </c>
      <c r="D200">
        <f>IFERROR(COUNTIFS(Human_Data_Entry!$AJ$3:$AJ$524,"YES",Human_Data_Entry!$H$3:$H$524,"Human",Human_Data_Entry!$C$3:$C$524,2025)/COUNTIFS(Human_Data_Entry!$AJ$3:$AJ$524,"?*",Human_Data_Entry!$H$3:$H$524,"Human",Human_Data_Entry!$C$3:$C$524,2025),"")</f>
        <v>0.36882129277566539</v>
      </c>
      <c r="E200">
        <f>COUNTIFS(LLM_Data_Entry!$R$3:$R$430,"?*",LLM_Data_Entry!$C$3:$C$430,2025)</f>
        <v>190</v>
      </c>
      <c r="F200">
        <f>IFERROR(COUNTIFS(LLM_Data_Entry!$R$3:$R$430,"YES",LLM_Data_Entry!$C$3:$C$430,2025)/E200,"")</f>
        <v>0.41052631578947368</v>
      </c>
      <c r="G200">
        <f>IFERROR(COUNTIFS(LLM_Data_Entry!$AE$3:$AE$430,"YES",LLM_Data_Entry!$C$3:$C$430,2025)/COUNTIFS(LLM_Data_Entry!$AE$3:$AE$430,"?*",LLM_Data_Entry!$C$3:$C$430,2025),"")</f>
        <v>0.41489361702127658</v>
      </c>
    </row>
    <row r="201" spans="1:9" x14ac:dyDescent="0.2">
      <c r="A201">
        <v>2026</v>
      </c>
      <c r="B201">
        <f>COUNTIFS(Human_Data_Entry!$S$3:$S$524,"?*",Human_Data_Entry!$H$3:$H$524,"Human",Human_Data_Entry!$C$3:$C$524,2026)</f>
        <v>95</v>
      </c>
      <c r="C201">
        <f>IFERROR(COUNTIFS(Human_Data_Entry!$S$3:$S$524,"YES",Human_Data_Entry!$H$3:$H$524,"Human",Human_Data_Entry!$C$3:$C$524,2026)/B201,"")</f>
        <v>0.3473684210526316</v>
      </c>
      <c r="D201">
        <f>IFERROR(COUNTIFS(Human_Data_Entry!$AJ$3:$AJ$524,"YES",Human_Data_Entry!$H$3:$H$524,"Human",Human_Data_Entry!$C$3:$C$524,2026)/COUNTIFS(Human_Data_Entry!$AJ$3:$AJ$524,"?*",Human_Data_Entry!$H$3:$H$524,"Human",Human_Data_Entry!$C$3:$C$524,2026),"")</f>
        <v>0.35789473684210527</v>
      </c>
      <c r="E201">
        <f>COUNTIFS(LLM_Data_Entry!$R$3:$R$430,"?*",LLM_Data_Entry!$C$3:$C$430,2026)</f>
        <v>65</v>
      </c>
      <c r="F201">
        <f>IFERROR(COUNTIFS(LLM_Data_Entry!$R$3:$R$430,"YES",LLM_Data_Entry!$C$3:$C$430,2026)/E201,"")</f>
        <v>0.44615384615384618</v>
      </c>
      <c r="G201">
        <f>IFERROR(COUNTIFS(LLM_Data_Entry!$AE$3:$AE$430,"YES",LLM_Data_Entry!$C$3:$C$430,2026)/COUNTIFS(LLM_Data_Entry!$AE$3:$AE$430,"?*",LLM_Data_Entry!$C$3:$C$430,2026),"")</f>
        <v>0.4</v>
      </c>
    </row>
    <row r="203" spans="1:9" x14ac:dyDescent="0.2">
      <c r="A203" t="s">
        <v>2174</v>
      </c>
    </row>
    <row r="204" spans="1:9" x14ac:dyDescent="0.2">
      <c r="A204" t="s">
        <v>2175</v>
      </c>
    </row>
    <row r="206" spans="1:9" x14ac:dyDescent="0.2">
      <c r="A206" t="s">
        <v>2176</v>
      </c>
      <c r="B206" t="s">
        <v>2120</v>
      </c>
      <c r="C206" t="s">
        <v>2122</v>
      </c>
      <c r="D206" t="s">
        <v>2131</v>
      </c>
      <c r="E206" t="s">
        <v>2132</v>
      </c>
      <c r="F206" t="s">
        <v>2126</v>
      </c>
      <c r="G206" t="s">
        <v>2128</v>
      </c>
      <c r="H206" t="s">
        <v>2134</v>
      </c>
      <c r="I206" t="s">
        <v>2135</v>
      </c>
    </row>
    <row r="207" spans="1:9" x14ac:dyDescent="0.2">
      <c r="A207" t="s">
        <v>2177</v>
      </c>
      <c r="B207">
        <f>COUNTIFS(Human_Data_Entry!$S$3:$S$524,"?*",Human_Data_Entry!$H$3:$H$524,"Human",Human_Data_Entry!$Q$3:$Q$524,"&gt;=0",Human_Data_Entry!$Q$3:$Q$524,"&lt;0.01")+COUNTIFS(Human_Data_Entry!$S$3:$S$524,"?*",Human_Data_Entry!$H$3:$H$524,"Human",Human_Data_Entry!$Q$3:$Q$524,"&lt;0",Human_Data_Entry!$Q$3:$Q$524,"&gt;-0.01")</f>
        <v>145</v>
      </c>
      <c r="C207">
        <f>IFERROR((COUNTIFS(Human_Data_Entry!$S$3:$S$524,"YES",Human_Data_Entry!$H$3:$H$524,"Human",Human_Data_Entry!$Q$3:$Q$524,"&gt;=0",Human_Data_Entry!$Q$3:$Q$524,"&lt;0.01")+COUNTIFS(Human_Data_Entry!$S$3:$S$524,"YES",Human_Data_Entry!$H$3:$H$524,"Human",Human_Data_Entry!$Q$3:$Q$524,"&lt;0",Human_Data_Entry!$Q$3:$Q$524,"&gt;-0.01"))/B207,"")</f>
        <v>0.36551724137931035</v>
      </c>
      <c r="D207">
        <f>COUNTIFS(Human_Data_Entry!$AJ$3:$AJ$524,"?*",Human_Data_Entry!$H$3:$H$524,"Human",Human_Data_Entry!$AH$3:$AH$524,"&gt;=0",Human_Data_Entry!$AH$3:$AH$524,"&lt;0.01")+COUNTIFS(Human_Data_Entry!$AJ$3:$AJ$524,"?*",Human_Data_Entry!$H$3:$H$524,"Human",Human_Data_Entry!$AH$3:$AH$524,"&lt;0",Human_Data_Entry!$AH$3:$AH$524,"&gt;-0.01")</f>
        <v>77</v>
      </c>
      <c r="E207">
        <f>IFERROR((COUNTIFS(Human_Data_Entry!$AJ$3:$AJ$524,"YES",Human_Data_Entry!$H$3:$H$524,"Human",Human_Data_Entry!$AH$3:$AH$524,"&gt;=0",Human_Data_Entry!$AH$3:$AH$524,"&lt;0.01")+COUNTIFS(Human_Data_Entry!$AJ$3:$AJ$524,"YES",Human_Data_Entry!$H$3:$H$524,"Human",Human_Data_Entry!$AH$3:$AH$524,"&lt;0",Human_Data_Entry!$AH$3:$AH$524,"&gt;-0.01"))/D207,"")</f>
        <v>0.33766233766233766</v>
      </c>
      <c r="F207">
        <f>COUNTIFS(LLM_Data_Entry!$R$3:$R$430,"?*",LLM_Data_Entry!$P$3:$P$430,"&gt;=0",LLM_Data_Entry!$P$3:$P$430,"&lt;0.01")+COUNTIFS(LLM_Data_Entry!$R$3:$R$430,"?*",LLM_Data_Entry!$P$3:$P$430,"&lt;0",LLM_Data_Entry!$P$3:$P$430,"&gt;-0.01")</f>
        <v>51</v>
      </c>
      <c r="G207">
        <f>IFERROR((COUNTIFS(LLM_Data_Entry!$R$3:$R$430,"YES",LLM_Data_Entry!$P$3:$P$430,"&gt;=0",LLM_Data_Entry!$P$3:$P$430,"&lt;0.01")+COUNTIFS(LLM_Data_Entry!$R$3:$R$430,"YES",LLM_Data_Entry!$P$3:$P$430,"&lt;0",LLM_Data_Entry!$P$3:$P$430,"&gt;-0.01"))/F207,"")</f>
        <v>0.45098039215686275</v>
      </c>
      <c r="H207">
        <f>COUNTIFS(LLM_Data_Entry!$AE$3:$AE$430,"?*",LLM_Data_Entry!$AC$3:$AC$430,"&gt;=0",LLM_Data_Entry!$AC$3:$AC$430,"&lt;0.01")+COUNTIFS(LLM_Data_Entry!$AE$3:$AE$430,"?*",LLM_Data_Entry!$AC$3:$AC$430,"&lt;0",LLM_Data_Entry!$AC$3:$AC$430,"&gt;-0.01")</f>
        <v>46</v>
      </c>
      <c r="I207">
        <f>IFERROR((COUNTIFS(LLM_Data_Entry!$AE$3:$AE$430,"YES",LLM_Data_Entry!$AC$3:$AC$430,"&gt;=0",LLM_Data_Entry!$AC$3:$AC$430,"&lt;0.01")+COUNTIFS(LLM_Data_Entry!$AE$3:$AE$430,"YES",LLM_Data_Entry!$AC$3:$AC$430,"&lt;0",LLM_Data_Entry!$AC$3:$AC$430,"&gt;-0.01"))/H207,"")</f>
        <v>0.41304347826086957</v>
      </c>
    </row>
    <row r="208" spans="1:9" x14ac:dyDescent="0.2">
      <c r="A208" t="s">
        <v>2178</v>
      </c>
      <c r="B208">
        <f>COUNTIFS(Human_Data_Entry!$S$3:$S$524,"?*",Human_Data_Entry!$H$3:$H$524,"Human",Human_Data_Entry!$Q$3:$Q$524,"&gt;=0.01",Human_Data_Entry!$Q$3:$Q$524,"&lt;0.02")+COUNTIFS(Human_Data_Entry!$S$3:$S$524,"?*",Human_Data_Entry!$H$3:$H$524,"Human",Human_Data_Entry!$Q$3:$Q$524,"&lt;=-0.01",Human_Data_Entry!$Q$3:$Q$524,"&gt;-0.02")</f>
        <v>64</v>
      </c>
      <c r="C208">
        <f>IFERROR((COUNTIFS(Human_Data_Entry!$S$3:$S$524,"YES",Human_Data_Entry!$H$3:$H$524,"Human",Human_Data_Entry!$Q$3:$Q$524,"&gt;=0.01",Human_Data_Entry!$Q$3:$Q$524,"&lt;0.02")+COUNTIFS(Human_Data_Entry!$S$3:$S$524,"YES",Human_Data_Entry!$H$3:$H$524,"Human",Human_Data_Entry!$Q$3:$Q$524,"&lt;=-0.01",Human_Data_Entry!$Q$3:$Q$524,"&gt;-0.02"))/B208,"")</f>
        <v>0.3125</v>
      </c>
      <c r="D208">
        <f>COUNTIFS(Human_Data_Entry!$AJ$3:$AJ$524,"?*",Human_Data_Entry!$H$3:$H$524,"Human",Human_Data_Entry!$AH$3:$AH$524,"&gt;=0.01",Human_Data_Entry!$AH$3:$AH$524,"&lt;0.02")+COUNTIFS(Human_Data_Entry!$AJ$3:$AJ$524,"?*",Human_Data_Entry!$H$3:$H$524,"Human",Human_Data_Entry!$AH$3:$AH$524,"&lt;=-0.01",Human_Data_Entry!$AH$3:$AH$524,"&gt;-0.02")</f>
        <v>81</v>
      </c>
      <c r="E208">
        <f>IFERROR((COUNTIFS(Human_Data_Entry!$AJ$3:$AJ$524,"YES",Human_Data_Entry!$H$3:$H$524,"Human",Human_Data_Entry!$AH$3:$AH$524,"&gt;=0.01",Human_Data_Entry!$AH$3:$AH$524,"&lt;0.02")+COUNTIFS(Human_Data_Entry!$AJ$3:$AJ$524,"YES",Human_Data_Entry!$H$3:$H$524,"Human",Human_Data_Entry!$AH$3:$AH$524,"&lt;=-0.01",Human_Data_Entry!$AH$3:$AH$524,"&gt;-0.02"))/D208,"")</f>
        <v>0.40740740740740738</v>
      </c>
      <c r="F208">
        <f>COUNTIFS(LLM_Data_Entry!$R$3:$R$430,"?*",LLM_Data_Entry!$P$3:$P$430,"&gt;=0.01",LLM_Data_Entry!$P$3:$P$430,"&lt;0.02")+COUNTIFS(LLM_Data_Entry!$R$3:$R$430,"?*",LLM_Data_Entry!$P$3:$P$430,"&lt;=-0.01",LLM_Data_Entry!$P$3:$P$430,"&gt;-0.02")</f>
        <v>42</v>
      </c>
      <c r="G208">
        <f>IFERROR((COUNTIFS(LLM_Data_Entry!$R$3:$R$430,"YES",LLM_Data_Entry!$P$3:$P$430,"&gt;=0.01",LLM_Data_Entry!$P$3:$P$430,"&lt;0.02")+COUNTIFS(LLM_Data_Entry!$R$3:$R$430,"YES",LLM_Data_Entry!$P$3:$P$430,"&lt;=-0.01",LLM_Data_Entry!$P$3:$P$430,"&gt;-0.02"))/F208,"")</f>
        <v>0.33333333333333331</v>
      </c>
      <c r="H208">
        <f>COUNTIFS(LLM_Data_Entry!$AE$3:$AE$430,"?*",LLM_Data_Entry!$AC$3:$AC$430,"&gt;=0.01",LLM_Data_Entry!$AC$3:$AC$430,"&lt;0.02")+COUNTIFS(LLM_Data_Entry!$AE$3:$AE$430,"?*",LLM_Data_Entry!$AC$3:$AC$430,"&lt;=-0.01",LLM_Data_Entry!$AC$3:$AC$430,"&gt;-0.02")</f>
        <v>38</v>
      </c>
      <c r="I208">
        <f>IFERROR((COUNTIFS(LLM_Data_Entry!$AE$3:$AE$430,"YES",LLM_Data_Entry!$AC$3:$AC$430,"&gt;=0.01",LLM_Data_Entry!$AC$3:$AC$430,"&lt;0.02")+COUNTIFS(LLM_Data_Entry!$AE$3:$AE$430,"YES",LLM_Data_Entry!$AC$3:$AC$430,"&lt;=-0.01",LLM_Data_Entry!$AC$3:$AC$430,"&gt;-0.02"))/H208,"")</f>
        <v>0.34210526315789475</v>
      </c>
    </row>
    <row r="209" spans="1:9" x14ac:dyDescent="0.2">
      <c r="A209" t="s">
        <v>2179</v>
      </c>
      <c r="B209">
        <f>COUNTIFS(Human_Data_Entry!$S$3:$S$524,"?*",Human_Data_Entry!$H$3:$H$524,"Human",Human_Data_Entry!$Q$3:$Q$524,"&gt;=0.02",Human_Data_Entry!$Q$3:$Q$524,"&lt;0.05")+COUNTIFS(Human_Data_Entry!$S$3:$S$524,"?*",Human_Data_Entry!$H$3:$H$524,"Human",Human_Data_Entry!$Q$3:$Q$524,"&lt;=-0.02",Human_Data_Entry!$Q$3:$Q$524,"&gt;-0.05")</f>
        <v>95</v>
      </c>
      <c r="C209">
        <f>IFERROR((COUNTIFS(Human_Data_Entry!$S$3:$S$524,"YES",Human_Data_Entry!$H$3:$H$524,"Human",Human_Data_Entry!$Q$3:$Q$524,"&gt;=0.02",Human_Data_Entry!$Q$3:$Q$524,"&lt;0.05")+COUNTIFS(Human_Data_Entry!$S$3:$S$524,"YES",Human_Data_Entry!$H$3:$H$524,"Human",Human_Data_Entry!$Q$3:$Q$524,"&lt;=-0.02",Human_Data_Entry!$Q$3:$Q$524,"&gt;-0.05"))/B209,"")</f>
        <v>0.36842105263157893</v>
      </c>
      <c r="D209">
        <f>COUNTIFS(Human_Data_Entry!$AJ$3:$AJ$524,"?*",Human_Data_Entry!$H$3:$H$524,"Human",Human_Data_Entry!$AH$3:$AH$524,"&gt;=0.02",Human_Data_Entry!$AH$3:$AH$524,"&lt;0.05")+COUNTIFS(Human_Data_Entry!$AJ$3:$AJ$524,"?*",Human_Data_Entry!$H$3:$H$524,"Human",Human_Data_Entry!$AH$3:$AH$524,"&lt;=-0.02",Human_Data_Entry!$AH$3:$AH$524,"&gt;-0.05")</f>
        <v>116</v>
      </c>
      <c r="E209">
        <f>IFERROR((COUNTIFS(Human_Data_Entry!$AJ$3:$AJ$524,"YES",Human_Data_Entry!$H$3:$H$524,"Human",Human_Data_Entry!$AH$3:$AH$524,"&gt;=0.02",Human_Data_Entry!$AH$3:$AH$524,"&lt;0.05")+COUNTIFS(Human_Data_Entry!$AJ$3:$AJ$524,"YES",Human_Data_Entry!$H$3:$H$524,"Human",Human_Data_Entry!$AH$3:$AH$524,"&lt;=-0.02",Human_Data_Entry!$AH$3:$AH$524,"&gt;-0.05"))/D209,"")</f>
        <v>0.37068965517241381</v>
      </c>
      <c r="F209">
        <f>COUNTIFS(LLM_Data_Entry!$R$3:$R$430,"?*",LLM_Data_Entry!$P$3:$P$430,"&gt;=0.02",LLM_Data_Entry!$P$3:$P$430,"&lt;0.05")+COUNTIFS(LLM_Data_Entry!$R$3:$R$430,"?*",LLM_Data_Entry!$P$3:$P$430,"&lt;=-0.02",LLM_Data_Entry!$P$3:$P$430,"&gt;-0.05")</f>
        <v>79</v>
      </c>
      <c r="G209">
        <f>IFERROR((COUNTIFS(LLM_Data_Entry!$R$3:$R$430,"YES",LLM_Data_Entry!$P$3:$P$430,"&gt;=0.02",LLM_Data_Entry!$P$3:$P$430,"&lt;0.05")+COUNTIFS(LLM_Data_Entry!$R$3:$R$430,"YES",LLM_Data_Entry!$P$3:$P$430,"&lt;=-0.02",LLM_Data_Entry!$P$3:$P$430,"&gt;-0.05"))/F209,"")</f>
        <v>0.379746835443038</v>
      </c>
      <c r="H209">
        <f>COUNTIFS(LLM_Data_Entry!$AE$3:$AE$430,"?*",LLM_Data_Entry!$AC$3:$AC$430,"&gt;=0.02",LLM_Data_Entry!$AC$3:$AC$430,"&lt;0.05")+COUNTIFS(LLM_Data_Entry!$AE$3:$AE$430,"?*",LLM_Data_Entry!$AC$3:$AC$430,"&lt;=-0.02",LLM_Data_Entry!$AC$3:$AC$430,"&gt;-0.05")</f>
        <v>87</v>
      </c>
      <c r="I209">
        <f>IFERROR((COUNTIFS(LLM_Data_Entry!$AE$3:$AE$430,"YES",LLM_Data_Entry!$AC$3:$AC$430,"&gt;=0.02",LLM_Data_Entry!$AC$3:$AC$430,"&lt;0.05")+COUNTIFS(LLM_Data_Entry!$AE$3:$AE$430,"YES",LLM_Data_Entry!$AC$3:$AC$430,"&lt;=-0.02",LLM_Data_Entry!$AC$3:$AC$430,"&gt;-0.05"))/H209,"")</f>
        <v>0.35632183908045978</v>
      </c>
    </row>
    <row r="210" spans="1:9" x14ac:dyDescent="0.2">
      <c r="A210" t="s">
        <v>2180</v>
      </c>
      <c r="B210">
        <f>COUNTIFS(Human_Data_Entry!$S$3:$S$524,"?*",Human_Data_Entry!$H$3:$H$524,"Human",Human_Data_Entry!$Q$3:$Q$524,"&gt;=0.05",Human_Data_Entry!$Q$3:$Q$524,"&lt;0.1")+COUNTIFS(Human_Data_Entry!$S$3:$S$524,"?*",Human_Data_Entry!$H$3:$H$524,"Human",Human_Data_Entry!$Q$3:$Q$524,"&lt;=-0.05",Human_Data_Entry!$Q$3:$Q$524,"&gt;-0.1")</f>
        <v>80</v>
      </c>
      <c r="C210">
        <f>IFERROR((COUNTIFS(Human_Data_Entry!$S$3:$S$524,"YES",Human_Data_Entry!$H$3:$H$524,"Human",Human_Data_Entry!$Q$3:$Q$524,"&gt;=0.05",Human_Data_Entry!$Q$3:$Q$524,"&lt;0.1")+COUNTIFS(Human_Data_Entry!$S$3:$S$524,"YES",Human_Data_Entry!$H$3:$H$524,"Human",Human_Data_Entry!$Q$3:$Q$524,"&lt;=-0.05",Human_Data_Entry!$Q$3:$Q$524,"&gt;-0.1"))/B210,"")</f>
        <v>0.41249999999999998</v>
      </c>
      <c r="D210">
        <f>COUNTIFS(Human_Data_Entry!$AJ$3:$AJ$524,"?*",Human_Data_Entry!$H$3:$H$524,"Human",Human_Data_Entry!$AH$3:$AH$524,"&gt;=0.05",Human_Data_Entry!$AH$3:$AH$524,"&lt;0.1")+COUNTIFS(Human_Data_Entry!$AJ$3:$AJ$524,"?*",Human_Data_Entry!$H$3:$H$524,"Human",Human_Data_Entry!$AH$3:$AH$524,"&lt;=-0.05",Human_Data_Entry!$AH$3:$AH$524,"&gt;-0.1")</f>
        <v>86</v>
      </c>
      <c r="E210">
        <f>IFERROR((COUNTIFS(Human_Data_Entry!$AJ$3:$AJ$524,"YES",Human_Data_Entry!$H$3:$H$524,"Human",Human_Data_Entry!$AH$3:$AH$524,"&gt;=0.05",Human_Data_Entry!$AH$3:$AH$524,"&lt;0.1")+COUNTIFS(Human_Data_Entry!$AJ$3:$AJ$524,"YES",Human_Data_Entry!$H$3:$H$524,"Human",Human_Data_Entry!$AH$3:$AH$524,"&lt;=-0.05",Human_Data_Entry!$AH$3:$AH$524,"&gt;-0.1"))/D210,"")</f>
        <v>0.43023255813953487</v>
      </c>
      <c r="F210">
        <f>COUNTIFS(LLM_Data_Entry!$R$3:$R$430,"?*",LLM_Data_Entry!$P$3:$P$430,"&gt;=0.05",LLM_Data_Entry!$P$3:$P$430,"&lt;0.1")+COUNTIFS(LLM_Data_Entry!$R$3:$R$430,"?*",LLM_Data_Entry!$P$3:$P$430,"&lt;=-0.05",LLM_Data_Entry!$P$3:$P$430,"&gt;-0.1")</f>
        <v>68</v>
      </c>
      <c r="G210">
        <f>IFERROR((COUNTIFS(LLM_Data_Entry!$R$3:$R$430,"YES",LLM_Data_Entry!$P$3:$P$430,"&gt;=0.05",LLM_Data_Entry!$P$3:$P$430,"&lt;0.1")+COUNTIFS(LLM_Data_Entry!$R$3:$R$430,"YES",LLM_Data_Entry!$P$3:$P$430,"&lt;=-0.05",LLM_Data_Entry!$P$3:$P$430,"&gt;-0.1"))/F210,"")</f>
        <v>0.41176470588235292</v>
      </c>
      <c r="H210">
        <f>COUNTIFS(LLM_Data_Entry!$AE$3:$AE$430,"?*",LLM_Data_Entry!$AC$3:$AC$430,"&gt;=0.05",LLM_Data_Entry!$AC$3:$AC$430,"&lt;0.1")+COUNTIFS(LLM_Data_Entry!$AE$3:$AE$430,"?*",LLM_Data_Entry!$AC$3:$AC$430,"&lt;=-0.05",LLM_Data_Entry!$AC$3:$AC$430,"&gt;-0.1")</f>
        <v>68</v>
      </c>
      <c r="I210">
        <f>IFERROR((COUNTIFS(LLM_Data_Entry!$AE$3:$AE$430,"YES",LLM_Data_Entry!$AC$3:$AC$430,"&gt;=0.05",LLM_Data_Entry!$AC$3:$AC$430,"&lt;0.1")+COUNTIFS(LLM_Data_Entry!$AE$3:$AE$430,"YES",LLM_Data_Entry!$AC$3:$AC$430,"&lt;=-0.05",LLM_Data_Entry!$AC$3:$AC$430,"&gt;-0.1"))/H210,"")</f>
        <v>0.4264705882352941</v>
      </c>
    </row>
    <row r="211" spans="1:9" x14ac:dyDescent="0.2">
      <c r="A211" t="s">
        <v>2181</v>
      </c>
      <c r="B211">
        <f>COUNTIFS(Human_Data_Entry!$S$3:$S$524,"?*",Human_Data_Entry!$H$3:$H$524,"Human",Human_Data_Entry!$Q$3:$Q$524,"&gt;=0.1")+COUNTIFS(Human_Data_Entry!$S$3:$S$524,"?*",Human_Data_Entry!$H$3:$H$524,"Human",Human_Data_Entry!$Q$3:$Q$524,"&lt;=-0.1")</f>
        <v>36</v>
      </c>
      <c r="C211">
        <f>IFERROR((COUNTIFS(Human_Data_Entry!$S$3:$S$524,"YES",Human_Data_Entry!$H$3:$H$524,"Human",Human_Data_Entry!$Q$3:$Q$524,"&gt;=0.1")+COUNTIFS(Human_Data_Entry!$S$3:$S$524,"YES",Human_Data_Entry!$H$3:$H$524,"Human",Human_Data_Entry!$Q$3:$Q$524,"&lt;=-0.1"))/B211,"")</f>
        <v>0.41666666666666669</v>
      </c>
      <c r="D211">
        <f>COUNTIFS(Human_Data_Entry!$AJ$3:$AJ$524,"?*",Human_Data_Entry!$H$3:$H$524,"Human",Human_Data_Entry!$AH$3:$AH$524,"&gt;=0.1")+COUNTIFS(Human_Data_Entry!$AJ$3:$AJ$524,"?*",Human_Data_Entry!$H$3:$H$524,"Human",Human_Data_Entry!$AH$3:$AH$524,"&lt;=-0.1")</f>
        <v>40</v>
      </c>
      <c r="E211">
        <f>IFERROR((COUNTIFS(Human_Data_Entry!$AJ$3:$AJ$524,"YES",Human_Data_Entry!$H$3:$H$524,"Human",Human_Data_Entry!$AH$3:$AH$524,"&gt;=0.1")+COUNTIFS(Human_Data_Entry!$AJ$3:$AJ$524,"YES",Human_Data_Entry!$H$3:$H$524,"Human",Human_Data_Entry!$AH$3:$AH$524,"&lt;=-0.1"))/D211,"")</f>
        <v>0.4</v>
      </c>
      <c r="F211">
        <f>COUNTIFS(LLM_Data_Entry!$R$3:$R$430,"?*",LLM_Data_Entry!$P$3:$P$430,"&gt;=0.1")+COUNTIFS(LLM_Data_Entry!$R$3:$R$430,"?*",LLM_Data_Entry!$P$3:$P$430,"&lt;=-0.1")</f>
        <v>30</v>
      </c>
      <c r="G211">
        <f>IFERROR((COUNTIFS(LLM_Data_Entry!$R$3:$R$430,"YES",LLM_Data_Entry!$P$3:$P$430,"&gt;=0.1")+COUNTIFS(LLM_Data_Entry!$R$3:$R$430,"YES",LLM_Data_Entry!$P$3:$P$430,"&lt;=-0.1"))/F211,"")</f>
        <v>0.6333333333333333</v>
      </c>
      <c r="H211">
        <f>COUNTIFS(LLM_Data_Entry!$AE$3:$AE$430,"?*",LLM_Data_Entry!$AC$3:$AC$430,"&gt;=0.1")+COUNTIFS(LLM_Data_Entry!$AE$3:$AE$430,"?*",LLM_Data_Entry!$AC$3:$AC$430,"&lt;=-0.1")</f>
        <v>29</v>
      </c>
      <c r="I211">
        <f>IFERROR((COUNTIFS(LLM_Data_Entry!$AE$3:$AE$430,"YES",LLM_Data_Entry!$AC$3:$AC$430,"&gt;=0.1")+COUNTIFS(LLM_Data_Entry!$AE$3:$AE$430,"YES",LLM_Data_Entry!$AC$3:$AC$430,"&lt;=-0.1"))/H211,"")</f>
        <v>0.65517241379310343</v>
      </c>
    </row>
    <row r="212" spans="1:9" x14ac:dyDescent="0.2">
      <c r="A212" t="s">
        <v>2182</v>
      </c>
      <c r="B212" t="str">
        <f>IF(SUM(B207:B211)=COUNTIFS(Human_Data_Entry!$S$3:$S$524,"?*",Human_Data_Entry!$H$3:$H$524,"Human"),"OK","MISMATCH")</f>
        <v>OK</v>
      </c>
      <c r="D212" t="str">
        <f>IF(SUM(D207:D211)=COUNTIFS(Human_Data_Entry!$AJ$3:$AJ$524,"?*",Human_Data_Entry!$H$3:$H$524,"Human"),"OK","MISMATCH")</f>
        <v>OK</v>
      </c>
      <c r="F212" t="str">
        <f>IF(SUM(F207:F211)=COUNTIFS(LLM_Data_Entry!$R$3:$R$430,"?*"),"OK","MISMATCH")</f>
        <v>OK</v>
      </c>
      <c r="H212" t="str">
        <f>IF(SUM(H207:H211)=COUNTIFS(LLM_Data_Entry!$AE$3:$AE$430,"?*"),"OK","MISMATCH")</f>
        <v>OK</v>
      </c>
    </row>
    <row r="214" spans="1:9" x14ac:dyDescent="0.2">
      <c r="A214" t="s">
        <v>2183</v>
      </c>
    </row>
    <row r="215" spans="1:9" x14ac:dyDescent="0.2">
      <c r="A215" t="s">
        <v>2184</v>
      </c>
    </row>
    <row r="217" spans="1:9" x14ac:dyDescent="0.2">
      <c r="A217" t="s">
        <v>2185</v>
      </c>
      <c r="B217" t="s">
        <v>2161</v>
      </c>
      <c r="C217" t="s">
        <v>2162</v>
      </c>
      <c r="D217" t="s">
        <v>2163</v>
      </c>
      <c r="E217" t="s">
        <v>2164</v>
      </c>
    </row>
    <row r="218" spans="1:9" x14ac:dyDescent="0.2">
      <c r="A218" t="s">
        <v>2059</v>
      </c>
      <c r="B218">
        <f>COUNT(Human_Data_Entry!$AT$3:$AT$524)</f>
        <v>306</v>
      </c>
      <c r="C218">
        <f>COUNT(Human_Data_Entry!$AU$3:$AU$524)</f>
        <v>288</v>
      </c>
      <c r="D218">
        <f>COUNT(LLM_Data_Entry!$AM$3:$AM$430)</f>
        <v>171</v>
      </c>
      <c r="E218">
        <f>COUNT(LLM_Data_Entry!$AN$3:$AN$430)</f>
        <v>171</v>
      </c>
    </row>
    <row r="219" spans="1:9" x14ac:dyDescent="0.2">
      <c r="A219" t="s">
        <v>2186</v>
      </c>
      <c r="B219">
        <f>IFERROR(AVERAGE(Human_Data_Entry!$AT$3:$AT$524),"")</f>
        <v>-1.5228758169934204E-4</v>
      </c>
      <c r="C219">
        <f>IFERROR(AVERAGE(Human_Data_Entry!$AU$3:$AU$524),"")</f>
        <v>1.7505902777777767E-3</v>
      </c>
      <c r="D219">
        <f>IFERROR(AVERAGE(LLM_Data_Entry!$AM$3:$AM$430),"")</f>
        <v>1.9735046783625729E-2</v>
      </c>
      <c r="E219">
        <f>IFERROR(AVERAGE(LLM_Data_Entry!$AN$3:$AN$430),"")</f>
        <v>2.0706877192982451E-2</v>
      </c>
    </row>
    <row r="220" spans="1:9" x14ac:dyDescent="0.2">
      <c r="A220" t="s">
        <v>2187</v>
      </c>
      <c r="B220">
        <f>IFERROR(STDEV(Human_Data_Entry!$AT$3:$AT$524),"")</f>
        <v>5.9709231606277668E-2</v>
      </c>
      <c r="C220">
        <f>IFERROR(STDEV(Human_Data_Entry!$AU$3:$AU$524),"")</f>
        <v>6.7159411378159131E-2</v>
      </c>
      <c r="D220">
        <f>IFERROR(STDEV(LLM_Data_Entry!$AM$3:$AM$430),"")</f>
        <v>6.6102108473073948E-2</v>
      </c>
      <c r="E220">
        <f>IFERROR(STDEV(LLM_Data_Entry!$AN$3:$AN$430),"")</f>
        <v>6.7496153202300055E-2</v>
      </c>
    </row>
    <row r="221" spans="1:9" x14ac:dyDescent="0.2">
      <c r="A221" t="s">
        <v>2188</v>
      </c>
      <c r="B221">
        <f>IFERROR(B219/B220,"")</f>
        <v>-2.5504863754322862E-3</v>
      </c>
      <c r="C221">
        <f>IFERROR(C219/C220,"")</f>
        <v>2.6066194474525801E-2</v>
      </c>
      <c r="D221">
        <f>IFERROR(D219/D220,"")</f>
        <v>0.2985539680880922</v>
      </c>
      <c r="E221">
        <f>IFERROR(E219/E220,"")</f>
        <v>0.30678603461918225</v>
      </c>
    </row>
    <row r="222" spans="1:9" x14ac:dyDescent="0.2">
      <c r="A222" t="s">
        <v>2189</v>
      </c>
      <c r="B222">
        <f>IFERROR(B219-1.96*B220/SQRT(B218),"")</f>
        <v>-6.8424527587756965E-3</v>
      </c>
      <c r="C222">
        <f>IFERROR(C219-1.96*C220/SQRT(C218),"")</f>
        <v>-6.0059260058677958E-3</v>
      </c>
      <c r="D222">
        <f>IFERROR(D219-1.96*D220/SQRT(D218),"")</f>
        <v>9.8273358161411282E-3</v>
      </c>
      <c r="E222">
        <f>IFERROR(E219-1.96*E220/SQRT(E218),"")</f>
        <v>1.0590219906356703E-2</v>
      </c>
    </row>
    <row r="223" spans="1:9" x14ac:dyDescent="0.2">
      <c r="A223" t="s">
        <v>2190</v>
      </c>
      <c r="B223">
        <f>IFERROR(B219+1.96*B220/SQRT(B218),"")</f>
        <v>6.5378775953770117E-3</v>
      </c>
      <c r="C223">
        <f>IFERROR(C219+1.96*C220/SQRT(C218),"")</f>
        <v>9.5071065614233483E-3</v>
      </c>
      <c r="D223">
        <f>IFERROR(D219+1.96*D220/SQRT(D218),"")</f>
        <v>2.9642757751110332E-2</v>
      </c>
      <c r="E223">
        <f>IFERROR(E219+1.96*E220/SQRT(E218),"")</f>
        <v>3.08235344796082E-2</v>
      </c>
    </row>
    <row r="224" spans="1:9" x14ac:dyDescent="0.2">
      <c r="A224" t="s">
        <v>2191</v>
      </c>
      <c r="B224" t="str">
        <f>IF(B222*B223&gt;0,"YES","NO")</f>
        <v>NO</v>
      </c>
      <c r="C224" t="str">
        <f>IF(C222*C223&gt;0,"YES","NO")</f>
        <v>NO</v>
      </c>
      <c r="D224" t="str">
        <f>IF(D222*D223&gt;0,"YES","NO")</f>
        <v>YES</v>
      </c>
      <c r="E224" t="str">
        <f>IF(E222*E223&gt;0,"YES","NO")</f>
        <v>YES</v>
      </c>
    </row>
    <row r="226" spans="1:8" x14ac:dyDescent="0.2">
      <c r="A226" t="s">
        <v>2192</v>
      </c>
    </row>
    <row r="227" spans="1:8" x14ac:dyDescent="0.2">
      <c r="A227" t="s">
        <v>2193</v>
      </c>
    </row>
    <row r="229" spans="1:8" x14ac:dyDescent="0.2">
      <c r="A229" t="s">
        <v>2185</v>
      </c>
      <c r="B229" t="s">
        <v>2161</v>
      </c>
      <c r="C229" t="s">
        <v>2162</v>
      </c>
      <c r="D229" t="s">
        <v>2163</v>
      </c>
      <c r="E229" t="s">
        <v>2164</v>
      </c>
    </row>
    <row r="230" spans="1:8" x14ac:dyDescent="0.2">
      <c r="A230" t="s">
        <v>2059</v>
      </c>
      <c r="B230">
        <f>COUNT(Human_Data_Entry!$AT$3:$AT$524)</f>
        <v>306</v>
      </c>
      <c r="C230">
        <f>COUNT(Human_Data_Entry!$AU$3:$AU$524)</f>
        <v>288</v>
      </c>
      <c r="D230">
        <f>COUNT(LLM_Data_Entry!$AM$3:$AM$430)</f>
        <v>171</v>
      </c>
      <c r="E230">
        <f>COUNT(LLM_Data_Entry!$AN$3:$AN$430)</f>
        <v>171</v>
      </c>
    </row>
    <row r="231" spans="1:8" x14ac:dyDescent="0.2">
      <c r="A231" t="s">
        <v>2194</v>
      </c>
      <c r="B231">
        <f>IFERROR(AVERAGE(Human_Data_Entry!$AT$3:$AT$524),"")</f>
        <v>-1.5228758169934204E-4</v>
      </c>
      <c r="C231">
        <f>IFERROR(AVERAGE(Human_Data_Entry!$AU$3:$AU$524),"")</f>
        <v>1.7505902777777767E-3</v>
      </c>
      <c r="D231">
        <f>IFERROR(AVERAGE(LLM_Data_Entry!$AM$3:$AM$430),"")</f>
        <v>1.9735046783625729E-2</v>
      </c>
      <c r="E231">
        <f>IFERROR(AVERAGE(LLM_Data_Entry!$AN$3:$AN$430),"")</f>
        <v>2.0706877192982451E-2</v>
      </c>
    </row>
    <row r="232" spans="1:8" x14ac:dyDescent="0.2">
      <c r="A232" t="s">
        <v>2195</v>
      </c>
      <c r="B232">
        <f>IFERROR(SUM(Human_Data_Entry!$AW$3:$AW$524)/SUM(Human_Data_Entry!$AV$3:$AV$524),"")</f>
        <v>4.6217853776760502E-4</v>
      </c>
      <c r="C232">
        <f>IFERROR(SUM(Human_Data_Entry!$AY$3:$AY$524)/SUM(Human_Data_Entry!$AX$3:$AX$524),"")</f>
        <v>0</v>
      </c>
      <c r="D232">
        <f>IFERROR(SUM(LLM_Data_Entry!$AP$3:$AP$430)/SUM(LLM_Data_Entry!$AO$3:$AO$430),"")</f>
        <v>2.1011716438709686E-2</v>
      </c>
      <c r="E232">
        <f>IFERROR(SUM(LLM_Data_Entry!$AR$3:$AR$430)/SUM(LLM_Data_Entry!$AQ$3:$AQ$430),"")</f>
        <v>2.1909513961290313E-2</v>
      </c>
    </row>
    <row r="233" spans="1:8" x14ac:dyDescent="0.2">
      <c r="A233" t="s">
        <v>2196</v>
      </c>
      <c r="B233">
        <f>IFERROR(B232-B231,"")</f>
        <v>6.1446611946694711E-4</v>
      </c>
      <c r="C233">
        <f>IFERROR(C232-C231,"")</f>
        <v>-1.7505902777777767E-3</v>
      </c>
      <c r="D233">
        <f>IFERROR(D232-D231,"")</f>
        <v>1.2766696550839569E-3</v>
      </c>
      <c r="E233">
        <f>IFERROR(E232-E231,"")</f>
        <v>1.2026367683078618E-3</v>
      </c>
    </row>
    <row r="234" spans="1:8" x14ac:dyDescent="0.2">
      <c r="A234" t="s">
        <v>2197</v>
      </c>
      <c r="B234">
        <f>SUM(Human_Data_Entry!$AV$3:$AV$524)</f>
        <v>148.54000000000005</v>
      </c>
      <c r="C234">
        <f>SUM(Human_Data_Entry!$AX$3:$AX$524)</f>
        <v>136.84000000000003</v>
      </c>
      <c r="D234">
        <f>SUM(LLM_Data_Entry!$AO$3:$AO$430)</f>
        <v>48.437499999999986</v>
      </c>
      <c r="E234">
        <f>SUM(LLM_Data_Entry!$AQ$3:$AQ$430)</f>
        <v>48.437499999999986</v>
      </c>
    </row>
    <row r="235" spans="1:8" x14ac:dyDescent="0.2">
      <c r="A235" t="s">
        <v>2198</v>
      </c>
      <c r="B235">
        <f>COUNTIFS(Human_Data_Entry!$AV$3:$AV$524,0)</f>
        <v>0</v>
      </c>
      <c r="C235">
        <f>COUNTIFS(Human_Data_Entry!$AX$3:$AX$524,0)</f>
        <v>0</v>
      </c>
      <c r="D235">
        <f>COUNTIFS(LLM_Data_Entry!$AO$3:$AO$430,0)</f>
        <v>0</v>
      </c>
      <c r="E235">
        <f>COUNTIFS(LLM_Data_Entry!$AQ$3:$AQ$430,0)</f>
        <v>0</v>
      </c>
    </row>
    <row r="237" spans="1:8" x14ac:dyDescent="0.2">
      <c r="A237" t="s">
        <v>2199</v>
      </c>
    </row>
    <row r="238" spans="1:8" x14ac:dyDescent="0.2">
      <c r="A238" t="s">
        <v>2200</v>
      </c>
    </row>
    <row r="240" spans="1:8" x14ac:dyDescent="0.2">
      <c r="A240" t="s">
        <v>2201</v>
      </c>
      <c r="B240" t="s">
        <v>3</v>
      </c>
      <c r="C240" t="s">
        <v>2064</v>
      </c>
      <c r="D240" t="s">
        <v>2202</v>
      </c>
      <c r="E240" t="s">
        <v>2203</v>
      </c>
      <c r="F240" t="s">
        <v>2204</v>
      </c>
      <c r="G240" t="s">
        <v>2205</v>
      </c>
      <c r="H240" t="s">
        <v>2206</v>
      </c>
    </row>
    <row r="241" spans="1:11" x14ac:dyDescent="0.2">
      <c r="A241" t="s">
        <v>2207</v>
      </c>
      <c r="B241">
        <f>COUNTIFS(Human_Data_Entry!$S$3:$S$524,"?*",Human_Data_Entry!$H$3:$H$524,"Human",Human_Data_Entry!$AS$3:$AS$524,"financials")</f>
        <v>32</v>
      </c>
      <c r="C241">
        <f>COUNTIFS(Human_Data_Entry!$S$3:$S$524,"YES",Human_Data_Entry!$H$3:$H$524,"Human",Human_Data_Entry!$AS$3:$AS$524,"financials")</f>
        <v>9</v>
      </c>
      <c r="D241">
        <f t="shared" ref="D241:D248" si="18">IFERROR(C241/B241,"")</f>
        <v>0.28125</v>
      </c>
      <c r="E241">
        <f>IFERROR(COUNTIFS(Human_Data_Entry!$AJ$3:$AJ$524,"YES",Human_Data_Entry!$H$3:$H$524,"Human",Human_Data_Entry!$AS$3:$AS$524,"financials")/COUNTIFS(Human_Data_Entry!$AJ$3:$AJ$524,"?*",Human_Data_Entry!$H$3:$H$524,"Human",Human_Data_Entry!$AS$3:$AS$524,"financials"),"")</f>
        <v>0.29629629629629628</v>
      </c>
      <c r="F241">
        <f>COUNTIFS(Human_Data_Entry!$J$3:$J$524,"BUY",Human_Data_Entry!$S$3:$S$524,"?*",Human_Data_Entry!$H$3:$H$524,"Human",Human_Data_Entry!$AS$3:$AS$524,"financials")+COUNTIFS(Human_Data_Entry!$J$3:$J$524,"SELL",Human_Data_Entry!$S$3:$S$524,"?*",Human_Data_Entry!$H$3:$H$524,"Human",Human_Data_Entry!$AS$3:$AS$524,"financials")</f>
        <v>24</v>
      </c>
      <c r="G241">
        <f>SUMIFS(Human_Data_Entry!$AT$3:$AT$524,Human_Data_Entry!$AS$3:$AS$524,"financials")</f>
        <v>-0.21320000000000006</v>
      </c>
      <c r="H241">
        <f>SUMIFS(Human_Data_Entry!$AU$3:$AU$524,Human_Data_Entry!$AS$3:$AS$524,"financials")</f>
        <v>-0.40399800000000013</v>
      </c>
    </row>
    <row r="242" spans="1:11" x14ac:dyDescent="0.2">
      <c r="A242" t="s">
        <v>2208</v>
      </c>
      <c r="B242">
        <f>COUNTIFS(Human_Data_Entry!$S$3:$S$524,"?*",Human_Data_Entry!$H$3:$H$524,"Human",Human_Data_Entry!$AS$3:$AS$524,"full")</f>
        <v>190</v>
      </c>
      <c r="C242">
        <f>COUNTIFS(Human_Data_Entry!$S$3:$S$524,"YES",Human_Data_Entry!$H$3:$H$524,"Human",Human_Data_Entry!$AS$3:$AS$524,"full")</f>
        <v>64</v>
      </c>
      <c r="D242">
        <f t="shared" si="18"/>
        <v>0.33684210526315789</v>
      </c>
      <c r="E242">
        <f>IFERROR(COUNTIFS(Human_Data_Entry!$AJ$3:$AJ$524,"YES",Human_Data_Entry!$H$3:$H$524,"Human",Human_Data_Entry!$AS$3:$AS$524,"full")/COUNTIFS(Human_Data_Entry!$AJ$3:$AJ$524,"?*",Human_Data_Entry!$H$3:$H$524,"Human",Human_Data_Entry!$AS$3:$AS$524,"full"),"")</f>
        <v>0.39459459459459462</v>
      </c>
      <c r="F242">
        <f>COUNTIFS(Human_Data_Entry!$J$3:$J$524,"BUY",Human_Data_Entry!$S$3:$S$524,"?*",Human_Data_Entry!$H$3:$H$524,"Human",Human_Data_Entry!$AS$3:$AS$524,"full")+COUNTIFS(Human_Data_Entry!$J$3:$J$524,"SELL",Human_Data_Entry!$S$3:$S$524,"?*",Human_Data_Entry!$H$3:$H$524,"Human",Human_Data_Entry!$AS$3:$AS$524,"full")</f>
        <v>136</v>
      </c>
      <c r="G242">
        <f>SUMIFS(Human_Data_Entry!$AT$3:$AT$524,Human_Data_Entry!$AS$3:$AS$524,"full")</f>
        <v>-0.65230000000000021</v>
      </c>
      <c r="H242">
        <f>SUMIFS(Human_Data_Entry!$AU$3:$AU$524,Human_Data_Entry!$AS$3:$AS$524,"full")</f>
        <v>0.11950700000000004</v>
      </c>
    </row>
    <row r="243" spans="1:11" x14ac:dyDescent="0.2">
      <c r="A243" t="s">
        <v>2209</v>
      </c>
      <c r="B243">
        <f>COUNTIFS(Human_Data_Entry!$S$3:$S$524,"?*",Human_Data_Entry!$H$3:$H$524,"Human",Human_Data_Entry!$AS$3:$AS$524,"guidance")</f>
        <v>29</v>
      </c>
      <c r="C243">
        <f>COUNTIFS(Human_Data_Entry!$S$3:$S$524,"YES",Human_Data_Entry!$H$3:$H$524,"Human",Human_Data_Entry!$AS$3:$AS$524,"guidance")</f>
        <v>10</v>
      </c>
      <c r="D243">
        <f t="shared" si="18"/>
        <v>0.34482758620689657</v>
      </c>
      <c r="E243">
        <f>IFERROR(COUNTIFS(Human_Data_Entry!$AJ$3:$AJ$524,"YES",Human_Data_Entry!$H$3:$H$524,"Human",Human_Data_Entry!$AS$3:$AS$524,"guidance")/COUNTIFS(Human_Data_Entry!$AJ$3:$AJ$524,"?*",Human_Data_Entry!$H$3:$H$524,"Human",Human_Data_Entry!$AS$3:$AS$524,"guidance"),"")</f>
        <v>0.29166666666666669</v>
      </c>
      <c r="F243">
        <f>COUNTIFS(Human_Data_Entry!$J$3:$J$524,"BUY",Human_Data_Entry!$S$3:$S$524,"?*",Human_Data_Entry!$H$3:$H$524,"Human",Human_Data_Entry!$AS$3:$AS$524,"guidance")+COUNTIFS(Human_Data_Entry!$J$3:$J$524,"SELL",Human_Data_Entry!$S$3:$S$524,"?*",Human_Data_Entry!$H$3:$H$524,"Human",Human_Data_Entry!$AS$3:$AS$524,"guidance")</f>
        <v>21</v>
      </c>
      <c r="G243">
        <f>SUMIFS(Human_Data_Entry!$AT$3:$AT$524,Human_Data_Entry!$AS$3:$AS$524,"guidance")</f>
        <v>-0.78200000000000014</v>
      </c>
      <c r="H243">
        <f>SUMIFS(Human_Data_Entry!$AU$3:$AU$524,Human_Data_Entry!$AS$3:$AS$524,"guidance")</f>
        <v>-0.67738299999999996</v>
      </c>
    </row>
    <row r="244" spans="1:11" x14ac:dyDescent="0.2">
      <c r="A244" t="s">
        <v>2210</v>
      </c>
      <c r="B244">
        <f>COUNTIFS(Human_Data_Entry!$S$3:$S$524,"?*",Human_Data_Entry!$H$3:$H$524,"Human",Human_Data_Entry!$AS$3:$AS$524,"presentation only")</f>
        <v>23</v>
      </c>
      <c r="C244">
        <f>COUNTIFS(Human_Data_Entry!$S$3:$S$524,"YES",Human_Data_Entry!$H$3:$H$524,"Human",Human_Data_Entry!$AS$3:$AS$524,"presentation only")</f>
        <v>10</v>
      </c>
      <c r="D244">
        <f t="shared" si="18"/>
        <v>0.43478260869565216</v>
      </c>
      <c r="E244">
        <f>IFERROR(COUNTIFS(Human_Data_Entry!$AJ$3:$AJ$524,"YES",Human_Data_Entry!$H$3:$H$524,"Human",Human_Data_Entry!$AS$3:$AS$524,"presentation only")/COUNTIFS(Human_Data_Entry!$AJ$3:$AJ$524,"?*",Human_Data_Entry!$H$3:$H$524,"Human",Human_Data_Entry!$AS$3:$AS$524,"presentation only"),"")</f>
        <v>0.39130434782608697</v>
      </c>
      <c r="F244">
        <f>COUNTIFS(Human_Data_Entry!$J$3:$J$524,"BUY",Human_Data_Entry!$S$3:$S$524,"?*",Human_Data_Entry!$H$3:$H$524,"Human",Human_Data_Entry!$AS$3:$AS$524,"presentation only")+COUNTIFS(Human_Data_Entry!$J$3:$J$524,"SELL",Human_Data_Entry!$S$3:$S$524,"?*",Human_Data_Entry!$H$3:$H$524,"Human",Human_Data_Entry!$AS$3:$AS$524,"presentation only")</f>
        <v>22</v>
      </c>
      <c r="G244">
        <f>SUMIFS(Human_Data_Entry!$AT$3:$AT$524,Human_Data_Entry!$AS$3:$AS$524,"presentation only")</f>
        <v>0.84889999999999977</v>
      </c>
      <c r="H244">
        <f>SUMIFS(Human_Data_Entry!$AU$3:$AU$524,Human_Data_Entry!$AS$3:$AS$524,"presentation only")</f>
        <v>0.68108600000000008</v>
      </c>
    </row>
    <row r="245" spans="1:11" x14ac:dyDescent="0.2">
      <c r="A245" t="s">
        <v>2211</v>
      </c>
      <c r="B245">
        <f>COUNTIFS(Human_Data_Entry!$S$3:$S$524,"?*",Human_Data_Entry!$H$3:$H$524,"Human",Human_Data_Entry!$AS$3:$AS$524,"press release document only")</f>
        <v>19</v>
      </c>
      <c r="C245">
        <f>COUNTIFS(Human_Data_Entry!$S$3:$S$524,"YES",Human_Data_Entry!$H$3:$H$524,"Human",Human_Data_Entry!$AS$3:$AS$524,"press release document only")</f>
        <v>9</v>
      </c>
      <c r="D245">
        <f t="shared" si="18"/>
        <v>0.47368421052631576</v>
      </c>
      <c r="E245">
        <f>IFERROR(COUNTIFS(Human_Data_Entry!$AJ$3:$AJ$524,"YES",Human_Data_Entry!$H$3:$H$524,"Human",Human_Data_Entry!$AS$3:$AS$524,"press release document only")/COUNTIFS(Human_Data_Entry!$AJ$3:$AJ$524,"?*",Human_Data_Entry!$H$3:$H$524,"Human",Human_Data_Entry!$AS$3:$AS$524,"press release document only"),"")</f>
        <v>0.47368421052631576</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11</v>
      </c>
      <c r="G245">
        <f>SUMIFS(Human_Data_Entry!$AT$3:$AT$524,Human_Data_Entry!$AS$3:$AS$524,"press release document only")</f>
        <v>0.23870000000000002</v>
      </c>
      <c r="H245">
        <f>SUMIFS(Human_Data_Entry!$AU$3:$AU$524,Human_Data_Entry!$AS$3:$AS$524,"press release document only")</f>
        <v>0.61078699999999997</v>
      </c>
    </row>
    <row r="246" spans="1:11" x14ac:dyDescent="0.2">
      <c r="A246" t="s">
        <v>2212</v>
      </c>
      <c r="B246">
        <f>COUNTIFS(Human_Data_Entry!$S$3:$S$524,"?*",Human_Data_Entry!$H$3:$H$524,"Human",Human_Data_Entry!$AS$3:$AS$524,"qanda")</f>
        <v>33</v>
      </c>
      <c r="C246">
        <f>COUNTIFS(Human_Data_Entry!$S$3:$S$524,"YES",Human_Data_Entry!$H$3:$H$524,"Human",Human_Data_Entry!$AS$3:$AS$524,"qanda")</f>
        <v>16</v>
      </c>
      <c r="D246">
        <f t="shared" si="18"/>
        <v>0.48484848484848486</v>
      </c>
      <c r="E246">
        <f>IFERROR(COUNTIFS(Human_Data_Entry!$AJ$3:$AJ$524,"YES",Human_Data_Entry!$H$3:$H$524,"Human",Human_Data_Entry!$AS$3:$AS$524,"qanda")/COUNTIFS(Human_Data_Entry!$AJ$3:$AJ$524,"?*",Human_Data_Entry!$H$3:$H$524,"Human",Human_Data_Entry!$AS$3:$AS$524,"qanda"),"")</f>
        <v>0.5</v>
      </c>
      <c r="F246">
        <f>COUNTIFS(Human_Data_Entry!$J$3:$J$524,"BUY",Human_Data_Entry!$S$3:$S$524,"?*",Human_Data_Entry!$H$3:$H$524,"Human",Human_Data_Entry!$AS$3:$AS$524,"qanda")+COUNTIFS(Human_Data_Entry!$J$3:$J$524,"SELL",Human_Data_Entry!$S$3:$S$524,"?*",Human_Data_Entry!$H$3:$H$524,"Human",Human_Data_Entry!$AS$3:$AS$524,"qanda")</f>
        <v>20</v>
      </c>
      <c r="G246">
        <f>SUMIFS(Human_Data_Entry!$AT$3:$AT$524,Human_Data_Entry!$AS$3:$AS$524,"qanda")</f>
        <v>-0.10399999999999998</v>
      </c>
      <c r="H246">
        <f>SUMIFS(Human_Data_Entry!$AU$3:$AU$524,Human_Data_Entry!$AS$3:$AS$524,"qanda")</f>
        <v>-0.14079699999999995</v>
      </c>
    </row>
    <row r="247" spans="1:11" x14ac:dyDescent="0.2">
      <c r="A247" t="s">
        <v>2213</v>
      </c>
      <c r="B247">
        <f>COUNTIFS(Human_Data_Entry!$S$3:$S$524,"?*",Human_Data_Entry!$H$3:$H$524,"Human",Human_Data_Entry!$AS$3:$AS$524,"transcript only")</f>
        <v>94</v>
      </c>
      <c r="C247">
        <f>COUNTIFS(Human_Data_Entry!$S$3:$S$524,"YES",Human_Data_Entry!$H$3:$H$524,"Human",Human_Data_Entry!$AS$3:$AS$524,"transcript only")</f>
        <v>38</v>
      </c>
      <c r="D247">
        <f t="shared" si="18"/>
        <v>0.40425531914893614</v>
      </c>
      <c r="E247">
        <f>IFERROR(COUNTIFS(Human_Data_Entry!$AJ$3:$AJ$524,"YES",Human_Data_Entry!$H$3:$H$524,"Human",Human_Data_Entry!$AS$3:$AS$524,"transcript only")/COUNTIFS(Human_Data_Entry!$AJ$3:$AJ$524,"?*",Human_Data_Entry!$H$3:$H$524,"Human",Human_Data_Entry!$AS$3:$AS$524,"transcript only"),"")</f>
        <v>0.37234042553191488</v>
      </c>
      <c r="F247">
        <f>COUNTIFS(Human_Data_Entry!$J$3:$J$524,"BUY",Human_Data_Entry!$S$3:$S$524,"?*",Human_Data_Entry!$H$3:$H$524,"Human",Human_Data_Entry!$AS$3:$AS$524,"transcript only")+COUNTIFS(Human_Data_Entry!$J$3:$J$524,"SELL",Human_Data_Entry!$S$3:$S$524,"?*",Human_Data_Entry!$H$3:$H$524,"Human",Human_Data_Entry!$AS$3:$AS$524,"transcript only")</f>
        <v>72</v>
      </c>
      <c r="G247">
        <f>SUMIFS(Human_Data_Entry!$AT$3:$AT$524,Human_Data_Entry!$AS$3:$AS$524,"transcript only")</f>
        <v>0.61730000000000007</v>
      </c>
      <c r="H247">
        <f>SUMIFS(Human_Data_Entry!$AU$3:$AU$524,Human_Data_Entry!$AS$3:$AS$524,"transcript only")</f>
        <v>0.3149679999999998</v>
      </c>
    </row>
    <row r="248" spans="1:11" x14ac:dyDescent="0.2">
      <c r="A248" t="s">
        <v>2214</v>
      </c>
      <c r="B248">
        <f>COUNTIFS(Human_Data_Entry!$S$3:$S$524,"?*",Human_Data_Entry!$H$3:$H$524,"Human",Human_Data_Entry!$AS$3:$AS$524,"unrecorded")</f>
        <v>0</v>
      </c>
      <c r="C248">
        <f>COUNTIFS(Human_Data_Entry!$S$3:$S$524,"YES",Human_Data_Entry!$H$3:$H$524,"Human",Human_Data_Entry!$AS$3:$AS$524,"unrecorded")</f>
        <v>0</v>
      </c>
      <c r="D248" t="str">
        <f t="shared" si="18"/>
        <v/>
      </c>
      <c r="E248" t="str">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0</v>
      </c>
      <c r="G248">
        <f>SUMIFS(Human_Data_Entry!$AT$3:$AT$524,Human_Data_Entry!$AS$3:$AS$524,"unrecorded")</f>
        <v>0</v>
      </c>
      <c r="H248">
        <f>SUMIFS(Human_Data_Entry!$AU$3:$AU$524,Human_Data_Entry!$AS$3:$AS$524,"unrecorded")</f>
        <v>0</v>
      </c>
    </row>
    <row r="249" spans="1:11" x14ac:dyDescent="0.2">
      <c r="A249" t="s">
        <v>2215</v>
      </c>
      <c r="B249" t="str">
        <f>IF(SUM(B241:B248)=COUNTIFS(Human_Data_Entry!$S$3:$S$524,"?*",Human_Data_Entry!$H$3:$H$524,"Human"),"OK","MISMATCH")</f>
        <v>OK</v>
      </c>
    </row>
    <row r="251" spans="1:11" x14ac:dyDescent="0.2">
      <c r="A251" t="s">
        <v>2216</v>
      </c>
    </row>
    <row r="252" spans="1:11" x14ac:dyDescent="0.2">
      <c r="A252" t="s">
        <v>2217</v>
      </c>
    </row>
    <row r="254" spans="1:11" x14ac:dyDescent="0.2">
      <c r="A254" t="s">
        <v>2218</v>
      </c>
      <c r="B254" t="s">
        <v>2120</v>
      </c>
      <c r="C254" t="s">
        <v>2122</v>
      </c>
      <c r="D254" t="s">
        <v>2132</v>
      </c>
      <c r="E254" t="s">
        <v>2123</v>
      </c>
      <c r="F254" t="s">
        <v>2124</v>
      </c>
      <c r="G254" t="s">
        <v>2126</v>
      </c>
      <c r="H254" t="s">
        <v>2128</v>
      </c>
      <c r="I254" t="s">
        <v>2135</v>
      </c>
      <c r="J254" t="s">
        <v>2129</v>
      </c>
      <c r="K254" t="s">
        <v>2130</v>
      </c>
    </row>
    <row r="255" spans="1:11" x14ac:dyDescent="0.2">
      <c r="A255" t="s">
        <v>2219</v>
      </c>
      <c r="B255">
        <f>COUNTIFS(Human_Data_Entry!$S$3:$S$524,"?*",Human_Data_Entry!$H$3:$H$524,"Human",Human_Data_Entry!$AR$3:$AR$524,"IN")</f>
        <v>420</v>
      </c>
      <c r="C255">
        <f>IFERROR(COUNTIFS(Human_Data_Entry!$S$3:$S$524,"YES",Human_Data_Entry!$H$3:$H$524,"Human",Human_Data_Entry!$AR$3:$AR$524,"IN")/B255,"")</f>
        <v>0.37142857142857144</v>
      </c>
      <c r="D255">
        <f>IFERROR(COUNTIFS(Human_Data_Entry!$AJ$3:$AJ$524,"YES",Human_Data_Entry!$H$3:$H$524,"Human",Human_Data_Entry!$AR$3:$AR$524,"IN")/COUNTIFS(Human_Data_Entry!$AJ$3:$AJ$524,"?*",Human_Data_Entry!$H$3:$H$524,"Human",Human_Data_Entry!$AR$3:$AR$524,"IN"),"")</f>
        <v>0.38750000000000001</v>
      </c>
      <c r="E255">
        <f>COUNTIFS(Human_Data_Entry!$J$3:$J$524,"BUY",Human_Data_Entry!$S$3:$S$524,"?*",Human_Data_Entry!$H$3:$H$524,"Human",Human_Data_Entry!$AR$3:$AR$524,"IN")+COUNTIFS(Human_Data_Entry!$J$3:$J$524,"SELL",Human_Data_Entry!$S$3:$S$524,"?*",Human_Data_Entry!$H$3:$H$524,"Human",Human_Data_Entry!$AR$3:$AR$524,"IN")</f>
        <v>306</v>
      </c>
      <c r="F255">
        <f>SUMIFS(Human_Data_Entry!$AT$3:$AT$524,Human_Data_Entry!$AR$3:$AR$524,"IN")</f>
        <v>-4.6599999999998663E-2</v>
      </c>
      <c r="G255">
        <f>COUNTIFS(LLM_Data_Entry!$R$3:$R$430,"?*",LLM_Data_Entry!$AL$3:$AL$430,"IN")</f>
        <v>270</v>
      </c>
      <c r="H255">
        <f>IFERROR(COUNTIFS(LLM_Data_Entry!$R$3:$R$430,"YES",LLM_Data_Entry!$AL$3:$AL$430,"IN")/G255,"")</f>
        <v>0.42222222222222222</v>
      </c>
      <c r="I255">
        <f>IFERROR(COUNTIFS(LLM_Data_Entry!$AE$3:$AE$430,"YES",LLM_Data_Entry!$AL$3:$AL$430,"IN")/COUNTIFS(LLM_Data_Entry!$AE$3:$AE$430,"?*",LLM_Data_Entry!$AL$3:$AL$430,"IN"),"")</f>
        <v>0.41417910447761191</v>
      </c>
      <c r="J255">
        <f>COUNTIFS(LLM_Data_Entry!$H$3:$H$430,"BUY",LLM_Data_Entry!$R$3:$R$430,"?*",LLM_Data_Entry!$AL$3:$AL$430,"IN")+COUNTIFS(LLM_Data_Entry!$H$3:$H$430,"SELL",LLM_Data_Entry!$R$3:$R$430,"?*",LLM_Data_Entry!$AL$3:$AL$430,"IN")</f>
        <v>171</v>
      </c>
      <c r="K255">
        <f>SUMIFS(LLM_Data_Entry!$AM$3:$AM$430,LLM_Data_Entry!$AL$3:$AL$430,"IN")</f>
        <v>3.3746929999999997</v>
      </c>
    </row>
    <row r="256" spans="1:11" x14ac:dyDescent="0.2">
      <c r="A256" t="s">
        <v>2220</v>
      </c>
      <c r="B256">
        <f>COUNTIFS(Human_Data_Entry!$S$3:$S$524,"?*",Human_Data_Entry!$H$3:$H$524,"Human",Human_Data_Entry!$AR$3:$AR$524,"OUT")</f>
        <v>0</v>
      </c>
      <c r="C256" t="str">
        <f>IFERROR(COUNTIFS(Human_Data_Entry!$S$3:$S$524,"YES",Human_Data_Entry!$H$3:$H$524,"Human",Human_Data_Entry!$AR$3:$AR$524,"OUT")/B256,"")</f>
        <v/>
      </c>
      <c r="D256" t="str">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0</v>
      </c>
      <c r="F256">
        <f>SUMIFS(Human_Data_Entry!$AT$3:$AT$524,Human_Data_Entry!$AR$3:$AR$524,"OUT")</f>
        <v>0</v>
      </c>
      <c r="G256">
        <f>COUNTIFS(LLM_Data_Entry!$R$3:$R$430,"?*",LLM_Data_Entry!$AL$3:$AL$430,"OUT")</f>
        <v>0</v>
      </c>
      <c r="H256" t="str">
        <f>IFERROR(COUNTIFS(LLM_Data_Entry!$R$3:$R$430,"YES",LLM_Data_Entry!$AL$3:$AL$430,"OUT")/G256,"")</f>
        <v/>
      </c>
      <c r="I256" t="str">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0</v>
      </c>
      <c r="K256">
        <f>SUMIFS(LLM_Data_Entry!$AM$3:$AM$430,LLM_Data_Entry!$AL$3:$AL$430,"OUT")</f>
        <v>0</v>
      </c>
    </row>
    <row r="259" spans="1:5" x14ac:dyDescent="0.2">
      <c r="A259" t="s">
        <v>2221</v>
      </c>
    </row>
    <row r="260" spans="1:5" x14ac:dyDescent="0.2">
      <c r="A260" t="s">
        <v>2222</v>
      </c>
    </row>
    <row r="262" spans="1:5" x14ac:dyDescent="0.2">
      <c r="A262" t="s">
        <v>2185</v>
      </c>
      <c r="B262" t="s">
        <v>2161</v>
      </c>
      <c r="C262" t="s">
        <v>2162</v>
      </c>
      <c r="D262" t="s">
        <v>2163</v>
      </c>
      <c r="E262" t="s">
        <v>2164</v>
      </c>
    </row>
    <row r="263" spans="1:5" x14ac:dyDescent="0.2">
      <c r="A263" t="s">
        <v>2223</v>
      </c>
      <c r="B263">
        <f>COUNTIFS(Human_Data_Entry!$AT$3:$AT$524,"&gt;0")</f>
        <v>150</v>
      </c>
      <c r="C263">
        <f>COUNTIFS(Human_Data_Entry!$AU$3:$AU$524,"&gt;0")</f>
        <v>146</v>
      </c>
      <c r="D263">
        <f>COUNTIFS(LLM_Data_Entry!$AM$3:$AM$430,"&gt;0")</f>
        <v>108</v>
      </c>
      <c r="E263">
        <f>COUNTIFS(LLM_Data_Entry!$AN$3:$AN$430,"&gt;0")</f>
        <v>106</v>
      </c>
    </row>
    <row r="264" spans="1:5" x14ac:dyDescent="0.2">
      <c r="A264" t="s">
        <v>2224</v>
      </c>
      <c r="B264">
        <f>COUNTIFS(Human_Data_Entry!$AT$3:$AT$524,"&lt;0")</f>
        <v>156</v>
      </c>
      <c r="C264">
        <f>COUNTIFS(Human_Data_Entry!$AU$3:$AU$524,"&lt;0")</f>
        <v>142</v>
      </c>
      <c r="D264">
        <f>COUNTIFS(LLM_Data_Entry!$AM$3:$AM$430,"&lt;0")</f>
        <v>63</v>
      </c>
      <c r="E264">
        <f>COUNTIFS(LLM_Data_Entry!$AN$3:$AN$430,"&lt;0")</f>
        <v>65</v>
      </c>
    </row>
    <row r="265" spans="1:5" x14ac:dyDescent="0.2">
      <c r="A265" t="s">
        <v>2225</v>
      </c>
      <c r="B265">
        <f>MAX(Human_Data_Entry!$AT$3:$AT$524)</f>
        <v>0.21629999999999999</v>
      </c>
      <c r="C265">
        <f>MAX(Human_Data_Entry!$AU$3:$AU$524)</f>
        <v>0.30712</v>
      </c>
      <c r="D265">
        <f>MAX(LLM_Data_Entry!$AM$3:$AM$430)</f>
        <v>0.32064300000000001</v>
      </c>
      <c r="E265">
        <f>MAX(LLM_Data_Entry!$AN$3:$AN$430)</f>
        <v>0.32064300000000001</v>
      </c>
    </row>
    <row r="266" spans="1:5" x14ac:dyDescent="0.2">
      <c r="A266" t="s">
        <v>2226</v>
      </c>
      <c r="B266">
        <f>IFERROR(B265/SUM(Human_Data_Entry!$AT$3:$AT$524),"")</f>
        <v>-4.6416309012876864</v>
      </c>
      <c r="C266">
        <f>IFERROR(C265/SUM(Human_Data_Entry!$AU$3:$AU$524),"")</f>
        <v>0.60915960886209053</v>
      </c>
      <c r="D266">
        <f>IFERROR(D265/SUM(LLM_Data_Entry!$AM$3:$AM$430),"")</f>
        <v>9.5013976086121027E-2</v>
      </c>
      <c r="E266">
        <f>IFERROR(E265/SUM(LLM_Data_Entry!$AN$3:$AN$430),"")</f>
        <v>9.0554710190359697E-2</v>
      </c>
    </row>
    <row r="267" spans="1:5" x14ac:dyDescent="0.2">
      <c r="A267" t="s">
        <v>2227</v>
      </c>
      <c r="B267">
        <f>SUM(Human_Data_Entry!$AT$3:$AT$524)-B265</f>
        <v>-0.26289999999999863</v>
      </c>
      <c r="C267">
        <f>SUM(Human_Data_Entry!$AU$3:$AU$524)-C265</f>
        <v>0.19704999999999967</v>
      </c>
      <c r="D267">
        <f>SUM(LLM_Data_Entry!$AM$3:$AM$430)-D265</f>
        <v>3.0540499999999997</v>
      </c>
      <c r="E267">
        <f>SUM(LLM_Data_Entry!$AN$3:$AN$430)-E265</f>
        <v>3.220232999999999</v>
      </c>
    </row>
    <row r="268" spans="1:5" x14ac:dyDescent="0.2">
      <c r="A268" t="s">
        <v>2228</v>
      </c>
      <c r="B268">
        <f>LARGE(Human_Data_Entry!$AT$3:$AT$524,1)+LARGE(Human_Data_Entry!$AT$3:$AT$524,2)+LARGE(Human_Data_Entry!$AT$3:$AT$524,3)+LARGE(Human_Data_Entry!$AT$3:$AT$524,4)+LARGE(Human_Data_Entry!$AT$3:$AT$524,5)</f>
        <v>0.97009999999999996</v>
      </c>
      <c r="C268">
        <f>LARGE(Human_Data_Entry!$AU$3:$AU$524,1)+LARGE(Human_Data_Entry!$AU$3:$AU$524,2)+LARGE(Human_Data_Entry!$AU$3:$AU$524,3)+LARGE(Human_Data_Entry!$AU$3:$AU$524,4)+LARGE(Human_Data_Entry!$AU$3:$AU$524,5)</f>
        <v>1.153813</v>
      </c>
      <c r="D268">
        <f>LARGE(LLM_Data_Entry!$AM$3:$AM$430,1)+LARGE(LLM_Data_Entry!$AM$3:$AM$430,2)+LARGE(LLM_Data_Entry!$AM$3:$AM$430,3)+LARGE(LLM_Data_Entry!$AM$3:$AM$430,4)+LARGE(LLM_Data_Entry!$AM$3:$AM$430,5)</f>
        <v>1.0835539999999999</v>
      </c>
      <c r="E268">
        <f>LARGE(LLM_Data_Entry!$AN$3:$AN$430,1)+LARGE(LLM_Data_Entry!$AN$3:$AN$430,2)+LARGE(LLM_Data_Entry!$AN$3:$AN$430,3)+LARGE(LLM_Data_Entry!$AN$3:$AN$430,4)+LARGE(LLM_Data_Entry!$AN$3:$AN$430,5)</f>
        <v>1.1001560000000001</v>
      </c>
    </row>
    <row r="269" spans="1:5" x14ac:dyDescent="0.2">
      <c r="A269" t="s">
        <v>2229</v>
      </c>
      <c r="B269">
        <f>IFERROR(B268/SUM(Human_Data_Entry!$AT$3:$AT$524),"")</f>
        <v>-20.817596566524202</v>
      </c>
      <c r="C269">
        <f>IFERROR(C268/SUM(Human_Data_Entry!$AU$3:$AU$524),"")</f>
        <v>2.2885395799036052</v>
      </c>
      <c r="D269">
        <f>IFERROR(D268/SUM(LLM_Data_Entry!$AM$3:$AM$430),"")</f>
        <v>0.32108224362927235</v>
      </c>
      <c r="E269">
        <f>IFERROR(E268/SUM(LLM_Data_Entry!$AN$3:$AN$430),"")</f>
        <v>0.31070164558148899</v>
      </c>
    </row>
    <row r="270" spans="1:5" x14ac:dyDescent="0.2">
      <c r="A270" t="s">
        <v>2230</v>
      </c>
      <c r="B270">
        <f>SUM(Human_Data_Entry!$AT$3:$AT$524)-B268</f>
        <v>-1.0166999999999986</v>
      </c>
      <c r="C270">
        <f>SUM(Human_Data_Entry!$AU$3:$AU$524)-C268</f>
        <v>-0.6496430000000003</v>
      </c>
      <c r="D270">
        <f>SUM(LLM_Data_Entry!$AM$3:$AM$430)-D268</f>
        <v>2.2911389999999998</v>
      </c>
      <c r="E270">
        <f>SUM(LLM_Data_Entry!$AN$3:$AN$430)-E268</f>
        <v>2.4407199999999989</v>
      </c>
    </row>
    <row r="271" spans="1:5" x14ac:dyDescent="0.2">
      <c r="A271" t="s">
        <v>2231</v>
      </c>
      <c r="B271">
        <f>MIN(Human_Data_Entry!$AT$3:$AT$524)</f>
        <v>-0.3226</v>
      </c>
      <c r="C271">
        <f>MIN(Human_Data_Entry!$AU$3:$AU$524)</f>
        <v>-0.32264300000000001</v>
      </c>
      <c r="D271">
        <f>MIN(LLM_Data_Entry!$AM$3:$AM$430)</f>
        <v>-0.18613199999999999</v>
      </c>
      <c r="E271">
        <f>MIN(LLM_Data_Entry!$AN$3:$AN$430)</f>
        <v>-0.18613199999999999</v>
      </c>
    </row>
    <row r="272" spans="1:5" x14ac:dyDescent="0.2">
      <c r="A272" t="s">
        <v>2232</v>
      </c>
      <c r="B272" t="str">
        <f>IF(B270&gt;0,"YES","NO")</f>
        <v>NO</v>
      </c>
      <c r="C272" t="str">
        <f>IF(C270&gt;0,"YES","NO")</f>
        <v>NO</v>
      </c>
      <c r="D272" t="str">
        <f>IF(D270&gt;0,"YES","NO")</f>
        <v>YES</v>
      </c>
      <c r="E272" t="str">
        <f>IF(E270&gt;0,"YES","NO")</f>
        <v>YES</v>
      </c>
    </row>
    <row r="274" spans="1:3" x14ac:dyDescent="0.2">
      <c r="A274" t="s">
        <v>2233</v>
      </c>
      <c r="C274" t="s">
        <v>2234</v>
      </c>
    </row>
    <row r="276" spans="1:3" x14ac:dyDescent="0.2">
      <c r="A276" t="s">
        <v>2235</v>
      </c>
      <c r="C276" t="s">
        <v>2236</v>
      </c>
    </row>
    <row r="277" spans="1:3" x14ac:dyDescent="0.2">
      <c r="A277" t="s">
        <v>2185</v>
      </c>
      <c r="B277" t="s">
        <v>2237</v>
      </c>
      <c r="C277" t="s">
        <v>2238</v>
      </c>
    </row>
    <row r="278" spans="1:3" x14ac:dyDescent="0.2">
      <c r="A278" t="s">
        <v>2239</v>
      </c>
      <c r="B278">
        <f>COUNTIFS(Human_Data_Entry!$H$3:$H$524,"Human",Human_Data_Entry!$S$3:$S$524,"?*")</f>
        <v>420</v>
      </c>
      <c r="C278" t="s">
        <v>2240</v>
      </c>
    </row>
    <row r="279" spans="1:3" x14ac:dyDescent="0.2">
      <c r="A279" t="s">
        <v>2241</v>
      </c>
      <c r="B279">
        <f>COUNTIFS(Human_Data_Entry!$BJ$3:$BJ$524,"?*")</f>
        <v>64</v>
      </c>
      <c r="C279" t="s">
        <v>2242</v>
      </c>
    </row>
    <row r="280" spans="1:3" x14ac:dyDescent="0.2">
      <c r="A280" t="s">
        <v>2243</v>
      </c>
      <c r="B280">
        <f>COUNTIFS(Human_Data_Entry!$BG$3:$BG$524,"no")</f>
        <v>420</v>
      </c>
      <c r="C280" t="s">
        <v>2244</v>
      </c>
    </row>
    <row r="281" spans="1:3" x14ac:dyDescent="0.2">
      <c r="A281" t="s">
        <v>2245</v>
      </c>
      <c r="B281">
        <f>COUNTIFS(Human_Data_Entry!$BL$3:$BL$524,"attested*")</f>
        <v>52</v>
      </c>
      <c r="C281" t="s">
        <v>2246</v>
      </c>
    </row>
    <row r="282" spans="1:3" x14ac:dyDescent="0.2">
      <c r="A282" t="s">
        <v>2247</v>
      </c>
      <c r="B282">
        <f>COUNTIFS(Human_Data_Entry!$BL$3:$BL$524,"assumed - no rater record")</f>
        <v>353</v>
      </c>
      <c r="C282" t="s">
        <v>2248</v>
      </c>
    </row>
    <row r="283" spans="1:3" x14ac:dyDescent="0.2">
      <c r="A283" t="s">
        <v>2249</v>
      </c>
      <c r="B283">
        <f>COUNTIFS(Human_Data_Entry!$BL$3:$BL$524,"assumed - rater record carries no*")</f>
        <v>13</v>
      </c>
      <c r="C283" t="s">
        <v>2250</v>
      </c>
    </row>
    <row r="284" spans="1:3" x14ac:dyDescent="0.2">
      <c r="A284" t="s">
        <v>2251</v>
      </c>
      <c r="B284">
        <f>COUNTIFS(Human_Data_Entry!$BL$3:$BL$524,"assumed - note names*")</f>
        <v>0</v>
      </c>
      <c r="C284" t="s">
        <v>2252</v>
      </c>
    </row>
    <row r="285" spans="1:3" x14ac:dyDescent="0.2">
      <c r="A285" t="s">
        <v>2253</v>
      </c>
      <c r="B285">
        <f>COUNTIFS(Human_Data_Entry!$BG$3:$BG$524,"yes")</f>
        <v>0</v>
      </c>
      <c r="C285" t="s">
        <v>2254</v>
      </c>
    </row>
    <row r="286" spans="1:3" x14ac:dyDescent="0.2">
      <c r="A286" t="s">
        <v>2255</v>
      </c>
      <c r="B286">
        <f>COUNTIFS(Human_Data_Entry!$BB$3:$BB$524,"&gt;1")</f>
        <v>41</v>
      </c>
      <c r="C286" t="s">
        <v>2256</v>
      </c>
    </row>
    <row r="287" spans="1:3" x14ac:dyDescent="0.2">
      <c r="A287" t="s">
        <v>2257</v>
      </c>
      <c r="B287">
        <v>17</v>
      </c>
      <c r="C287" t="s">
        <v>2258</v>
      </c>
    </row>
    <row r="288" spans="1:3" x14ac:dyDescent="0.2">
      <c r="A288" t="s">
        <v>2259</v>
      </c>
      <c r="B288">
        <v>229</v>
      </c>
      <c r="C288" t="s">
        <v>2260</v>
      </c>
    </row>
    <row r="289" spans="1:6" x14ac:dyDescent="0.2">
      <c r="A289" t="s">
        <v>2261</v>
      </c>
      <c r="B289">
        <v>28</v>
      </c>
      <c r="C289" t="s">
        <v>2262</v>
      </c>
    </row>
    <row r="291" spans="1:6" x14ac:dyDescent="0.2">
      <c r="A291" t="s">
        <v>2263</v>
      </c>
      <c r="C291" t="s">
        <v>2264</v>
      </c>
    </row>
    <row r="292" spans="1:6" x14ac:dyDescent="0.2">
      <c r="A292" t="s">
        <v>2185</v>
      </c>
      <c r="B292" t="s">
        <v>2265</v>
      </c>
      <c r="C292" t="s">
        <v>2266</v>
      </c>
      <c r="D292" t="s">
        <v>2267</v>
      </c>
      <c r="E292" t="s">
        <v>2268</v>
      </c>
    </row>
    <row r="293" spans="1:6" x14ac:dyDescent="0.2">
      <c r="A293" t="s">
        <v>2269</v>
      </c>
      <c r="B293">
        <f>COUNTIFS(Human_Data_Entry!$H$3:$H$524,"Human",Human_Data_Entry!$S$3:$S$524,"?*")</f>
        <v>420</v>
      </c>
      <c r="C293">
        <f>COUNTIFS(Human_Data_Entry!$H$3:$H$524,"Human",Human_Data_Entry!$S$3:$S$524,"?*",Human_Data_Entry!$BC$3:$BC$524,1)</f>
        <v>405</v>
      </c>
      <c r="D293">
        <f>COUNTIFS(Human_Data_Entry!$H$3:$H$524,"Human",Human_Data_Entry!$AJ$3:$AJ$524,"?*")</f>
        <v>400</v>
      </c>
      <c r="E293">
        <f>COUNTIFS(Human_Data_Entry!$H$3:$H$524,"Human",Human_Data_Entry!$AJ$3:$AJ$524,"?*",Human_Data_Entry!$BC$3:$BC$524,1)</f>
        <v>385</v>
      </c>
    </row>
    <row r="294" spans="1:6" x14ac:dyDescent="0.2">
      <c r="A294" t="s">
        <v>2064</v>
      </c>
      <c r="B294">
        <f>COUNTIFS(Human_Data_Entry!$H$3:$H$524,"Human",Human_Data_Entry!$S$3:$S$524,"YES")</f>
        <v>156</v>
      </c>
      <c r="C294">
        <f>COUNTIFS(Human_Data_Entry!$H$3:$H$524,"Human",Human_Data_Entry!$S$3:$S$524,"YES",Human_Data_Entry!$BC$3:$BC$524,1)</f>
        <v>148</v>
      </c>
      <c r="D294">
        <f>COUNTIFS(Human_Data_Entry!$H$3:$H$524,"Human",Human_Data_Entry!$AJ$3:$AJ$524,"YES")</f>
        <v>155</v>
      </c>
      <c r="E294">
        <f>COUNTIFS(Human_Data_Entry!$H$3:$H$524,"Human",Human_Data_Entry!$AJ$3:$AJ$524,"YES",Human_Data_Entry!$BC$3:$BC$524,1)</f>
        <v>147</v>
      </c>
    </row>
    <row r="295" spans="1:6" x14ac:dyDescent="0.2">
      <c r="A295" t="s">
        <v>2057</v>
      </c>
      <c r="B295">
        <f>IFERROR(COUNTIFS(Human_Data_Entry!$H$3:$H$524,"Human",Human_Data_Entry!$S$3:$S$524,"YES")/COUNTIFS(Human_Data_Entry!$H$3:$H$524,"Human",Human_Data_Entry!$S$3:$S$524,"?*"),"")</f>
        <v>0.37142857142857144</v>
      </c>
      <c r="C295">
        <f>IFERROR(COUNTIFS(Human_Data_Entry!$H$3:$H$524,"Human",Human_Data_Entry!$S$3:$S$524,"YES",Human_Data_Entry!$BC$3:$BC$524,1)/COUNTIFS(Human_Data_Entry!$H$3:$H$524,"Human",Human_Data_Entry!$S$3:$S$524,"?*",Human_Data_Entry!$BC$3:$BC$524,1),"")</f>
        <v>0.36543209876543209</v>
      </c>
      <c r="D295">
        <f>IFERROR(COUNTIFS(Human_Data_Entry!$H$3:$H$524,"Human",Human_Data_Entry!$AJ$3:$AJ$524,"YES")/COUNTIFS(Human_Data_Entry!$H$3:$H$524,"Human",Human_Data_Entry!$AJ$3:$AJ$524,"?*"),"")</f>
        <v>0.38750000000000001</v>
      </c>
      <c r="E295">
        <f>IFERROR(COUNTIFS(Human_Data_Entry!$H$3:$H$524,"Human",Human_Data_Entry!$AJ$3:$AJ$524,"YES",Human_Data_Entry!$BC$3:$BC$524,1)/COUNTIFS(Human_Data_Entry!$H$3:$H$524,"Human",Human_Data_Entry!$AJ$3:$AJ$524,"?*",Human_Data_Entry!$BC$3:$BC$524,1),"")</f>
        <v>0.38181818181818183</v>
      </c>
    </row>
    <row r="296" spans="1:6" x14ac:dyDescent="0.2">
      <c r="A296" t="s">
        <v>2059</v>
      </c>
      <c r="B296">
        <f>COUNTIFS(Human_Data_Entry!$H$3:$H$524,"Human",Human_Data_Entry!$J$3:$J$524,"&lt;&gt;HOLD",Human_Data_Entry!$S$3:$S$524,"?*")</f>
        <v>306</v>
      </c>
      <c r="C296">
        <f>COUNTIFS(Human_Data_Entry!$H$3:$H$524,"Human",Human_Data_Entry!$J$3:$J$524,"&lt;&gt;HOLD",Human_Data_Entry!$S$3:$S$524,"?*",Human_Data_Entry!$BC$3:$BC$524,1)</f>
        <v>299</v>
      </c>
      <c r="D296">
        <f>COUNTIFS(Human_Data_Entry!$H$3:$H$524,"Human",Human_Data_Entry!$J$3:$J$524,"&lt;&gt;HOLD",Human_Data_Entry!$AJ$3:$AJ$524,"?*")</f>
        <v>288</v>
      </c>
      <c r="E296">
        <f>COUNTIFS(Human_Data_Entry!$H$3:$H$524,"Human",Human_Data_Entry!$J$3:$J$524,"&lt;&gt;HOLD",Human_Data_Entry!$AJ$3:$AJ$524,"?*",Human_Data_Entry!$BC$3:$BC$524,1)</f>
        <v>281</v>
      </c>
    </row>
    <row r="297" spans="1:6" x14ac:dyDescent="0.2">
      <c r="A297" t="s">
        <v>2270</v>
      </c>
      <c r="B297">
        <f>SUMIFS(Human_Data_Entry!$U$3:$U$524,Human_Data_Entry!$H$3:$H$524,"Human",Human_Data_Entry!$J$3:$J$524,"&lt;&gt;HOLD")</f>
        <v>-4.6599999999998663E-2</v>
      </c>
      <c r="C297">
        <f>SUMIFS(Human_Data_Entry!$U$3:$U$524,Human_Data_Entry!$H$3:$H$524,"Human",Human_Data_Entry!$J$3:$J$524,"&lt;&gt;HOLD",Human_Data_Entry!$BC$3:$BC$524,1)</f>
        <v>-1.9999999999986487E-3</v>
      </c>
      <c r="D297">
        <f>SUMIFS(Human_Data_Entry!$AK$3:$AK$524,Human_Data_Entry!$H$3:$H$524,"Human",Human_Data_Entry!$J$3:$J$524,"&lt;&gt;HOLD")</f>
        <v>0.50416999999999967</v>
      </c>
      <c r="E297">
        <f>SUMIFS(Human_Data_Entry!$AK$3:$AK$524,Human_Data_Entry!$H$3:$H$524,"Human",Human_Data_Entry!$J$3:$J$524,"&lt;&gt;HOLD",Human_Data_Entry!$BC$3:$BC$524,1)</f>
        <v>0.39496099999999978</v>
      </c>
      <c r="F297" t="s">
        <v>2271</v>
      </c>
    </row>
    <row r="299" spans="1:6" x14ac:dyDescent="0.2">
      <c r="A299" t="s">
        <v>2272</v>
      </c>
      <c r="C299" t="s">
        <v>2273</v>
      </c>
    </row>
    <row r="300" spans="1:6" x14ac:dyDescent="0.2">
      <c r="A300" t="s">
        <v>2185</v>
      </c>
      <c r="B300" t="s">
        <v>2237</v>
      </c>
      <c r="C300" t="s">
        <v>2238</v>
      </c>
    </row>
    <row r="301" spans="1:6" x14ac:dyDescent="0.2">
      <c r="A301" t="s">
        <v>2274</v>
      </c>
      <c r="B301">
        <f>COUNTIFS(Human_Data_Entry!$H$3:$H$524,"Human",Human_Data_Entry!$S$3:$S$524,"?*",Human_Data_Entry!$Z$3:$Z$524,"?*")</f>
        <v>297</v>
      </c>
      <c r="C301" t="s">
        <v>2275</v>
      </c>
    </row>
    <row r="302" spans="1:6" x14ac:dyDescent="0.2">
      <c r="A302" t="s">
        <v>2112</v>
      </c>
      <c r="B302">
        <f>SUM(Human_Data_Entry!$BK$3:$BK$524)</f>
        <v>159</v>
      </c>
      <c r="C302" t="s">
        <v>2276</v>
      </c>
    </row>
    <row r="303" spans="1:6" x14ac:dyDescent="0.2">
      <c r="A303" t="s">
        <v>2277</v>
      </c>
      <c r="B303">
        <f>IFERROR(SUM(Human_Data_Entry!$BK$3:$BK$524)/COUNTIFS(Human_Data_Entry!$H$3:$H$524,"Human",Human_Data_Entry!$S$3:$S$524,"?*",Human_Data_Entry!$Z$3:$Z$524,"?*"),"")</f>
        <v>0.53535353535353536</v>
      </c>
    </row>
    <row r="304" spans="1:6" x14ac:dyDescent="0.2">
      <c r="A304" t="s">
        <v>2278</v>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0.32875330181727491</v>
      </c>
      <c r="C304" t="s">
        <v>2279</v>
      </c>
    </row>
    <row r="305" spans="1:3" x14ac:dyDescent="0.2">
      <c r="A305" t="s">
        <v>2280</v>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0.30778584698530653</v>
      </c>
      <c r="C305" t="s">
        <v>2281</v>
      </c>
    </row>
    <row r="307" spans="1:3" x14ac:dyDescent="0.2">
      <c r="A307" t="s">
        <v>2282</v>
      </c>
      <c r="C307" t="s">
        <v>2283</v>
      </c>
    </row>
    <row r="308" spans="1:3" x14ac:dyDescent="0.2">
      <c r="A308" t="s">
        <v>2185</v>
      </c>
      <c r="B308" t="s">
        <v>2237</v>
      </c>
      <c r="C308" t="s">
        <v>2238</v>
      </c>
    </row>
    <row r="309" spans="1:3" x14ac:dyDescent="0.2">
      <c r="A309" t="s">
        <v>2284</v>
      </c>
      <c r="B309">
        <v>268</v>
      </c>
    </row>
    <row r="310" spans="1:3" x14ac:dyDescent="0.2">
      <c r="A310" t="s">
        <v>2285</v>
      </c>
      <c r="B310">
        <v>120</v>
      </c>
      <c r="C310" t="s">
        <v>2286</v>
      </c>
    </row>
    <row r="311" spans="1:3" x14ac:dyDescent="0.2">
      <c r="A311" t="s">
        <v>2287</v>
      </c>
      <c r="B311">
        <v>120</v>
      </c>
      <c r="C311" t="s">
        <v>2288</v>
      </c>
    </row>
    <row r="312" spans="1:3" x14ac:dyDescent="0.2">
      <c r="A312" t="s">
        <v>2289</v>
      </c>
      <c r="B312">
        <v>0</v>
      </c>
    </row>
    <row r="313" spans="1:3" x14ac:dyDescent="0.2">
      <c r="A313" t="s">
        <v>2290</v>
      </c>
      <c r="B313">
        <v>148</v>
      </c>
    </row>
    <row r="314" spans="1:3" x14ac:dyDescent="0.2">
      <c r="A314" t="s">
        <v>2291</v>
      </c>
      <c r="B314">
        <v>113</v>
      </c>
    </row>
    <row r="315" spans="1:3" x14ac:dyDescent="0.2">
      <c r="A315" t="s">
        <v>2292</v>
      </c>
      <c r="B315">
        <v>42</v>
      </c>
    </row>
    <row r="316" spans="1:3" x14ac:dyDescent="0.2">
      <c r="A316" t="s">
        <v>2293</v>
      </c>
      <c r="B316">
        <v>116</v>
      </c>
    </row>
    <row r="317" spans="1:3" x14ac:dyDescent="0.2">
      <c r="A317" t="s">
        <v>2294</v>
      </c>
      <c r="B317">
        <v>4</v>
      </c>
      <c r="C317" t="s">
        <v>2295</v>
      </c>
    </row>
    <row r="319" spans="1:3" x14ac:dyDescent="0.2">
      <c r="A319" t="s">
        <v>2296</v>
      </c>
      <c r="C319" t="s">
        <v>2297</v>
      </c>
    </row>
    <row r="321" spans="1:3" x14ac:dyDescent="0.2">
      <c r="A321" t="s">
        <v>2298</v>
      </c>
      <c r="C321" t="s">
        <v>2299</v>
      </c>
    </row>
    <row r="322" spans="1:3" x14ac:dyDescent="0.2">
      <c r="A322" t="s">
        <v>2185</v>
      </c>
      <c r="B322" t="s">
        <v>2237</v>
      </c>
      <c r="C322" t="s">
        <v>2238</v>
      </c>
    </row>
    <row r="323" spans="1:3" x14ac:dyDescent="0.2">
      <c r="A323" t="s">
        <v>2300</v>
      </c>
      <c r="B323">
        <v>1153</v>
      </c>
      <c r="C323" t="s">
        <v>2301</v>
      </c>
    </row>
    <row r="324" spans="1:3" x14ac:dyDescent="0.2">
      <c r="A324" t="s">
        <v>2302</v>
      </c>
      <c r="B324">
        <v>1074</v>
      </c>
      <c r="C324" t="s">
        <v>2303</v>
      </c>
    </row>
    <row r="325" spans="1:3" x14ac:dyDescent="0.2">
      <c r="A325" t="s">
        <v>2304</v>
      </c>
      <c r="B325">
        <v>74</v>
      </c>
      <c r="C325" t="s">
        <v>2305</v>
      </c>
    </row>
    <row r="326" spans="1:3" x14ac:dyDescent="0.2">
      <c r="A326" t="s">
        <v>2306</v>
      </c>
      <c r="B326">
        <v>704</v>
      </c>
    </row>
    <row r="327" spans="1:3" x14ac:dyDescent="0.2">
      <c r="A327" t="s">
        <v>2307</v>
      </c>
      <c r="B327">
        <v>370</v>
      </c>
      <c r="C327" t="s">
        <v>2308</v>
      </c>
    </row>
    <row r="328" spans="1:3" x14ac:dyDescent="0.2">
      <c r="A328" t="s">
        <v>2309</v>
      </c>
      <c r="B328">
        <v>517</v>
      </c>
      <c r="C328" t="s">
        <v>2310</v>
      </c>
    </row>
    <row r="329" spans="1:3" x14ac:dyDescent="0.2">
      <c r="A329" t="s">
        <v>2311</v>
      </c>
      <c r="B329">
        <v>21</v>
      </c>
      <c r="C329" t="s">
        <v>2312</v>
      </c>
    </row>
    <row r="331" spans="1:3" x14ac:dyDescent="0.2">
      <c r="A331" t="s">
        <v>2313</v>
      </c>
      <c r="C331" t="s">
        <v>2314</v>
      </c>
    </row>
    <row r="332" spans="1:3" x14ac:dyDescent="0.2">
      <c r="A332" t="s">
        <v>2185</v>
      </c>
      <c r="B332" t="s">
        <v>2237</v>
      </c>
      <c r="C332" t="s">
        <v>2238</v>
      </c>
    </row>
    <row r="333" spans="1:3" x14ac:dyDescent="0.2">
      <c r="A333" t="s">
        <v>2315</v>
      </c>
      <c r="B333">
        <v>45</v>
      </c>
      <c r="C333" t="s">
        <v>2316</v>
      </c>
    </row>
    <row r="334" spans="1:3" x14ac:dyDescent="0.2">
      <c r="A334" t="s">
        <v>2317</v>
      </c>
      <c r="B334">
        <v>10</v>
      </c>
    </row>
    <row r="335" spans="1:3" x14ac:dyDescent="0.2">
      <c r="A335" t="s">
        <v>2318</v>
      </c>
      <c r="B335">
        <v>35</v>
      </c>
    </row>
    <row r="336" spans="1:3" x14ac:dyDescent="0.2">
      <c r="A336" t="s">
        <v>2319</v>
      </c>
      <c r="B336">
        <v>25</v>
      </c>
    </row>
    <row r="337" spans="1:3" x14ac:dyDescent="0.2">
      <c r="A337" t="s">
        <v>2320</v>
      </c>
      <c r="B337">
        <v>20</v>
      </c>
    </row>
    <row r="338" spans="1:3" x14ac:dyDescent="0.2">
      <c r="A338" t="s">
        <v>2321</v>
      </c>
      <c r="B338">
        <f>COUNTIFS(Human_Data_Entry!$BP$3:$BP$524,"sole source")</f>
        <v>10</v>
      </c>
      <c r="C338" t="s">
        <v>2322</v>
      </c>
    </row>
    <row r="339" spans="1:3" x14ac:dyDescent="0.2">
      <c r="A339" t="s">
        <v>2323</v>
      </c>
      <c r="B339">
        <f>COUNTIFS(Human_Data_Entry!$BP$3:$BP$524,"one of several")</f>
        <v>7</v>
      </c>
      <c r="C339" t="s">
        <v>2324</v>
      </c>
    </row>
    <row r="340" spans="1:3" x14ac:dyDescent="0.2">
      <c r="A340" t="s">
        <v>2325</v>
      </c>
      <c r="B340">
        <f>COUNTIFS(LLM_Data_Entry!$AY$3:$AY$430,"sole source")</f>
        <v>2</v>
      </c>
      <c r="C340" t="s">
        <v>2326</v>
      </c>
    </row>
    <row r="341" spans="1:3" x14ac:dyDescent="0.2">
      <c r="A341" t="s">
        <v>2327</v>
      </c>
      <c r="B341">
        <f>COUNTIFS(LLM_Data_Entry!$AY$3:$AY$430,"one of several")</f>
        <v>7</v>
      </c>
    </row>
    <row r="342" spans="1:3" x14ac:dyDescent="0.2">
      <c r="A342" t="s">
        <v>2328</v>
      </c>
      <c r="B342" t="s">
        <v>2329</v>
      </c>
      <c r="C342" t="s">
        <v>2330</v>
      </c>
    </row>
    <row r="344" spans="1:3" x14ac:dyDescent="0.2">
      <c r="A344" t="s">
        <v>2331</v>
      </c>
      <c r="C344" t="s">
        <v>2332</v>
      </c>
    </row>
    <row r="345" spans="1:3" x14ac:dyDescent="0.2">
      <c r="A345" t="s">
        <v>2333</v>
      </c>
      <c r="B345" t="s">
        <v>2334</v>
      </c>
      <c r="C345" t="s">
        <v>2335</v>
      </c>
    </row>
    <row r="346" spans="1:3" x14ac:dyDescent="0.2">
      <c r="A346" t="s">
        <v>2336</v>
      </c>
      <c r="B346">
        <v>75</v>
      </c>
      <c r="C346" t="s">
        <v>596</v>
      </c>
    </row>
    <row r="347" spans="1:3" x14ac:dyDescent="0.2">
      <c r="A347" t="s">
        <v>2337</v>
      </c>
      <c r="B347">
        <v>72</v>
      </c>
      <c r="C347" t="s">
        <v>596</v>
      </c>
    </row>
    <row r="348" spans="1:3" x14ac:dyDescent="0.2">
      <c r="A348" t="s">
        <v>2338</v>
      </c>
      <c r="B348">
        <v>38</v>
      </c>
      <c r="C348" t="s">
        <v>553</v>
      </c>
    </row>
    <row r="349" spans="1:3" x14ac:dyDescent="0.2">
      <c r="A349" t="s">
        <v>2339</v>
      </c>
      <c r="B349">
        <v>33</v>
      </c>
      <c r="C349" t="s">
        <v>553</v>
      </c>
    </row>
    <row r="350" spans="1:3" x14ac:dyDescent="0.2">
      <c r="A350" t="s">
        <v>2340</v>
      </c>
      <c r="B350">
        <v>16</v>
      </c>
      <c r="C350" t="s">
        <v>553</v>
      </c>
    </row>
    <row r="351" spans="1:3" x14ac:dyDescent="0.2">
      <c r="A351" t="s">
        <v>2341</v>
      </c>
      <c r="B351">
        <v>10</v>
      </c>
      <c r="C351" t="s">
        <v>553</v>
      </c>
    </row>
    <row r="352" spans="1:3" x14ac:dyDescent="0.2">
      <c r="A352" t="s">
        <v>2342</v>
      </c>
      <c r="B352">
        <v>244</v>
      </c>
      <c r="C352" t="s">
        <v>2343</v>
      </c>
    </row>
    <row r="353" spans="1:3" x14ac:dyDescent="0.2">
      <c r="A353" t="s">
        <v>2344</v>
      </c>
      <c r="B353">
        <v>30</v>
      </c>
      <c r="C353" t="s">
        <v>2345</v>
      </c>
    </row>
    <row r="354" spans="1:3" x14ac:dyDescent="0.2">
      <c r="A354" t="s">
        <v>2346</v>
      </c>
      <c r="B354">
        <v>13</v>
      </c>
      <c r="C354" t="s">
        <v>2347</v>
      </c>
    </row>
    <row r="355" spans="1:3" x14ac:dyDescent="0.2">
      <c r="A355" t="s">
        <v>2348</v>
      </c>
      <c r="B355">
        <v>0</v>
      </c>
      <c r="C355" t="s">
        <v>2349</v>
      </c>
    </row>
    <row r="356" spans="1:3" x14ac:dyDescent="0.2">
      <c r="A356" t="s">
        <v>2350</v>
      </c>
      <c r="B356">
        <f>COUNTIFS(Human_Data_Entry!$BO$3:$BO$524,"licensed vendor")</f>
        <v>81</v>
      </c>
    </row>
    <row r="357" spans="1:3" x14ac:dyDescent="0.2">
      <c r="A357" t="s">
        <v>2351</v>
      </c>
      <c r="B357">
        <f>COUNTIFS(LLM_Data_Entry!$AX$3:$AX$430,"licensed vendor")</f>
        <v>61</v>
      </c>
    </row>
    <row r="359" spans="1:3" x14ac:dyDescent="0.2">
      <c r="A359" t="s">
        <v>2352</v>
      </c>
      <c r="C359" t="s">
        <v>2353</v>
      </c>
    </row>
    <row r="360" spans="1:3" x14ac:dyDescent="0.2">
      <c r="A360" t="s">
        <v>2185</v>
      </c>
      <c r="B360" t="s">
        <v>2237</v>
      </c>
      <c r="C360" t="s">
        <v>2238</v>
      </c>
    </row>
    <row r="361" spans="1:3" x14ac:dyDescent="0.2">
      <c r="A361" t="s">
        <v>2354</v>
      </c>
      <c r="B361">
        <v>7</v>
      </c>
    </row>
    <row r="362" spans="1:3" x14ac:dyDescent="0.2">
      <c r="A362" t="s">
        <v>2355</v>
      </c>
      <c r="B362">
        <v>17</v>
      </c>
    </row>
    <row r="363" spans="1:3" x14ac:dyDescent="0.2">
      <c r="A363" t="s">
        <v>2356</v>
      </c>
      <c r="B363">
        <v>4</v>
      </c>
      <c r="C363" t="s">
        <v>2357</v>
      </c>
    </row>
    <row r="364" spans="1:3" x14ac:dyDescent="0.2">
      <c r="A364" t="s">
        <v>2358</v>
      </c>
      <c r="B364" t="s">
        <v>2359</v>
      </c>
      <c r="C364" t="s">
        <v>2360</v>
      </c>
    </row>
    <row r="365" spans="1:3" x14ac:dyDescent="0.2">
      <c r="A365" t="s">
        <v>2361</v>
      </c>
      <c r="B365" t="s">
        <v>2362</v>
      </c>
      <c r="C365" t="s">
        <v>2363</v>
      </c>
    </row>
    <row r="366" spans="1:3" x14ac:dyDescent="0.2">
      <c r="A366" t="s">
        <v>2361</v>
      </c>
      <c r="B366" t="s">
        <v>2364</v>
      </c>
      <c r="C366" t="s">
        <v>2365</v>
      </c>
    </row>
    <row r="367" spans="1:3" x14ac:dyDescent="0.2">
      <c r="A367" t="s">
        <v>2361</v>
      </c>
      <c r="B367" t="s">
        <v>2366</v>
      </c>
      <c r="C367" t="s">
        <v>2367</v>
      </c>
    </row>
    <row r="368" spans="1:3" x14ac:dyDescent="0.2">
      <c r="A368" t="s">
        <v>2358</v>
      </c>
      <c r="B368" t="s">
        <v>2368</v>
      </c>
      <c r="C368" t="s">
        <v>2369</v>
      </c>
    </row>
    <row r="369" spans="1:3" x14ac:dyDescent="0.2">
      <c r="A369" t="s">
        <v>2358</v>
      </c>
      <c r="B369" t="s">
        <v>2370</v>
      </c>
      <c r="C369" t="s">
        <v>2371</v>
      </c>
    </row>
    <row r="370" spans="1:3" x14ac:dyDescent="0.2">
      <c r="A370" t="s">
        <v>2358</v>
      </c>
      <c r="B370" t="s">
        <v>2372</v>
      </c>
      <c r="C370" t="s">
        <v>2373</v>
      </c>
    </row>
    <row r="372" spans="1:3" x14ac:dyDescent="0.2">
      <c r="A372" t="s">
        <v>2374</v>
      </c>
      <c r="C372" t="s">
        <v>2375</v>
      </c>
    </row>
    <row r="373" spans="1:3" x14ac:dyDescent="0.2">
      <c r="A373" t="s">
        <v>2185</v>
      </c>
      <c r="B373" t="s">
        <v>2237</v>
      </c>
      <c r="C373" t="s">
        <v>2238</v>
      </c>
    </row>
    <row r="374" spans="1:3" x14ac:dyDescent="0.2">
      <c r="A374" t="s">
        <v>2376</v>
      </c>
      <c r="B374">
        <v>7</v>
      </c>
      <c r="C374" t="s">
        <v>2377</v>
      </c>
    </row>
    <row r="375" spans="1:3" x14ac:dyDescent="0.2">
      <c r="A375" t="s">
        <v>2378</v>
      </c>
      <c r="B375">
        <v>50</v>
      </c>
      <c r="C375" t="s">
        <v>2379</v>
      </c>
    </row>
    <row r="376" spans="1:3" x14ac:dyDescent="0.2">
      <c r="A376" t="s">
        <v>2380</v>
      </c>
      <c r="B376">
        <v>424</v>
      </c>
      <c r="C376" t="s">
        <v>2381</v>
      </c>
    </row>
    <row r="377" spans="1:3" x14ac:dyDescent="0.2">
      <c r="A377" t="s">
        <v>2382</v>
      </c>
      <c r="B377">
        <v>7</v>
      </c>
      <c r="C377" t="s">
        <v>2383</v>
      </c>
    </row>
    <row r="378" spans="1:3" x14ac:dyDescent="0.2">
      <c r="A378" t="s">
        <v>2384</v>
      </c>
      <c r="B378">
        <f>COUNTIFS(Human_Data_Entry!$BQ$3:$BQ$524,"yes")</f>
        <v>228</v>
      </c>
    </row>
    <row r="379" spans="1:3" x14ac:dyDescent="0.2">
      <c r="A379" t="s">
        <v>2385</v>
      </c>
      <c r="B379">
        <f>COUNTIFS(LLM_Data_Entry!$AZ$3:$AZ$430,"yes")</f>
        <v>127</v>
      </c>
    </row>
    <row r="381" spans="1:3" x14ac:dyDescent="0.2">
      <c r="A381" t="s">
        <v>2386</v>
      </c>
      <c r="C381" t="s">
        <v>2387</v>
      </c>
    </row>
    <row r="382" spans="1:3" x14ac:dyDescent="0.2">
      <c r="A382" t="s">
        <v>2185</v>
      </c>
      <c r="B382" t="s">
        <v>2237</v>
      </c>
      <c r="C382" t="s">
        <v>2238</v>
      </c>
    </row>
    <row r="383" spans="1:3" x14ac:dyDescent="0.2">
      <c r="A383" t="s">
        <v>2388</v>
      </c>
      <c r="B383">
        <v>15</v>
      </c>
      <c r="C383" t="s">
        <v>2389</v>
      </c>
    </row>
    <row r="384" spans="1:3" x14ac:dyDescent="0.2">
      <c r="A384" t="s">
        <v>2390</v>
      </c>
      <c r="B384">
        <v>0</v>
      </c>
      <c r="C384" t="s">
        <v>2391</v>
      </c>
    </row>
    <row r="385" spans="1:3" x14ac:dyDescent="0.2">
      <c r="A385" t="s">
        <v>2392</v>
      </c>
      <c r="B385" t="s">
        <v>2393</v>
      </c>
      <c r="C385" t="s">
        <v>2394</v>
      </c>
    </row>
    <row r="386" spans="1:3" x14ac:dyDescent="0.2">
      <c r="A386" t="s">
        <v>2395</v>
      </c>
      <c r="B386" t="s">
        <v>2396</v>
      </c>
      <c r="C386" t="s">
        <v>2394</v>
      </c>
    </row>
    <row r="387" spans="1:3" x14ac:dyDescent="0.2">
      <c r="A387" t="s">
        <v>2397</v>
      </c>
      <c r="B387" t="s">
        <v>2398</v>
      </c>
      <c r="C387" t="s">
        <v>2394</v>
      </c>
    </row>
    <row r="388" spans="1:3" x14ac:dyDescent="0.2">
      <c r="A388" t="s">
        <v>2399</v>
      </c>
      <c r="B388" t="s">
        <v>2400</v>
      </c>
      <c r="C388" t="s">
        <v>2401</v>
      </c>
    </row>
    <row r="389" spans="1:3" x14ac:dyDescent="0.2">
      <c r="A389" t="s">
        <v>2402</v>
      </c>
      <c r="B389" t="s">
        <v>2403</v>
      </c>
      <c r="C389" t="s">
        <v>2401</v>
      </c>
    </row>
    <row r="390" spans="1:3" x14ac:dyDescent="0.2">
      <c r="A390" t="s">
        <v>2404</v>
      </c>
      <c r="B390" t="s">
        <v>2405</v>
      </c>
      <c r="C390" t="s">
        <v>2401</v>
      </c>
    </row>
    <row r="391" spans="1:3" x14ac:dyDescent="0.2">
      <c r="A391" t="s">
        <v>2406</v>
      </c>
      <c r="B391" t="s">
        <v>2407</v>
      </c>
      <c r="C391" t="s">
        <v>2394</v>
      </c>
    </row>
    <row r="392" spans="1:3" x14ac:dyDescent="0.2">
      <c r="A392" t="s">
        <v>2408</v>
      </c>
      <c r="B392" t="s">
        <v>2409</v>
      </c>
      <c r="C392" t="s">
        <v>2401</v>
      </c>
    </row>
    <row r="393" spans="1:3" x14ac:dyDescent="0.2">
      <c r="A393" t="s">
        <v>2410</v>
      </c>
      <c r="B393" t="s">
        <v>960</v>
      </c>
      <c r="C393" t="s">
        <v>2394</v>
      </c>
    </row>
    <row r="394" spans="1:3" x14ac:dyDescent="0.2">
      <c r="A394" t="s">
        <v>2411</v>
      </c>
      <c r="B394" t="s">
        <v>1319</v>
      </c>
      <c r="C394" t="s">
        <v>2412</v>
      </c>
    </row>
    <row r="395" spans="1:3" x14ac:dyDescent="0.2">
      <c r="A395" t="s">
        <v>2413</v>
      </c>
      <c r="B395" t="s">
        <v>2414</v>
      </c>
      <c r="C395" t="s">
        <v>2401</v>
      </c>
    </row>
    <row r="396" spans="1:3" x14ac:dyDescent="0.2">
      <c r="A396" t="s">
        <v>2415</v>
      </c>
      <c r="B396" t="s">
        <v>2416</v>
      </c>
      <c r="C396" t="s">
        <v>2401</v>
      </c>
    </row>
    <row r="397" spans="1:3" x14ac:dyDescent="0.2">
      <c r="A397" t="s">
        <v>2417</v>
      </c>
      <c r="B397" t="s">
        <v>2418</v>
      </c>
      <c r="C397" t="s">
        <v>2394</v>
      </c>
    </row>
    <row r="398" spans="1:3" x14ac:dyDescent="0.2">
      <c r="A398" t="s">
        <v>2419</v>
      </c>
      <c r="B398" t="s">
        <v>2420</v>
      </c>
      <c r="C398" t="s">
        <v>2412</v>
      </c>
    </row>
    <row r="399" spans="1:3" x14ac:dyDescent="0.2">
      <c r="A399" t="s">
        <v>2421</v>
      </c>
      <c r="B399" t="s">
        <v>2422</v>
      </c>
      <c r="C399" t="s">
        <v>2394</v>
      </c>
    </row>
    <row r="400" spans="1:3" x14ac:dyDescent="0.2">
      <c r="A400" t="s">
        <v>2423</v>
      </c>
      <c r="B400">
        <v>5</v>
      </c>
      <c r="C400" t="s">
        <v>2424</v>
      </c>
    </row>
    <row r="401" spans="1:5" x14ac:dyDescent="0.2">
      <c r="A401" t="s">
        <v>2425</v>
      </c>
      <c r="C401" t="s">
        <v>2426</v>
      </c>
    </row>
    <row r="403" spans="1:5" x14ac:dyDescent="0.2">
      <c r="A403" t="s">
        <v>2427</v>
      </c>
      <c r="C403" t="s">
        <v>2428</v>
      </c>
    </row>
    <row r="404" spans="1:5" x14ac:dyDescent="0.2">
      <c r="A404" t="s">
        <v>2185</v>
      </c>
      <c r="B404" t="s">
        <v>2429</v>
      </c>
      <c r="C404" t="s">
        <v>2430</v>
      </c>
      <c r="D404" t="s">
        <v>2431</v>
      </c>
      <c r="E404" t="s">
        <v>2238</v>
      </c>
    </row>
    <row r="405" spans="1:5" x14ac:dyDescent="0.2">
      <c r="A405" t="s">
        <v>2239</v>
      </c>
      <c r="B405">
        <f>COUNTIFS(Human_Data_Entry!$H$3:$H$524,"Human",Human_Data_Entry!$S$3:$S$524,"?*",Human_Data_Entry!$BC$3:$BC$524,1)</f>
        <v>405</v>
      </c>
      <c r="C405">
        <f>COUNTIFS(Human_Data_Entry!$H$3:$H$524,"Human",Human_Data_Entry!$S$3:$S$524,"?*")</f>
        <v>420</v>
      </c>
      <c r="D405">
        <f>COUNTIFS(Human_Data_Entry!$H$3:$H$524,"Human",Human_Data_Entry!$AJ$3:$AJ$524,"?*",Human_Data_Entry!$BC$3:$BC$524,1)</f>
        <v>385</v>
      </c>
      <c r="E405" t="s">
        <v>2240</v>
      </c>
    </row>
    <row r="406" spans="1:5" x14ac:dyDescent="0.2">
      <c r="A406" t="s">
        <v>2064</v>
      </c>
      <c r="B406">
        <f>COUNTIFS(Human_Data_Entry!$H$3:$H$524,"Human",Human_Data_Entry!$S$3:$S$524,"YES",Human_Data_Entry!$BC$3:$BC$524,1)</f>
        <v>148</v>
      </c>
      <c r="C406">
        <f>COUNTIFS(Human_Data_Entry!$H$3:$H$524,"Human",Human_Data_Entry!$S$3:$S$524,"YES")</f>
        <v>156</v>
      </c>
      <c r="D406">
        <f>COUNTIFS(Human_Data_Entry!$H$3:$H$524,"Human",Human_Data_Entry!$AJ$3:$AJ$524,"YES",Human_Data_Entry!$BC$3:$BC$524,1)</f>
        <v>147</v>
      </c>
    </row>
    <row r="407" spans="1:5" x14ac:dyDescent="0.2">
      <c r="A407" t="s">
        <v>2057</v>
      </c>
      <c r="B407">
        <f>IFERROR(COUNTIFS(Human_Data_Entry!$H$3:$H$524,"Human",Human_Data_Entry!$S$3:$S$524,"YES",Human_Data_Entry!$BC$3:$BC$524,1)/COUNTIFS(Human_Data_Entry!$H$3:$H$524,"Human",Human_Data_Entry!$S$3:$S$524,"?*",Human_Data_Entry!$BC$3:$BC$524,1),"")</f>
        <v>0.36543209876543209</v>
      </c>
      <c r="C407">
        <f>IFERROR(COUNTIFS(Human_Data_Entry!$H$3:$H$524,"Human",Human_Data_Entry!$S$3:$S$524,"YES")/COUNTIFS(Human_Data_Entry!$H$3:$H$524,"Human",Human_Data_Entry!$S$3:$S$524,"?*"),"")</f>
        <v>0.37142857142857144</v>
      </c>
      <c r="D407">
        <f>IFERROR(COUNTIFS(Human_Data_Entry!$H$3:$H$524,"Human",Human_Data_Entry!$AJ$3:$AJ$524,"YES",Human_Data_Entry!$BC$3:$BC$524,1)/COUNTIFS(Human_Data_Entry!$H$3:$H$524,"Human",Human_Data_Entry!$AJ$3:$AJ$524,"?*",Human_Data_Entry!$BC$3:$BC$524,1),"")</f>
        <v>0.38181818181818183</v>
      </c>
      <c r="E407" t="s">
        <v>2432</v>
      </c>
    </row>
    <row r="408" spans="1:5" x14ac:dyDescent="0.2">
      <c r="A408" t="s">
        <v>2059</v>
      </c>
      <c r="B408">
        <f>COUNTIFS(Human_Data_Entry!$H$3:$H$524,"Human",Human_Data_Entry!$J$3:$J$524,"&lt;&gt;HOLD",Human_Data_Entry!$S$3:$S$524,"?*",Human_Data_Entry!$BC$3:$BC$524,1)</f>
        <v>299</v>
      </c>
      <c r="C408">
        <f>COUNTIFS(Human_Data_Entry!$H$3:$H$524,"Human",Human_Data_Entry!$J$3:$J$524,"&lt;&gt;HOLD",Human_Data_Entry!$S$3:$S$524,"?*")</f>
        <v>306</v>
      </c>
      <c r="D408">
        <f>COUNTIFS(Human_Data_Entry!$H$3:$H$524,"Human",Human_Data_Entry!$J$3:$J$524,"&lt;&gt;HOLD",Human_Data_Entry!$AJ$3:$AJ$524,"?*",Human_Data_Entry!$BC$3:$BC$524,1)</f>
        <v>281</v>
      </c>
    </row>
    <row r="409" spans="1:5" x14ac:dyDescent="0.2">
      <c r="A409" t="s">
        <v>2270</v>
      </c>
      <c r="B409">
        <f>SUMIFS(Human_Data_Entry!$U$3:$U$524,Human_Data_Entry!$H$3:$H$524,"Human",Human_Data_Entry!$J$3:$J$524,"&lt;&gt;HOLD",Human_Data_Entry!$S$3:$S$524,"?*",Human_Data_Entry!$BC$3:$BC$524,1)</f>
        <v>-1.9999999999986487E-3</v>
      </c>
      <c r="C409">
        <f>SUMIFS(Human_Data_Entry!$U$3:$U$524,Human_Data_Entry!$H$3:$H$524,"Human",Human_Data_Entry!$J$3:$J$524,"&lt;&gt;HOLD",Human_Data_Entry!$S$3:$S$524,"?*")</f>
        <v>-4.6599999999998663E-2</v>
      </c>
      <c r="D409">
        <f>SUMIFS(Human_Data_Entry!$AK$3:$AK$524,Human_Data_Entry!$H$3:$H$524,"Human",Human_Data_Entry!$J$3:$J$524,"&lt;&gt;HOLD",Human_Data_Entry!$AJ$3:$AJ$524,"?*",Human_Data_Entry!$BC$3:$BC$524,1)</f>
        <v>0.39496099999999978</v>
      </c>
      <c r="E409" t="s">
        <v>2433</v>
      </c>
    </row>
    <row r="410" spans="1:5" x14ac:dyDescent="0.2">
      <c r="A410" t="s">
        <v>2434</v>
      </c>
      <c r="B410">
        <f>IFERROR(SUMIFS(Human_Data_Entry!$U$3:$U$524,Human_Data_Entry!$H$3:$H$524,"Human",Human_Data_Entry!$J$3:$J$524,"&lt;&gt;HOLD",Human_Data_Entry!$S$3:$S$524,"?*",Human_Data_Entry!$BC$3:$BC$524,1)/COUNTIFS(Human_Data_Entry!$H$3:$H$524,"Human",Human_Data_Entry!$J$3:$J$524,"&lt;&gt;HOLD",Human_Data_Entry!$S$3:$S$524,"?*",Human_Data_Entry!$BC$3:$BC$524,1),"")</f>
        <v>-6.6889632106978213E-6</v>
      </c>
      <c r="C410">
        <f>IFERROR(SUMIFS(Human_Data_Entry!$U$3:$U$524,Human_Data_Entry!$H$3:$H$524,"Human",Human_Data_Entry!$J$3:$J$524,"&lt;&gt;HOLD",Human_Data_Entry!$S$3:$S$524,"?*")/COUNTIFS(Human_Data_Entry!$H$3:$H$524,"Human",Human_Data_Entry!$J$3:$J$524,"&lt;&gt;HOLD",Human_Data_Entry!$S$3:$S$524,"?*"),"")</f>
        <v>-1.5228758169934204E-4</v>
      </c>
      <c r="D410">
        <f>IFERROR(SUMIFS(Human_Data_Entry!$AK$3:$AK$524,Human_Data_Entry!$H$3:$H$524,"Human",Human_Data_Entry!$J$3:$J$524,"&lt;&gt;HOLD",Human_Data_Entry!$AJ$3:$AJ$524,"?*",Human_Data_Entry!$BC$3:$BC$524,1)/COUNTIFS(Human_Data_Entry!$H$3:$H$524,"Human",Human_Data_Entry!$J$3:$J$524,"&lt;&gt;HOLD",Human_Data_Entry!$AJ$3:$AJ$524,"?*",Human_Data_Entry!$BC$3:$BC$524,1),"")</f>
        <v>1.4055551601423479E-3</v>
      </c>
    </row>
    <row r="411" spans="1:5" x14ac:dyDescent="0.2">
      <c r="A411" t="s">
        <v>2435</v>
      </c>
      <c r="B411">
        <f>SUMIFS(Human_Data_Entry!$K$3:$K$524,Human_Data_Entry!$H$3:$H$524,"Human",Human_Data_Entry!$S$3:$S$524,"?*",Human_Data_Entry!$BC$3:$BC$524,1)</f>
        <v>11280</v>
      </c>
      <c r="C411">
        <f>SUMIFS(Human_Data_Entry!$K$3:$K$524,Human_Data_Entry!$H$3:$H$524,"Human",Human_Data_Entry!$S$3:$S$524,"?*")</f>
        <v>11718</v>
      </c>
      <c r="D411">
        <f>SUMIFS(Human_Data_Entry!$K$3:$K$524,Human_Data_Entry!$H$3:$H$524,"Human",Human_Data_Entry!$AJ$3:$AJ$524,"?*",Human_Data_Entry!$BC$3:$BC$524,1)</f>
        <v>11024</v>
      </c>
      <c r="E411" t="s">
        <v>2436</v>
      </c>
    </row>
    <row r="412" spans="1:5" x14ac:dyDescent="0.2">
      <c r="A412" t="s">
        <v>2437</v>
      </c>
      <c r="B412">
        <v>0.51428571428571423</v>
      </c>
      <c r="C412" t="s">
        <v>2438</v>
      </c>
    </row>
    <row r="413" spans="1:5" x14ac:dyDescent="0.2">
      <c r="A413" t="s">
        <v>2439</v>
      </c>
      <c r="B413">
        <v>-0.12467532467532461</v>
      </c>
      <c r="C413" t="s">
        <v>2440</v>
      </c>
    </row>
    <row r="415" spans="1:5" x14ac:dyDescent="0.2">
      <c r="A415" t="s">
        <v>2441</v>
      </c>
      <c r="C415" t="s">
        <v>2442</v>
      </c>
    </row>
    <row r="416" spans="1:5" x14ac:dyDescent="0.2">
      <c r="A416" t="s">
        <v>2443</v>
      </c>
      <c r="B416" t="s">
        <v>2444</v>
      </c>
      <c r="C416" t="s">
        <v>2445</v>
      </c>
      <c r="D416" t="s">
        <v>2446</v>
      </c>
      <c r="E416" t="s">
        <v>2238</v>
      </c>
    </row>
    <row r="417" spans="1:5" x14ac:dyDescent="0.2">
      <c r="A417" t="s">
        <v>2239</v>
      </c>
      <c r="B417">
        <v>388</v>
      </c>
      <c r="C417">
        <v>400</v>
      </c>
      <c r="D417">
        <v>12</v>
      </c>
      <c r="E417" t="s">
        <v>2447</v>
      </c>
    </row>
    <row r="418" spans="1:5" x14ac:dyDescent="0.2">
      <c r="A418" t="s">
        <v>2121</v>
      </c>
      <c r="B418">
        <v>168</v>
      </c>
      <c r="C418">
        <v>159</v>
      </c>
      <c r="D418">
        <v>-9</v>
      </c>
    </row>
    <row r="419" spans="1:5" x14ac:dyDescent="0.2">
      <c r="A419" t="s">
        <v>2448</v>
      </c>
      <c r="B419">
        <v>0.4329896907216495</v>
      </c>
      <c r="C419">
        <v>0.39750000000000002</v>
      </c>
      <c r="D419">
        <v>-3.5489690721649481E-2</v>
      </c>
      <c r="E419" t="s">
        <v>2449</v>
      </c>
    </row>
    <row r="420" spans="1:5" x14ac:dyDescent="0.2">
      <c r="A420" t="s">
        <v>2123</v>
      </c>
      <c r="B420">
        <v>262</v>
      </c>
      <c r="C420">
        <v>288</v>
      </c>
      <c r="D420">
        <v>26</v>
      </c>
      <c r="E420" t="s">
        <v>2450</v>
      </c>
    </row>
    <row r="421" spans="1:5" x14ac:dyDescent="0.2">
      <c r="A421" t="s">
        <v>2451</v>
      </c>
      <c r="B421">
        <v>1.6719999999999999</v>
      </c>
      <c r="C421">
        <v>1.0885</v>
      </c>
      <c r="D421">
        <v>-0.58350000000000013</v>
      </c>
      <c r="E421" t="s">
        <v>2452</v>
      </c>
    </row>
    <row r="422" spans="1:5" x14ac:dyDescent="0.2">
      <c r="A422" t="s">
        <v>2453</v>
      </c>
      <c r="B422">
        <v>6.3816793893129772E-3</v>
      </c>
      <c r="C422">
        <v>3.7795138888888878E-3</v>
      </c>
      <c r="D422">
        <v>-2.6021655004240889E-3</v>
      </c>
    </row>
    <row r="423" spans="1:5" x14ac:dyDescent="0.2">
      <c r="A423" t="s">
        <v>2454</v>
      </c>
      <c r="B423">
        <v>0.51288659793814428</v>
      </c>
      <c r="C423">
        <v>0.52</v>
      </c>
      <c r="D423">
        <v>7.1134020618557336E-3</v>
      </c>
    </row>
    <row r="424" spans="1:5" x14ac:dyDescent="0.2">
      <c r="A424" t="s">
        <v>2455</v>
      </c>
      <c r="B424">
        <v>0.41417910447761191</v>
      </c>
      <c r="C424">
        <v>0.41417910447761191</v>
      </c>
      <c r="D424">
        <v>0</v>
      </c>
      <c r="E424" t="s">
        <v>2456</v>
      </c>
    </row>
    <row r="425" spans="1:5" x14ac:dyDescent="0.2">
      <c r="A425" t="s">
        <v>2457</v>
      </c>
      <c r="B425">
        <v>2.9564358129188779</v>
      </c>
      <c r="C425">
        <v>2.9564358129188779</v>
      </c>
      <c r="D425">
        <v>0</v>
      </c>
    </row>
    <row r="426" spans="1:5" x14ac:dyDescent="0.2">
      <c r="A426" t="s">
        <v>2458</v>
      </c>
      <c r="B426">
        <v>272</v>
      </c>
      <c r="C426">
        <v>279</v>
      </c>
      <c r="D426">
        <v>7</v>
      </c>
      <c r="E426" t="s">
        <v>2459</v>
      </c>
    </row>
    <row r="427" spans="1:5" x14ac:dyDescent="0.2">
      <c r="A427" t="s">
        <v>2460</v>
      </c>
      <c r="B427">
        <v>71</v>
      </c>
      <c r="C427">
        <v>67</v>
      </c>
      <c r="D427">
        <v>-4</v>
      </c>
    </row>
    <row r="428" spans="1:5" x14ac:dyDescent="0.2">
      <c r="A428" t="s">
        <v>2461</v>
      </c>
      <c r="B428">
        <v>69</v>
      </c>
      <c r="C428">
        <v>75</v>
      </c>
      <c r="D428">
        <v>6</v>
      </c>
    </row>
    <row r="429" spans="1:5" x14ac:dyDescent="0.2">
      <c r="A429" t="s">
        <v>2462</v>
      </c>
      <c r="C429" t="s">
        <v>2463</v>
      </c>
    </row>
    <row r="430" spans="1:5" x14ac:dyDescent="0.2">
      <c r="A430" t="s">
        <v>2464</v>
      </c>
      <c r="B430">
        <v>2</v>
      </c>
      <c r="C430">
        <v>-8</v>
      </c>
      <c r="D430">
        <v>-10</v>
      </c>
      <c r="E430" t="s">
        <v>2465</v>
      </c>
    </row>
    <row r="432" spans="1:5" x14ac:dyDescent="0.2">
      <c r="A432" t="s">
        <v>2466</v>
      </c>
      <c r="C432" t="s">
        <v>2467</v>
      </c>
    </row>
    <row r="433" spans="1:3" x14ac:dyDescent="0.2">
      <c r="A433" t="s">
        <v>2185</v>
      </c>
      <c r="B433" t="s">
        <v>2237</v>
      </c>
      <c r="C433" t="s">
        <v>2238</v>
      </c>
    </row>
    <row r="434" spans="1:3" x14ac:dyDescent="0.2">
      <c r="A434" t="s">
        <v>2468</v>
      </c>
      <c r="B434">
        <v>8</v>
      </c>
      <c r="C434" t="s">
        <v>2469</v>
      </c>
    </row>
    <row r="435" spans="1:3" x14ac:dyDescent="0.2">
      <c r="A435" t="s">
        <v>2470</v>
      </c>
      <c r="B435">
        <v>0.14599999999999999</v>
      </c>
      <c r="C435" t="s">
        <v>2471</v>
      </c>
    </row>
    <row r="436" spans="1:3" x14ac:dyDescent="0.2">
      <c r="A436" t="s">
        <v>2472</v>
      </c>
      <c r="B436">
        <v>-0.16200000000000001</v>
      </c>
    </row>
    <row r="437" spans="1:3" x14ac:dyDescent="0.2">
      <c r="A437" t="s">
        <v>2473</v>
      </c>
      <c r="B437">
        <v>-0.30799999999999988</v>
      </c>
    </row>
    <row r="438" spans="1:3" x14ac:dyDescent="0.2">
      <c r="A438" t="s">
        <v>2474</v>
      </c>
      <c r="B438">
        <v>16</v>
      </c>
    </row>
    <row r="439" spans="1:3" x14ac:dyDescent="0.2">
      <c r="A439" t="s">
        <v>2470</v>
      </c>
      <c r="B439">
        <v>0</v>
      </c>
      <c r="C439" t="s">
        <v>2475</v>
      </c>
    </row>
    <row r="440" spans="1:3" x14ac:dyDescent="0.2">
      <c r="A440" t="s">
        <v>2472</v>
      </c>
      <c r="B440">
        <v>-0.19600000000000001</v>
      </c>
    </row>
    <row r="441" spans="1:3" x14ac:dyDescent="0.2">
      <c r="A441" t="s">
        <v>2473</v>
      </c>
      <c r="B441">
        <v>-0.19600000000000001</v>
      </c>
    </row>
    <row r="442" spans="1:3" x14ac:dyDescent="0.2">
      <c r="A442" t="s">
        <v>2476</v>
      </c>
      <c r="B442">
        <v>-0.50399999999999989</v>
      </c>
      <c r="C442" t="s">
        <v>2477</v>
      </c>
    </row>
    <row r="444" spans="1:3" x14ac:dyDescent="0.2">
      <c r="A444" t="s">
        <v>2478</v>
      </c>
      <c r="C444" t="s">
        <v>2479</v>
      </c>
    </row>
    <row r="445" spans="1:3" x14ac:dyDescent="0.2">
      <c r="A445" t="s">
        <v>2480</v>
      </c>
      <c r="B445" t="s">
        <v>2481</v>
      </c>
      <c r="C445" t="s">
        <v>2238</v>
      </c>
    </row>
    <row r="446" spans="1:3" x14ac:dyDescent="0.2">
      <c r="A446" t="s">
        <v>2482</v>
      </c>
      <c r="B446">
        <v>2</v>
      </c>
      <c r="C446" t="s">
        <v>2483</v>
      </c>
    </row>
    <row r="447" spans="1:3" x14ac:dyDescent="0.2">
      <c r="A447" t="s">
        <v>2484</v>
      </c>
      <c r="B447">
        <v>12</v>
      </c>
      <c r="C447" t="s">
        <v>2485</v>
      </c>
    </row>
    <row r="448" spans="1:3" x14ac:dyDescent="0.2">
      <c r="A448" t="s">
        <v>2486</v>
      </c>
      <c r="B448">
        <v>8</v>
      </c>
      <c r="C448" t="s">
        <v>2487</v>
      </c>
    </row>
    <row r="449" spans="1:3" x14ac:dyDescent="0.2">
      <c r="A449" t="s">
        <v>2488</v>
      </c>
      <c r="B449">
        <v>4</v>
      </c>
      <c r="C449" t="s">
        <v>2489</v>
      </c>
    </row>
    <row r="450" spans="1:3" x14ac:dyDescent="0.2">
      <c r="A450" t="s">
        <v>2490</v>
      </c>
      <c r="B450">
        <v>21</v>
      </c>
      <c r="C450" t="s">
        <v>2491</v>
      </c>
    </row>
    <row r="451" spans="1:3" x14ac:dyDescent="0.2">
      <c r="A451" t="s">
        <v>2492</v>
      </c>
      <c r="B451">
        <v>16</v>
      </c>
      <c r="C451" t="s">
        <v>2493</v>
      </c>
    </row>
    <row r="452" spans="1:3" x14ac:dyDescent="0.2">
      <c r="A452" t="s">
        <v>2494</v>
      </c>
      <c r="B452">
        <v>15</v>
      </c>
      <c r="C452" t="s">
        <v>2495</v>
      </c>
    </row>
    <row r="453" spans="1:3" x14ac:dyDescent="0.2">
      <c r="A453" t="s">
        <v>2496</v>
      </c>
      <c r="B453">
        <v>0.39220779220779223</v>
      </c>
      <c r="C453" t="s">
        <v>2497</v>
      </c>
    </row>
    <row r="454" spans="1:3" x14ac:dyDescent="0.2">
      <c r="A454" t="s">
        <v>2498</v>
      </c>
      <c r="B454">
        <v>2</v>
      </c>
      <c r="C454" t="s">
        <v>2499</v>
      </c>
    </row>
    <row r="456" spans="1:3" x14ac:dyDescent="0.2">
      <c r="A456" t="s">
        <v>2500</v>
      </c>
      <c r="C456" t="s">
        <v>2501</v>
      </c>
    </row>
    <row r="457" spans="1:3" x14ac:dyDescent="0.2">
      <c r="A457" t="s">
        <v>2502</v>
      </c>
      <c r="B457">
        <f>COUNTIFS(Human_Data_Entry!$BL$3:$BL$524,"attested*")</f>
        <v>52</v>
      </c>
    </row>
    <row r="458" spans="1:3" x14ac:dyDescent="0.2">
      <c r="A458" t="s">
        <v>2503</v>
      </c>
      <c r="B458">
        <f>COUNTIFS(Human_Data_Entry!$BL$3:$BL$524,"assumed - no rater record")</f>
        <v>353</v>
      </c>
    </row>
    <row r="459" spans="1:3" x14ac:dyDescent="0.2">
      <c r="A459" t="s">
        <v>2504</v>
      </c>
      <c r="B459">
        <f>COUNTIFS(Human_Data_Entry!$BL$3:$BL$524,"assumed - rater record carries no*")</f>
        <v>13</v>
      </c>
    </row>
    <row r="460" spans="1:3" x14ac:dyDescent="0.2">
      <c r="A460" t="s">
        <v>2505</v>
      </c>
      <c r="B460">
        <f>COUNTIFS(Human_Data_Entry!$BL$3:$BL$524,"assumed - blind unless*")</f>
        <v>2</v>
      </c>
    </row>
    <row r="461" spans="1:3" x14ac:dyDescent="0.2">
      <c r="A461" t="s">
        <v>2506</v>
      </c>
      <c r="B461">
        <f>COUNTIFS(Human_Data_Entry!$BL$3:$BL$524,"assumed - note names*")</f>
        <v>0</v>
      </c>
      <c r="C461" t="s">
        <v>2507</v>
      </c>
    </row>
  </sheetData>
  <conditionalFormatting sqref="M5:O13 K18:L108 N18:O108">
    <cfRule type="cellIs" dxfId="0" priority="2" operator="lessThan">
      <formula>0</formula>
    </cfRule>
  </conditionalFormatting>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6"/>
  <sheetViews>
    <sheetView showGridLines="0" topLeftCell="A31" workbookViewId="0">
      <selection activeCell="C41" sqref="C41"/>
    </sheetView>
  </sheetViews>
  <sheetFormatPr baseColWidth="10" defaultColWidth="8.6640625" defaultRowHeight="15" x14ac:dyDescent="0.2"/>
  <cols>
    <col min="1" max="1" width="24" customWidth="1"/>
    <col min="2" max="3" width="11" customWidth="1"/>
    <col min="4" max="4" width="12" customWidth="1"/>
    <col min="5" max="5" width="2" customWidth="1"/>
    <col min="6" max="8" width="11" customWidth="1"/>
    <col min="9" max="9" width="12" customWidth="1"/>
    <col min="10" max="10" width="2" customWidth="1"/>
    <col min="11" max="11" width="11" customWidth="1"/>
    <col min="12" max="13" width="10" customWidth="1"/>
    <col min="14" max="14" width="2" customWidth="1"/>
    <col min="15" max="15" width="11" customWidth="1"/>
    <col min="16" max="17" width="10" customWidth="1"/>
  </cols>
  <sheetData>
    <row r="1" spans="1:17" ht="24" customHeight="1" x14ac:dyDescent="0.2">
      <c r="A1" s="59" t="s">
        <v>2508</v>
      </c>
    </row>
    <row r="2" spans="1:17" x14ac:dyDescent="0.2">
      <c r="A2" s="18" t="s">
        <v>2509</v>
      </c>
    </row>
    <row r="3" spans="1:17" x14ac:dyDescent="0.2">
      <c r="A3" s="153" t="s">
        <v>2510</v>
      </c>
    </row>
    <row r="4" spans="1:17" x14ac:dyDescent="0.2">
      <c r="A4" s="10" t="s">
        <v>2511</v>
      </c>
      <c r="F4" s="10" t="s">
        <v>2512</v>
      </c>
      <c r="K4" s="10" t="s">
        <v>2513</v>
      </c>
      <c r="O4" s="10" t="s">
        <v>2514</v>
      </c>
    </row>
    <row r="5" spans="1:17" x14ac:dyDescent="0.2">
      <c r="A5" s="17" t="s">
        <v>2515</v>
      </c>
      <c r="B5" s="17" t="s">
        <v>3</v>
      </c>
      <c r="C5" s="17" t="s">
        <v>2057</v>
      </c>
      <c r="D5" s="17" t="s">
        <v>2516</v>
      </c>
      <c r="F5" s="17" t="s">
        <v>2517</v>
      </c>
      <c r="G5" s="17" t="s">
        <v>2122</v>
      </c>
      <c r="H5" s="17" t="s">
        <v>2128</v>
      </c>
      <c r="I5" s="17" t="s">
        <v>2518</v>
      </c>
      <c r="K5" s="17" t="s">
        <v>2517</v>
      </c>
      <c r="L5" s="17" t="s">
        <v>540</v>
      </c>
      <c r="M5" s="17" t="s">
        <v>1912</v>
      </c>
      <c r="O5" s="17" t="s">
        <v>2519</v>
      </c>
      <c r="P5" s="17" t="s">
        <v>540</v>
      </c>
      <c r="Q5" s="17" t="s">
        <v>1912</v>
      </c>
    </row>
    <row r="6" spans="1:17" x14ac:dyDescent="0.2">
      <c r="A6" s="60" t="str">
        <f>Settings!$A$8</f>
        <v>Anna</v>
      </c>
      <c r="B6" s="61">
        <f>COUNTIFS(Human_Data_Entry!$G$3:$G$524,$A6,Human_Data_Entry!$S$3:$S$524,"?*")</f>
        <v>69</v>
      </c>
      <c r="C6" s="131">
        <f>IFERROR(COUNTIFS(Human_Data_Entry!$G$3:$G$524,$A6,Human_Data_Entry!$S$3:$S$524,"YES")/COUNTIFS(Human_Data_Entry!$G$3:$G$524,$A6,Human_Data_Entry!$S$3:$S$524,"?*"),"")</f>
        <v>0.3188405797101449</v>
      </c>
      <c r="D6" s="63">
        <f t="shared" ref="D6:D13" si="0">$C$14</f>
        <v>0.5</v>
      </c>
      <c r="F6" s="60" t="s">
        <v>1919</v>
      </c>
      <c r="G6" s="62">
        <f>IFERROR(COUNTIFS(Human_Data_Entry!$J$3:$J$524,$F6,Human_Data_Entry!$S$3:$S$524,"YES")/COUNTIFS(Human_Data_Entry!$J$3:$J$524,$F6,Human_Data_Entry!$S$3:$S$524,"?*"),"")</f>
        <v>0.24369747899159663</v>
      </c>
      <c r="H6" s="62">
        <f>IFERROR(COUNTIFS(LLM_Data_Entry!$H$3:$H$548,$F6,LLM_Data_Entry!$R$3:$R$548,"YES")/COUNTIFS(LLM_Data_Entry!$H$3:$H$548,$F6,LLM_Data_Entry!$R$3:$R$548,"&lt;&gt;"),"")</f>
        <v>0.45454545454545453</v>
      </c>
      <c r="I6" s="60" t="str">
        <f>COUNTIFS(Human_Data_Entry!$J$3:$J$524,$F6,Human_Data_Entry!$S$3:$S$524,"?*")&amp;" / "&amp;COUNTIFS(LLM_Data_Entry!$H$3:$H$548,$F6,LLM_Data_Entry!$R$3:$R$548,"&lt;&gt;")</f>
        <v>238 / 88</v>
      </c>
      <c r="K6" s="60" t="s">
        <v>1919</v>
      </c>
      <c r="L6" s="61">
        <f>COUNTIFS(Human_Data_Entry!$J$3:$J$524,$K6,Human_Data_Entry!$H$3:$H$524,"Human")</f>
        <v>238</v>
      </c>
      <c r="M6" s="61">
        <f>COUNTIFS(LLM_Data_Entry!$H$3:$H$548,$K6,LLM_Data_Entry!$F$3:$F$548,"LLM")</f>
        <v>105</v>
      </c>
      <c r="O6" s="60" t="s">
        <v>545</v>
      </c>
      <c r="P6" s="64">
        <f>IFERROR(AVERAGEIFS(Human_Data_Entry!$I$3:$I$524,Human_Data_Entry!$R$3:$R$524,$O6),"")</f>
        <v>0.2064102564102564</v>
      </c>
      <c r="Q6" s="64">
        <f>IFERROR(AVERAGEIFS(LLM_Data_Entry!$G$3:$G$548,LLM_Data_Entry!$Q$3:$Q$548,$O6),"")</f>
        <v>5.2849462365591397E-2</v>
      </c>
    </row>
    <row r="7" spans="1:17" x14ac:dyDescent="0.2">
      <c r="A7" s="60" t="str">
        <f>Settings!$A$9</f>
        <v>Abdul</v>
      </c>
      <c r="B7" s="61">
        <f>COUNTIFS(Human_Data_Entry!$G$3:$G$524,$A7,Human_Data_Entry!$S$3:$S$524,"?*")</f>
        <v>57</v>
      </c>
      <c r="C7" s="131">
        <f>IFERROR(COUNTIFS(Human_Data_Entry!$G$3:$G$524,$A7,Human_Data_Entry!$S$3:$S$524,"YES")/COUNTIFS(Human_Data_Entry!$G$3:$G$524,$A7,Human_Data_Entry!$S$3:$S$524,"?*"),"")</f>
        <v>0.52631578947368418</v>
      </c>
      <c r="D7" s="63">
        <f t="shared" si="0"/>
        <v>0.5</v>
      </c>
      <c r="F7" s="60" t="s">
        <v>1913</v>
      </c>
      <c r="G7" s="62">
        <f>IFERROR(COUNTIFS(Human_Data_Entry!$J$3:$J$524,$F7,Human_Data_Entry!$S$3:$S$524,"YES")/COUNTIFS(Human_Data_Entry!$J$3:$J$524,$F7,Human_Data_Entry!$S$3:$S$524,"?*"),"")</f>
        <v>0.64035087719298245</v>
      </c>
      <c r="H7" s="62">
        <f>IFERROR(COUNTIFS(LLM_Data_Entry!$H$3:$H$548,$F7,LLM_Data_Entry!$R$3:$R$548,"YES")/COUNTIFS(LLM_Data_Entry!$H$3:$H$548,$F7,LLM_Data_Entry!$R$3:$R$548,"&lt;&gt;"),"")</f>
        <v>0.37373737373737376</v>
      </c>
      <c r="I7" s="60" t="str">
        <f>COUNTIFS(Human_Data_Entry!$J$3:$J$524,$F7,Human_Data_Entry!$S$3:$S$524,"?*")&amp;" / "&amp;COUNTIFS(LLM_Data_Entry!$H$3:$H$548,$F7,LLM_Data_Entry!$R$3:$R$548,"&lt;&gt;")</f>
        <v>114 / 99</v>
      </c>
      <c r="K7" s="60" t="s">
        <v>1913</v>
      </c>
      <c r="L7" s="61">
        <f>COUNTIFS(Human_Data_Entry!$J$3:$J$524,$K7,Human_Data_Entry!$H$3:$H$524,"Human")</f>
        <v>114</v>
      </c>
      <c r="M7" s="61">
        <f>COUNTIFS(LLM_Data_Entry!$H$3:$H$548,$K7,LLM_Data_Entry!$F$3:$F$548,"LLM")</f>
        <v>158</v>
      </c>
      <c r="O7" s="60" t="s">
        <v>579</v>
      </c>
      <c r="P7" s="64">
        <f>IFERROR(AVERAGEIFS(Human_Data_Entry!$I$3:$I$524,Human_Data_Entry!$R$3:$R$524,$O7),"")</f>
        <v>0.26080952380952388</v>
      </c>
      <c r="Q7" s="64">
        <f>IFERROR(AVERAGEIFS(LLM_Data_Entry!$G$3:$G$548,LLM_Data_Entry!$Q$3:$Q$548,$O7),"")</f>
        <v>7.4946236559139762E-2</v>
      </c>
    </row>
    <row r="8" spans="1:17" x14ac:dyDescent="0.2">
      <c r="A8" s="60" t="str">
        <f>Settings!$A$10</f>
        <v>Nigel</v>
      </c>
      <c r="B8" s="61">
        <f>COUNTIFS(Human_Data_Entry!$G$3:$G$524,$A8,Human_Data_Entry!$S$3:$S$524,"?*")</f>
        <v>62</v>
      </c>
      <c r="C8" s="131">
        <f>IFERROR(COUNTIFS(Human_Data_Entry!$G$3:$G$524,$A8,Human_Data_Entry!$S$3:$S$524,"YES")/COUNTIFS(Human_Data_Entry!$G$3:$G$524,$A8,Human_Data_Entry!$S$3:$S$524,"?*"),"")</f>
        <v>0.25806451612903225</v>
      </c>
      <c r="D8" s="63">
        <f t="shared" si="0"/>
        <v>0.5</v>
      </c>
      <c r="F8" s="60" t="s">
        <v>1923</v>
      </c>
      <c r="G8" s="62">
        <f>IFERROR(COUNTIFS(Human_Data_Entry!$J$3:$J$524,$F8,Human_Data_Entry!$S$3:$S$524,"YES")/COUNTIFS(Human_Data_Entry!$J$3:$J$524,$F8,Human_Data_Entry!$S$3:$S$524,"?*"),"")</f>
        <v>0.36764705882352944</v>
      </c>
      <c r="H8" s="62">
        <f>IFERROR(COUNTIFS(LLM_Data_Entry!$H$3:$H$548,$F8,LLM_Data_Entry!$R$3:$R$548,"YES")/COUNTIFS(LLM_Data_Entry!$H$3:$H$548,$F8,LLM_Data_Entry!$R$3:$R$548,"&lt;&gt;"),"")</f>
        <v>0.44578313253012047</v>
      </c>
      <c r="I8" s="60" t="str">
        <f>COUNTIFS(Human_Data_Entry!$J$3:$J$524,$F8,Human_Data_Entry!$S$3:$S$524,"?*")&amp;" / "&amp;COUNTIFS(LLM_Data_Entry!$H$3:$H$548,$F8,LLM_Data_Entry!$R$3:$R$548,"&lt;&gt;")</f>
        <v>68 / 83</v>
      </c>
      <c r="K8" s="60" t="s">
        <v>1923</v>
      </c>
      <c r="L8" s="61">
        <f>COUNTIFS(Human_Data_Entry!$J$3:$J$524,$K8,Human_Data_Entry!$H$3:$H$524,"Human")</f>
        <v>68</v>
      </c>
      <c r="M8" s="61">
        <f>COUNTIFS(LLM_Data_Entry!$H$3:$H$548,$K8,LLM_Data_Entry!$F$3:$F$548,"LLM")</f>
        <v>98</v>
      </c>
      <c r="O8" s="60" t="s">
        <v>591</v>
      </c>
      <c r="P8" s="64">
        <f>IFERROR(AVERAGEIFS(Human_Data_Entry!$I$3:$I$524,Human_Data_Entry!$R$3:$R$524,$O8),"")</f>
        <v>0.24709677419354839</v>
      </c>
      <c r="Q8" s="64">
        <f>IFERROR(AVERAGEIFS(LLM_Data_Entry!$G$3:$G$548,LLM_Data_Entry!$Q$3:$Q$548,$O8),"")</f>
        <v>0.17283132530120479</v>
      </c>
    </row>
    <row r="9" spans="1:17" x14ac:dyDescent="0.2">
      <c r="A9" s="60" t="str">
        <f>Settings!$A$11</f>
        <v>Meriem</v>
      </c>
      <c r="B9" s="61">
        <f>COUNTIFS(Human_Data_Entry!$G$3:$G$524,$A9,Human_Data_Entry!$S$3:$S$524,"?*")</f>
        <v>51</v>
      </c>
      <c r="C9" s="131">
        <f>IFERROR(COUNTIFS(Human_Data_Entry!$G$3:$G$524,$A9,Human_Data_Entry!$S$3:$S$524,"YES")/COUNTIFS(Human_Data_Entry!$G$3:$G$524,$A9,Human_Data_Entry!$S$3:$S$524,"?*"),"")</f>
        <v>0.41176470588235292</v>
      </c>
      <c r="D9" s="63">
        <f t="shared" si="0"/>
        <v>0.5</v>
      </c>
    </row>
    <row r="10" spans="1:17" x14ac:dyDescent="0.2">
      <c r="A10" s="60" t="str">
        <f>Settings!$A$12</f>
        <v>David</v>
      </c>
      <c r="B10" s="61">
        <f>COUNTIFS(Human_Data_Entry!$G$3:$G$524,$A10,Human_Data_Entry!$S$3:$S$524,"?*")</f>
        <v>86</v>
      </c>
      <c r="C10" s="131">
        <f>IFERROR(COUNTIFS(Human_Data_Entry!$G$3:$G$524,$A10,Human_Data_Entry!$S$3:$S$524,"YES")/COUNTIFS(Human_Data_Entry!$G$3:$G$524,$A10,Human_Data_Entry!$S$3:$S$524,"?*"),"")</f>
        <v>0.38372093023255816</v>
      </c>
      <c r="D10" s="63">
        <f t="shared" si="0"/>
        <v>0.5</v>
      </c>
    </row>
    <row r="11" spans="1:17" x14ac:dyDescent="0.2">
      <c r="A11" s="60" t="str">
        <f>Settings!$A$13</f>
        <v>Dragos</v>
      </c>
      <c r="B11" s="61">
        <f>COUNTIFS(Human_Data_Entry!$G$3:$G$524,$A11,Human_Data_Entry!$S$3:$S$524,"?*")</f>
        <v>95</v>
      </c>
      <c r="C11" s="131">
        <f>IFERROR(COUNTIFS(Human_Data_Entry!$G$3:$G$524,$A11,Human_Data_Entry!$S$3:$S$524,"YES")/COUNTIFS(Human_Data_Entry!$G$3:$G$524,$A11,Human_Data_Entry!$S$3:$S$524,"?*"),"")</f>
        <v>0.35789473684210527</v>
      </c>
      <c r="D11" s="63">
        <f t="shared" si="0"/>
        <v>0.5</v>
      </c>
    </row>
    <row r="12" spans="1:17" x14ac:dyDescent="0.2">
      <c r="A12" s="60" t="str">
        <f>Settings!$A$14</f>
        <v>Ben/DeepSeek</v>
      </c>
      <c r="B12" s="61">
        <f>COUNTIFS(LLM_Data_Entry!$F$3:$F$548,"LLM",LLM_Data_Entry!$R$3:$R$548,"&lt;&gt;")</f>
        <v>270</v>
      </c>
      <c r="C12" s="131">
        <f>IFERROR(COUNTIFS(LLM_Data_Entry!$F$3:$F$548,"LLM",LLM_Data_Entry!$R$3:$R$548,"YES")/COUNTIFS(LLM_Data_Entry!$F$3:$F$548,"LLM",LLM_Data_Entry!$R$3:$R$548,"&lt;&gt;"),"")</f>
        <v>0.42222222222222222</v>
      </c>
      <c r="D12" s="63">
        <f t="shared" si="0"/>
        <v>0.5</v>
      </c>
    </row>
    <row r="13" spans="1:17" x14ac:dyDescent="0.2">
      <c r="A13" s="60" t="s">
        <v>2520</v>
      </c>
      <c r="B13" s="61">
        <f>COUNTIFS(Human_Data_Entry!$H$3:$H$524,"Human",Human_Data_Entry!$S$3:$S$524,"?*")</f>
        <v>420</v>
      </c>
      <c r="C13" s="131">
        <f>IFERROR(COUNTIFS(Human_Data_Entry!$H$3:$H$524,"Human",Human_Data_Entry!$S$3:$S$524,"YES")/COUNTIFS(Human_Data_Entry!$H$3:$H$524,"Human",Human_Data_Entry!$S$3:$S$524,"?*"),"")</f>
        <v>0.37142857142857144</v>
      </c>
      <c r="D13" s="63">
        <f t="shared" si="0"/>
        <v>0.5</v>
      </c>
    </row>
    <row r="14" spans="1:17" x14ac:dyDescent="0.2">
      <c r="A14" s="60" t="s">
        <v>2521</v>
      </c>
      <c r="B14" s="61">
        <f>COUNTIF(Human_Data_Entry!$R$3:$R$524,"?*")</f>
        <v>420</v>
      </c>
      <c r="C14" s="62">
        <f>IFERROR(MAX(COUNTIF(Human_Data_Entry!$R$3:$R$524,"UP"),COUNTIF(Human_Data_Entry!$R$3:$R$524,"DOWN"),COUNTIF(Human_Data_Entry!$R$3:$R$524,"FLAT"))/COUNTIF(Human_Data_Entry!$R$3:$R$524,"?*"),"")</f>
        <v>0.5</v>
      </c>
      <c r="D14" s="60" t="s">
        <v>2522</v>
      </c>
    </row>
    <row r="17" spans="1:6" x14ac:dyDescent="0.2">
      <c r="A17" s="10" t="s">
        <v>2523</v>
      </c>
    </row>
    <row r="18" spans="1:6" x14ac:dyDescent="0.2">
      <c r="A18" s="17" t="s">
        <v>2515</v>
      </c>
      <c r="B18" s="17" t="s">
        <v>2061</v>
      </c>
    </row>
    <row r="19" spans="1:6" x14ac:dyDescent="0.2">
      <c r="A19" s="60" t="s">
        <v>539</v>
      </c>
      <c r="B19" s="65">
        <f>IFERROR(AVERAGEIFS(Human_Data_Entry!$U$3:$U$524,Human_Data_Entry!$G$3:$G$524,$A19,Human_Data_Entry!$J$3:$J$524,"&lt;&gt;HOLD",Human_Data_Entry!$U$3:$U$524,"&lt;&gt;"),"")</f>
        <v>7.1999999999999998E-3</v>
      </c>
    </row>
    <row r="20" spans="1:6" x14ac:dyDescent="0.2">
      <c r="A20" s="60" t="s">
        <v>712</v>
      </c>
      <c r="B20" s="65">
        <f>IFERROR(AVERAGEIFS(Human_Data_Entry!$U$3:$U$524,Human_Data_Entry!$G$3:$G$524,$A20,Human_Data_Entry!$J$3:$J$524,"&lt;&gt;HOLD",Human_Data_Entry!$U$3:$U$524,"&lt;&gt;"),"")</f>
        <v>2.1662499999999998E-2</v>
      </c>
    </row>
    <row r="21" spans="1:6" x14ac:dyDescent="0.2">
      <c r="A21" s="60" t="s">
        <v>610</v>
      </c>
      <c r="B21" s="65">
        <f>IFERROR(AVERAGEIFS(Human_Data_Entry!$U$3:$U$524,Human_Data_Entry!$G$3:$G$524,$A21,Human_Data_Entry!$J$3:$J$524,"&lt;&gt;HOLD",Human_Data_Entry!$U$3:$U$524,"&lt;&gt;"),"")</f>
        <v>-5.9923076923076917E-3</v>
      </c>
    </row>
    <row r="22" spans="1:6" x14ac:dyDescent="0.2">
      <c r="A22" s="60" t="s">
        <v>574</v>
      </c>
      <c r="B22" s="65">
        <f>IFERROR(AVERAGEIFS(Human_Data_Entry!$U$3:$U$524,Human_Data_Entry!$G$3:$G$524,$A22,Human_Data_Entry!$J$3:$J$524,"&lt;&gt;HOLD",Human_Data_Entry!$U$3:$U$524,"&lt;&gt;"),"")</f>
        <v>1.6691666666666671E-2</v>
      </c>
    </row>
    <row r="23" spans="1:6" x14ac:dyDescent="0.2">
      <c r="A23" s="60" t="s">
        <v>575</v>
      </c>
      <c r="B23" s="65">
        <f>IFERROR(AVERAGEIFS(Human_Data_Entry!$U$3:$U$524,Human_Data_Entry!$G$3:$G$524,$A23,Human_Data_Entry!$J$3:$J$524,"&lt;&gt;HOLD",Human_Data_Entry!$U$3:$U$524,"&lt;&gt;"),"")</f>
        <v>1.1923076923076917E-3</v>
      </c>
    </row>
    <row r="24" spans="1:6" x14ac:dyDescent="0.2">
      <c r="A24" s="60" t="s">
        <v>648</v>
      </c>
      <c r="B24" s="65">
        <f>IFERROR(AVERAGEIFS(Human_Data_Entry!$U$3:$U$524,Human_Data_Entry!$G$3:$G$524,$A24,Human_Data_Entry!$J$3:$J$524,"&lt;&gt;HOLD",Human_Data_Entry!$U$3:$U$524,"&lt;&gt;"),"")</f>
        <v>-3.2249999999999994E-2</v>
      </c>
    </row>
    <row r="25" spans="1:6" x14ac:dyDescent="0.2">
      <c r="A25" s="60" t="s">
        <v>2045</v>
      </c>
      <c r="B25" s="65">
        <f>IFERROR(AVERAGEIFS(LLM_Data_Entry!$T$3:$T$548,LLM_Data_Entry!$F$3:$F$548,"LLM",LLM_Data_Entry!$H$3:$H$548,"&lt;&gt;HOLD",LLM_Data_Entry!$T$3:$T$548,"&lt;&gt;"),"")</f>
        <v>1.9735046783625729E-2</v>
      </c>
    </row>
    <row r="28" spans="1:6" x14ac:dyDescent="0.2">
      <c r="A28" t="s">
        <v>2524</v>
      </c>
    </row>
    <row r="30" spans="1:6" x14ac:dyDescent="0.2">
      <c r="A30" t="s">
        <v>2515</v>
      </c>
      <c r="B30" t="s">
        <v>2269</v>
      </c>
      <c r="C30" t="s">
        <v>2454</v>
      </c>
      <c r="D30" t="s">
        <v>2525</v>
      </c>
      <c r="E30" t="s">
        <v>2526</v>
      </c>
      <c r="F30" t="s">
        <v>2527</v>
      </c>
    </row>
    <row r="31" spans="1:6" x14ac:dyDescent="0.2">
      <c r="A31" t="s">
        <v>2528</v>
      </c>
      <c r="B31">
        <f>(COUNTIFS(Human_Data_Entry!$R$3:$R$524,"UP",Human_Data_Entry!$H$3:$H$524,"Human")+COUNTIFS(Human_Data_Entry!$R$3:$R$524,"DOWN",Human_Data_Entry!$H$3:$H$524,"Human")+COUNTIFS(Human_Data_Entry!$R$3:$R$524,"FLAT",Human_Data_Entry!$H$3:$H$524,"Human"))</f>
        <v>420</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0.5</v>
      </c>
      <c r="D31">
        <f>IFERROR(COUNTIFS(Human_Data_Entry!$S$3:$S$524,"YES",Human_Data_Entry!$H$3:$H$524,"Human")/COUNTIFS(Human_Data_Entry!$S$3:$S$524,"?*",Human_Data_Entry!$H$3:$H$524,"Human"),"")</f>
        <v>0.37142857142857144</v>
      </c>
      <c r="E31">
        <f>(D31-C31)*100</f>
        <v>-12.857142857142856</v>
      </c>
      <c r="F31" t="str">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Always HOLD</v>
      </c>
    </row>
    <row r="32" spans="1:6" x14ac:dyDescent="0.2">
      <c r="A32" t="s">
        <v>2529</v>
      </c>
      <c r="B32">
        <f>(COUNTIFS(Human_Data_Entry!$AI$3:$AI$524,"UP",Human_Data_Entry!$H$3:$H$524,"Human")+COUNTIFS(Human_Data_Entry!$AI$3:$AI$524,"DOWN",Human_Data_Entry!$H$3:$H$524,"Human")+COUNTIFS(Human_Data_Entry!$AI$3:$AI$524,"FLAT",Human_Data_Entry!$H$3:$H$524,"Human"))</f>
        <v>400</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0.39500000000000002</v>
      </c>
      <c r="D32">
        <f>IFERROR(COUNTIFS(Human_Data_Entry!$AJ$3:$AJ$524,"YES",Human_Data_Entry!$H$3:$H$524,"Human")/COUNTIFS(Human_Data_Entry!$AJ$3:$AJ$524,"?*",Human_Data_Entry!$H$3:$H$524,"Human"),"")</f>
        <v>0.38750000000000001</v>
      </c>
      <c r="E32">
        <f>(D32-C32)*100</f>
        <v>-0.75000000000000067</v>
      </c>
      <c r="F32" t="str">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Always HOLD</v>
      </c>
    </row>
    <row r="33" spans="1:6" x14ac:dyDescent="0.2">
      <c r="A33" t="s">
        <v>2530</v>
      </c>
      <c r="B33">
        <f>(COUNTIFS(LLM_Data_Entry!$Q$3:$Q$430,"UP")+COUNTIFS(LLM_Data_Entry!$Q$3:$Q$430,"DOWN")+COUNTIFS(LLM_Data_Entry!$Q$3:$Q$430,"FLAT"))</f>
        <v>270</v>
      </c>
      <c r="C33">
        <f>IFERROR(MAX(COUNTIFS(LLM_Data_Entry!$Q$3:$Q$430,"UP"),COUNTIFS(LLM_Data_Entry!$Q$3:$Q$430,"DOWN"),COUNTIFS(LLM_Data_Entry!$Q$3:$Q$430,"FLAT"))/(COUNTIFS(LLM_Data_Entry!$Q$3:$Q$430,"UP")+COUNTIFS(LLM_Data_Entry!$Q$3:$Q$430,"DOWN")+COUNTIFS(LLM_Data_Entry!$Q$3:$Q$430,"FLAT")),"")</f>
        <v>0.34444444444444444</v>
      </c>
      <c r="D33">
        <f>IFERROR(COUNTIFS(LLM_Data_Entry!$R$3:$R$430,"YES")/COUNTIFS(LLM_Data_Entry!$R$3:$R$430,"?*"),"")</f>
        <v>0.42222222222222222</v>
      </c>
      <c r="E33">
        <f>(D33-C33)*100</f>
        <v>7.7777777777777777</v>
      </c>
      <c r="F33" t="str">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Always SELL</v>
      </c>
    </row>
    <row r="34" spans="1:6" x14ac:dyDescent="0.2">
      <c r="A34" t="s">
        <v>2531</v>
      </c>
      <c r="B34">
        <f>(COUNTIFS(LLM_Data_Entry!$AD$3:$AD$430,"UP")+COUNTIFS(LLM_Data_Entry!$AD$3:$AD$430,"DOWN")+COUNTIFS(LLM_Data_Entry!$AD$3:$AD$430,"FLAT"))</f>
        <v>268</v>
      </c>
      <c r="C34">
        <f>IFERROR(MAX(COUNTIFS(LLM_Data_Entry!$AD$3:$AD$430,"UP"),COUNTIFS(LLM_Data_Entry!$AD$3:$AD$430,"DOWN"),COUNTIFS(LLM_Data_Entry!$AD$3:$AD$430,"FLAT"))/(COUNTIFS(LLM_Data_Entry!$AD$3:$AD$430,"UP")+COUNTIFS(LLM_Data_Entry!$AD$3:$AD$430,"DOWN")+COUNTIFS(LLM_Data_Entry!$AD$3:$AD$430,"FLAT")),"")</f>
        <v>0.35820895522388058</v>
      </c>
      <c r="D34">
        <f>IFERROR(COUNTIFS(LLM_Data_Entry!$AE$3:$AE$430,"YES")/COUNTIFS(LLM_Data_Entry!$AE$3:$AE$430,"?*"),"")</f>
        <v>0.41417910447761191</v>
      </c>
      <c r="E34">
        <f>(D34-C34)*100</f>
        <v>5.5970149253731343</v>
      </c>
      <c r="F34" t="str">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Always SELL</v>
      </c>
    </row>
    <row r="36" spans="1:6" x14ac:dyDescent="0.2">
      <c r="A36" t="s">
        <v>2532</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3"/>
  <sheetViews>
    <sheetView showGridLines="0" workbookViewId="0">
      <pane ySplit="2" topLeftCell="A121" activePane="bottomLeft" state="frozen"/>
      <selection pane="bottomLeft" activeCell="N62" sqref="N62"/>
    </sheetView>
  </sheetViews>
  <sheetFormatPr baseColWidth="10" defaultColWidth="8.6640625" defaultRowHeight="15" x14ac:dyDescent="0.2"/>
  <cols>
    <col min="1" max="1" width="30" customWidth="1"/>
    <col min="2" max="2" width="15" customWidth="1"/>
    <col min="3" max="3" width="28.1640625" bestFit="1" customWidth="1"/>
    <col min="4" max="4" width="32" customWidth="1"/>
    <col min="5" max="5" width="58" customWidth="1"/>
    <col min="8" max="8" width="26" customWidth="1"/>
    <col min="9" max="10" width="13" customWidth="1"/>
  </cols>
  <sheetData>
    <row r="1" spans="1:5" ht="24" customHeight="1" x14ac:dyDescent="0.2">
      <c r="A1" s="59" t="s">
        <v>2533</v>
      </c>
    </row>
    <row r="2" spans="1:5" ht="39" customHeight="1" x14ac:dyDescent="0.2">
      <c r="A2" s="14" t="s">
        <v>2534</v>
      </c>
    </row>
    <row r="4" spans="1:5" x14ac:dyDescent="0.2">
      <c r="A4" s="10" t="s">
        <v>2535</v>
      </c>
    </row>
    <row r="5" spans="1:5" x14ac:dyDescent="0.2">
      <c r="A5" s="17" t="s">
        <v>2536</v>
      </c>
      <c r="B5" s="17" t="s">
        <v>2237</v>
      </c>
      <c r="C5" s="17"/>
      <c r="E5" s="66" t="s">
        <v>2537</v>
      </c>
    </row>
    <row r="6" spans="1:5" ht="26" customHeight="1" x14ac:dyDescent="0.2">
      <c r="A6" s="67" t="s">
        <v>2538</v>
      </c>
      <c r="B6" s="68">
        <v>45</v>
      </c>
      <c r="C6" s="14"/>
      <c r="E6" s="14" t="s">
        <v>2539</v>
      </c>
    </row>
    <row r="7" spans="1:5" ht="30" customHeight="1" x14ac:dyDescent="0.2">
      <c r="A7" s="67" t="s">
        <v>2540</v>
      </c>
      <c r="B7" s="69">
        <f>IF(COUNT(LLM_Data_Entry!$O$3:$O$548)&gt;0,AVERAGEIF(LLM_Data_Entry!$O$3:$O$548,"&gt;0"),$B$10)</f>
        <v>9.1143700564971751E-3</v>
      </c>
      <c r="C7" s="70"/>
      <c r="E7" s="14" t="s">
        <v>2541</v>
      </c>
    </row>
    <row r="8" spans="1:5" ht="26" customHeight="1" x14ac:dyDescent="0.2">
      <c r="A8" s="67" t="s">
        <v>2542</v>
      </c>
      <c r="B8" s="71">
        <f>IF(COUNT(LLM_Data_Entry!$I$3:$I$548)&gt;0,AVERAGEIF(LLM_Data_Entry!$I$3:$I$548,"&gt;0"),$B$11)</f>
        <v>8</v>
      </c>
      <c r="C8" s="14"/>
      <c r="E8" s="14" t="s">
        <v>2543</v>
      </c>
    </row>
    <row r="9" spans="1:5" ht="26" customHeight="1" x14ac:dyDescent="0.2">
      <c r="A9" s="67" t="s">
        <v>2544</v>
      </c>
      <c r="B9" s="72">
        <v>10000</v>
      </c>
      <c r="C9" s="14"/>
      <c r="E9" s="14" t="s">
        <v>2545</v>
      </c>
    </row>
    <row r="10" spans="1:5" ht="26" customHeight="1" x14ac:dyDescent="0.2">
      <c r="A10" s="67" t="s">
        <v>2546</v>
      </c>
      <c r="B10" s="73">
        <v>0.02</v>
      </c>
      <c r="C10" s="70"/>
      <c r="E10" s="14" t="s">
        <v>2547</v>
      </c>
    </row>
    <row r="11" spans="1:5" ht="26" customHeight="1" x14ac:dyDescent="0.2">
      <c r="A11" s="67" t="s">
        <v>2548</v>
      </c>
      <c r="B11" s="74">
        <v>8</v>
      </c>
      <c r="E11" s="14" t="s">
        <v>2549</v>
      </c>
    </row>
    <row r="12" spans="1:5" x14ac:dyDescent="0.2">
      <c r="A12" s="17" t="s">
        <v>2185</v>
      </c>
      <c r="B12" s="17" t="s">
        <v>540</v>
      </c>
      <c r="C12" s="17" t="s">
        <v>1912</v>
      </c>
      <c r="D12" s="17" t="s">
        <v>2550</v>
      </c>
    </row>
    <row r="13" spans="1:5" ht="26" customHeight="1" x14ac:dyDescent="0.2">
      <c r="A13" s="67" t="s">
        <v>2551</v>
      </c>
      <c r="B13" s="75">
        <f>COUNTIFS(Human_Data_Entry!$H$3:$H$524,"Human",Human_Data_Entry!$J$3:$J$524,"?*")</f>
        <v>420</v>
      </c>
      <c r="C13" s="76">
        <f>COUNTIFS(LLM_Data_Entry!$F$3:$F$548,"LLM",LLM_Data_Entry!$H$3:$H$548,"&lt;&gt;")</f>
        <v>361</v>
      </c>
      <c r="D13" s="77">
        <f t="shared" ref="D13:D18" si="0">IFERROR(B13/C13,"")</f>
        <v>1.1634349030470914</v>
      </c>
      <c r="E13" s="14" t="s">
        <v>2552</v>
      </c>
    </row>
    <row r="14" spans="1:5" x14ac:dyDescent="0.2">
      <c r="A14" s="67" t="s">
        <v>2553</v>
      </c>
      <c r="B14" s="75">
        <f>SUMIFS(Human_Data_Entry!$K$3:$K$524,Human_Data_Entry!$H$3:$H$524,"Human")/60</f>
        <v>195.3</v>
      </c>
      <c r="C14" s="75">
        <f>IF(COUNT(LLM_Data_Entry!$I$3:$I$548)&gt;0,SUMIFS(LLM_Data_Entry!$I$3:$I$548,LLM_Data_Entry!$F$3:$F$548,"LLM")/3600,C13*$B$8/3600)</f>
        <v>0.80222222222222217</v>
      </c>
      <c r="D14" s="77">
        <f t="shared" si="0"/>
        <v>243.44875346260392</v>
      </c>
    </row>
    <row r="15" spans="1:5" x14ac:dyDescent="0.2">
      <c r="A15" s="67" t="s">
        <v>2554</v>
      </c>
      <c r="B15" s="75">
        <f>IFERROR(AVERAGEIFS(Human_Data_Entry!$K$3:$K$524,Human_Data_Entry!$H$3:$H$524,"Human",Human_Data_Entry!$K$3:$K$524,"&gt;0"),"")</f>
        <v>27.9</v>
      </c>
      <c r="C15" s="64">
        <f>IFERROR(IF(COUNT(LLM_Data_Entry!$I$3:$I$548)&gt;0,AVERAGEIFS(LLM_Data_Entry!$I$3:$I$548,LLM_Data_Entry!$F$3:$F$548,"LLM",LLM_Data_Entry!$I$3:$I$548,"&gt;0")/60,$B$8/60),"")</f>
        <v>0.13333333333333333</v>
      </c>
      <c r="D15" s="77">
        <f t="shared" si="0"/>
        <v>209.25</v>
      </c>
    </row>
    <row r="16" spans="1:5" x14ac:dyDescent="0.2">
      <c r="A16" s="67" t="s">
        <v>2555</v>
      </c>
      <c r="B16" s="75">
        <f>IFERROR(B13/B14,"")</f>
        <v>2.150537634408602</v>
      </c>
      <c r="C16" s="75">
        <f>IFERROR(C13/C14,"")</f>
        <v>450.00000000000006</v>
      </c>
      <c r="D16" s="77">
        <f t="shared" si="0"/>
        <v>4.7789725209080036E-3</v>
      </c>
    </row>
    <row r="17" spans="1:4" x14ac:dyDescent="0.2">
      <c r="A17" s="67" t="s">
        <v>2556</v>
      </c>
      <c r="B17" s="78">
        <f>B14*$B$6</f>
        <v>8788.5</v>
      </c>
      <c r="C17" s="78">
        <f>IF(COUNT(LLM_Data_Entry!$O$3:$O$548)&gt;0,SUMIFS(LLM_Data_Entry!$O$3:$O$548,LLM_Data_Entry!$F$3:$F$548,"LLM"),C13*$B$7)</f>
        <v>3.2264870000000001</v>
      </c>
      <c r="D17" s="77">
        <f t="shared" si="0"/>
        <v>2723.860347182555</v>
      </c>
    </row>
    <row r="18" spans="1:4" x14ac:dyDescent="0.2">
      <c r="A18" s="67" t="s">
        <v>2557</v>
      </c>
      <c r="B18" s="79">
        <f>IFERROR(B17/B13,"")</f>
        <v>20.925000000000001</v>
      </c>
      <c r="C18" s="79">
        <f>IFERROR(C17/IF($B$83&gt;0,$B$83,C13),"")</f>
        <v>9.1143700564971751E-3</v>
      </c>
      <c r="D18" s="77">
        <f t="shared" si="0"/>
        <v>2295.8251497681536</v>
      </c>
    </row>
    <row r="20" spans="1:4" x14ac:dyDescent="0.2">
      <c r="A20" s="10" t="s">
        <v>2558</v>
      </c>
    </row>
    <row r="21" spans="1:4" x14ac:dyDescent="0.2">
      <c r="A21" s="17" t="s">
        <v>2185</v>
      </c>
      <c r="B21" s="17" t="s">
        <v>540</v>
      </c>
      <c r="C21" s="17" t="s">
        <v>1912</v>
      </c>
      <c r="D21" s="17" t="s">
        <v>2550</v>
      </c>
    </row>
    <row r="22" spans="1:4" x14ac:dyDescent="0.2">
      <c r="A22" s="67" t="s">
        <v>2559</v>
      </c>
      <c r="B22" s="76">
        <f>COUNTIFS(Human_Data_Entry!$H$3:$H$524,"Human",Human_Data_Entry!$S$3:$S$524,"YES")</f>
        <v>156</v>
      </c>
      <c r="C22" s="76">
        <f>COUNTIFS(LLM_Data_Entry!$F$3:$F$548,"LLM",LLM_Data_Entry!$R$3:$R$548,"YES")</f>
        <v>114</v>
      </c>
      <c r="D22" s="77">
        <f>IFERROR(B22/C22,"")</f>
        <v>1.368421052631579</v>
      </c>
    </row>
    <row r="23" spans="1:4" x14ac:dyDescent="0.2">
      <c r="A23" s="67" t="s">
        <v>2525</v>
      </c>
      <c r="B23" s="62">
        <f>IFERROR(B22/COUNTIFS(Human_Data_Entry!$H$3:$H$524,"Human",Human_Data_Entry!$S$3:$S$524,"?*"),"")</f>
        <v>0.37142857142857144</v>
      </c>
      <c r="C23" s="62">
        <f>IFERROR(C22/COUNTIFS(LLM_Data_Entry!$F$3:$F$548,"LLM",LLM_Data_Entry!$R$3:$R$548,"&lt;&gt;"),"")</f>
        <v>0.42222222222222222</v>
      </c>
      <c r="D23" s="62">
        <f>IFERROR(B23-C23,"")</f>
        <v>-5.079365079365078E-2</v>
      </c>
    </row>
    <row r="24" spans="1:4" x14ac:dyDescent="0.2">
      <c r="A24" s="67" t="s">
        <v>2560</v>
      </c>
      <c r="B24" s="78">
        <f>IFERROR(B17/B22,"")</f>
        <v>56.33653846153846</v>
      </c>
      <c r="C24" s="79">
        <f>IFERROR(C17/C22,"")</f>
        <v>2.8302517543859651E-2</v>
      </c>
      <c r="D24" s="77">
        <f>IFERROR(B24/C24,"")</f>
        <v>1990.5133306334053</v>
      </c>
    </row>
    <row r="25" spans="1:4" x14ac:dyDescent="0.2">
      <c r="A25" s="67" t="s">
        <v>2561</v>
      </c>
      <c r="B25" s="75">
        <f>IFERROR(B14*60/B22,"")</f>
        <v>75.115384615384613</v>
      </c>
      <c r="C25" s="64">
        <f>IFERROR(C14*60/C22,"")</f>
        <v>0.42222222222222222</v>
      </c>
      <c r="D25" s="77">
        <f>IFERROR(B25/C25,"")</f>
        <v>177.90485829959513</v>
      </c>
    </row>
    <row r="26" spans="1:4" ht="26" customHeight="1" x14ac:dyDescent="0.2">
      <c r="A26" s="14" t="s">
        <v>2562</v>
      </c>
    </row>
    <row r="28" spans="1:4" x14ac:dyDescent="0.2">
      <c r="A28" s="10" t="s">
        <v>2563</v>
      </c>
    </row>
    <row r="29" spans="1:4" x14ac:dyDescent="0.2">
      <c r="A29" s="17" t="s">
        <v>2185</v>
      </c>
      <c r="B29" s="17" t="s">
        <v>540</v>
      </c>
      <c r="C29" s="17" t="s">
        <v>1912</v>
      </c>
      <c r="D29" s="17" t="s">
        <v>2550</v>
      </c>
    </row>
    <row r="30" spans="1:4" x14ac:dyDescent="0.2">
      <c r="A30" s="67" t="s">
        <v>2564</v>
      </c>
      <c r="B30" s="76">
        <f>SUMPRODUCT((Human_Data_Entry!$H$3:$H$524="Human")*((Human_Data_Entry!$J$3:$J$524="BUY")+(Human_Data_Entry!$J$3:$J$524="SELL"))*ISNUMBER(Human_Data_Entry!$U$3:$U$524))</f>
        <v>306</v>
      </c>
      <c r="C30" s="76">
        <f>COUNTIFS(LLM_Data_Entry!$F$3:$F$548,"LLM",LLM_Data_Entry!$H$3:$H$548,"&lt;&gt;HOLD",LLM_Data_Entry!$T$3:$T$548,"&lt;&gt;")</f>
        <v>171</v>
      </c>
      <c r="D30" s="77">
        <f>IFERROR(B30/C30,"")</f>
        <v>1.7894736842105263</v>
      </c>
    </row>
    <row r="31" spans="1:4" x14ac:dyDescent="0.2">
      <c r="A31" s="67" t="s">
        <v>2565</v>
      </c>
      <c r="B31" s="65">
        <f>SUMIFS(Human_Data_Entry!$U$3:$U$524,Human_Data_Entry!$H$3:$H$524,"Human",Human_Data_Entry!$J$3:$J$524,"&lt;&gt;HOLD")</f>
        <v>-4.6599999999998663E-2</v>
      </c>
      <c r="C31" s="65">
        <f>SUMIFS(LLM_Data_Entry!$T$3:$T$548,LLM_Data_Entry!$F$3:$F$548,"LLM",LLM_Data_Entry!$H$3:$H$548,"&lt;&gt;HOLD")</f>
        <v>3.3746929999999997</v>
      </c>
      <c r="D31" s="77">
        <f>IFERROR(B31/C31,"")</f>
        <v>-1.3808663484352108E-2</v>
      </c>
    </row>
    <row r="32" spans="1:4" x14ac:dyDescent="0.2">
      <c r="A32" s="67" t="s">
        <v>2566</v>
      </c>
      <c r="B32" s="65">
        <f>IFERROR(B31/B30,"")</f>
        <v>-1.5228758169934204E-4</v>
      </c>
      <c r="C32" s="65">
        <f>IFERROR(C31/C30,"")</f>
        <v>1.9735046783625729E-2</v>
      </c>
      <c r="D32" s="77">
        <f>IFERROR(B32/C32,"")</f>
        <v>-7.716606064785002E-3</v>
      </c>
    </row>
    <row r="33" spans="1:5" x14ac:dyDescent="0.2">
      <c r="A33" s="67" t="s">
        <v>2567</v>
      </c>
      <c r="B33" s="65">
        <f>IFERROR(B31/B14,"")</f>
        <v>-2.3860727086532851E-4</v>
      </c>
      <c r="C33" s="65">
        <f>IFERROR(C31/C14,"")</f>
        <v>4.2066810249307478</v>
      </c>
      <c r="D33" s="77">
        <f>IFERROR(B33/C33,"")</f>
        <v>-5.6721027682210956E-5</v>
      </c>
    </row>
    <row r="34" spans="1:5" x14ac:dyDescent="0.2">
      <c r="A34" s="67" t="s">
        <v>2568</v>
      </c>
      <c r="B34" s="80">
        <f>IFERROR(B33*$B$9,"")</f>
        <v>-2.3860727086532849</v>
      </c>
      <c r="C34" s="80">
        <f>IFERROR(C33*$B$9,"")</f>
        <v>42066.810249307477</v>
      </c>
      <c r="D34" s="77">
        <f>IFERROR(B34/C34,"")</f>
        <v>-5.6721027682210956E-5</v>
      </c>
    </row>
    <row r="36" spans="1:5" ht="52.25" customHeight="1" x14ac:dyDescent="0.2">
      <c r="A36" s="10" t="s">
        <v>2569</v>
      </c>
      <c r="E36" s="14" t="s">
        <v>2570</v>
      </c>
    </row>
    <row r="37" spans="1:5" x14ac:dyDescent="0.2">
      <c r="A37" s="17" t="s">
        <v>2571</v>
      </c>
      <c r="B37" s="17" t="s">
        <v>2572</v>
      </c>
      <c r="C37" s="17" t="s">
        <v>2573</v>
      </c>
    </row>
    <row r="38" spans="1:5" x14ac:dyDescent="0.2">
      <c r="A38" s="67" t="s">
        <v>2108</v>
      </c>
      <c r="B38" s="76">
        <f>COUNTIFS(Human_Data_Entry!$S$3:$S$524,"YES",Human_Data_Entry!$Z$3:$Z$524,"YES")</f>
        <v>48</v>
      </c>
      <c r="C38" s="62">
        <f t="shared" ref="C38:C43" si="1">IFERROR(B38/$B$43,"")</f>
        <v>0.16161616161616163</v>
      </c>
    </row>
    <row r="39" spans="1:5" x14ac:dyDescent="0.2">
      <c r="A39" s="67" t="s">
        <v>2574</v>
      </c>
      <c r="B39" s="76">
        <f>COUNTIFS(Human_Data_Entry!$S$3:$S$524,"YES",Human_Data_Entry!$Z$3:$Z$524,"NO")</f>
        <v>59</v>
      </c>
      <c r="C39" s="62">
        <f t="shared" si="1"/>
        <v>0.19865319865319866</v>
      </c>
    </row>
    <row r="40" spans="1:5" x14ac:dyDescent="0.2">
      <c r="A40" s="67" t="s">
        <v>2575</v>
      </c>
      <c r="B40" s="76">
        <f>COUNTIFS(Human_Data_Entry!$S$3:$S$524,"NO",Human_Data_Entry!$Z$3:$Z$524,"YES")</f>
        <v>77</v>
      </c>
      <c r="C40" s="62">
        <f t="shared" si="1"/>
        <v>0.25925925925925924</v>
      </c>
    </row>
    <row r="41" spans="1:5" x14ac:dyDescent="0.2">
      <c r="A41" s="67" t="s">
        <v>2576</v>
      </c>
      <c r="B41" s="76">
        <f>COUNTIFS(Human_Data_Entry!$S$3:$S$524,"NO",Human_Data_Entry!$Z$3:$Z$524,"NO")</f>
        <v>113</v>
      </c>
      <c r="C41" s="62">
        <f t="shared" si="1"/>
        <v>0.38047138047138046</v>
      </c>
    </row>
    <row r="42" spans="1:5" x14ac:dyDescent="0.2">
      <c r="A42" s="67" t="s">
        <v>2112</v>
      </c>
      <c r="B42" s="76">
        <f>SUMPRODUCT((Human_Data_Entry!$H$3:$H$524="Human")*(Human_Data_Entry!$S$3:$S$524&lt;&gt;"")*(Human_Data_Entry!$Z$3:$Z$524&lt;&gt;"")*(Human_Data_Entry!$J$3:$J$524=Human_Data_Entry!$Y$3:$Y$524))</f>
        <v>159</v>
      </c>
      <c r="C42" s="62">
        <f t="shared" si="1"/>
        <v>0.53535353535353536</v>
      </c>
    </row>
    <row r="43" spans="1:5" x14ac:dyDescent="0.2">
      <c r="A43" s="10" t="s">
        <v>2577</v>
      </c>
      <c r="B43" s="81">
        <f>COUNTIFS(Human_Data_Entry!$S$3:$S$524,"?*",Human_Data_Entry!$Z$3:$Z$524,"?*")</f>
        <v>297</v>
      </c>
      <c r="C43" s="82">
        <f t="shared" si="1"/>
        <v>1</v>
      </c>
      <c r="E43" s="18" t="s">
        <v>2578</v>
      </c>
    </row>
    <row r="45" spans="1:5" x14ac:dyDescent="0.2">
      <c r="A45" s="10" t="s">
        <v>2579</v>
      </c>
    </row>
    <row r="46" spans="1:5" x14ac:dyDescent="0.2">
      <c r="A46" s="17" t="s">
        <v>2185</v>
      </c>
      <c r="B46" s="17" t="s">
        <v>2237</v>
      </c>
      <c r="C46" s="17" t="s">
        <v>2537</v>
      </c>
    </row>
    <row r="47" spans="1:5" ht="26" customHeight="1" x14ac:dyDescent="0.2">
      <c r="A47" s="67" t="s">
        <v>2113</v>
      </c>
      <c r="B47" s="76">
        <f>B39-B40</f>
        <v>-18</v>
      </c>
      <c r="C47" s="14" t="s">
        <v>2580</v>
      </c>
    </row>
    <row r="48" spans="1:5" ht="26" customHeight="1" x14ac:dyDescent="0.2">
      <c r="A48" s="67" t="s">
        <v>2581</v>
      </c>
      <c r="B48" s="75">
        <f>IFERROR($B$14*B43/$B$13,"")</f>
        <v>138.10500000000002</v>
      </c>
      <c r="C48" s="14" t="s">
        <v>2582</v>
      </c>
      <c r="E48" s="18" t="s">
        <v>2583</v>
      </c>
    </row>
    <row r="49" spans="1:5" ht="26" customHeight="1" x14ac:dyDescent="0.2">
      <c r="A49" s="67" t="s">
        <v>2584</v>
      </c>
      <c r="B49" s="75" t="str">
        <f>IFERROR(IF(B47&lt;=0,"n/a",B48/B47),"")</f>
        <v>n/a</v>
      </c>
      <c r="C49" s="14" t="s">
        <v>2585</v>
      </c>
    </row>
    <row r="50" spans="1:5" ht="26" customHeight="1" x14ac:dyDescent="0.2">
      <c r="A50" s="67" t="s">
        <v>2586</v>
      </c>
      <c r="B50" s="78" t="str">
        <f>IFERROR(IF(B47&lt;=0,"n/a",B48*$B$6/B47),"")</f>
        <v>n/a</v>
      </c>
      <c r="C50" s="14" t="s">
        <v>2587</v>
      </c>
    </row>
    <row r="53" spans="1:5" ht="26" customHeight="1" x14ac:dyDescent="0.2">
      <c r="A53" s="10" t="s">
        <v>2588</v>
      </c>
      <c r="E53" s="14" t="s">
        <v>2589</v>
      </c>
    </row>
    <row r="54" spans="1:5" x14ac:dyDescent="0.2">
      <c r="A54" s="17" t="s">
        <v>2185</v>
      </c>
      <c r="B54" s="17" t="s">
        <v>2237</v>
      </c>
      <c r="C54" s="17" t="s">
        <v>2537</v>
      </c>
    </row>
    <row r="55" spans="1:5" ht="26" customHeight="1" x14ac:dyDescent="0.2">
      <c r="A55" s="67" t="s">
        <v>2590</v>
      </c>
      <c r="B55" s="78">
        <f>IFERROR(B18-C18,"")</f>
        <v>20.915885629943503</v>
      </c>
      <c r="C55" s="14" t="s">
        <v>2591</v>
      </c>
    </row>
    <row r="56" spans="1:5" ht="26" customHeight="1" x14ac:dyDescent="0.2">
      <c r="A56" s="67" t="s">
        <v>2592</v>
      </c>
      <c r="B56" s="78">
        <f>IFERROR((SUMIFS(Human_Data_Entry!$U$3:$U$524,Human_Data_Entry!$H$3:$H$524,"Human",Human_Data_Entry!$J$3:$J$524,"&lt;&gt;HOLD",Human_Data_Entry!$U$3:$U$524,"&gt;0")-SUMIFS(Human_Data_Entry!$U$3:$U$524,Human_Data_Entry!$H$3:$H$524,"Human",Human_Data_Entry!$J$3:$J$524,"&lt;&gt;HOLD",Human_Data_Entry!$U$3:$U$524,"&lt;0"))/B30*$B$9,"")</f>
        <v>398.20915032679738</v>
      </c>
      <c r="C56" s="14" t="s">
        <v>2593</v>
      </c>
      <c r="E56" s="18" t="s">
        <v>2594</v>
      </c>
    </row>
    <row r="57" spans="1:5" ht="26" customHeight="1" x14ac:dyDescent="0.2">
      <c r="A57" s="67" t="s">
        <v>2595</v>
      </c>
      <c r="B57" s="62">
        <f>IFERROR(B55/B56,"")</f>
        <v>5.2524874460515313E-2</v>
      </c>
      <c r="C57" s="14" t="s">
        <v>2596</v>
      </c>
    </row>
    <row r="58" spans="1:5" ht="26" customHeight="1" x14ac:dyDescent="0.2">
      <c r="A58" s="67" t="s">
        <v>2597</v>
      </c>
      <c r="B58" s="62">
        <f>IFERROR(B23-C23,"")</f>
        <v>-5.079365079365078E-2</v>
      </c>
      <c r="C58" s="14" t="s">
        <v>2598</v>
      </c>
    </row>
    <row r="59" spans="1:5" ht="26" customHeight="1" x14ac:dyDescent="0.2">
      <c r="A59" s="67" t="s">
        <v>2599</v>
      </c>
      <c r="B59" s="83" t="str">
        <f>IFERROR(IF(B58&gt;=B57,"Human time justified","Human time not justified"),"")</f>
        <v>Human time not justified</v>
      </c>
      <c r="C59" s="14" t="s">
        <v>2600</v>
      </c>
    </row>
    <row r="61" spans="1:5" ht="26" customHeight="1" x14ac:dyDescent="0.2">
      <c r="A61" s="10" t="s">
        <v>2601</v>
      </c>
      <c r="E61" s="14" t="s">
        <v>2602</v>
      </c>
    </row>
    <row r="62" spans="1:5" x14ac:dyDescent="0.2">
      <c r="A62" s="17" t="s">
        <v>2603</v>
      </c>
      <c r="B62" s="17" t="s">
        <v>2269</v>
      </c>
      <c r="C62" s="17" t="s">
        <v>2525</v>
      </c>
      <c r="D62" s="17" t="s">
        <v>2604</v>
      </c>
    </row>
    <row r="63" spans="1:5" x14ac:dyDescent="0.2">
      <c r="A63" s="67" t="s">
        <v>2605</v>
      </c>
      <c r="B63" s="76">
        <f>COUNTIFS(Human_Data_Entry!$K$3:$K$524,"&gt;="&amp;0,Human_Data_Entry!$K$3:$K$524,"&lt;"&amp;20,Human_Data_Entry!$S$3:$S$524,"?*")</f>
        <v>100</v>
      </c>
      <c r="C63" s="62">
        <f>IFERROR(COUNTIFS(Human_Data_Entry!$K$3:$K$524,"&gt;="&amp;0,Human_Data_Entry!$K$3:$K$524,"&lt;"&amp;20,Human_Data_Entry!$S$3:$S$524,"YES")/B63,"")</f>
        <v>0.32</v>
      </c>
      <c r="D63" s="65">
        <f>IFERROR(AVERAGEIFS(Human_Data_Entry!$U$3:$U$524,Human_Data_Entry!$K$3:$K$524,"&gt;="&amp;0,Human_Data_Entry!$K$3:$K$524,"&lt;"&amp;20,Human_Data_Entry!$J$3:$J$524,"&lt;&gt;HOLD",Human_Data_Entry!$U$3:$U$524,"&lt;&gt;"),"")</f>
        <v>7.5922077922077865E-3</v>
      </c>
    </row>
    <row r="64" spans="1:5" x14ac:dyDescent="0.2">
      <c r="A64" s="67" t="s">
        <v>2606</v>
      </c>
      <c r="B64" s="76">
        <f>COUNTIFS(Human_Data_Entry!$K$3:$K$524,"&gt;="&amp;20,Human_Data_Entry!$K$3:$K$524,"&lt;"&amp;30,Human_Data_Entry!$S$3:$S$524,"?*")</f>
        <v>161</v>
      </c>
      <c r="C64" s="62">
        <f>IFERROR(COUNTIFS(Human_Data_Entry!$K$3:$K$524,"&gt;="&amp;20,Human_Data_Entry!$K$3:$K$524,"&lt;"&amp;30,Human_Data_Entry!$S$3:$S$524,"YES")/B64,"")</f>
        <v>0.39130434782608697</v>
      </c>
      <c r="D64" s="65">
        <f>IFERROR(AVERAGEIFS(Human_Data_Entry!$U$3:$U$524,Human_Data_Entry!$K$3:$K$524,"&gt;="&amp;20,Human_Data_Entry!$K$3:$K$524,"&lt;"&amp;30,Human_Data_Entry!$J$3:$J$524,"&lt;&gt;HOLD",Human_Data_Entry!$U$3:$U$524,"&lt;&gt;"),"")</f>
        <v>3.576190476190475E-3</v>
      </c>
    </row>
    <row r="65" spans="1:10" x14ac:dyDescent="0.2">
      <c r="A65" s="67" t="s">
        <v>2607</v>
      </c>
      <c r="B65" s="76">
        <f>COUNTIFS(Human_Data_Entry!$K$3:$K$524,"&gt;="&amp;30,Human_Data_Entry!$K$3:$K$524,"&lt;"&amp;40,Human_Data_Entry!$S$3:$S$524,"?*")</f>
        <v>85</v>
      </c>
      <c r="C65" s="62">
        <f>IFERROR(COUNTIFS(Human_Data_Entry!$K$3:$K$524,"&gt;="&amp;30,Human_Data_Entry!$K$3:$K$524,"&lt;"&amp;40,Human_Data_Entry!$S$3:$S$524,"YES")/B65,"")</f>
        <v>0.4</v>
      </c>
      <c r="D65" s="65">
        <f>IFERROR(AVERAGEIFS(Human_Data_Entry!$U$3:$U$524,Human_Data_Entry!$K$3:$K$524,"&gt;="&amp;30,Human_Data_Entry!$K$3:$K$524,"&lt;"&amp;40,Human_Data_Entry!$J$3:$J$524,"&lt;&gt;HOLD",Human_Data_Entry!$U$3:$U$524,"&lt;&gt;"),"")</f>
        <v>-8.7573770491803284E-3</v>
      </c>
    </row>
    <row r="66" spans="1:10" x14ac:dyDescent="0.2">
      <c r="A66" s="67" t="s">
        <v>2608</v>
      </c>
      <c r="B66" s="76">
        <f>COUNTIFS(Human_Data_Entry!$K$3:$K$524,"&gt;="&amp;40,Human_Data_Entry!$K$3:$K$524,"&lt;"&amp;50,Human_Data_Entry!$S$3:$S$524,"?*")</f>
        <v>42</v>
      </c>
      <c r="C66" s="62">
        <f>IFERROR(COUNTIFS(Human_Data_Entry!$K$3:$K$524,"&gt;="&amp;40,Human_Data_Entry!$K$3:$K$524,"&lt;"&amp;50,Human_Data_Entry!$S$3:$S$524,"YES")/B66,"")</f>
        <v>0.33333333333333331</v>
      </c>
      <c r="D66" s="65">
        <f>IFERROR(AVERAGEIFS(Human_Data_Entry!$U$3:$U$524,Human_Data_Entry!$K$3:$K$524,"&gt;="&amp;40,Human_Data_Entry!$K$3:$K$524,"&lt;"&amp;50,Human_Data_Entry!$J$3:$J$524,"&lt;&gt;HOLD",Human_Data_Entry!$U$3:$U$524,"&lt;&gt;"),"")</f>
        <v>-1.0508571428571431E-2</v>
      </c>
    </row>
    <row r="67" spans="1:10" x14ac:dyDescent="0.2">
      <c r="A67" s="67" t="s">
        <v>2609</v>
      </c>
      <c r="B67" s="76">
        <f>COUNTIFS(Human_Data_Entry!$K$3:$K$524,"&gt;="&amp;50,Human_Data_Entry!$K$3:$K$524,"&lt;"&amp;60,Human_Data_Entry!$S$3:$S$524,"?*")</f>
        <v>18</v>
      </c>
      <c r="C67" s="62">
        <f>IFERROR(COUNTIFS(Human_Data_Entry!$K$3:$K$524,"&gt;="&amp;50,Human_Data_Entry!$K$3:$K$524,"&lt;"&amp;60,Human_Data_Entry!$S$3:$S$524,"YES")/B67,"")</f>
        <v>0.3888888888888889</v>
      </c>
      <c r="D67" s="65">
        <f>IFERROR(AVERAGEIFS(Human_Data_Entry!$U$3:$U$524,Human_Data_Entry!$K$3:$K$524,"&gt;="&amp;50,Human_Data_Entry!$K$3:$K$524,"&lt;"&amp;60,Human_Data_Entry!$J$3:$J$524,"&lt;&gt;HOLD",Human_Data_Entry!$U$3:$U$524,"&lt;&gt;"),"")</f>
        <v>-7.4374999999999984E-4</v>
      </c>
    </row>
    <row r="68" spans="1:10" x14ac:dyDescent="0.2">
      <c r="A68" s="67" t="s">
        <v>2610</v>
      </c>
      <c r="B68" s="76">
        <f>COUNTIFS(Human_Data_Entry!$K$3:$K$524,"&gt;="&amp;60,Human_Data_Entry!$K$3:$K$524,"&lt;"&amp;999,Human_Data_Entry!$S$3:$S$524,"?*")</f>
        <v>14</v>
      </c>
      <c r="C68" s="62">
        <f>IFERROR(COUNTIFS(Human_Data_Entry!$K$3:$K$524,"&gt;="&amp;60,Human_Data_Entry!$K$3:$K$524,"&lt;"&amp;999,Human_Data_Entry!$S$3:$S$524,"YES")/B68,"")</f>
        <v>0.42857142857142855</v>
      </c>
      <c r="D68" s="65">
        <f>IFERROR(AVERAGEIFS(Human_Data_Entry!$U$3:$U$524,Human_Data_Entry!$K$3:$K$524,"&gt;="&amp;60,Human_Data_Entry!$K$3:$K$524,"&lt;"&amp;999,Human_Data_Entry!$J$3:$J$524,"&lt;&gt;HOLD",Human_Data_Entry!$U$3:$U$524,"&lt;&gt;"),"")</f>
        <v>-7.7333333333333351E-3</v>
      </c>
    </row>
    <row r="71" spans="1:10" ht="22.25" customHeight="1" x14ac:dyDescent="0.2">
      <c r="A71" s="10" t="s">
        <v>2611</v>
      </c>
    </row>
    <row r="72" spans="1:10" ht="24" customHeight="1" x14ac:dyDescent="0.2">
      <c r="A72" s="17" t="s">
        <v>2612</v>
      </c>
      <c r="B72" s="17"/>
      <c r="C72" s="17"/>
      <c r="D72" s="17" t="s">
        <v>2613</v>
      </c>
      <c r="E72" s="17" t="s">
        <v>2614</v>
      </c>
      <c r="H72" s="10" t="s">
        <v>2615</v>
      </c>
    </row>
    <row r="73" spans="1:10" ht="42" customHeight="1" x14ac:dyDescent="0.2">
      <c r="A73" s="84" t="s">
        <v>2616</v>
      </c>
      <c r="B73" s="84"/>
      <c r="C73" s="84"/>
      <c r="D73" s="85" t="s">
        <v>2617</v>
      </c>
      <c r="E73" s="70" t="s">
        <v>2618</v>
      </c>
      <c r="H73" s="17" t="s">
        <v>2185</v>
      </c>
      <c r="I73" s="17" t="s">
        <v>540</v>
      </c>
      <c r="J73" s="17" t="s">
        <v>1912</v>
      </c>
    </row>
    <row r="74" spans="1:10" ht="42" customHeight="1" x14ac:dyDescent="0.2">
      <c r="A74" s="84" t="s">
        <v>2619</v>
      </c>
      <c r="B74" s="84"/>
      <c r="C74" s="84"/>
      <c r="D74" s="85" t="s">
        <v>2620</v>
      </c>
      <c r="E74" s="70" t="s">
        <v>2621</v>
      </c>
      <c r="H74" s="67" t="s">
        <v>2622</v>
      </c>
      <c r="I74" s="75">
        <f>$B$16</f>
        <v>2.150537634408602</v>
      </c>
      <c r="J74" s="75">
        <f>$C$16</f>
        <v>450.00000000000006</v>
      </c>
    </row>
    <row r="75" spans="1:10" ht="42" customHeight="1" x14ac:dyDescent="0.2">
      <c r="A75" s="84" t="s">
        <v>2623</v>
      </c>
      <c r="B75" s="84"/>
      <c r="C75" s="84"/>
      <c r="D75" s="85" t="s">
        <v>2624</v>
      </c>
      <c r="E75" s="70" t="s">
        <v>2625</v>
      </c>
      <c r="H75" s="67" t="s">
        <v>2626</v>
      </c>
      <c r="I75" s="79">
        <f>$B$18</f>
        <v>20.925000000000001</v>
      </c>
      <c r="J75" s="79">
        <f>$C$18</f>
        <v>9.1143700564971751E-3</v>
      </c>
    </row>
    <row r="76" spans="1:10" ht="42" customHeight="1" x14ac:dyDescent="0.2">
      <c r="A76" s="84" t="s">
        <v>2627</v>
      </c>
      <c r="B76" s="84"/>
      <c r="C76" s="84"/>
      <c r="D76" s="85" t="s">
        <v>2628</v>
      </c>
      <c r="E76" s="70" t="s">
        <v>2629</v>
      </c>
      <c r="H76" s="67" t="s">
        <v>2560</v>
      </c>
      <c r="I76" s="79">
        <f>$B$24</f>
        <v>56.33653846153846</v>
      </c>
      <c r="J76" s="79">
        <f>$C$24</f>
        <v>2.8302517543859651E-2</v>
      </c>
    </row>
    <row r="77" spans="1:10" ht="42" customHeight="1" x14ac:dyDescent="0.2">
      <c r="A77" s="84" t="s">
        <v>2630</v>
      </c>
      <c r="B77" s="84"/>
      <c r="C77" s="84"/>
      <c r="D77" s="85" t="s">
        <v>2631</v>
      </c>
      <c r="E77" s="70" t="s">
        <v>2632</v>
      </c>
    </row>
    <row r="78" spans="1:10" ht="42" customHeight="1" x14ac:dyDescent="0.2">
      <c r="A78" s="84" t="s">
        <v>2633</v>
      </c>
      <c r="B78" s="84"/>
      <c r="C78" s="84"/>
      <c r="D78" s="85" t="s">
        <v>2634</v>
      </c>
      <c r="E78" s="70" t="s">
        <v>2635</v>
      </c>
    </row>
    <row r="79" spans="1:10" ht="42" customHeight="1" x14ac:dyDescent="0.2">
      <c r="A79" s="84" t="s">
        <v>2636</v>
      </c>
      <c r="B79" s="84"/>
      <c r="C79" s="84"/>
      <c r="D79" s="85" t="s">
        <v>2637</v>
      </c>
      <c r="E79" s="70" t="s">
        <v>2638</v>
      </c>
      <c r="H79" s="10" t="s">
        <v>2639</v>
      </c>
    </row>
    <row r="80" spans="1:10" x14ac:dyDescent="0.2">
      <c r="H80" s="17" t="s">
        <v>2515</v>
      </c>
      <c r="I80" s="17" t="s">
        <v>2640</v>
      </c>
    </row>
    <row r="81" spans="1:9" x14ac:dyDescent="0.2">
      <c r="H81" s="67" t="s">
        <v>540</v>
      </c>
      <c r="I81" s="65">
        <f>$B$33</f>
        <v>-2.3860727086532851E-4</v>
      </c>
    </row>
    <row r="82" spans="1:9" x14ac:dyDescent="0.2">
      <c r="A82" s="10" t="s">
        <v>2641</v>
      </c>
      <c r="H82" s="67" t="s">
        <v>1912</v>
      </c>
      <c r="I82" s="65">
        <f>$C$33</f>
        <v>4.2066810249307478</v>
      </c>
    </row>
    <row r="83" spans="1:9" ht="20" customHeight="1" x14ac:dyDescent="0.2">
      <c r="A83" s="67" t="s">
        <v>2642</v>
      </c>
      <c r="B83" s="86">
        <f>COUNT(LLM_Data_Entry!$O$3:$O$548)</f>
        <v>354</v>
      </c>
      <c r="C83" s="70"/>
      <c r="E83" s="14" t="s">
        <v>2643</v>
      </c>
    </row>
    <row r="84" spans="1:9" ht="20" customHeight="1" x14ac:dyDescent="0.2">
      <c r="A84" s="67" t="s">
        <v>2644</v>
      </c>
      <c r="B84" s="87" t="str">
        <f>IF(COUNT(LLM_Data_Entry!$O$3:$O$548)&gt;0,"Live token data","Placeholder (B10)")</f>
        <v>Live token data</v>
      </c>
      <c r="C84" s="70"/>
      <c r="E84" s="14" t="s">
        <v>2645</v>
      </c>
    </row>
    <row r="85" spans="1:9" x14ac:dyDescent="0.2">
      <c r="A85" s="67" t="s">
        <v>2646</v>
      </c>
      <c r="B85" s="86">
        <f>COUNT(LLM_Data_Entry!$I$3:$I$548)</f>
        <v>0</v>
      </c>
      <c r="E85" s="14" t="s">
        <v>2647</v>
      </c>
    </row>
    <row r="86" spans="1:9" x14ac:dyDescent="0.2">
      <c r="A86" s="67" t="s">
        <v>2648</v>
      </c>
      <c r="B86" s="87" t="str">
        <f>IF(COUNT(LLM_Data_Entry!$I$3:$I$548)&gt;0,"Live measured latency","Placeholder (B11)")</f>
        <v>Placeholder (B11)</v>
      </c>
      <c r="E86" s="14" t="s">
        <v>2649</v>
      </c>
    </row>
    <row r="89" spans="1:9" x14ac:dyDescent="0.2">
      <c r="A89" t="s">
        <v>2650</v>
      </c>
    </row>
    <row r="91" spans="1:9" x14ac:dyDescent="0.2">
      <c r="A91" t="s">
        <v>2651</v>
      </c>
    </row>
    <row r="92" spans="1:9" x14ac:dyDescent="0.2">
      <c r="A92" t="s">
        <v>2652</v>
      </c>
    </row>
    <row r="94" spans="1:9" x14ac:dyDescent="0.2">
      <c r="A94" t="s">
        <v>2185</v>
      </c>
      <c r="B94" t="s">
        <v>2161</v>
      </c>
      <c r="C94" t="s">
        <v>2162</v>
      </c>
      <c r="D94" t="s">
        <v>2163</v>
      </c>
      <c r="E94" t="s">
        <v>2164</v>
      </c>
    </row>
    <row r="95" spans="1:9" x14ac:dyDescent="0.2">
      <c r="A95" t="s">
        <v>2653</v>
      </c>
      <c r="B95">
        <f>COUNTIFS(Human_Data_Entry!$S$3:$S$524,"?*",Human_Data_Entry!$H$3:$H$524,"Human",Human_Data_Entry!$AP$3:$AP$524,"YES")</f>
        <v>420</v>
      </c>
      <c r="C95">
        <f>COUNTIFS(Human_Data_Entry!$AJ$3:$AJ$524,"?*",Human_Data_Entry!$H$3:$H$524,"Human",Human_Data_Entry!$AP$3:$AP$524,"YES")</f>
        <v>400</v>
      </c>
      <c r="D95">
        <f>COUNTIFS(LLM_Data_Entry!$R$3:$R$430,"?*",LLM_Data_Entry!$AK$3:$AK$430,"YES")</f>
        <v>270</v>
      </c>
      <c r="E95">
        <f>COUNTIFS(LLM_Data_Entry!$AE$3:$AE$430,"?*",LLM_Data_Entry!$AK$3:$AK$430,"YES")</f>
        <v>268</v>
      </c>
    </row>
    <row r="96" spans="1:9" x14ac:dyDescent="0.2">
      <c r="A96" t="s">
        <v>2064</v>
      </c>
      <c r="B96">
        <f>COUNTIFS(Human_Data_Entry!$S$3:$S$524,"YES",Human_Data_Entry!$H$3:$H$524,"Human",Human_Data_Entry!$AP$3:$AP$524,"YES")</f>
        <v>156</v>
      </c>
      <c r="C96">
        <f>COUNTIFS(Human_Data_Entry!$AJ$3:$AJ$524,"YES",Human_Data_Entry!$H$3:$H$524,"Human",Human_Data_Entry!$AP$3:$AP$524,"YES")</f>
        <v>155</v>
      </c>
      <c r="D96">
        <f>COUNTIFS(LLM_Data_Entry!$R$3:$R$430,"YES",LLM_Data_Entry!$AK$3:$AK$430,"YES")</f>
        <v>114</v>
      </c>
      <c r="E96">
        <f>COUNTIFS(LLM_Data_Entry!$AE$3:$AE$430,"YES",LLM_Data_Entry!$AK$3:$AK$430,"YES")</f>
        <v>111</v>
      </c>
    </row>
    <row r="97" spans="1:5" x14ac:dyDescent="0.2">
      <c r="A97" t="s">
        <v>2654</v>
      </c>
      <c r="B97">
        <f>IFERROR(B96/B95,"")</f>
        <v>0.37142857142857144</v>
      </c>
      <c r="C97">
        <f>IFERROR(C96/C95,"")</f>
        <v>0.38750000000000001</v>
      </c>
      <c r="D97">
        <f>IFERROR(D96/D95,"")</f>
        <v>0.42222222222222222</v>
      </c>
      <c r="E97">
        <f>IFERROR(E96/E95,"")</f>
        <v>0.41417910447761191</v>
      </c>
    </row>
    <row r="98" spans="1:5" x14ac:dyDescent="0.2">
      <c r="A98" t="s">
        <v>2204</v>
      </c>
      <c r="B98">
        <f>COUNTIFS(Human_Data_Entry!$J$3:$J$524,"BUY",Human_Data_Entry!$S$3:$S$524,"?*",Human_Data_Entry!$H$3:$H$524,"Human",Human_Data_Entry!$AP$3:$AP$524,"YES")+COUNTIFS(Human_Data_Entry!$J$3:$J$524,"SELL",Human_Data_Entry!$S$3:$S$524,"?*",Human_Data_Entry!$H$3:$H$524,"Human",Human_Data_Entry!$AP$3:$AP$524,"YES")</f>
        <v>306</v>
      </c>
      <c r="C98">
        <f>COUNTIFS(Human_Data_Entry!$J$3:$J$524,"BUY",Human_Data_Entry!$AJ$3:$AJ$524,"?*",Human_Data_Entry!$H$3:$H$524,"Human",Human_Data_Entry!$AP$3:$AP$524,"YES")+COUNTIFS(Human_Data_Entry!$J$3:$J$524,"SELL",Human_Data_Entry!$AJ$3:$AJ$524,"?*",Human_Data_Entry!$H$3:$H$524,"Human",Human_Data_Entry!$AP$3:$AP$524,"YES")</f>
        <v>288</v>
      </c>
      <c r="D98">
        <f>COUNTIFS(LLM_Data_Entry!$H$3:$H$430,"BUY",LLM_Data_Entry!$R$3:$R$430,"?*",LLM_Data_Entry!$AK$3:$AK$430,"YES")+COUNTIFS(LLM_Data_Entry!$H$3:$H$430,"SELL",LLM_Data_Entry!$R$3:$R$430,"?*",LLM_Data_Entry!$AK$3:$AK$430,"YES")</f>
        <v>171</v>
      </c>
      <c r="E98">
        <f>COUNTIFS(LLM_Data_Entry!$H$3:$H$430,"BUY",LLM_Data_Entry!$AE$3:$AE$430,"?*",LLM_Data_Entry!$AK$3:$AK$430,"YES")+COUNTIFS(LLM_Data_Entry!$H$3:$H$430,"SELL",LLM_Data_Entry!$AE$3:$AE$430,"?*",LLM_Data_Entry!$AK$3:$AK$430,"YES")</f>
        <v>171</v>
      </c>
    </row>
    <row r="99" spans="1:5" x14ac:dyDescent="0.2">
      <c r="A99" t="s">
        <v>2205</v>
      </c>
      <c r="B99">
        <f>SUMIFS(Human_Data_Entry!$AT$3:$AT$524,Human_Data_Entry!$AP$3:$AP$524,"YES")</f>
        <v>-4.6599999999998663E-2</v>
      </c>
      <c r="C99">
        <f>SUMIFS(Human_Data_Entry!$AU$3:$AU$524,Human_Data_Entry!$AP$3:$AP$524,"YES")</f>
        <v>0.50416999999999967</v>
      </c>
      <c r="D99">
        <f>SUMIFS(LLM_Data_Entry!$AM$3:$AM$430,LLM_Data_Entry!$AK$3:$AK$430,"YES")</f>
        <v>3.3746929999999997</v>
      </c>
      <c r="E99">
        <f>SUMIFS(LLM_Data_Entry!$AN$3:$AN$430,LLM_Data_Entry!$AK$3:$AK$430,"YES")</f>
        <v>3.540875999999999</v>
      </c>
    </row>
    <row r="100" spans="1:5" x14ac:dyDescent="0.2">
      <c r="A100" t="s">
        <v>2655</v>
      </c>
      <c r="B100">
        <f>IFERROR(B99/B98,"")</f>
        <v>-1.5228758169934204E-4</v>
      </c>
      <c r="C100">
        <f>IFERROR(C99/C98,"")</f>
        <v>1.7505902777777767E-3</v>
      </c>
      <c r="D100">
        <f>IFERROR(D99/D98,"")</f>
        <v>1.9735046783625729E-2</v>
      </c>
      <c r="E100">
        <f>IFERROR(E99/E98,"")</f>
        <v>2.0706877192982451E-2</v>
      </c>
    </row>
    <row r="101" spans="1:5" x14ac:dyDescent="0.2">
      <c r="A101" t="s">
        <v>2656</v>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0.5</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0.39500000000000002</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0.34444444444444444</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0.35820895522388058</v>
      </c>
    </row>
    <row r="102" spans="1:5" x14ac:dyDescent="0.2">
      <c r="A102" t="s">
        <v>2657</v>
      </c>
      <c r="B102">
        <f>(B97-B101)*100</f>
        <v>-12.857142857142856</v>
      </c>
      <c r="C102">
        <f>(C97-C101)*100</f>
        <v>-0.75000000000000067</v>
      </c>
      <c r="D102">
        <f>(D97-D101)*100</f>
        <v>7.7777777777777777</v>
      </c>
      <c r="E102">
        <f>(E97-E101)*100</f>
        <v>5.5970149253731343</v>
      </c>
    </row>
    <row r="103" spans="1:5" x14ac:dyDescent="0.2">
      <c r="A103" t="s">
        <v>2658</v>
      </c>
      <c r="B103">
        <f>IFERROR(COUNTIFS(Human_Data_Entry!$S$3:$S$524,"YES",Human_Data_Entry!$H$3:$H$524,"Human")/COUNTIFS(Human_Data_Entry!$S$3:$S$524,"?*",Human_Data_Entry!$H$3:$H$524,"Human"),"")</f>
        <v>0.37142857142857144</v>
      </c>
      <c r="C103">
        <f>IFERROR(COUNTIFS(Human_Data_Entry!$AJ$3:$AJ$524,"YES",Human_Data_Entry!$H$3:$H$524,"Human")/COUNTIFS(Human_Data_Entry!$AJ$3:$AJ$524,"?*",Human_Data_Entry!$H$3:$H$524,"Human"),"")</f>
        <v>0.38750000000000001</v>
      </c>
      <c r="D103">
        <f>IFERROR(COUNTIFS(LLM_Data_Entry!$R$3:$R$430,"YES")/COUNTIFS(LLM_Data_Entry!$R$3:$R$430,"?*"),"")</f>
        <v>0.42222222222222222</v>
      </c>
      <c r="E103">
        <f>IFERROR(COUNTIFS(LLM_Data_Entry!$AE$3:$AE$430,"YES")/COUNTIFS(LLM_Data_Entry!$AE$3:$AE$430,"?*"),"")</f>
        <v>0.41417910447761191</v>
      </c>
    </row>
    <row r="105" spans="1:5" x14ac:dyDescent="0.2">
      <c r="A105" t="s">
        <v>2659</v>
      </c>
    </row>
    <row r="106" spans="1:5" x14ac:dyDescent="0.2">
      <c r="A106" t="s">
        <v>2660</v>
      </c>
    </row>
    <row r="108" spans="1:5" x14ac:dyDescent="0.2">
      <c r="A108" t="s">
        <v>2661</v>
      </c>
      <c r="B108" t="s">
        <v>2161</v>
      </c>
      <c r="C108" t="s">
        <v>2162</v>
      </c>
      <c r="D108" t="s">
        <v>2163</v>
      </c>
      <c r="E108" t="s">
        <v>2164</v>
      </c>
    </row>
    <row r="109" spans="1:5" x14ac:dyDescent="0.2">
      <c r="A109" t="s">
        <v>2059</v>
      </c>
      <c r="B109">
        <f>COUNT(Human_Data_Entry!$AT$3:$AT$524)</f>
        <v>306</v>
      </c>
      <c r="C109">
        <f>COUNT(Human_Data_Entry!$AU$3:$AU$524)</f>
        <v>288</v>
      </c>
      <c r="D109">
        <f>COUNT(LLM_Data_Entry!$AM$3:$AM$430)</f>
        <v>171</v>
      </c>
      <c r="E109">
        <f>COUNT(LLM_Data_Entry!$AN$3:$AN$430)</f>
        <v>171</v>
      </c>
    </row>
    <row r="110" spans="1:5" x14ac:dyDescent="0.2">
      <c r="A110" t="s">
        <v>2662</v>
      </c>
      <c r="B110">
        <f>SUM(Human_Data_Entry!$AT$3:$AT$524)</f>
        <v>-4.6599999999998663E-2</v>
      </c>
      <c r="C110">
        <f>SUM(Human_Data_Entry!$AU$3:$AU$524)</f>
        <v>0.50416999999999967</v>
      </c>
      <c r="D110">
        <f>SUM(LLM_Data_Entry!$AM$3:$AM$430)</f>
        <v>3.3746929999999997</v>
      </c>
      <c r="E110">
        <f>SUM(LLM_Data_Entry!$AN$3:$AN$430)</f>
        <v>3.540875999999999</v>
      </c>
    </row>
    <row r="111" spans="1:5" x14ac:dyDescent="0.2">
      <c r="A111">
        <v>0</v>
      </c>
      <c r="B111">
        <f>B110+B109*(Settings!$B$4-0)/10000</f>
        <v>0.25940000000000135</v>
      </c>
      <c r="C111">
        <f>C110+C109*(Settings!$B$4-0)/10000</f>
        <v>0.7921699999999996</v>
      </c>
      <c r="D111">
        <f>D110+D109*(Settings!$B$4-0)/10000</f>
        <v>3.5456929999999995</v>
      </c>
      <c r="E111">
        <f>E110+E109*(Settings!$B$4-0)/10000</f>
        <v>3.7118759999999988</v>
      </c>
    </row>
    <row r="112" spans="1:5" x14ac:dyDescent="0.2">
      <c r="A112">
        <v>5</v>
      </c>
      <c r="B112">
        <f>B110+B109*(Settings!$B$4-5)/10000</f>
        <v>0.10640000000000133</v>
      </c>
      <c r="C112">
        <f>C110+C109*(Settings!$B$4-5)/10000</f>
        <v>0.64816999999999969</v>
      </c>
      <c r="D112">
        <f>D110+D109*(Settings!$B$4-5)/10000</f>
        <v>3.4601929999999999</v>
      </c>
      <c r="E112">
        <f>E110+E109*(Settings!$B$4-5)/10000</f>
        <v>3.6263759999999992</v>
      </c>
    </row>
    <row r="113" spans="1:7" x14ac:dyDescent="0.2">
      <c r="A113">
        <v>10</v>
      </c>
      <c r="B113">
        <f>B110+B109*(Settings!$B$4-10)/10000</f>
        <v>-4.6599999999998663E-2</v>
      </c>
      <c r="C113">
        <f>C110+C109*(Settings!$B$4-10)/10000</f>
        <v>0.50416999999999967</v>
      </c>
      <c r="D113">
        <f>D110+D109*(Settings!$B$4-10)/10000</f>
        <v>3.3746929999999997</v>
      </c>
      <c r="E113">
        <f>E110+E109*(Settings!$B$4-10)/10000</f>
        <v>3.540875999999999</v>
      </c>
    </row>
    <row r="114" spans="1:7" x14ac:dyDescent="0.2">
      <c r="A114">
        <v>20</v>
      </c>
      <c r="B114">
        <f>B110+B109*(Settings!$B$4-20)/10000</f>
        <v>-0.35259999999999864</v>
      </c>
      <c r="C114">
        <f>C110+C109*(Settings!$B$4-20)/10000</f>
        <v>0.2161699999999997</v>
      </c>
      <c r="D114">
        <f>D110+D109*(Settings!$B$4-20)/10000</f>
        <v>3.2036929999999999</v>
      </c>
      <c r="E114">
        <f>E110+E109*(Settings!$B$4-20)/10000</f>
        <v>3.3698759999999992</v>
      </c>
    </row>
    <row r="115" spans="1:7" x14ac:dyDescent="0.2">
      <c r="A115">
        <v>30</v>
      </c>
      <c r="B115">
        <f>B110+B109*(Settings!$B$4-30)/10000</f>
        <v>-0.65859999999999863</v>
      </c>
      <c r="C115">
        <f>C110+C109*(Settings!$B$4-30)/10000</f>
        <v>-7.1830000000000283E-2</v>
      </c>
      <c r="D115">
        <f>D110+D109*(Settings!$B$4-30)/10000</f>
        <v>3.0326929999999996</v>
      </c>
      <c r="E115">
        <f>E110+E109*(Settings!$B$4-30)/10000</f>
        <v>3.1988759999999989</v>
      </c>
    </row>
    <row r="116" spans="1:7" x14ac:dyDescent="0.2">
      <c r="A116">
        <v>50</v>
      </c>
      <c r="B116">
        <f>B110+B109*(Settings!$B$4-50)/10000</f>
        <v>-1.2705999999999986</v>
      </c>
      <c r="C116">
        <f>C110+C109*(Settings!$B$4-50)/10000</f>
        <v>-0.64783000000000024</v>
      </c>
      <c r="D116">
        <f>D110+D109*(Settings!$B$4-50)/10000</f>
        <v>2.6906929999999996</v>
      </c>
      <c r="E116">
        <f>E110+E109*(Settings!$B$4-50)/10000</f>
        <v>2.8568759999999989</v>
      </c>
    </row>
    <row r="117" spans="1:7" x14ac:dyDescent="0.2">
      <c r="A117">
        <v>100</v>
      </c>
      <c r="B117">
        <f>B110+B109*(Settings!$B$4-100)/10000</f>
        <v>-2.8005999999999989</v>
      </c>
      <c r="C117">
        <f>C110+C109*(Settings!$B$4-100)/10000</f>
        <v>-2.0878300000000003</v>
      </c>
      <c r="D117">
        <f>D110+D109*(Settings!$B$4-100)/10000</f>
        <v>1.8356929999999998</v>
      </c>
      <c r="E117">
        <f>E110+E109*(Settings!$B$4-100)/10000</f>
        <v>2.0018759999999993</v>
      </c>
    </row>
    <row r="118" spans="1:7" x14ac:dyDescent="0.2">
      <c r="A118" t="s">
        <v>2663</v>
      </c>
      <c r="B118">
        <f>IFERROR((B110/B109)*10000+Settings!$B$4,"")</f>
        <v>8.4771241830065804</v>
      </c>
      <c r="C118">
        <f>IFERROR((C110/C109)*10000+Settings!$B$4,"")</f>
        <v>27.505902777777766</v>
      </c>
      <c r="D118">
        <f>IFERROR((D110/D109)*10000+Settings!$B$4,"")</f>
        <v>207.35046783625728</v>
      </c>
      <c r="E118">
        <f>IFERROR((E110/E109)*10000+Settings!$B$4,"")</f>
        <v>217.06877192982452</v>
      </c>
    </row>
    <row r="119" spans="1:7" x14ac:dyDescent="0.2">
      <c r="A119" t="s">
        <v>2664</v>
      </c>
      <c r="B119" t="str">
        <f>IF(B116&gt;0,"YES","NO")</f>
        <v>NO</v>
      </c>
      <c r="C119" t="str">
        <f>IF(C116&gt;0,"YES","NO")</f>
        <v>NO</v>
      </c>
      <c r="D119" t="str">
        <f>IF(D116&gt;0,"YES","NO")</f>
        <v>YES</v>
      </c>
      <c r="E119" t="str">
        <f>IF(E116&gt;0,"YES","NO")</f>
        <v>YES</v>
      </c>
    </row>
    <row r="121" spans="1:7" x14ac:dyDescent="0.2">
      <c r="A121" t="s">
        <v>2665</v>
      </c>
      <c r="C121" t="s">
        <v>2666</v>
      </c>
    </row>
    <row r="123" spans="1:7" x14ac:dyDescent="0.2">
      <c r="A123" t="s">
        <v>2667</v>
      </c>
    </row>
    <row r="124" spans="1:7" x14ac:dyDescent="0.2">
      <c r="A124" t="s">
        <v>2668</v>
      </c>
      <c r="B124" t="s">
        <v>2669</v>
      </c>
      <c r="C124" t="s">
        <v>2622</v>
      </c>
      <c r="D124" t="s">
        <v>2561</v>
      </c>
      <c r="E124" t="s">
        <v>2670</v>
      </c>
      <c r="F124" t="s">
        <v>2671</v>
      </c>
      <c r="G124" t="s">
        <v>2672</v>
      </c>
    </row>
    <row r="125" spans="1:7" x14ac:dyDescent="0.2">
      <c r="A125">
        <v>1</v>
      </c>
      <c r="B125">
        <f t="shared" ref="B125:B133" si="2">$C$13*A125/3600</f>
        <v>0.10027777777777777</v>
      </c>
      <c r="C125">
        <f t="shared" ref="C125:C133" si="3">IFERROR($C$13/B125,"")</f>
        <v>3600.0000000000005</v>
      </c>
      <c r="D125">
        <f t="shared" ref="D125:D133" si="4">IFERROR(B125*60/$C$22,"")</f>
        <v>5.2777777777777778E-2</v>
      </c>
      <c r="E125">
        <f t="shared" ref="E125:E133" si="5">IFERROR($C$31/B125,"")</f>
        <v>33.653448199445982</v>
      </c>
      <c r="F125">
        <f t="shared" ref="F125:F133" si="6">IFERROR(C125/$B$16,"")</f>
        <v>1674.0000000000002</v>
      </c>
    </row>
    <row r="126" spans="1:7" x14ac:dyDescent="0.2">
      <c r="A126">
        <v>2</v>
      </c>
      <c r="B126">
        <f t="shared" si="2"/>
        <v>0.20055555555555554</v>
      </c>
      <c r="C126">
        <f t="shared" si="3"/>
        <v>1800.0000000000002</v>
      </c>
      <c r="D126">
        <f t="shared" si="4"/>
        <v>0.10555555555555556</v>
      </c>
      <c r="E126">
        <f t="shared" si="5"/>
        <v>16.826724099722991</v>
      </c>
      <c r="F126">
        <f t="shared" si="6"/>
        <v>837.00000000000011</v>
      </c>
    </row>
    <row r="127" spans="1:7" x14ac:dyDescent="0.2">
      <c r="A127">
        <v>4</v>
      </c>
      <c r="B127">
        <f t="shared" si="2"/>
        <v>0.40111111111111108</v>
      </c>
      <c r="C127">
        <f t="shared" si="3"/>
        <v>900.00000000000011</v>
      </c>
      <c r="D127">
        <f t="shared" si="4"/>
        <v>0.21111111111111111</v>
      </c>
      <c r="E127">
        <f t="shared" si="5"/>
        <v>8.4133620498614956</v>
      </c>
      <c r="F127">
        <f t="shared" si="6"/>
        <v>418.50000000000006</v>
      </c>
    </row>
    <row r="128" spans="1:7" x14ac:dyDescent="0.2">
      <c r="A128">
        <v>8</v>
      </c>
      <c r="B128">
        <f t="shared" si="2"/>
        <v>0.80222222222222217</v>
      </c>
      <c r="C128">
        <f t="shared" si="3"/>
        <v>450.00000000000006</v>
      </c>
      <c r="D128">
        <f t="shared" si="4"/>
        <v>0.42222222222222222</v>
      </c>
      <c r="E128">
        <f t="shared" si="5"/>
        <v>4.2066810249307478</v>
      </c>
      <c r="F128">
        <f t="shared" si="6"/>
        <v>209.25000000000003</v>
      </c>
      <c r="G128" t="s">
        <v>2673</v>
      </c>
    </row>
    <row r="129" spans="1:7" x14ac:dyDescent="0.2">
      <c r="A129">
        <v>14.307499999999999</v>
      </c>
      <c r="B129">
        <f t="shared" si="2"/>
        <v>1.4347243055555554</v>
      </c>
      <c r="C129">
        <f t="shared" si="3"/>
        <v>251.6162851651232</v>
      </c>
      <c r="D129">
        <f t="shared" si="4"/>
        <v>0.75511805555555545</v>
      </c>
      <c r="E129">
        <f t="shared" si="5"/>
        <v>2.3521543385948616</v>
      </c>
      <c r="F129">
        <f t="shared" si="6"/>
        <v>117.0015726017823</v>
      </c>
      <c r="G129" t="s">
        <v>2674</v>
      </c>
    </row>
    <row r="130" spans="1:7" x14ac:dyDescent="0.2">
      <c r="A130">
        <v>15</v>
      </c>
      <c r="B130">
        <f t="shared" si="2"/>
        <v>1.5041666666666667</v>
      </c>
      <c r="C130">
        <f t="shared" si="3"/>
        <v>240</v>
      </c>
      <c r="D130">
        <f t="shared" si="4"/>
        <v>0.79166666666666663</v>
      </c>
      <c r="E130">
        <f t="shared" si="5"/>
        <v>2.2435632132963987</v>
      </c>
      <c r="F130">
        <f t="shared" si="6"/>
        <v>111.60000000000001</v>
      </c>
    </row>
    <row r="131" spans="1:7" x14ac:dyDescent="0.2">
      <c r="A131">
        <v>30</v>
      </c>
      <c r="B131">
        <f t="shared" si="2"/>
        <v>3.0083333333333333</v>
      </c>
      <c r="C131">
        <f t="shared" si="3"/>
        <v>120</v>
      </c>
      <c r="D131">
        <f t="shared" si="4"/>
        <v>1.5833333333333333</v>
      </c>
      <c r="E131">
        <f t="shared" si="5"/>
        <v>1.1217816066481994</v>
      </c>
      <c r="F131">
        <f t="shared" si="6"/>
        <v>55.800000000000004</v>
      </c>
    </row>
    <row r="132" spans="1:7" x14ac:dyDescent="0.2">
      <c r="A132">
        <v>60</v>
      </c>
      <c r="B132">
        <f t="shared" si="2"/>
        <v>6.0166666666666666</v>
      </c>
      <c r="C132">
        <f t="shared" si="3"/>
        <v>60</v>
      </c>
      <c r="D132">
        <f t="shared" si="4"/>
        <v>3.1666666666666665</v>
      </c>
      <c r="E132">
        <f t="shared" si="5"/>
        <v>0.56089080332409968</v>
      </c>
      <c r="F132">
        <f t="shared" si="6"/>
        <v>27.900000000000002</v>
      </c>
    </row>
    <row r="133" spans="1:7" x14ac:dyDescent="0.2">
      <c r="A133">
        <v>120</v>
      </c>
      <c r="B133">
        <f t="shared" si="2"/>
        <v>12.033333333333333</v>
      </c>
      <c r="C133">
        <f t="shared" si="3"/>
        <v>30</v>
      </c>
      <c r="D133">
        <f t="shared" si="4"/>
        <v>6.333333333333333</v>
      </c>
      <c r="E133">
        <f t="shared" si="5"/>
        <v>0.28044540166204984</v>
      </c>
      <c r="F133">
        <f t="shared" si="6"/>
        <v>13.950000000000001</v>
      </c>
    </row>
    <row r="134" spans="1:7" x14ac:dyDescent="0.2">
      <c r="A134" t="s">
        <v>2675</v>
      </c>
      <c r="B134">
        <f>IFERROR(3600/$B$16,"")</f>
        <v>1674</v>
      </c>
      <c r="C134" t="s">
        <v>2676</v>
      </c>
    </row>
    <row r="136" spans="1:7" x14ac:dyDescent="0.2">
      <c r="A136" t="s">
        <v>2677</v>
      </c>
      <c r="C136" t="s">
        <v>2678</v>
      </c>
    </row>
    <row r="137" spans="1:7" x14ac:dyDescent="0.2">
      <c r="A137" t="s">
        <v>2185</v>
      </c>
      <c r="B137" t="s">
        <v>2679</v>
      </c>
      <c r="C137" t="s">
        <v>2680</v>
      </c>
    </row>
    <row r="138" spans="1:7" x14ac:dyDescent="0.2">
      <c r="A138" t="s">
        <v>2551</v>
      </c>
      <c r="B138">
        <v>404</v>
      </c>
      <c r="C138">
        <v>421</v>
      </c>
    </row>
    <row r="139" spans="1:7" x14ac:dyDescent="0.2">
      <c r="A139" t="s">
        <v>2553</v>
      </c>
      <c r="B139">
        <v>190.4333</v>
      </c>
      <c r="C139" t="s">
        <v>2681</v>
      </c>
    </row>
    <row r="140" spans="1:7" x14ac:dyDescent="0.2">
      <c r="A140" t="s">
        <v>2682</v>
      </c>
      <c r="B140">
        <v>28.2822</v>
      </c>
      <c r="C140">
        <v>27.1401</v>
      </c>
    </row>
    <row r="141" spans="1:7" x14ac:dyDescent="0.2">
      <c r="A141" t="s">
        <v>2555</v>
      </c>
      <c r="B141">
        <v>2.1215000000000002</v>
      </c>
      <c r="C141">
        <v>2.2107000000000001</v>
      </c>
    </row>
    <row r="142" spans="1:7" x14ac:dyDescent="0.2">
      <c r="A142" t="s">
        <v>2683</v>
      </c>
      <c r="B142">
        <v>212.1</v>
      </c>
      <c r="C142">
        <v>203.6</v>
      </c>
    </row>
    <row r="143" spans="1:7" x14ac:dyDescent="0.2">
      <c r="A143" t="s">
        <v>2684</v>
      </c>
      <c r="B143">
        <v>118.6</v>
      </c>
      <c r="C143">
        <v>113.8</v>
      </c>
    </row>
    <row r="145" spans="1:4" x14ac:dyDescent="0.2">
      <c r="A145" t="s">
        <v>2685</v>
      </c>
      <c r="C145" t="s">
        <v>2686</v>
      </c>
    </row>
    <row r="146" spans="1:4" x14ac:dyDescent="0.2">
      <c r="A146" t="s">
        <v>2185</v>
      </c>
      <c r="B146" t="s">
        <v>2429</v>
      </c>
      <c r="C146" t="s">
        <v>2430</v>
      </c>
      <c r="D146" t="s">
        <v>2238</v>
      </c>
    </row>
    <row r="147" spans="1:4" x14ac:dyDescent="0.2">
      <c r="A147" t="s">
        <v>2239</v>
      </c>
      <c r="B147">
        <f>COUNTIFS(Human_Data_Entry!$H$3:$H$524,"Human",Human_Data_Entry!$S$3:$S$524,"?*",Human_Data_Entry!$BC$3:$BC$524,1)</f>
        <v>405</v>
      </c>
      <c r="C147">
        <f>COUNTIFS(Human_Data_Entry!$H$3:$H$524,"Human",Human_Data_Entry!$S$3:$S$524,"?*")</f>
        <v>420</v>
      </c>
    </row>
    <row r="148" spans="1:4" x14ac:dyDescent="0.2">
      <c r="A148" t="s">
        <v>2435</v>
      </c>
      <c r="B148">
        <f>SUMIFS(Human_Data_Entry!$K$3:$K$524,Human_Data_Entry!$H$3:$H$524,"Human",Human_Data_Entry!$S$3:$S$524,"?*",Human_Data_Entry!$BC$3:$BC$524,1)</f>
        <v>11280</v>
      </c>
      <c r="C148">
        <f>SUMIFS(Human_Data_Entry!$K$3:$K$524,Human_Data_Entry!$H$3:$H$524,"Human",Human_Data_Entry!$S$3:$S$524,"?*")</f>
        <v>11718</v>
      </c>
    </row>
    <row r="149" spans="1:4" x14ac:dyDescent="0.2">
      <c r="A149" t="s">
        <v>2687</v>
      </c>
      <c r="B149">
        <f>IFERROR(SUMIFS(Human_Data_Entry!$K$3:$K$524,Human_Data_Entry!$H$3:$H$524,"Human",Human_Data_Entry!$S$3:$S$524,"?*",Human_Data_Entry!$BC$3:$BC$524,1)/COUNTIFS(Human_Data_Entry!$H$3:$H$524,"Human",Human_Data_Entry!$S$3:$S$524,"?*",Human_Data_Entry!$BC$3:$BC$524,1),"")</f>
        <v>27.851851851851851</v>
      </c>
      <c r="C149">
        <f>IFERROR(SUMIFS(Human_Data_Entry!$K$3:$K$524,Human_Data_Entry!$H$3:$H$524,"Human",Human_Data_Entry!$S$3:$S$524,"?*")/COUNTIFS(Human_Data_Entry!$H$3:$H$524,"Human",Human_Data_Entry!$S$3:$S$524,"?*"),"")</f>
        <v>27.9</v>
      </c>
    </row>
    <row r="150" spans="1:4" x14ac:dyDescent="0.2">
      <c r="A150" t="s">
        <v>2688</v>
      </c>
      <c r="B150">
        <f>IFERROR(SUMIFS(Human_Data_Entry!$K$3:$K$524,Human_Data_Entry!$H$3:$H$524,"Human",Human_Data_Entry!$S$3:$S$524,"?*",Human_Data_Entry!$BC$3:$BC$524,1)/60,"")</f>
        <v>188</v>
      </c>
      <c r="C150">
        <f>IFERROR(SUMIFS(Human_Data_Entry!$K$3:$K$524,Human_Data_Entry!$H$3:$H$524,"Human",Human_Data_Entry!$S$3:$S$524,"?*")/60,"")</f>
        <v>195.3</v>
      </c>
    </row>
    <row r="151" spans="1:4" x14ac:dyDescent="0.2">
      <c r="A151" t="s">
        <v>2689</v>
      </c>
      <c r="B151">
        <f>IFERROR(SUMIFS(Human_Data_Entry!$U$3:$U$524,Human_Data_Entry!$H$3:$H$524,"Human",Human_Data_Entry!$J$3:$J$524,"&lt;&gt;HOLD",Human_Data_Entry!$S$3:$S$524,"?*",Human_Data_Entry!$BC$3:$BC$524,1)/(SUMIFS(Human_Data_Entry!$K$3:$K$524,Human_Data_Entry!$H$3:$H$524,"Human",Human_Data_Entry!$S$3:$S$524,"?*",Human_Data_Entry!$BC$3:$BC$524,1)/60),"")</f>
        <v>-1.0638297872333238E-5</v>
      </c>
      <c r="C151">
        <f>IFERROR(SUMIFS(Human_Data_Entry!$U$3:$U$524,Human_Data_Entry!$H$3:$H$524,"Human",Human_Data_Entry!$J$3:$J$524,"&lt;&gt;HOLD",Human_Data_Entry!$S$3:$S$524,"?*")/(SUMIFS(Human_Data_Entry!$K$3:$K$524,Human_Data_Entry!$H$3:$H$524,"Human",Human_Data_Entry!$S$3:$S$524,"?*")/60),"")</f>
        <v>-2.3860727086532851E-4</v>
      </c>
      <c r="D151" t="s">
        <v>2690</v>
      </c>
    </row>
    <row r="153" spans="1:4" x14ac:dyDescent="0.2">
      <c r="A153" t="s">
        <v>2691</v>
      </c>
      <c r="B153">
        <v>8</v>
      </c>
      <c r="C153" t="s">
        <v>2692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7"/>
  <sheetViews>
    <sheetView showGridLines="0" workbookViewId="0">
      <pane ySplit="2" topLeftCell="A3" activePane="bottomLeft" state="frozen"/>
      <selection pane="bottomLeft" activeCell="C82" sqref="C82"/>
    </sheetView>
  </sheetViews>
  <sheetFormatPr baseColWidth="10" defaultColWidth="11.5" defaultRowHeight="15" x14ac:dyDescent="0.2"/>
  <cols>
    <col min="1" max="1" width="24" bestFit="1" customWidth="1"/>
    <col min="2" max="2" width="10" customWidth="1"/>
    <col min="3" max="3" width="16" customWidth="1"/>
    <col min="6" max="6" width="15.83203125" bestFit="1" customWidth="1"/>
    <col min="9" max="9" width="16.83203125" customWidth="1"/>
  </cols>
  <sheetData>
    <row r="1" spans="1:10" ht="22.25" customHeight="1" x14ac:dyDescent="0.2">
      <c r="A1" s="12" t="s">
        <v>2693</v>
      </c>
      <c r="G1" t="s">
        <v>2694</v>
      </c>
    </row>
    <row r="2" spans="1:10" ht="22.25" customHeight="1" x14ac:dyDescent="0.2">
      <c r="A2" s="66" t="s">
        <v>464</v>
      </c>
      <c r="B2" s="66" t="s">
        <v>465</v>
      </c>
      <c r="C2" s="66" t="s">
        <v>2695</v>
      </c>
      <c r="E2" t="s">
        <v>470</v>
      </c>
      <c r="F2" t="s">
        <v>2696</v>
      </c>
      <c r="G2" t="s">
        <v>501</v>
      </c>
      <c r="H2" t="s">
        <v>515</v>
      </c>
      <c r="I2" t="s">
        <v>2697</v>
      </c>
      <c r="J2" t="s">
        <v>2698</v>
      </c>
    </row>
    <row r="3" spans="1:10" ht="16.25" customHeight="1" x14ac:dyDescent="0.2">
      <c r="A3" s="19" t="s">
        <v>536</v>
      </c>
      <c r="B3" s="20" t="s">
        <v>542</v>
      </c>
      <c r="C3" s="19" t="s">
        <v>648</v>
      </c>
      <c r="E3" t="s">
        <v>712</v>
      </c>
      <c r="F3">
        <f t="shared" ref="F3:F8" si="0">COUNTIF($C:$C,E3)</f>
        <v>14</v>
      </c>
      <c r="G3" t="s">
        <v>2699</v>
      </c>
      <c r="H3" t="s">
        <v>2146</v>
      </c>
      <c r="I3" t="s">
        <v>2700</v>
      </c>
      <c r="J3">
        <v>14</v>
      </c>
    </row>
    <row r="4" spans="1:10" ht="16.25" customHeight="1" x14ac:dyDescent="0.2">
      <c r="A4" s="19" t="s">
        <v>782</v>
      </c>
      <c r="B4" s="20" t="s">
        <v>783</v>
      </c>
      <c r="C4" s="19" t="s">
        <v>712</v>
      </c>
      <c r="E4" t="s">
        <v>539</v>
      </c>
      <c r="F4">
        <f t="shared" si="0"/>
        <v>15</v>
      </c>
      <c r="G4" t="s">
        <v>2701</v>
      </c>
      <c r="H4" t="s">
        <v>2150</v>
      </c>
      <c r="I4" t="s">
        <v>2702</v>
      </c>
      <c r="J4">
        <v>16</v>
      </c>
    </row>
    <row r="5" spans="1:10" ht="16.25" customHeight="1" x14ac:dyDescent="0.2">
      <c r="A5" s="19" t="s">
        <v>609</v>
      </c>
      <c r="B5" s="20" t="s">
        <v>613</v>
      </c>
      <c r="C5" s="19" t="s">
        <v>610</v>
      </c>
      <c r="E5" t="s">
        <v>648</v>
      </c>
      <c r="F5">
        <f t="shared" si="0"/>
        <v>17</v>
      </c>
      <c r="G5" t="s">
        <v>2699</v>
      </c>
      <c r="H5" t="s">
        <v>2153</v>
      </c>
      <c r="I5" t="s">
        <v>2703</v>
      </c>
      <c r="J5">
        <v>20</v>
      </c>
    </row>
    <row r="6" spans="1:10" ht="16.25" customHeight="1" x14ac:dyDescent="0.2">
      <c r="A6" s="19" t="s">
        <v>711</v>
      </c>
      <c r="B6" s="20" t="s">
        <v>713</v>
      </c>
      <c r="C6" s="19" t="s">
        <v>712</v>
      </c>
      <c r="E6" t="s">
        <v>575</v>
      </c>
      <c r="F6">
        <f t="shared" si="0"/>
        <v>13</v>
      </c>
      <c r="G6" t="s">
        <v>2699</v>
      </c>
      <c r="H6" t="s">
        <v>2147</v>
      </c>
      <c r="I6" t="s">
        <v>2704</v>
      </c>
      <c r="J6">
        <v>25</v>
      </c>
    </row>
    <row r="7" spans="1:10" ht="16.25" customHeight="1" x14ac:dyDescent="0.2">
      <c r="A7" s="19" t="s">
        <v>747</v>
      </c>
      <c r="B7" s="20" t="s">
        <v>749</v>
      </c>
      <c r="C7" s="19" t="s">
        <v>610</v>
      </c>
      <c r="E7" t="s">
        <v>574</v>
      </c>
      <c r="F7">
        <f t="shared" si="0"/>
        <v>16</v>
      </c>
      <c r="G7" t="s">
        <v>2699</v>
      </c>
      <c r="H7" t="s">
        <v>2147</v>
      </c>
      <c r="I7" t="s">
        <v>2705</v>
      </c>
      <c r="J7">
        <v>27</v>
      </c>
    </row>
    <row r="8" spans="1:10" ht="16.25" customHeight="1" x14ac:dyDescent="0.2">
      <c r="A8" s="19" t="s">
        <v>683</v>
      </c>
      <c r="B8" s="20" t="s">
        <v>686</v>
      </c>
      <c r="C8" s="19" t="s">
        <v>574</v>
      </c>
      <c r="E8" t="s">
        <v>610</v>
      </c>
      <c r="F8">
        <f t="shared" si="0"/>
        <v>16</v>
      </c>
      <c r="G8" t="s">
        <v>2699</v>
      </c>
      <c r="H8" t="s">
        <v>2145</v>
      </c>
      <c r="I8" t="s">
        <v>2706</v>
      </c>
      <c r="J8">
        <v>6</v>
      </c>
    </row>
    <row r="9" spans="1:10" ht="16.25" customHeight="1" x14ac:dyDescent="0.2">
      <c r="A9" s="19" t="s">
        <v>987</v>
      </c>
      <c r="B9" s="20" t="s">
        <v>988</v>
      </c>
      <c r="C9" s="19" t="s">
        <v>712</v>
      </c>
      <c r="G9" t="s">
        <v>2699</v>
      </c>
      <c r="H9" t="s">
        <v>2145</v>
      </c>
      <c r="I9" t="s">
        <v>2707</v>
      </c>
      <c r="J9">
        <v>9</v>
      </c>
    </row>
    <row r="10" spans="1:10" ht="16.25" customHeight="1" x14ac:dyDescent="0.2">
      <c r="A10" s="19" t="s">
        <v>1429</v>
      </c>
      <c r="B10" s="20" t="s">
        <v>1430</v>
      </c>
      <c r="C10" s="19" t="s">
        <v>648</v>
      </c>
      <c r="G10" t="s">
        <v>2699</v>
      </c>
      <c r="H10" t="s">
        <v>2146</v>
      </c>
      <c r="I10" t="s">
        <v>2708</v>
      </c>
      <c r="J10">
        <v>8</v>
      </c>
    </row>
    <row r="11" spans="1:10" ht="16.25" customHeight="1" x14ac:dyDescent="0.2">
      <c r="A11" s="19" t="s">
        <v>654</v>
      </c>
      <c r="B11" s="20" t="s">
        <v>655</v>
      </c>
      <c r="C11" s="19" t="s">
        <v>648</v>
      </c>
      <c r="G11" t="s">
        <v>2699</v>
      </c>
      <c r="H11" t="s">
        <v>2149</v>
      </c>
      <c r="I11" t="s">
        <v>2709</v>
      </c>
      <c r="J11">
        <v>6</v>
      </c>
    </row>
    <row r="12" spans="1:10" ht="16.25" customHeight="1" x14ac:dyDescent="0.2">
      <c r="A12" s="19" t="s">
        <v>959</v>
      </c>
      <c r="B12" s="20" t="s">
        <v>960</v>
      </c>
      <c r="C12" s="19" t="s">
        <v>648</v>
      </c>
      <c r="G12" t="s">
        <v>2699</v>
      </c>
      <c r="H12" t="s">
        <v>2146</v>
      </c>
      <c r="I12" t="s">
        <v>2710</v>
      </c>
      <c r="J12">
        <v>6</v>
      </c>
    </row>
    <row r="13" spans="1:10" ht="16.25" customHeight="1" x14ac:dyDescent="0.2">
      <c r="A13" s="19" t="s">
        <v>967</v>
      </c>
      <c r="B13" s="20" t="s">
        <v>968</v>
      </c>
      <c r="C13" s="19" t="s">
        <v>648</v>
      </c>
      <c r="G13" t="s">
        <v>2699</v>
      </c>
      <c r="H13" t="s">
        <v>2149</v>
      </c>
      <c r="I13" t="s">
        <v>2711</v>
      </c>
      <c r="J13">
        <v>6</v>
      </c>
    </row>
    <row r="14" spans="1:10" ht="16.25" customHeight="1" x14ac:dyDescent="0.2">
      <c r="A14" s="19" t="s">
        <v>730</v>
      </c>
      <c r="B14" s="20" t="s">
        <v>730</v>
      </c>
      <c r="C14" s="19" t="s">
        <v>648</v>
      </c>
      <c r="G14" t="s">
        <v>2699</v>
      </c>
      <c r="H14" t="s">
        <v>2145</v>
      </c>
      <c r="I14" t="s">
        <v>2712</v>
      </c>
      <c r="J14">
        <v>6</v>
      </c>
    </row>
    <row r="15" spans="1:10" ht="16.25" customHeight="1" x14ac:dyDescent="0.2">
      <c r="A15" s="19" t="s">
        <v>1835</v>
      </c>
      <c r="B15" s="20" t="s">
        <v>1836</v>
      </c>
      <c r="C15" s="19" t="s">
        <v>648</v>
      </c>
      <c r="G15" t="s">
        <v>2699</v>
      </c>
      <c r="H15" t="s">
        <v>2145</v>
      </c>
      <c r="I15" t="s">
        <v>2713</v>
      </c>
      <c r="J15">
        <v>11</v>
      </c>
    </row>
    <row r="16" spans="1:10" ht="16.25" customHeight="1" x14ac:dyDescent="0.2">
      <c r="A16" s="19" t="s">
        <v>2714</v>
      </c>
      <c r="B16" s="20" t="s">
        <v>2715</v>
      </c>
      <c r="C16" s="19"/>
      <c r="G16" t="s">
        <v>2716</v>
      </c>
      <c r="H16" t="s">
        <v>2145</v>
      </c>
      <c r="I16" t="s">
        <v>2717</v>
      </c>
      <c r="J16">
        <v>0</v>
      </c>
    </row>
    <row r="17" spans="1:10" ht="16.25" customHeight="1" x14ac:dyDescent="0.2">
      <c r="A17" s="19" t="s">
        <v>1437</v>
      </c>
      <c r="B17" s="20" t="s">
        <v>1438</v>
      </c>
      <c r="C17" s="19" t="s">
        <v>648</v>
      </c>
      <c r="G17" t="s">
        <v>2699</v>
      </c>
      <c r="H17" t="s">
        <v>2145</v>
      </c>
      <c r="I17" t="s">
        <v>2718</v>
      </c>
      <c r="J17">
        <v>8</v>
      </c>
    </row>
    <row r="18" spans="1:10" ht="16.25" customHeight="1" x14ac:dyDescent="0.2">
      <c r="A18" s="19" t="s">
        <v>1455</v>
      </c>
      <c r="B18" s="20" t="s">
        <v>1456</v>
      </c>
      <c r="C18" s="19" t="s">
        <v>648</v>
      </c>
      <c r="G18" t="s">
        <v>2699</v>
      </c>
      <c r="H18" t="s">
        <v>2145</v>
      </c>
      <c r="I18" t="s">
        <v>2719</v>
      </c>
      <c r="J18">
        <v>8</v>
      </c>
    </row>
    <row r="19" spans="1:10" ht="16.25" customHeight="1" x14ac:dyDescent="0.2">
      <c r="A19" s="19" t="s">
        <v>1494</v>
      </c>
      <c r="B19" s="20" t="s">
        <v>1495</v>
      </c>
      <c r="C19" s="19" t="s">
        <v>648</v>
      </c>
      <c r="G19" t="s">
        <v>2699</v>
      </c>
      <c r="H19" t="s">
        <v>2145</v>
      </c>
      <c r="I19" t="s">
        <v>2720</v>
      </c>
      <c r="J19">
        <v>7</v>
      </c>
    </row>
    <row r="20" spans="1:10" ht="16.25" customHeight="1" x14ac:dyDescent="0.2">
      <c r="A20" s="19" t="s">
        <v>1536</v>
      </c>
      <c r="B20" s="20" t="s">
        <v>1538</v>
      </c>
      <c r="C20" s="19" t="s">
        <v>575</v>
      </c>
      <c r="G20" t="s">
        <v>2721</v>
      </c>
      <c r="H20" t="s">
        <v>2145</v>
      </c>
      <c r="I20" t="s">
        <v>2722</v>
      </c>
      <c r="J20">
        <v>16</v>
      </c>
    </row>
    <row r="21" spans="1:10" ht="16.25" customHeight="1" x14ac:dyDescent="0.2">
      <c r="A21" s="19" t="s">
        <v>2723</v>
      </c>
      <c r="B21" s="20" t="s">
        <v>2724</v>
      </c>
      <c r="C21" s="19"/>
      <c r="G21" t="s">
        <v>2716</v>
      </c>
      <c r="H21" t="s">
        <v>2145</v>
      </c>
      <c r="I21" t="s">
        <v>2717</v>
      </c>
      <c r="J21">
        <v>0</v>
      </c>
    </row>
    <row r="22" spans="1:10" ht="16.25" customHeight="1" x14ac:dyDescent="0.2">
      <c r="A22" s="19" t="s">
        <v>770</v>
      </c>
      <c r="B22" s="20" t="s">
        <v>770</v>
      </c>
      <c r="C22" s="19" t="s">
        <v>574</v>
      </c>
      <c r="G22" t="s">
        <v>2699</v>
      </c>
      <c r="H22" t="s">
        <v>2145</v>
      </c>
      <c r="I22" t="s">
        <v>2725</v>
      </c>
      <c r="J22">
        <v>6</v>
      </c>
    </row>
    <row r="23" spans="1:10" ht="16.25" customHeight="1" x14ac:dyDescent="0.2">
      <c r="A23" s="19" t="s">
        <v>1314</v>
      </c>
      <c r="B23" s="20" t="s">
        <v>2019</v>
      </c>
      <c r="C23" s="19" t="s">
        <v>610</v>
      </c>
      <c r="G23" t="s">
        <v>2721</v>
      </c>
      <c r="H23" t="s">
        <v>2145</v>
      </c>
      <c r="I23" t="s">
        <v>2726</v>
      </c>
      <c r="J23">
        <v>20</v>
      </c>
    </row>
    <row r="24" spans="1:10" ht="16.25" customHeight="1" x14ac:dyDescent="0.2">
      <c r="A24" s="19" t="s">
        <v>2727</v>
      </c>
      <c r="B24" s="20" t="s">
        <v>2728</v>
      </c>
      <c r="C24" s="19"/>
      <c r="G24" t="s">
        <v>2716</v>
      </c>
      <c r="H24" t="s">
        <v>2145</v>
      </c>
      <c r="I24" t="s">
        <v>2717</v>
      </c>
      <c r="J24">
        <v>0</v>
      </c>
    </row>
    <row r="25" spans="1:10" ht="16.25" customHeight="1" x14ac:dyDescent="0.2">
      <c r="A25" s="19" t="s">
        <v>2729</v>
      </c>
      <c r="B25" s="20" t="s">
        <v>2730</v>
      </c>
      <c r="C25" s="19"/>
      <c r="G25" t="s">
        <v>2716</v>
      </c>
      <c r="H25" t="s">
        <v>2145</v>
      </c>
      <c r="I25" t="s">
        <v>2717</v>
      </c>
      <c r="J25">
        <v>0</v>
      </c>
    </row>
    <row r="26" spans="1:10" ht="16.25" customHeight="1" x14ac:dyDescent="0.2">
      <c r="A26" s="19" t="s">
        <v>1397</v>
      </c>
      <c r="B26" s="20" t="s">
        <v>1399</v>
      </c>
      <c r="C26" s="19" t="s">
        <v>574</v>
      </c>
      <c r="G26" t="s">
        <v>2721</v>
      </c>
      <c r="H26" t="s">
        <v>2145</v>
      </c>
      <c r="I26" t="s">
        <v>2731</v>
      </c>
      <c r="J26">
        <v>12</v>
      </c>
    </row>
    <row r="27" spans="1:10" ht="16.25" customHeight="1" x14ac:dyDescent="0.2">
      <c r="A27" s="19" t="s">
        <v>2732</v>
      </c>
      <c r="B27" s="20" t="s">
        <v>2732</v>
      </c>
      <c r="C27" s="19"/>
      <c r="G27" t="s">
        <v>2716</v>
      </c>
      <c r="H27" t="s">
        <v>2145</v>
      </c>
      <c r="I27" t="s">
        <v>2717</v>
      </c>
      <c r="J27">
        <v>0</v>
      </c>
    </row>
    <row r="28" spans="1:10" ht="16.25" customHeight="1" x14ac:dyDescent="0.2">
      <c r="A28" s="19" t="s">
        <v>2733</v>
      </c>
      <c r="B28" s="20" t="s">
        <v>2733</v>
      </c>
      <c r="C28" s="19"/>
      <c r="G28" t="s">
        <v>2716</v>
      </c>
      <c r="H28" t="s">
        <v>2145</v>
      </c>
      <c r="I28" t="s">
        <v>2717</v>
      </c>
      <c r="J28">
        <v>0</v>
      </c>
    </row>
    <row r="29" spans="1:10" ht="16.25" customHeight="1" x14ac:dyDescent="0.2">
      <c r="A29" s="19" t="s">
        <v>2734</v>
      </c>
      <c r="B29" s="20" t="s">
        <v>2735</v>
      </c>
      <c r="C29" s="19"/>
      <c r="G29" t="s">
        <v>2716</v>
      </c>
      <c r="H29" t="s">
        <v>2145</v>
      </c>
      <c r="I29" t="s">
        <v>2717</v>
      </c>
      <c r="J29">
        <v>0</v>
      </c>
    </row>
    <row r="30" spans="1:10" ht="16.25" customHeight="1" x14ac:dyDescent="0.2">
      <c r="A30" s="19" t="s">
        <v>2736</v>
      </c>
      <c r="B30" s="20" t="s">
        <v>2737</v>
      </c>
      <c r="C30" s="19"/>
      <c r="G30" t="s">
        <v>2716</v>
      </c>
      <c r="H30" t="s">
        <v>2145</v>
      </c>
      <c r="I30" t="s">
        <v>2717</v>
      </c>
      <c r="J30">
        <v>0</v>
      </c>
    </row>
    <row r="31" spans="1:10" ht="16.25" customHeight="1" x14ac:dyDescent="0.2">
      <c r="A31" s="19" t="s">
        <v>1407</v>
      </c>
      <c r="B31" s="20" t="s">
        <v>2049</v>
      </c>
      <c r="C31" s="19" t="s">
        <v>574</v>
      </c>
      <c r="G31" t="s">
        <v>2721</v>
      </c>
      <c r="H31" t="s">
        <v>2149</v>
      </c>
      <c r="I31" t="s">
        <v>2738</v>
      </c>
      <c r="J31">
        <v>12</v>
      </c>
    </row>
    <row r="32" spans="1:10" ht="16.25" customHeight="1" x14ac:dyDescent="0.2">
      <c r="A32" s="19" t="s">
        <v>935</v>
      </c>
      <c r="B32" s="20" t="s">
        <v>936</v>
      </c>
      <c r="C32" s="19" t="s">
        <v>712</v>
      </c>
      <c r="G32" t="s">
        <v>2699</v>
      </c>
      <c r="H32" t="s">
        <v>2153</v>
      </c>
      <c r="I32" t="s">
        <v>2739</v>
      </c>
      <c r="J32">
        <v>8</v>
      </c>
    </row>
    <row r="33" spans="1:10" ht="16.25" customHeight="1" x14ac:dyDescent="0.2">
      <c r="A33" s="19" t="s">
        <v>740</v>
      </c>
      <c r="B33" s="20" t="s">
        <v>741</v>
      </c>
      <c r="C33" s="19" t="s">
        <v>539</v>
      </c>
      <c r="G33" t="s">
        <v>2699</v>
      </c>
      <c r="H33" t="s">
        <v>2149</v>
      </c>
      <c r="I33" t="s">
        <v>2740</v>
      </c>
      <c r="J33">
        <v>7</v>
      </c>
    </row>
    <row r="34" spans="1:10" ht="16.25" customHeight="1" x14ac:dyDescent="0.2">
      <c r="A34" s="19" t="s">
        <v>1087</v>
      </c>
      <c r="B34" s="20" t="s">
        <v>1088</v>
      </c>
      <c r="C34" s="19" t="s">
        <v>712</v>
      </c>
      <c r="G34" t="s">
        <v>2721</v>
      </c>
      <c r="H34" t="s">
        <v>2147</v>
      </c>
      <c r="I34" t="s">
        <v>2741</v>
      </c>
      <c r="J34">
        <v>6</v>
      </c>
    </row>
    <row r="35" spans="1:10" ht="16.25" customHeight="1" x14ac:dyDescent="0.2">
      <c r="A35" s="19" t="s">
        <v>2742</v>
      </c>
      <c r="B35" s="20" t="s">
        <v>2743</v>
      </c>
      <c r="C35" s="19"/>
      <c r="G35" t="s">
        <v>2716</v>
      </c>
      <c r="H35" t="s">
        <v>2147</v>
      </c>
      <c r="I35" t="s">
        <v>2717</v>
      </c>
      <c r="J35">
        <v>0</v>
      </c>
    </row>
    <row r="36" spans="1:10" ht="16.25" customHeight="1" x14ac:dyDescent="0.2">
      <c r="A36" s="19" t="s">
        <v>1097</v>
      </c>
      <c r="B36" s="20" t="s">
        <v>1098</v>
      </c>
      <c r="C36" s="19" t="s">
        <v>712</v>
      </c>
      <c r="G36" t="s">
        <v>2721</v>
      </c>
      <c r="H36" t="s">
        <v>2147</v>
      </c>
      <c r="I36" t="s">
        <v>2744</v>
      </c>
      <c r="J36">
        <v>4</v>
      </c>
    </row>
    <row r="37" spans="1:10" ht="16.25" customHeight="1" x14ac:dyDescent="0.2">
      <c r="A37" s="19" t="s">
        <v>1857</v>
      </c>
      <c r="B37" s="20" t="s">
        <v>1858</v>
      </c>
      <c r="C37" s="19" t="s">
        <v>648</v>
      </c>
      <c r="G37" t="s">
        <v>2699</v>
      </c>
      <c r="H37" t="s">
        <v>2147</v>
      </c>
      <c r="I37" t="s">
        <v>2745</v>
      </c>
      <c r="J37">
        <v>11</v>
      </c>
    </row>
    <row r="38" spans="1:10" ht="16.25" customHeight="1" x14ac:dyDescent="0.2">
      <c r="A38" s="19" t="s">
        <v>1793</v>
      </c>
      <c r="B38" s="20" t="s">
        <v>1796</v>
      </c>
      <c r="C38" s="19" t="s">
        <v>648</v>
      </c>
      <c r="G38" t="s">
        <v>2699</v>
      </c>
      <c r="H38" t="s">
        <v>2147</v>
      </c>
      <c r="I38" t="s">
        <v>2746</v>
      </c>
      <c r="J38">
        <v>7</v>
      </c>
    </row>
    <row r="39" spans="1:10" ht="16.25" customHeight="1" x14ac:dyDescent="0.2">
      <c r="A39" s="19" t="s">
        <v>876</v>
      </c>
      <c r="B39" s="20" t="s">
        <v>878</v>
      </c>
      <c r="C39" s="19" t="s">
        <v>575</v>
      </c>
      <c r="G39" t="s">
        <v>2699</v>
      </c>
      <c r="H39" t="s">
        <v>2147</v>
      </c>
      <c r="I39" t="s">
        <v>2747</v>
      </c>
      <c r="J39">
        <v>42</v>
      </c>
    </row>
    <row r="40" spans="1:10" ht="16.25" customHeight="1" x14ac:dyDescent="0.2">
      <c r="A40" s="19" t="s">
        <v>2748</v>
      </c>
      <c r="B40" s="20" t="s">
        <v>2749</v>
      </c>
      <c r="C40" s="19"/>
      <c r="G40" t="s">
        <v>2716</v>
      </c>
      <c r="H40" t="s">
        <v>2147</v>
      </c>
      <c r="I40" t="s">
        <v>2717</v>
      </c>
      <c r="J40">
        <v>0</v>
      </c>
    </row>
    <row r="41" spans="1:10" ht="16.25" customHeight="1" x14ac:dyDescent="0.2">
      <c r="A41" s="19" t="s">
        <v>851</v>
      </c>
      <c r="B41" s="20" t="s">
        <v>854</v>
      </c>
      <c r="C41" s="19" t="s">
        <v>610</v>
      </c>
      <c r="G41" t="s">
        <v>2699</v>
      </c>
      <c r="H41" t="s">
        <v>2147</v>
      </c>
      <c r="I41" t="s">
        <v>2750</v>
      </c>
      <c r="J41">
        <v>18</v>
      </c>
    </row>
    <row r="42" spans="1:10" ht="16.25" customHeight="1" x14ac:dyDescent="0.2">
      <c r="A42" s="19" t="s">
        <v>2751</v>
      </c>
      <c r="B42" s="20" t="s">
        <v>2752</v>
      </c>
      <c r="C42" s="19"/>
      <c r="G42" t="s">
        <v>2716</v>
      </c>
      <c r="H42" t="s">
        <v>2147</v>
      </c>
      <c r="I42" t="s">
        <v>2717</v>
      </c>
      <c r="J42">
        <v>0</v>
      </c>
    </row>
    <row r="43" spans="1:10" ht="16.25" customHeight="1" x14ac:dyDescent="0.2">
      <c r="A43" s="19" t="s">
        <v>903</v>
      </c>
      <c r="B43" s="20" t="s">
        <v>905</v>
      </c>
      <c r="C43" s="19" t="s">
        <v>575</v>
      </c>
      <c r="G43" t="s">
        <v>2699</v>
      </c>
      <c r="H43" t="s">
        <v>2147</v>
      </c>
      <c r="I43" t="s">
        <v>2753</v>
      </c>
      <c r="J43">
        <v>26</v>
      </c>
    </row>
    <row r="44" spans="1:10" ht="16.25" customHeight="1" x14ac:dyDescent="0.2">
      <c r="A44" s="19" t="s">
        <v>2754</v>
      </c>
      <c r="B44" s="20" t="s">
        <v>2755</v>
      </c>
      <c r="C44" s="19"/>
      <c r="G44" t="s">
        <v>2716</v>
      </c>
      <c r="H44" t="s">
        <v>2147</v>
      </c>
      <c r="I44" t="s">
        <v>2717</v>
      </c>
      <c r="J44">
        <v>0</v>
      </c>
    </row>
    <row r="45" spans="1:10" ht="16.25" customHeight="1" x14ac:dyDescent="0.2">
      <c r="A45" s="19" t="s">
        <v>2756</v>
      </c>
      <c r="B45" s="20" t="s">
        <v>2756</v>
      </c>
      <c r="C45" s="19"/>
      <c r="G45" t="s">
        <v>2716</v>
      </c>
      <c r="H45" t="s">
        <v>2147</v>
      </c>
      <c r="I45" t="s">
        <v>2717</v>
      </c>
      <c r="J45">
        <v>0</v>
      </c>
    </row>
    <row r="46" spans="1:10" ht="16.25" customHeight="1" x14ac:dyDescent="0.2">
      <c r="A46" s="19" t="s">
        <v>2757</v>
      </c>
      <c r="B46" s="20" t="s">
        <v>2758</v>
      </c>
      <c r="C46" s="19"/>
      <c r="G46" t="s">
        <v>2716</v>
      </c>
      <c r="H46" t="s">
        <v>2147</v>
      </c>
      <c r="I46" t="s">
        <v>2717</v>
      </c>
      <c r="J46">
        <v>0</v>
      </c>
    </row>
    <row r="47" spans="1:10" ht="16.25" customHeight="1" x14ac:dyDescent="0.2">
      <c r="A47" s="19" t="s">
        <v>2759</v>
      </c>
      <c r="B47" s="20" t="s">
        <v>2760</v>
      </c>
      <c r="C47" s="19"/>
      <c r="G47" t="s">
        <v>2716</v>
      </c>
      <c r="H47" t="s">
        <v>2147</v>
      </c>
      <c r="I47" t="s">
        <v>2717</v>
      </c>
      <c r="J47">
        <v>0</v>
      </c>
    </row>
    <row r="48" spans="1:10" ht="16.25" customHeight="1" x14ac:dyDescent="0.2">
      <c r="A48" s="19" t="s">
        <v>697</v>
      </c>
      <c r="B48" s="20" t="s">
        <v>699</v>
      </c>
      <c r="C48" s="19" t="s">
        <v>574</v>
      </c>
      <c r="G48" t="s">
        <v>2699</v>
      </c>
      <c r="H48" t="s">
        <v>2150</v>
      </c>
      <c r="I48" t="s">
        <v>2761</v>
      </c>
      <c r="J48">
        <v>3</v>
      </c>
    </row>
    <row r="49" spans="1:10" ht="16.25" customHeight="1" x14ac:dyDescent="0.2">
      <c r="A49" s="19" t="s">
        <v>1600</v>
      </c>
      <c r="B49" s="20" t="s">
        <v>1602</v>
      </c>
      <c r="C49" s="19" t="s">
        <v>575</v>
      </c>
      <c r="G49" t="s">
        <v>2699</v>
      </c>
      <c r="H49" t="s">
        <v>2150</v>
      </c>
      <c r="I49" t="s">
        <v>2762</v>
      </c>
      <c r="J49">
        <v>28</v>
      </c>
    </row>
    <row r="50" spans="1:10" ht="16.25" customHeight="1" x14ac:dyDescent="0.2">
      <c r="A50" s="19" t="s">
        <v>668</v>
      </c>
      <c r="B50" s="20" t="s">
        <v>670</v>
      </c>
      <c r="C50" s="19" t="s">
        <v>574</v>
      </c>
      <c r="G50" t="s">
        <v>2699</v>
      </c>
      <c r="H50" t="s">
        <v>2149</v>
      </c>
      <c r="I50" t="s">
        <v>2763</v>
      </c>
      <c r="J50">
        <v>6</v>
      </c>
    </row>
    <row r="51" spans="1:10" ht="16.25" customHeight="1" x14ac:dyDescent="0.2">
      <c r="A51" s="19" t="s">
        <v>1381</v>
      </c>
      <c r="B51" s="20" t="s">
        <v>1385</v>
      </c>
      <c r="C51" s="19" t="s">
        <v>574</v>
      </c>
      <c r="G51" t="s">
        <v>2701</v>
      </c>
      <c r="H51" t="s">
        <v>2150</v>
      </c>
      <c r="I51" t="s">
        <v>2764</v>
      </c>
      <c r="J51">
        <v>12</v>
      </c>
    </row>
    <row r="52" spans="1:10" ht="16.25" customHeight="1" x14ac:dyDescent="0.2">
      <c r="A52" s="19" t="s">
        <v>838</v>
      </c>
      <c r="B52" s="20" t="s">
        <v>839</v>
      </c>
      <c r="C52" s="19" t="s">
        <v>712</v>
      </c>
      <c r="G52" t="s">
        <v>2699</v>
      </c>
      <c r="H52" t="s">
        <v>2150</v>
      </c>
      <c r="I52" t="s">
        <v>2765</v>
      </c>
      <c r="J52">
        <v>15</v>
      </c>
    </row>
    <row r="53" spans="1:10" ht="16.25" customHeight="1" x14ac:dyDescent="0.2">
      <c r="A53" s="19" t="s">
        <v>1530</v>
      </c>
      <c r="B53" s="20" t="s">
        <v>1532</v>
      </c>
      <c r="C53" s="19" t="s">
        <v>575</v>
      </c>
      <c r="G53" t="s">
        <v>2721</v>
      </c>
      <c r="H53" t="s">
        <v>2149</v>
      </c>
      <c r="I53" t="s">
        <v>2766</v>
      </c>
      <c r="J53">
        <v>16</v>
      </c>
    </row>
    <row r="54" spans="1:10" ht="16.25" customHeight="1" x14ac:dyDescent="0.2">
      <c r="A54" s="19" t="s">
        <v>833</v>
      </c>
      <c r="B54" s="20" t="s">
        <v>836</v>
      </c>
      <c r="C54" s="19" t="s">
        <v>539</v>
      </c>
      <c r="G54" t="s">
        <v>2699</v>
      </c>
      <c r="H54" t="s">
        <v>2149</v>
      </c>
      <c r="I54" t="s">
        <v>2767</v>
      </c>
      <c r="J54">
        <v>7</v>
      </c>
    </row>
    <row r="55" spans="1:10" ht="16.25" customHeight="1" x14ac:dyDescent="0.2">
      <c r="A55" s="19" t="s">
        <v>2768</v>
      </c>
      <c r="B55" s="20" t="s">
        <v>2769</v>
      </c>
      <c r="C55" s="19"/>
      <c r="G55" t="s">
        <v>2716</v>
      </c>
      <c r="H55" t="s">
        <v>2150</v>
      </c>
      <c r="I55" t="s">
        <v>2717</v>
      </c>
      <c r="J55">
        <v>0</v>
      </c>
    </row>
    <row r="56" spans="1:10" ht="16.25" customHeight="1" x14ac:dyDescent="0.2">
      <c r="A56" s="19" t="s">
        <v>2770</v>
      </c>
      <c r="B56" s="20" t="s">
        <v>2771</v>
      </c>
      <c r="C56" s="19"/>
      <c r="G56" t="s">
        <v>2716</v>
      </c>
      <c r="H56" t="s">
        <v>2150</v>
      </c>
      <c r="I56" t="s">
        <v>2717</v>
      </c>
      <c r="J56">
        <v>0</v>
      </c>
    </row>
    <row r="57" spans="1:10" ht="16.25" customHeight="1" x14ac:dyDescent="0.2">
      <c r="A57" s="19" t="s">
        <v>2087</v>
      </c>
      <c r="B57" s="20" t="s">
        <v>2046</v>
      </c>
      <c r="C57" s="19" t="s">
        <v>574</v>
      </c>
      <c r="G57" t="s">
        <v>2721</v>
      </c>
      <c r="H57" t="s">
        <v>2150</v>
      </c>
      <c r="I57" t="s">
        <v>2772</v>
      </c>
      <c r="J57">
        <v>4</v>
      </c>
    </row>
    <row r="58" spans="1:10" ht="16.25" customHeight="1" x14ac:dyDescent="0.2">
      <c r="A58" s="19" t="s">
        <v>2773</v>
      </c>
      <c r="B58" s="20" t="s">
        <v>2774</v>
      </c>
      <c r="C58" s="19"/>
      <c r="G58" t="s">
        <v>2716</v>
      </c>
      <c r="H58" t="s">
        <v>2150</v>
      </c>
      <c r="I58" t="s">
        <v>2717</v>
      </c>
      <c r="J58">
        <v>0</v>
      </c>
    </row>
    <row r="59" spans="1:10" ht="16.25" customHeight="1" x14ac:dyDescent="0.2">
      <c r="A59" s="19" t="s">
        <v>1176</v>
      </c>
      <c r="B59" s="20" t="s">
        <v>1179</v>
      </c>
      <c r="C59" s="19" t="s">
        <v>539</v>
      </c>
      <c r="G59" t="s">
        <v>2721</v>
      </c>
      <c r="H59" t="s">
        <v>2150</v>
      </c>
      <c r="I59" t="s">
        <v>2775</v>
      </c>
      <c r="J59">
        <v>4</v>
      </c>
    </row>
    <row r="60" spans="1:10" ht="16.25" customHeight="1" x14ac:dyDescent="0.2">
      <c r="A60" s="19" t="s">
        <v>2776</v>
      </c>
      <c r="B60" s="20" t="s">
        <v>2777</v>
      </c>
      <c r="C60" s="19"/>
      <c r="G60" t="s">
        <v>2716</v>
      </c>
      <c r="H60" t="s">
        <v>2150</v>
      </c>
      <c r="I60" t="s">
        <v>2717</v>
      </c>
      <c r="J60">
        <v>0</v>
      </c>
    </row>
    <row r="61" spans="1:10" ht="16.25" customHeight="1" x14ac:dyDescent="0.2">
      <c r="A61" s="19" t="s">
        <v>800</v>
      </c>
      <c r="B61" s="20" t="s">
        <v>802</v>
      </c>
      <c r="C61" s="19" t="s">
        <v>574</v>
      </c>
      <c r="G61" t="s">
        <v>2699</v>
      </c>
      <c r="H61" t="s">
        <v>2149</v>
      </c>
      <c r="I61" t="s">
        <v>2778</v>
      </c>
      <c r="J61">
        <v>6</v>
      </c>
    </row>
    <row r="62" spans="1:10" ht="16.25" customHeight="1" x14ac:dyDescent="0.2">
      <c r="A62" s="19" t="s">
        <v>815</v>
      </c>
      <c r="B62" s="20" t="s">
        <v>817</v>
      </c>
      <c r="C62" s="19" t="s">
        <v>574</v>
      </c>
      <c r="G62" t="s">
        <v>2699</v>
      </c>
      <c r="H62" t="s">
        <v>2149</v>
      </c>
      <c r="I62" t="s">
        <v>2779</v>
      </c>
      <c r="J62">
        <v>3</v>
      </c>
    </row>
    <row r="63" spans="1:10" ht="16.25" customHeight="1" x14ac:dyDescent="0.2">
      <c r="A63" s="19" t="s">
        <v>1165</v>
      </c>
      <c r="B63" s="20" t="s">
        <v>1166</v>
      </c>
      <c r="C63" s="19" t="s">
        <v>539</v>
      </c>
      <c r="G63" t="s">
        <v>2721</v>
      </c>
      <c r="H63" t="s">
        <v>2149</v>
      </c>
      <c r="I63" t="s">
        <v>2780</v>
      </c>
      <c r="J63">
        <v>4</v>
      </c>
    </row>
    <row r="64" spans="1:10" ht="16.25" customHeight="1" x14ac:dyDescent="0.2">
      <c r="A64" s="19" t="s">
        <v>2086</v>
      </c>
      <c r="B64" s="20" t="s">
        <v>2047</v>
      </c>
      <c r="C64" s="19" t="s">
        <v>610</v>
      </c>
      <c r="G64" t="s">
        <v>2721</v>
      </c>
      <c r="H64" t="s">
        <v>2149</v>
      </c>
      <c r="I64" t="s">
        <v>2781</v>
      </c>
      <c r="J64">
        <v>13</v>
      </c>
    </row>
    <row r="65" spans="1:10" ht="16.25" customHeight="1" x14ac:dyDescent="0.2">
      <c r="A65" s="19" t="s">
        <v>1046</v>
      </c>
      <c r="B65" s="20" t="s">
        <v>1048</v>
      </c>
      <c r="C65" s="19" t="s">
        <v>610</v>
      </c>
      <c r="G65" t="s">
        <v>2699</v>
      </c>
      <c r="H65" t="s">
        <v>2149</v>
      </c>
      <c r="I65" t="s">
        <v>2782</v>
      </c>
      <c r="J65">
        <v>8</v>
      </c>
    </row>
    <row r="66" spans="1:10" ht="16.25" customHeight="1" x14ac:dyDescent="0.2">
      <c r="A66" s="19" t="s">
        <v>2783</v>
      </c>
      <c r="B66" s="20" t="s">
        <v>2784</v>
      </c>
      <c r="C66" s="19"/>
      <c r="G66" t="s">
        <v>2716</v>
      </c>
      <c r="H66" t="s">
        <v>2149</v>
      </c>
      <c r="I66" t="s">
        <v>2717</v>
      </c>
      <c r="J66">
        <v>0</v>
      </c>
    </row>
    <row r="67" spans="1:10" ht="16.25" customHeight="1" x14ac:dyDescent="0.2">
      <c r="A67" s="19" t="s">
        <v>976</v>
      </c>
      <c r="B67" s="20" t="s">
        <v>977</v>
      </c>
      <c r="C67" s="19" t="s">
        <v>712</v>
      </c>
      <c r="G67" t="s">
        <v>2699</v>
      </c>
      <c r="H67" t="s">
        <v>2148</v>
      </c>
      <c r="I67" t="s">
        <v>2785</v>
      </c>
      <c r="J67">
        <v>4</v>
      </c>
    </row>
    <row r="68" spans="1:10" ht="16.25" customHeight="1" x14ac:dyDescent="0.2">
      <c r="A68" s="19" t="s">
        <v>2786</v>
      </c>
      <c r="B68" s="20" t="s">
        <v>2787</v>
      </c>
      <c r="C68" s="19"/>
      <c r="G68" t="s">
        <v>2716</v>
      </c>
      <c r="H68" t="s">
        <v>2148</v>
      </c>
      <c r="I68" t="s">
        <v>2717</v>
      </c>
      <c r="J68">
        <v>0</v>
      </c>
    </row>
    <row r="69" spans="1:10" ht="16.25" customHeight="1" x14ac:dyDescent="0.2">
      <c r="A69" s="19" t="s">
        <v>1104</v>
      </c>
      <c r="B69" s="20" t="s">
        <v>1105</v>
      </c>
      <c r="C69" s="19" t="s">
        <v>712</v>
      </c>
      <c r="G69" t="s">
        <v>2721</v>
      </c>
      <c r="H69" t="s">
        <v>2148</v>
      </c>
      <c r="I69" t="s">
        <v>2788</v>
      </c>
      <c r="J69">
        <v>8</v>
      </c>
    </row>
    <row r="70" spans="1:10" ht="16.25" customHeight="1" x14ac:dyDescent="0.2">
      <c r="A70" s="19" t="s">
        <v>2789</v>
      </c>
      <c r="B70" s="20" t="s">
        <v>2790</v>
      </c>
      <c r="C70" s="19"/>
      <c r="G70" t="s">
        <v>2716</v>
      </c>
      <c r="H70" t="s">
        <v>2148</v>
      </c>
      <c r="I70" t="s">
        <v>2717</v>
      </c>
      <c r="J70">
        <v>0</v>
      </c>
    </row>
    <row r="71" spans="1:10" ht="16.25" customHeight="1" x14ac:dyDescent="0.2">
      <c r="A71" s="19" t="s">
        <v>2791</v>
      </c>
      <c r="B71" s="20" t="s">
        <v>2792</v>
      </c>
      <c r="C71" s="19"/>
      <c r="G71" t="s">
        <v>2716</v>
      </c>
      <c r="H71" t="s">
        <v>2148</v>
      </c>
      <c r="I71" t="s">
        <v>2717</v>
      </c>
      <c r="J71">
        <v>0</v>
      </c>
    </row>
    <row r="72" spans="1:10" ht="16.25" customHeight="1" x14ac:dyDescent="0.2">
      <c r="A72" s="19" t="s">
        <v>951</v>
      </c>
      <c r="B72" s="20" t="s">
        <v>952</v>
      </c>
      <c r="C72" s="19" t="s">
        <v>648</v>
      </c>
      <c r="G72" t="s">
        <v>2699</v>
      </c>
      <c r="H72" t="s">
        <v>2148</v>
      </c>
      <c r="I72" t="s">
        <v>2793</v>
      </c>
      <c r="J72">
        <v>6</v>
      </c>
    </row>
    <row r="73" spans="1:10" ht="16.25" customHeight="1" x14ac:dyDescent="0.2">
      <c r="A73" s="19" t="s">
        <v>1024</v>
      </c>
      <c r="B73" s="20" t="s">
        <v>1975</v>
      </c>
      <c r="C73" s="19" t="s">
        <v>610</v>
      </c>
      <c r="G73" t="s">
        <v>2699</v>
      </c>
      <c r="H73" t="s">
        <v>2148</v>
      </c>
      <c r="I73" t="s">
        <v>2794</v>
      </c>
      <c r="J73">
        <v>14</v>
      </c>
    </row>
    <row r="74" spans="1:10" ht="16.25" customHeight="1" x14ac:dyDescent="0.2">
      <c r="A74" s="19" t="s">
        <v>2795</v>
      </c>
      <c r="B74" s="20" t="s">
        <v>2796</v>
      </c>
      <c r="C74" s="19"/>
      <c r="G74" t="s">
        <v>2716</v>
      </c>
      <c r="H74" t="s">
        <v>2148</v>
      </c>
      <c r="I74" t="s">
        <v>2717</v>
      </c>
      <c r="J74">
        <v>0</v>
      </c>
    </row>
    <row r="75" spans="1:10" ht="16.25" customHeight="1" x14ac:dyDescent="0.2">
      <c r="A75" s="19" t="s">
        <v>2797</v>
      </c>
      <c r="B75" s="20" t="s">
        <v>2798</v>
      </c>
      <c r="C75" s="19"/>
      <c r="G75" t="s">
        <v>2716</v>
      </c>
      <c r="H75" t="s">
        <v>2148</v>
      </c>
      <c r="I75" t="s">
        <v>2717</v>
      </c>
      <c r="J75">
        <v>0</v>
      </c>
    </row>
    <row r="76" spans="1:10" ht="16.25" customHeight="1" x14ac:dyDescent="0.2">
      <c r="A76" s="19" t="s">
        <v>2799</v>
      </c>
      <c r="B76" s="20" t="s">
        <v>2800</v>
      </c>
      <c r="C76" s="19"/>
      <c r="G76" t="s">
        <v>2716</v>
      </c>
      <c r="H76" t="s">
        <v>2148</v>
      </c>
      <c r="I76" t="s">
        <v>2717</v>
      </c>
      <c r="J76">
        <v>0</v>
      </c>
    </row>
    <row r="77" spans="1:10" ht="16.25" customHeight="1" x14ac:dyDescent="0.2">
      <c r="A77" s="19" t="s">
        <v>1505</v>
      </c>
      <c r="B77" s="20" t="s">
        <v>1506</v>
      </c>
      <c r="C77" s="19" t="s">
        <v>575</v>
      </c>
      <c r="G77" t="s">
        <v>2701</v>
      </c>
      <c r="H77" t="s">
        <v>2148</v>
      </c>
      <c r="I77" t="s">
        <v>2801</v>
      </c>
      <c r="J77">
        <v>20</v>
      </c>
    </row>
    <row r="78" spans="1:10" ht="16.25" customHeight="1" x14ac:dyDescent="0.2">
      <c r="A78" s="19" t="s">
        <v>932</v>
      </c>
      <c r="B78" s="20" t="s">
        <v>933</v>
      </c>
      <c r="C78" s="19" t="s">
        <v>539</v>
      </c>
      <c r="G78" t="s">
        <v>2699</v>
      </c>
      <c r="H78" t="s">
        <v>2148</v>
      </c>
      <c r="I78" t="s">
        <v>2802</v>
      </c>
      <c r="J78">
        <v>4</v>
      </c>
    </row>
    <row r="79" spans="1:10" ht="16.25" customHeight="1" x14ac:dyDescent="0.2">
      <c r="A79" s="19" t="s">
        <v>2803</v>
      </c>
      <c r="B79" s="20" t="s">
        <v>2804</v>
      </c>
      <c r="C79" s="19"/>
      <c r="G79" t="s">
        <v>2716</v>
      </c>
      <c r="H79" t="s">
        <v>2148</v>
      </c>
      <c r="I79" t="s">
        <v>2717</v>
      </c>
      <c r="J79">
        <v>0</v>
      </c>
    </row>
    <row r="80" spans="1:10" ht="16.25" customHeight="1" x14ac:dyDescent="0.2">
      <c r="A80" s="19" t="s">
        <v>1726</v>
      </c>
      <c r="B80" s="20" t="s">
        <v>1730</v>
      </c>
      <c r="C80" s="19" t="s">
        <v>575</v>
      </c>
      <c r="G80" t="s">
        <v>2699</v>
      </c>
      <c r="H80" t="s">
        <v>2151</v>
      </c>
      <c r="I80" t="s">
        <v>2805</v>
      </c>
      <c r="J80">
        <v>39</v>
      </c>
    </row>
    <row r="81" spans="1:10" ht="16.25" customHeight="1" x14ac:dyDescent="0.2">
      <c r="A81" s="19" t="s">
        <v>1814</v>
      </c>
      <c r="B81" s="20" t="s">
        <v>1815</v>
      </c>
      <c r="C81" s="19" t="s">
        <v>648</v>
      </c>
      <c r="G81" t="s">
        <v>2699</v>
      </c>
      <c r="H81" t="s">
        <v>2151</v>
      </c>
      <c r="I81" t="s">
        <v>2806</v>
      </c>
      <c r="J81">
        <v>11</v>
      </c>
    </row>
    <row r="82" spans="1:10" ht="16.25" customHeight="1" x14ac:dyDescent="0.2">
      <c r="A82" s="19" t="s">
        <v>1878</v>
      </c>
      <c r="B82" s="20" t="s">
        <v>2048</v>
      </c>
      <c r="C82" s="19" t="s">
        <v>648</v>
      </c>
      <c r="G82" t="s">
        <v>2699</v>
      </c>
      <c r="H82" t="s">
        <v>2151</v>
      </c>
      <c r="I82" t="s">
        <v>2807</v>
      </c>
      <c r="J82">
        <v>11</v>
      </c>
    </row>
    <row r="83" spans="1:10" ht="16.25" customHeight="1" x14ac:dyDescent="0.2">
      <c r="A83" s="19" t="s">
        <v>2808</v>
      </c>
      <c r="B83" s="20" t="s">
        <v>2808</v>
      </c>
      <c r="C83" s="19"/>
      <c r="G83" t="s">
        <v>2716</v>
      </c>
      <c r="H83" t="s">
        <v>2151</v>
      </c>
      <c r="I83" t="s">
        <v>2717</v>
      </c>
      <c r="J83">
        <v>0</v>
      </c>
    </row>
    <row r="84" spans="1:10" ht="16.25" customHeight="1" x14ac:dyDescent="0.2">
      <c r="A84" s="19" t="s">
        <v>2809</v>
      </c>
      <c r="B84" s="20" t="s">
        <v>2810</v>
      </c>
      <c r="C84" s="19"/>
      <c r="G84" t="s">
        <v>2716</v>
      </c>
      <c r="H84" t="s">
        <v>2151</v>
      </c>
      <c r="I84" t="s">
        <v>2717</v>
      </c>
      <c r="J84">
        <v>0</v>
      </c>
    </row>
    <row r="85" spans="1:10" ht="16.25" customHeight="1" x14ac:dyDescent="0.2">
      <c r="A85" s="19" t="s">
        <v>2811</v>
      </c>
      <c r="B85" s="20" t="s">
        <v>2812</v>
      </c>
      <c r="C85" s="19"/>
      <c r="G85" t="s">
        <v>2716</v>
      </c>
      <c r="H85" t="s">
        <v>2151</v>
      </c>
      <c r="I85" t="s">
        <v>2717</v>
      </c>
      <c r="J85">
        <v>0</v>
      </c>
    </row>
    <row r="86" spans="1:10" ht="16.25" customHeight="1" x14ac:dyDescent="0.2">
      <c r="A86" s="19" t="s">
        <v>2813</v>
      </c>
      <c r="B86" s="20" t="s">
        <v>2814</v>
      </c>
      <c r="C86" s="19"/>
      <c r="G86" t="s">
        <v>2716</v>
      </c>
      <c r="H86" t="s">
        <v>2151</v>
      </c>
      <c r="I86" t="s">
        <v>2717</v>
      </c>
      <c r="J86">
        <v>0</v>
      </c>
    </row>
    <row r="87" spans="1:10" ht="16.25" customHeight="1" x14ac:dyDescent="0.2">
      <c r="A87" s="19" t="s">
        <v>2815</v>
      </c>
      <c r="B87" s="20" t="s">
        <v>2816</v>
      </c>
      <c r="C87" s="19"/>
      <c r="G87" t="s">
        <v>2716</v>
      </c>
      <c r="H87" t="s">
        <v>2152</v>
      </c>
      <c r="I87" t="s">
        <v>2717</v>
      </c>
      <c r="J87">
        <v>0</v>
      </c>
    </row>
    <row r="88" spans="1:10" ht="16.25" customHeight="1" x14ac:dyDescent="0.2">
      <c r="A88" s="19" t="s">
        <v>1660</v>
      </c>
      <c r="B88" s="20" t="s">
        <v>1662</v>
      </c>
      <c r="C88" s="19" t="s">
        <v>575</v>
      </c>
      <c r="G88" t="s">
        <v>2699</v>
      </c>
      <c r="H88" t="s">
        <v>2152</v>
      </c>
      <c r="I88" t="s">
        <v>2817</v>
      </c>
      <c r="J88">
        <v>26</v>
      </c>
    </row>
    <row r="89" spans="1:10" ht="16.25" customHeight="1" x14ac:dyDescent="0.2">
      <c r="A89" s="19" t="s">
        <v>2818</v>
      </c>
      <c r="B89" s="20" t="s">
        <v>2819</v>
      </c>
      <c r="C89" s="19"/>
      <c r="G89" t="s">
        <v>2716</v>
      </c>
      <c r="H89" t="s">
        <v>2152</v>
      </c>
      <c r="I89" t="s">
        <v>2717</v>
      </c>
      <c r="J89">
        <v>0</v>
      </c>
    </row>
    <row r="90" spans="1:10" ht="16.25" customHeight="1" x14ac:dyDescent="0.2">
      <c r="A90" s="19" t="s">
        <v>1475</v>
      </c>
      <c r="B90" s="20" t="s">
        <v>1477</v>
      </c>
      <c r="C90" s="19" t="s">
        <v>575</v>
      </c>
      <c r="G90" t="s">
        <v>2701</v>
      </c>
      <c r="H90" t="s">
        <v>2153</v>
      </c>
      <c r="I90" t="s">
        <v>2820</v>
      </c>
      <c r="J90">
        <v>20</v>
      </c>
    </row>
    <row r="91" spans="1:10" ht="16.25" customHeight="1" x14ac:dyDescent="0.2">
      <c r="A91" s="19" t="s">
        <v>2821</v>
      </c>
      <c r="B91" s="20" t="s">
        <v>2822</v>
      </c>
      <c r="C91" s="19"/>
      <c r="G91" t="s">
        <v>2716</v>
      </c>
      <c r="H91" t="s">
        <v>2153</v>
      </c>
      <c r="I91" t="s">
        <v>2717</v>
      </c>
      <c r="J91">
        <v>0</v>
      </c>
    </row>
    <row r="92" spans="1:10" ht="16.25" customHeight="1" x14ac:dyDescent="0.2">
      <c r="A92" s="19" t="s">
        <v>2823</v>
      </c>
      <c r="B92" s="20" t="s">
        <v>2824</v>
      </c>
      <c r="C92" s="19"/>
      <c r="G92" t="s">
        <v>2716</v>
      </c>
      <c r="H92" t="s">
        <v>2153</v>
      </c>
      <c r="I92" t="s">
        <v>2717</v>
      </c>
      <c r="J92">
        <v>0</v>
      </c>
    </row>
    <row r="93" spans="1:10" ht="16.25" customHeight="1" x14ac:dyDescent="0.2">
      <c r="A93" s="19" t="s">
        <v>2825</v>
      </c>
      <c r="B93" s="20" t="s">
        <v>2826</v>
      </c>
      <c r="C93" s="19"/>
      <c r="G93" t="s">
        <v>2716</v>
      </c>
      <c r="H93" t="s">
        <v>2153</v>
      </c>
      <c r="I93" t="s">
        <v>2717</v>
      </c>
      <c r="J93">
        <v>0</v>
      </c>
    </row>
    <row r="94" spans="1:10" ht="16.25" customHeight="1" x14ac:dyDescent="0.2">
      <c r="A94" s="19" t="s">
        <v>2827</v>
      </c>
      <c r="B94" s="20" t="s">
        <v>2828</v>
      </c>
      <c r="C94" s="19"/>
      <c r="G94" t="s">
        <v>2716</v>
      </c>
      <c r="H94" t="s">
        <v>2153</v>
      </c>
      <c r="I94" t="s">
        <v>2717</v>
      </c>
      <c r="J94">
        <v>0</v>
      </c>
    </row>
    <row r="95" spans="1:10" ht="16.25" customHeight="1" x14ac:dyDescent="0.2">
      <c r="A95" s="19" t="s">
        <v>1035</v>
      </c>
      <c r="B95" s="20" t="s">
        <v>1037</v>
      </c>
      <c r="C95" s="19" t="s">
        <v>610</v>
      </c>
      <c r="G95" t="s">
        <v>2699</v>
      </c>
      <c r="H95" t="s">
        <v>2153</v>
      </c>
      <c r="I95" t="s">
        <v>2829</v>
      </c>
      <c r="J95">
        <v>17</v>
      </c>
    </row>
    <row r="96" spans="1:10" ht="16.25" customHeight="1" x14ac:dyDescent="0.2">
      <c r="A96" s="19" t="s">
        <v>2830</v>
      </c>
      <c r="B96" s="20" t="s">
        <v>2830</v>
      </c>
      <c r="C96" s="19"/>
      <c r="G96" t="s">
        <v>2716</v>
      </c>
      <c r="H96" t="s">
        <v>2153</v>
      </c>
      <c r="I96" t="s">
        <v>2717</v>
      </c>
      <c r="J96">
        <v>0</v>
      </c>
    </row>
    <row r="97" spans="1:10" ht="16.25" customHeight="1" x14ac:dyDescent="0.2">
      <c r="A97" s="19" t="s">
        <v>1270</v>
      </c>
      <c r="B97" s="20" t="s">
        <v>1272</v>
      </c>
      <c r="C97" s="19" t="s">
        <v>610</v>
      </c>
      <c r="G97" t="s">
        <v>2721</v>
      </c>
      <c r="H97" t="s">
        <v>2153</v>
      </c>
      <c r="I97" t="s">
        <v>2831</v>
      </c>
      <c r="J97">
        <v>18</v>
      </c>
    </row>
    <row r="98" spans="1:10" ht="16.25" customHeight="1" x14ac:dyDescent="0.2">
      <c r="A98" s="19" t="s">
        <v>1013</v>
      </c>
      <c r="B98" s="20" t="s">
        <v>1015</v>
      </c>
      <c r="C98" s="19" t="s">
        <v>610</v>
      </c>
      <c r="G98" t="s">
        <v>2699</v>
      </c>
      <c r="H98" t="s">
        <v>2153</v>
      </c>
      <c r="I98" t="s">
        <v>2832</v>
      </c>
      <c r="J98">
        <v>17</v>
      </c>
    </row>
    <row r="99" spans="1:10" ht="16.25" customHeight="1" x14ac:dyDescent="0.2">
      <c r="A99" s="19" t="s">
        <v>2833</v>
      </c>
      <c r="B99" s="20" t="s">
        <v>2834</v>
      </c>
      <c r="C99" s="19"/>
      <c r="G99" t="s">
        <v>2716</v>
      </c>
      <c r="H99" t="s">
        <v>2153</v>
      </c>
      <c r="I99" t="s">
        <v>2717</v>
      </c>
      <c r="J99">
        <v>0</v>
      </c>
    </row>
    <row r="100" spans="1:10" ht="16.25" customHeight="1" x14ac:dyDescent="0.2">
      <c r="A100" s="19" t="s">
        <v>1056</v>
      </c>
      <c r="B100" s="20" t="s">
        <v>1057</v>
      </c>
      <c r="C100" s="19" t="s">
        <v>539</v>
      </c>
      <c r="G100" t="s">
        <v>2699</v>
      </c>
      <c r="H100" t="s">
        <v>2153</v>
      </c>
      <c r="I100" t="s">
        <v>2835</v>
      </c>
      <c r="J100">
        <v>4</v>
      </c>
    </row>
    <row r="101" spans="1:10" ht="16.25" customHeight="1" x14ac:dyDescent="0.2">
      <c r="A101" s="19" t="s">
        <v>862</v>
      </c>
      <c r="B101" s="20" t="s">
        <v>865</v>
      </c>
      <c r="C101" s="19" t="s">
        <v>610</v>
      </c>
      <c r="G101" t="s">
        <v>2699</v>
      </c>
      <c r="H101" t="s">
        <v>2153</v>
      </c>
      <c r="I101" t="s">
        <v>2836</v>
      </c>
      <c r="J101">
        <v>14</v>
      </c>
    </row>
    <row r="102" spans="1:10" ht="16.25" customHeight="1" x14ac:dyDescent="0.2">
      <c r="A102" s="19" t="s">
        <v>2837</v>
      </c>
      <c r="B102" s="20" t="s">
        <v>2838</v>
      </c>
      <c r="C102" s="19"/>
      <c r="G102" t="s">
        <v>2716</v>
      </c>
      <c r="H102" t="s">
        <v>2149</v>
      </c>
      <c r="I102" t="s">
        <v>2717</v>
      </c>
      <c r="J102">
        <v>0</v>
      </c>
    </row>
    <row r="103" spans="1:10" ht="16.25" customHeight="1" x14ac:dyDescent="0.2">
      <c r="A103" s="19" t="s">
        <v>999</v>
      </c>
      <c r="B103" s="20" t="s">
        <v>1000</v>
      </c>
      <c r="C103" s="19" t="s">
        <v>712</v>
      </c>
      <c r="G103" t="s">
        <v>2699</v>
      </c>
      <c r="H103" t="s">
        <v>2149</v>
      </c>
      <c r="I103" t="s">
        <v>2839</v>
      </c>
      <c r="J103">
        <v>4</v>
      </c>
    </row>
    <row r="104" spans="1:10" ht="16.25" customHeight="1" x14ac:dyDescent="0.2">
      <c r="A104" s="19" t="s">
        <v>2840</v>
      </c>
      <c r="B104" s="20" t="s">
        <v>2841</v>
      </c>
      <c r="C104" s="19"/>
      <c r="G104" t="s">
        <v>2716</v>
      </c>
      <c r="H104" t="s">
        <v>2149</v>
      </c>
      <c r="I104" t="s">
        <v>2717</v>
      </c>
      <c r="J104">
        <v>0</v>
      </c>
    </row>
    <row r="105" spans="1:10" ht="16.25" customHeight="1" x14ac:dyDescent="0.2">
      <c r="A105" s="19" t="s">
        <v>2842</v>
      </c>
      <c r="B105" s="20" t="s">
        <v>2843</v>
      </c>
      <c r="C105" s="19"/>
      <c r="G105" t="s">
        <v>2716</v>
      </c>
      <c r="H105" t="s">
        <v>2149</v>
      </c>
      <c r="I105" t="s">
        <v>2717</v>
      </c>
      <c r="J105">
        <v>0</v>
      </c>
    </row>
    <row r="106" spans="1:10" ht="16.25" customHeight="1" x14ac:dyDescent="0.2">
      <c r="A106" s="19" t="s">
        <v>1484</v>
      </c>
      <c r="B106" s="20" t="s">
        <v>1485</v>
      </c>
      <c r="C106" s="19" t="s">
        <v>648</v>
      </c>
      <c r="G106" t="s">
        <v>2699</v>
      </c>
      <c r="H106" t="s">
        <v>2145</v>
      </c>
      <c r="I106" t="s">
        <v>2844</v>
      </c>
      <c r="J106">
        <v>7</v>
      </c>
    </row>
    <row r="107" spans="1:10" ht="16.25" customHeight="1" x14ac:dyDescent="0.2">
      <c r="A107" s="19" t="s">
        <v>2845</v>
      </c>
      <c r="B107" s="20" t="s">
        <v>2846</v>
      </c>
      <c r="C107" s="19"/>
      <c r="G107" t="s">
        <v>2716</v>
      </c>
      <c r="H107" t="s">
        <v>2145</v>
      </c>
      <c r="I107" t="s">
        <v>2717</v>
      </c>
      <c r="J107">
        <v>0</v>
      </c>
    </row>
    <row r="108" spans="1:10" ht="16.25" customHeight="1" x14ac:dyDescent="0.2">
      <c r="A108" s="19" t="s">
        <v>2847</v>
      </c>
      <c r="B108" s="20" t="s">
        <v>2848</v>
      </c>
      <c r="C108" s="19"/>
      <c r="G108" t="s">
        <v>2716</v>
      </c>
      <c r="H108" t="s">
        <v>2145</v>
      </c>
      <c r="I108" t="s">
        <v>2717</v>
      </c>
      <c r="J108">
        <v>0</v>
      </c>
    </row>
    <row r="109" spans="1:10" ht="16.25" customHeight="1" x14ac:dyDescent="0.2">
      <c r="A109" s="19" t="s">
        <v>2849</v>
      </c>
      <c r="B109" s="20" t="s">
        <v>2850</v>
      </c>
      <c r="C109" s="19"/>
      <c r="G109" t="s">
        <v>2716</v>
      </c>
      <c r="H109" t="s">
        <v>2145</v>
      </c>
      <c r="I109" t="s">
        <v>2717</v>
      </c>
      <c r="J109">
        <v>0</v>
      </c>
    </row>
    <row r="110" spans="1:10" ht="16.25" customHeight="1" x14ac:dyDescent="0.2">
      <c r="A110" s="19" t="s">
        <v>1287</v>
      </c>
      <c r="B110" s="20" t="s">
        <v>2038</v>
      </c>
      <c r="C110" s="19" t="s">
        <v>610</v>
      </c>
      <c r="G110" t="s">
        <v>2721</v>
      </c>
      <c r="H110" t="s">
        <v>2145</v>
      </c>
      <c r="I110" t="s">
        <v>2851</v>
      </c>
      <c r="J110">
        <v>19</v>
      </c>
    </row>
    <row r="111" spans="1:10" ht="16.25" customHeight="1" x14ac:dyDescent="0.2">
      <c r="A111" s="19" t="s">
        <v>2852</v>
      </c>
      <c r="B111" s="20" t="s">
        <v>2853</v>
      </c>
      <c r="C111" s="19"/>
      <c r="G111" t="s">
        <v>2716</v>
      </c>
      <c r="H111" t="s">
        <v>2145</v>
      </c>
      <c r="I111" t="s">
        <v>2717</v>
      </c>
      <c r="J111">
        <v>0</v>
      </c>
    </row>
    <row r="112" spans="1:10" ht="16.25" customHeight="1" x14ac:dyDescent="0.2">
      <c r="A112" s="19" t="s">
        <v>1304</v>
      </c>
      <c r="B112" s="20" t="s">
        <v>1999</v>
      </c>
      <c r="C112" s="19" t="s">
        <v>610</v>
      </c>
      <c r="G112" t="s">
        <v>2721</v>
      </c>
      <c r="H112" t="s">
        <v>2145</v>
      </c>
      <c r="I112" t="s">
        <v>2854</v>
      </c>
      <c r="J112">
        <v>16</v>
      </c>
    </row>
    <row r="113" spans="1:10" ht="16.25" customHeight="1" x14ac:dyDescent="0.2">
      <c r="A113" s="19" t="s">
        <v>2855</v>
      </c>
      <c r="B113" s="20" t="s">
        <v>2856</v>
      </c>
      <c r="C113" s="19"/>
      <c r="G113" t="s">
        <v>2716</v>
      </c>
      <c r="H113" t="s">
        <v>2145</v>
      </c>
      <c r="I113" t="s">
        <v>2717</v>
      </c>
      <c r="J113">
        <v>0</v>
      </c>
    </row>
    <row r="114" spans="1:10" ht="16.25" customHeight="1" x14ac:dyDescent="0.2">
      <c r="A114" s="19" t="s">
        <v>1190</v>
      </c>
      <c r="B114" s="20" t="s">
        <v>2006</v>
      </c>
      <c r="C114" s="19" t="s">
        <v>539</v>
      </c>
      <c r="G114" t="s">
        <v>2721</v>
      </c>
      <c r="H114" t="s">
        <v>2145</v>
      </c>
      <c r="I114" t="s">
        <v>2857</v>
      </c>
      <c r="J114">
        <v>8</v>
      </c>
    </row>
    <row r="115" spans="1:10" ht="16.25" customHeight="1" x14ac:dyDescent="0.2">
      <c r="A115" s="19" t="s">
        <v>2858</v>
      </c>
      <c r="B115" s="20" t="s">
        <v>2859</v>
      </c>
      <c r="C115" s="19"/>
      <c r="G115" t="s">
        <v>2716</v>
      </c>
      <c r="H115" t="s">
        <v>2145</v>
      </c>
      <c r="I115" t="s">
        <v>2717</v>
      </c>
      <c r="J115">
        <v>0</v>
      </c>
    </row>
    <row r="116" spans="1:10" ht="16.25" customHeight="1" x14ac:dyDescent="0.2">
      <c r="A116" s="19" t="s">
        <v>2860</v>
      </c>
      <c r="B116" s="20" t="s">
        <v>2860</v>
      </c>
      <c r="C116" s="19"/>
      <c r="G116" t="s">
        <v>2716</v>
      </c>
      <c r="H116" t="s">
        <v>2147</v>
      </c>
      <c r="I116" t="s">
        <v>2717</v>
      </c>
      <c r="J116">
        <v>0</v>
      </c>
    </row>
    <row r="117" spans="1:10" ht="16.25" customHeight="1" x14ac:dyDescent="0.2">
      <c r="A117" s="19" t="s">
        <v>1005</v>
      </c>
      <c r="B117" s="20" t="s">
        <v>1962</v>
      </c>
      <c r="C117" s="19" t="s">
        <v>712</v>
      </c>
      <c r="G117" t="s">
        <v>2699</v>
      </c>
      <c r="H117" t="s">
        <v>2147</v>
      </c>
      <c r="I117" t="s">
        <v>2861</v>
      </c>
      <c r="J117">
        <v>10</v>
      </c>
    </row>
    <row r="118" spans="1:10" ht="16.25" customHeight="1" x14ac:dyDescent="0.2">
      <c r="A118" s="19" t="s">
        <v>2862</v>
      </c>
      <c r="B118" s="20" t="s">
        <v>2863</v>
      </c>
      <c r="C118" s="19"/>
      <c r="G118" t="s">
        <v>2716</v>
      </c>
      <c r="H118" t="s">
        <v>2147</v>
      </c>
      <c r="I118" t="s">
        <v>2717</v>
      </c>
      <c r="J118">
        <v>0</v>
      </c>
    </row>
    <row r="119" spans="1:10" ht="16.25" customHeight="1" x14ac:dyDescent="0.2">
      <c r="A119" s="19" t="s">
        <v>1309</v>
      </c>
      <c r="B119" s="20" t="s">
        <v>2027</v>
      </c>
      <c r="C119" s="19" t="s">
        <v>610</v>
      </c>
      <c r="G119" t="s">
        <v>2721</v>
      </c>
      <c r="H119" t="s">
        <v>2147</v>
      </c>
      <c r="I119" t="s">
        <v>2864</v>
      </c>
      <c r="J119">
        <v>23</v>
      </c>
    </row>
    <row r="120" spans="1:10" ht="16.25" customHeight="1" x14ac:dyDescent="0.2">
      <c r="A120" s="19" t="s">
        <v>2865</v>
      </c>
      <c r="B120" s="20" t="s">
        <v>2866</v>
      </c>
      <c r="C120" s="19"/>
      <c r="G120" t="s">
        <v>2716</v>
      </c>
      <c r="H120" t="s">
        <v>2147</v>
      </c>
      <c r="I120" t="s">
        <v>2717</v>
      </c>
      <c r="J120">
        <v>0</v>
      </c>
    </row>
    <row r="121" spans="1:10" ht="16.25" customHeight="1" x14ac:dyDescent="0.2">
      <c r="A121" s="19" t="s">
        <v>2867</v>
      </c>
      <c r="B121" s="20" t="s">
        <v>2868</v>
      </c>
      <c r="C121" s="19"/>
      <c r="G121" t="s">
        <v>2716</v>
      </c>
      <c r="H121" t="s">
        <v>2147</v>
      </c>
      <c r="I121" t="s">
        <v>2717</v>
      </c>
      <c r="J121">
        <v>0</v>
      </c>
    </row>
    <row r="122" spans="1:10" ht="16.25" customHeight="1" x14ac:dyDescent="0.2">
      <c r="A122" s="19" t="s">
        <v>2869</v>
      </c>
      <c r="B122" s="20" t="s">
        <v>2870</v>
      </c>
      <c r="C122" s="19"/>
      <c r="G122" t="s">
        <v>2716</v>
      </c>
      <c r="H122" t="s">
        <v>2147</v>
      </c>
      <c r="I122" t="s">
        <v>2717</v>
      </c>
      <c r="J122">
        <v>0</v>
      </c>
    </row>
    <row r="123" spans="1:10" ht="16.25" customHeight="1" x14ac:dyDescent="0.2">
      <c r="A123" s="19" t="s">
        <v>2871</v>
      </c>
      <c r="B123" s="20" t="s">
        <v>2871</v>
      </c>
      <c r="C123" s="19"/>
      <c r="G123" t="s">
        <v>2716</v>
      </c>
      <c r="H123" t="s">
        <v>2147</v>
      </c>
      <c r="I123" t="s">
        <v>2717</v>
      </c>
      <c r="J123">
        <v>0</v>
      </c>
    </row>
    <row r="124" spans="1:10" ht="16.25" customHeight="1" x14ac:dyDescent="0.2">
      <c r="A124" s="19" t="s">
        <v>2872</v>
      </c>
      <c r="B124" s="20" t="s">
        <v>2872</v>
      </c>
      <c r="C124" s="19"/>
      <c r="G124" t="s">
        <v>2716</v>
      </c>
      <c r="H124" t="s">
        <v>2147</v>
      </c>
      <c r="I124" t="s">
        <v>2717</v>
      </c>
      <c r="J124">
        <v>0</v>
      </c>
    </row>
    <row r="125" spans="1:10" ht="16.25" customHeight="1" x14ac:dyDescent="0.2">
      <c r="A125" s="19" t="s">
        <v>2873</v>
      </c>
      <c r="B125" s="20" t="s">
        <v>2874</v>
      </c>
      <c r="C125" s="19"/>
      <c r="G125" t="s">
        <v>2716</v>
      </c>
      <c r="H125" t="s">
        <v>2147</v>
      </c>
      <c r="I125" t="s">
        <v>2717</v>
      </c>
      <c r="J125">
        <v>0</v>
      </c>
    </row>
    <row r="126" spans="1:10" ht="16.25" customHeight="1" x14ac:dyDescent="0.2">
      <c r="A126" s="19" t="s">
        <v>1299</v>
      </c>
      <c r="B126" s="20" t="s">
        <v>1982</v>
      </c>
      <c r="C126" s="19" t="s">
        <v>610</v>
      </c>
      <c r="G126" t="s">
        <v>2721</v>
      </c>
      <c r="H126" t="s">
        <v>2147</v>
      </c>
      <c r="I126" t="s">
        <v>2875</v>
      </c>
      <c r="J126">
        <v>29</v>
      </c>
    </row>
    <row r="127" spans="1:10" ht="16.25" customHeight="1" x14ac:dyDescent="0.2">
      <c r="A127" s="19" t="s">
        <v>2876</v>
      </c>
      <c r="B127" s="20" t="s">
        <v>2877</v>
      </c>
      <c r="C127" s="19"/>
      <c r="G127" t="s">
        <v>2716</v>
      </c>
      <c r="H127" t="s">
        <v>2147</v>
      </c>
      <c r="I127" t="s">
        <v>2717</v>
      </c>
      <c r="J127">
        <v>0</v>
      </c>
    </row>
    <row r="128" spans="1:10" ht="16.25" customHeight="1" x14ac:dyDescent="0.2">
      <c r="A128" s="19" t="s">
        <v>2878</v>
      </c>
      <c r="B128" s="20" t="s">
        <v>2879</v>
      </c>
      <c r="C128" s="19"/>
      <c r="G128" t="s">
        <v>2716</v>
      </c>
      <c r="H128" t="s">
        <v>2147</v>
      </c>
      <c r="I128" t="s">
        <v>2717</v>
      </c>
      <c r="J128">
        <v>0</v>
      </c>
    </row>
    <row r="129" spans="1:10" ht="16.25" customHeight="1" x14ac:dyDescent="0.2">
      <c r="A129" s="19" t="s">
        <v>2880</v>
      </c>
      <c r="B129" s="20" t="s">
        <v>2880</v>
      </c>
      <c r="C129" s="19"/>
      <c r="G129" t="s">
        <v>2716</v>
      </c>
      <c r="H129" t="s">
        <v>2147</v>
      </c>
      <c r="I129" t="s">
        <v>2717</v>
      </c>
      <c r="J129">
        <v>0</v>
      </c>
    </row>
    <row r="130" spans="1:10" ht="16.25" customHeight="1" x14ac:dyDescent="0.2">
      <c r="A130" s="19" t="s">
        <v>1319</v>
      </c>
      <c r="B130" s="20" t="s">
        <v>1320</v>
      </c>
      <c r="C130" s="19" t="s">
        <v>575</v>
      </c>
      <c r="G130" t="s">
        <v>2699</v>
      </c>
      <c r="H130" t="s">
        <v>2147</v>
      </c>
      <c r="I130" t="s">
        <v>2881</v>
      </c>
      <c r="J130">
        <v>39</v>
      </c>
    </row>
    <row r="131" spans="1:10" ht="16.25" customHeight="1" x14ac:dyDescent="0.2">
      <c r="A131" s="19" t="s">
        <v>2882</v>
      </c>
      <c r="B131" s="20" t="s">
        <v>2883</v>
      </c>
      <c r="C131" s="19"/>
      <c r="G131" t="s">
        <v>2716</v>
      </c>
      <c r="H131" t="s">
        <v>2147</v>
      </c>
      <c r="I131" t="s">
        <v>2717</v>
      </c>
      <c r="J131">
        <v>0</v>
      </c>
    </row>
    <row r="132" spans="1:10" ht="16.25" customHeight="1" x14ac:dyDescent="0.2">
      <c r="A132" s="19" t="s">
        <v>2884</v>
      </c>
      <c r="B132" s="20" t="s">
        <v>2885</v>
      </c>
      <c r="C132" s="19"/>
      <c r="G132" t="s">
        <v>2716</v>
      </c>
      <c r="H132" t="s">
        <v>2147</v>
      </c>
      <c r="I132" t="s">
        <v>2717</v>
      </c>
      <c r="J132">
        <v>0</v>
      </c>
    </row>
    <row r="133" spans="1:10" ht="16.25" customHeight="1" x14ac:dyDescent="0.2">
      <c r="A133" s="19" t="s">
        <v>2886</v>
      </c>
      <c r="B133" s="20" t="s">
        <v>2887</v>
      </c>
      <c r="C133" s="19"/>
      <c r="G133" t="s">
        <v>2716</v>
      </c>
      <c r="H133" t="s">
        <v>2147</v>
      </c>
      <c r="I133" t="s">
        <v>2717</v>
      </c>
      <c r="J133">
        <v>0</v>
      </c>
    </row>
    <row r="134" spans="1:10" ht="16.25" customHeight="1" x14ac:dyDescent="0.2">
      <c r="A134" s="19" t="s">
        <v>2888</v>
      </c>
      <c r="B134" s="20" t="s">
        <v>2889</v>
      </c>
      <c r="C134" s="19"/>
      <c r="G134" t="s">
        <v>2716</v>
      </c>
      <c r="H134" t="s">
        <v>2147</v>
      </c>
      <c r="I134" t="s">
        <v>2717</v>
      </c>
      <c r="J134">
        <v>0</v>
      </c>
    </row>
    <row r="135" spans="1:10" ht="16.25" customHeight="1" x14ac:dyDescent="0.2">
      <c r="A135" s="19" t="s">
        <v>2890</v>
      </c>
      <c r="B135" s="20" t="s">
        <v>2891</v>
      </c>
      <c r="C135" s="19"/>
      <c r="G135" t="s">
        <v>2716</v>
      </c>
      <c r="H135" t="s">
        <v>2147</v>
      </c>
      <c r="I135" t="s">
        <v>2717</v>
      </c>
      <c r="J135">
        <v>0</v>
      </c>
    </row>
    <row r="136" spans="1:10" ht="16.25" customHeight="1" x14ac:dyDescent="0.2">
      <c r="A136" s="19" t="s">
        <v>1293</v>
      </c>
      <c r="B136" s="20" t="s">
        <v>1294</v>
      </c>
      <c r="C136" s="19" t="s">
        <v>610</v>
      </c>
      <c r="G136" t="s">
        <v>2701</v>
      </c>
      <c r="H136" t="s">
        <v>2149</v>
      </c>
      <c r="I136" t="s">
        <v>2892</v>
      </c>
      <c r="J136">
        <v>23</v>
      </c>
    </row>
    <row r="137" spans="1:10" ht="16.25" customHeight="1" x14ac:dyDescent="0.2">
      <c r="A137" s="19" t="s">
        <v>1111</v>
      </c>
      <c r="B137" s="20" t="s">
        <v>1112</v>
      </c>
      <c r="C137" s="19" t="s">
        <v>712</v>
      </c>
      <c r="G137" t="s">
        <v>2721</v>
      </c>
      <c r="H137" t="s">
        <v>2149</v>
      </c>
      <c r="I137" t="s">
        <v>2893</v>
      </c>
      <c r="J137">
        <v>4</v>
      </c>
    </row>
    <row r="138" spans="1:10" ht="16.25" customHeight="1" x14ac:dyDescent="0.2">
      <c r="A138" s="19" t="s">
        <v>1070</v>
      </c>
      <c r="B138" s="20" t="s">
        <v>1071</v>
      </c>
      <c r="C138" s="19" t="s">
        <v>539</v>
      </c>
      <c r="G138" t="s">
        <v>2699</v>
      </c>
      <c r="H138" t="s">
        <v>2149</v>
      </c>
      <c r="I138" t="s">
        <v>2894</v>
      </c>
      <c r="J138">
        <v>5</v>
      </c>
    </row>
    <row r="139" spans="1:10" ht="16.25" customHeight="1" x14ac:dyDescent="0.2">
      <c r="A139" s="19" t="s">
        <v>1079</v>
      </c>
      <c r="B139" s="20" t="s">
        <v>1080</v>
      </c>
      <c r="C139" s="19" t="s">
        <v>539</v>
      </c>
      <c r="G139" t="s">
        <v>2699</v>
      </c>
      <c r="H139" t="s">
        <v>2149</v>
      </c>
      <c r="I139" t="s">
        <v>2895</v>
      </c>
      <c r="J139">
        <v>8</v>
      </c>
    </row>
    <row r="140" spans="1:10" ht="16.25" customHeight="1" x14ac:dyDescent="0.2">
      <c r="A140" s="19" t="s">
        <v>2896</v>
      </c>
      <c r="B140" s="20" t="s">
        <v>2897</v>
      </c>
      <c r="C140" s="19"/>
      <c r="G140" t="s">
        <v>2716</v>
      </c>
      <c r="H140" t="s">
        <v>2149</v>
      </c>
      <c r="I140" t="s">
        <v>2717</v>
      </c>
      <c r="J140">
        <v>0</v>
      </c>
    </row>
    <row r="141" spans="1:10" ht="16.25" customHeight="1" x14ac:dyDescent="0.2">
      <c r="A141" s="19" t="s">
        <v>635</v>
      </c>
      <c r="B141" s="20" t="s">
        <v>637</v>
      </c>
      <c r="C141" s="19"/>
      <c r="G141" t="s">
        <v>2699</v>
      </c>
      <c r="H141" t="s">
        <v>2146</v>
      </c>
      <c r="I141" t="s">
        <v>2898</v>
      </c>
      <c r="J141">
        <v>4</v>
      </c>
    </row>
    <row r="142" spans="1:10" ht="16.25" customHeight="1" x14ac:dyDescent="0.2">
      <c r="A142" s="19" t="s">
        <v>2899</v>
      </c>
      <c r="B142" s="20" t="s">
        <v>2900</v>
      </c>
      <c r="C142" s="19"/>
      <c r="G142" t="s">
        <v>2716</v>
      </c>
      <c r="H142" t="s">
        <v>2146</v>
      </c>
      <c r="I142" t="s">
        <v>2717</v>
      </c>
      <c r="J142">
        <v>0</v>
      </c>
    </row>
    <row r="143" spans="1:10" ht="16.25" customHeight="1" x14ac:dyDescent="0.2">
      <c r="A143" s="19" t="s">
        <v>1129</v>
      </c>
      <c r="B143" s="20" t="s">
        <v>1130</v>
      </c>
      <c r="C143" s="19" t="s">
        <v>712</v>
      </c>
      <c r="G143" t="s">
        <v>2721</v>
      </c>
      <c r="H143" t="s">
        <v>2146</v>
      </c>
      <c r="I143" t="s">
        <v>2901</v>
      </c>
      <c r="J143">
        <v>6</v>
      </c>
    </row>
    <row r="144" spans="1:10" ht="16.25" customHeight="1" x14ac:dyDescent="0.2">
      <c r="A144" s="19" t="s">
        <v>1200</v>
      </c>
      <c r="B144" s="20" t="s">
        <v>1201</v>
      </c>
      <c r="C144" s="19" t="s">
        <v>539</v>
      </c>
      <c r="G144" t="s">
        <v>2721</v>
      </c>
      <c r="H144" t="s">
        <v>2146</v>
      </c>
      <c r="I144" t="s">
        <v>2902</v>
      </c>
      <c r="J144">
        <v>4</v>
      </c>
    </row>
    <row r="145" spans="1:10" ht="16.25" customHeight="1" x14ac:dyDescent="0.2">
      <c r="A145" s="19" t="s">
        <v>2903</v>
      </c>
      <c r="B145" s="20" t="s">
        <v>2904</v>
      </c>
      <c r="C145" s="19"/>
      <c r="G145" t="s">
        <v>2716</v>
      </c>
      <c r="H145" t="s">
        <v>2146</v>
      </c>
      <c r="I145" t="s">
        <v>2717</v>
      </c>
      <c r="J145">
        <v>0</v>
      </c>
    </row>
    <row r="146" spans="1:10" ht="16.25" customHeight="1" x14ac:dyDescent="0.2">
      <c r="A146" s="19" t="s">
        <v>1207</v>
      </c>
      <c r="B146" s="20" t="s">
        <v>1208</v>
      </c>
      <c r="C146" s="19" t="s">
        <v>539</v>
      </c>
      <c r="G146" t="s">
        <v>2721</v>
      </c>
      <c r="H146" t="s">
        <v>2149</v>
      </c>
      <c r="I146" t="s">
        <v>2905</v>
      </c>
      <c r="J146">
        <v>7</v>
      </c>
    </row>
    <row r="147" spans="1:10" ht="16.25" customHeight="1" x14ac:dyDescent="0.2">
      <c r="A147" s="19" t="s">
        <v>2906</v>
      </c>
      <c r="B147" s="20" t="s">
        <v>2907</v>
      </c>
      <c r="C147" s="19"/>
      <c r="G147" t="s">
        <v>2716</v>
      </c>
      <c r="H147" t="s">
        <v>2149</v>
      </c>
      <c r="I147" t="s">
        <v>2717</v>
      </c>
      <c r="J147">
        <v>0</v>
      </c>
    </row>
    <row r="148" spans="1:10" ht="16.25" customHeight="1" x14ac:dyDescent="0.2">
      <c r="A148" s="19" t="s">
        <v>2908</v>
      </c>
      <c r="B148" s="20" t="s">
        <v>2909</v>
      </c>
      <c r="C148" s="19"/>
      <c r="G148" t="s">
        <v>2716</v>
      </c>
      <c r="H148" t="s">
        <v>2149</v>
      </c>
      <c r="I148" t="s">
        <v>2717</v>
      </c>
      <c r="J148">
        <v>0</v>
      </c>
    </row>
    <row r="149" spans="1:10" ht="16.25" customHeight="1" x14ac:dyDescent="0.2">
      <c r="A149" s="19" t="s">
        <v>1145</v>
      </c>
      <c r="B149" s="20" t="s">
        <v>1147</v>
      </c>
      <c r="C149" s="19" t="s">
        <v>574</v>
      </c>
      <c r="G149" t="s">
        <v>2721</v>
      </c>
      <c r="H149" t="s">
        <v>2150</v>
      </c>
      <c r="I149" t="s">
        <v>2910</v>
      </c>
      <c r="J149">
        <v>4</v>
      </c>
    </row>
    <row r="150" spans="1:10" ht="16.25" customHeight="1" x14ac:dyDescent="0.2">
      <c r="A150" s="19" t="s">
        <v>1359</v>
      </c>
      <c r="B150" s="20" t="s">
        <v>1361</v>
      </c>
      <c r="C150" s="19" t="s">
        <v>574</v>
      </c>
      <c r="G150" t="s">
        <v>2721</v>
      </c>
      <c r="H150" t="s">
        <v>2150</v>
      </c>
      <c r="I150" t="s">
        <v>2911</v>
      </c>
      <c r="J150">
        <v>3</v>
      </c>
    </row>
    <row r="151" spans="1:10" ht="16.25" customHeight="1" x14ac:dyDescent="0.2">
      <c r="A151" s="19" t="s">
        <v>2912</v>
      </c>
      <c r="B151" s="20" t="s">
        <v>2913</v>
      </c>
      <c r="C151" s="19"/>
      <c r="G151" t="s">
        <v>2716</v>
      </c>
      <c r="H151" t="s">
        <v>2150</v>
      </c>
      <c r="I151" t="s">
        <v>2717</v>
      </c>
      <c r="J151">
        <v>0</v>
      </c>
    </row>
    <row r="152" spans="1:10" ht="16.25" customHeight="1" x14ac:dyDescent="0.2">
      <c r="A152" s="19" t="s">
        <v>2914</v>
      </c>
      <c r="B152" s="20" t="s">
        <v>2915</v>
      </c>
      <c r="C152" s="19"/>
      <c r="G152" t="s">
        <v>2716</v>
      </c>
      <c r="H152" t="s">
        <v>2150</v>
      </c>
      <c r="I152" t="s">
        <v>2717</v>
      </c>
      <c r="J152">
        <v>0</v>
      </c>
    </row>
    <row r="153" spans="1:10" ht="16.25" customHeight="1" x14ac:dyDescent="0.2">
      <c r="A153" s="19" t="s">
        <v>2916</v>
      </c>
      <c r="B153" s="20" t="s">
        <v>2917</v>
      </c>
      <c r="C153" s="19" t="s">
        <v>574</v>
      </c>
      <c r="G153" t="s">
        <v>2716</v>
      </c>
      <c r="H153" t="s">
        <v>2150</v>
      </c>
      <c r="I153" t="s">
        <v>2717</v>
      </c>
      <c r="J153">
        <v>0</v>
      </c>
    </row>
    <row r="154" spans="1:10" ht="16.25" customHeight="1" x14ac:dyDescent="0.2">
      <c r="A154" s="19" t="s">
        <v>1216</v>
      </c>
      <c r="B154" s="20" t="s">
        <v>2918</v>
      </c>
      <c r="C154" s="19" t="s">
        <v>539</v>
      </c>
      <c r="G154" t="s">
        <v>2721</v>
      </c>
      <c r="H154" t="s">
        <v>2150</v>
      </c>
      <c r="I154" t="s">
        <v>2919</v>
      </c>
      <c r="J154">
        <v>7</v>
      </c>
    </row>
    <row r="155" spans="1:10" ht="16.25" customHeight="1" x14ac:dyDescent="0.2">
      <c r="A155" s="19" t="s">
        <v>2920</v>
      </c>
      <c r="B155" s="20" t="s">
        <v>2921</v>
      </c>
      <c r="C155" s="19"/>
      <c r="G155" t="s">
        <v>2716</v>
      </c>
      <c r="H155" t="s">
        <v>2150</v>
      </c>
      <c r="I155" t="s">
        <v>2717</v>
      </c>
      <c r="J155">
        <v>0</v>
      </c>
    </row>
    <row r="156" spans="1:10" ht="16.25" customHeight="1" x14ac:dyDescent="0.2">
      <c r="A156" s="19" t="s">
        <v>1371</v>
      </c>
      <c r="B156" s="20" t="s">
        <v>1373</v>
      </c>
      <c r="C156" s="19" t="s">
        <v>574</v>
      </c>
      <c r="G156" t="s">
        <v>2721</v>
      </c>
      <c r="H156" t="s">
        <v>2153</v>
      </c>
      <c r="I156" t="s">
        <v>2922</v>
      </c>
      <c r="J156">
        <v>3</v>
      </c>
    </row>
    <row r="157" spans="1:10" ht="16.25" customHeight="1" x14ac:dyDescent="0.2">
      <c r="A157" s="19" t="s">
        <v>2923</v>
      </c>
      <c r="B157" s="20" t="s">
        <v>2924</v>
      </c>
      <c r="C157" s="19"/>
      <c r="G157" t="s">
        <v>2716</v>
      </c>
      <c r="H157" t="s">
        <v>2153</v>
      </c>
      <c r="I157" t="s">
        <v>2717</v>
      </c>
      <c r="J157">
        <v>0</v>
      </c>
    </row>
    <row r="158" spans="1:10" ht="16.25" customHeight="1" x14ac:dyDescent="0.2">
      <c r="A158" s="19" t="s">
        <v>2925</v>
      </c>
      <c r="B158" s="20" t="s">
        <v>2926</v>
      </c>
      <c r="C158" s="19"/>
      <c r="G158" t="s">
        <v>2716</v>
      </c>
      <c r="H158" t="s">
        <v>2153</v>
      </c>
      <c r="I158" t="s">
        <v>2717</v>
      </c>
      <c r="J158">
        <v>0</v>
      </c>
    </row>
    <row r="159" spans="1:10" ht="16.25" customHeight="1" x14ac:dyDescent="0.2">
      <c r="A159" s="19" t="s">
        <v>2927</v>
      </c>
      <c r="B159" s="20" t="s">
        <v>2928</v>
      </c>
      <c r="C159" s="19"/>
      <c r="G159" t="s">
        <v>2716</v>
      </c>
      <c r="H159" t="s">
        <v>2153</v>
      </c>
      <c r="I159" t="s">
        <v>2717</v>
      </c>
      <c r="J159">
        <v>0</v>
      </c>
    </row>
    <row r="160" spans="1:10" ht="16.25" customHeight="1" x14ac:dyDescent="0.2">
      <c r="A160" s="19" t="s">
        <v>2929</v>
      </c>
      <c r="B160" s="20" t="s">
        <v>2930</v>
      </c>
      <c r="C160" s="19"/>
      <c r="G160" t="s">
        <v>2716</v>
      </c>
      <c r="H160" t="s">
        <v>2153</v>
      </c>
      <c r="I160" t="s">
        <v>2717</v>
      </c>
      <c r="J160">
        <v>0</v>
      </c>
    </row>
    <row r="161" spans="1:10" ht="16.25" customHeight="1" x14ac:dyDescent="0.2">
      <c r="A161" s="19" t="s">
        <v>2931</v>
      </c>
      <c r="B161" s="20" t="s">
        <v>2932</v>
      </c>
      <c r="C161" s="19"/>
      <c r="G161" t="s">
        <v>2716</v>
      </c>
      <c r="H161" t="s">
        <v>2153</v>
      </c>
      <c r="I161" t="s">
        <v>2717</v>
      </c>
      <c r="J161">
        <v>0</v>
      </c>
    </row>
    <row r="162" spans="1:10" ht="16.25" customHeight="1" x14ac:dyDescent="0.2">
      <c r="A162" s="19" t="s">
        <v>2933</v>
      </c>
      <c r="B162" s="20" t="s">
        <v>2934</v>
      </c>
      <c r="C162" s="19"/>
      <c r="G162" t="s">
        <v>2716</v>
      </c>
      <c r="H162" t="s">
        <v>2153</v>
      </c>
      <c r="I162" t="s">
        <v>2717</v>
      </c>
      <c r="J162">
        <v>0</v>
      </c>
    </row>
    <row r="163" spans="1:10" ht="16.25" customHeight="1" x14ac:dyDescent="0.2">
      <c r="A163" s="19" t="s">
        <v>2935</v>
      </c>
      <c r="B163" s="20" t="s">
        <v>2936</v>
      </c>
      <c r="C163" s="19"/>
      <c r="G163" t="s">
        <v>2716</v>
      </c>
      <c r="H163" t="s">
        <v>2153</v>
      </c>
      <c r="I163" t="s">
        <v>2717</v>
      </c>
      <c r="J163">
        <v>0</v>
      </c>
    </row>
    <row r="164" spans="1:10" ht="16.25" customHeight="1" x14ac:dyDescent="0.2">
      <c r="A164" s="19" t="s">
        <v>2937</v>
      </c>
      <c r="B164" s="20" t="s">
        <v>2938</v>
      </c>
      <c r="C164" s="19"/>
      <c r="G164" t="s">
        <v>2716</v>
      </c>
      <c r="H164" t="s">
        <v>2153</v>
      </c>
      <c r="I164" t="s">
        <v>2717</v>
      </c>
      <c r="J164">
        <v>0</v>
      </c>
    </row>
    <row r="165" spans="1:10" ht="16.25" customHeight="1" x14ac:dyDescent="0.2">
      <c r="A165" s="19" t="s">
        <v>2939</v>
      </c>
      <c r="B165" s="20" t="s">
        <v>2940</v>
      </c>
      <c r="C165" s="19"/>
      <c r="G165" t="s">
        <v>2716</v>
      </c>
      <c r="H165" t="s">
        <v>2153</v>
      </c>
      <c r="I165" t="s">
        <v>2717</v>
      </c>
      <c r="J165">
        <v>0</v>
      </c>
    </row>
    <row r="166" spans="1:10" ht="16.25" customHeight="1" x14ac:dyDescent="0.2">
      <c r="A166" s="19" t="s">
        <v>2941</v>
      </c>
      <c r="B166" s="20" t="s">
        <v>2942</v>
      </c>
      <c r="C166" s="19"/>
      <c r="G166" t="s">
        <v>2716</v>
      </c>
      <c r="H166" t="s">
        <v>2154</v>
      </c>
      <c r="I166" t="s">
        <v>2717</v>
      </c>
      <c r="J166">
        <v>0</v>
      </c>
    </row>
    <row r="167" spans="1:10" ht="16.25" customHeight="1" x14ac:dyDescent="0.2">
      <c r="A167" s="19" t="s">
        <v>2943</v>
      </c>
      <c r="B167" s="20" t="s">
        <v>2943</v>
      </c>
      <c r="C167" s="19"/>
      <c r="G167" t="s">
        <v>2716</v>
      </c>
      <c r="H167" t="s">
        <v>2154</v>
      </c>
      <c r="I167" t="s">
        <v>2717</v>
      </c>
      <c r="J167">
        <v>0</v>
      </c>
    </row>
    <row r="168" spans="1:10" ht="16.25" customHeight="1" x14ac:dyDescent="0.2">
      <c r="A168" s="19" t="s">
        <v>2944</v>
      </c>
      <c r="B168" s="20" t="s">
        <v>2945</v>
      </c>
      <c r="C168" s="19"/>
      <c r="G168" t="s">
        <v>2716</v>
      </c>
      <c r="H168" t="s">
        <v>2154</v>
      </c>
      <c r="I168" t="s">
        <v>2717</v>
      </c>
      <c r="J168">
        <v>0</v>
      </c>
    </row>
    <row r="169" spans="1:10" ht="16.25" customHeight="1" x14ac:dyDescent="0.2">
      <c r="A169" s="19" t="s">
        <v>1513</v>
      </c>
      <c r="B169" s="20" t="s">
        <v>1516</v>
      </c>
      <c r="C169" s="19" t="s">
        <v>575</v>
      </c>
      <c r="G169" t="s">
        <v>2721</v>
      </c>
      <c r="H169" t="s">
        <v>2154</v>
      </c>
      <c r="I169" t="s">
        <v>2946</v>
      </c>
      <c r="J169">
        <v>12</v>
      </c>
    </row>
    <row r="170" spans="1:10" ht="16.25" customHeight="1" x14ac:dyDescent="0.2">
      <c r="A170" s="19" t="s">
        <v>2947</v>
      </c>
      <c r="B170" s="20" t="s">
        <v>2948</v>
      </c>
      <c r="C170" s="19"/>
      <c r="G170" t="s">
        <v>2716</v>
      </c>
      <c r="H170" t="s">
        <v>2154</v>
      </c>
      <c r="I170" t="s">
        <v>2717</v>
      </c>
      <c r="J170">
        <v>0</v>
      </c>
    </row>
    <row r="171" spans="1:10" ht="16.25" customHeight="1" x14ac:dyDescent="0.2">
      <c r="A171" s="19" t="s">
        <v>2949</v>
      </c>
      <c r="B171" s="20" t="s">
        <v>2950</v>
      </c>
      <c r="C171" s="19"/>
      <c r="G171" t="s">
        <v>2716</v>
      </c>
      <c r="H171" t="s">
        <v>2154</v>
      </c>
      <c r="I171" t="s">
        <v>2717</v>
      </c>
      <c r="J171">
        <v>0</v>
      </c>
    </row>
    <row r="172" spans="1:10" ht="16.25" customHeight="1" x14ac:dyDescent="0.2">
      <c r="A172" s="19" t="s">
        <v>2951</v>
      </c>
      <c r="B172" s="20" t="s">
        <v>2952</v>
      </c>
      <c r="C172" s="19"/>
      <c r="G172" t="s">
        <v>2716</v>
      </c>
      <c r="H172" t="s">
        <v>2154</v>
      </c>
      <c r="I172" t="s">
        <v>2717</v>
      </c>
      <c r="J172">
        <v>0</v>
      </c>
    </row>
    <row r="173" spans="1:10" ht="16.25" customHeight="1" x14ac:dyDescent="0.2">
      <c r="A173" s="19" t="s">
        <v>2953</v>
      </c>
      <c r="B173" s="20" t="s">
        <v>2954</v>
      </c>
      <c r="C173" s="19"/>
      <c r="G173" t="s">
        <v>2716</v>
      </c>
      <c r="H173" t="s">
        <v>2154</v>
      </c>
      <c r="I173" t="s">
        <v>2717</v>
      </c>
      <c r="J173">
        <v>0</v>
      </c>
    </row>
    <row r="174" spans="1:10" ht="16.25" customHeight="1" x14ac:dyDescent="0.2">
      <c r="A174" s="19" t="s">
        <v>2955</v>
      </c>
      <c r="B174" s="20" t="s">
        <v>2956</v>
      </c>
      <c r="C174" s="19"/>
      <c r="G174" t="s">
        <v>2716</v>
      </c>
      <c r="H174" t="s">
        <v>2154</v>
      </c>
      <c r="I174" t="s">
        <v>2717</v>
      </c>
      <c r="J174">
        <v>0</v>
      </c>
    </row>
    <row r="175" spans="1:10" ht="16.25" customHeight="1" x14ac:dyDescent="0.2">
      <c r="A175" s="19" t="s">
        <v>2957</v>
      </c>
      <c r="B175" s="20" t="s">
        <v>2958</v>
      </c>
      <c r="C175" s="19"/>
      <c r="G175" t="s">
        <v>2716</v>
      </c>
      <c r="H175" t="s">
        <v>2154</v>
      </c>
      <c r="I175" t="s">
        <v>2717</v>
      </c>
      <c r="J175">
        <v>0</v>
      </c>
    </row>
    <row r="176" spans="1:10" ht="16.25" customHeight="1" x14ac:dyDescent="0.2">
      <c r="A176" s="19" t="s">
        <v>2959</v>
      </c>
      <c r="B176" s="20" t="s">
        <v>2960</v>
      </c>
      <c r="C176" s="19"/>
      <c r="G176" t="s">
        <v>2716</v>
      </c>
      <c r="H176" t="s">
        <v>2153</v>
      </c>
      <c r="I176" t="s">
        <v>2717</v>
      </c>
      <c r="J176">
        <v>0</v>
      </c>
    </row>
    <row r="177" spans="1:10" ht="16.25" customHeight="1" x14ac:dyDescent="0.2">
      <c r="A177" s="19" t="s">
        <v>2961</v>
      </c>
      <c r="B177" s="20" t="s">
        <v>2962</v>
      </c>
      <c r="C177" s="19"/>
      <c r="G177" t="s">
        <v>2716</v>
      </c>
      <c r="H177" t="s">
        <v>2153</v>
      </c>
      <c r="I177" t="s">
        <v>2717</v>
      </c>
      <c r="J177">
        <v>0</v>
      </c>
    </row>
    <row r="178" spans="1:10" ht="16.25" customHeight="1" x14ac:dyDescent="0.2">
      <c r="A178" s="19" t="s">
        <v>1521</v>
      </c>
      <c r="B178" s="20" t="s">
        <v>1523</v>
      </c>
      <c r="C178" s="19" t="s">
        <v>575</v>
      </c>
      <c r="G178" t="s">
        <v>2721</v>
      </c>
      <c r="H178" t="s">
        <v>2153</v>
      </c>
      <c r="I178" t="s">
        <v>2963</v>
      </c>
      <c r="J178">
        <v>16</v>
      </c>
    </row>
    <row r="179" spans="1:10" ht="16.25" customHeight="1" x14ac:dyDescent="0.2">
      <c r="A179" s="19" t="s">
        <v>2964</v>
      </c>
      <c r="B179" s="20" t="s">
        <v>2965</v>
      </c>
      <c r="C179" s="19"/>
      <c r="G179" t="s">
        <v>2716</v>
      </c>
      <c r="H179" t="s">
        <v>2153</v>
      </c>
      <c r="I179" t="s">
        <v>2717</v>
      </c>
      <c r="J179">
        <v>0</v>
      </c>
    </row>
    <row r="180" spans="1:10" ht="16.25" customHeight="1" x14ac:dyDescent="0.2">
      <c r="A180" s="19" t="s">
        <v>2966</v>
      </c>
      <c r="B180" s="20" t="s">
        <v>2966</v>
      </c>
      <c r="C180" s="19"/>
      <c r="G180" t="s">
        <v>2716</v>
      </c>
      <c r="H180" t="s">
        <v>2153</v>
      </c>
      <c r="I180" t="s">
        <v>2717</v>
      </c>
      <c r="J180">
        <v>0</v>
      </c>
    </row>
    <row r="181" spans="1:10" ht="16.25" customHeight="1" x14ac:dyDescent="0.2">
      <c r="A181" s="19" t="s">
        <v>2967</v>
      </c>
      <c r="B181" s="20" t="s">
        <v>2968</v>
      </c>
      <c r="C181" s="19"/>
      <c r="G181" t="s">
        <v>2716</v>
      </c>
      <c r="H181" t="s">
        <v>2153</v>
      </c>
      <c r="I181" t="s">
        <v>2717</v>
      </c>
      <c r="J181">
        <v>0</v>
      </c>
    </row>
    <row r="182" spans="1:10" ht="16.25" customHeight="1" x14ac:dyDescent="0.2">
      <c r="A182" s="19" t="s">
        <v>2969</v>
      </c>
      <c r="B182" s="20" t="s">
        <v>2970</v>
      </c>
      <c r="C182" s="19"/>
      <c r="G182" t="s">
        <v>2716</v>
      </c>
      <c r="H182" t="s">
        <v>2153</v>
      </c>
      <c r="I182" t="s">
        <v>2717</v>
      </c>
      <c r="J182">
        <v>0</v>
      </c>
    </row>
    <row r="183" spans="1:10" ht="16.25" customHeight="1" x14ac:dyDescent="0.2">
      <c r="A183" s="19" t="s">
        <v>2971</v>
      </c>
      <c r="B183" s="20" t="s">
        <v>2972</v>
      </c>
      <c r="C183" s="19"/>
      <c r="G183" t="s">
        <v>2716</v>
      </c>
      <c r="H183" t="s">
        <v>2154</v>
      </c>
      <c r="I183" t="s">
        <v>2717</v>
      </c>
      <c r="J183">
        <v>0</v>
      </c>
    </row>
    <row r="184" spans="1:10" ht="16.25" customHeight="1" x14ac:dyDescent="0.2">
      <c r="A184" s="19" t="s">
        <v>1155</v>
      </c>
      <c r="B184" s="20" t="s">
        <v>1157</v>
      </c>
      <c r="C184" s="19" t="s">
        <v>574</v>
      </c>
      <c r="G184" t="s">
        <v>2721</v>
      </c>
      <c r="H184" t="s">
        <v>2154</v>
      </c>
      <c r="I184" t="s">
        <v>2973</v>
      </c>
      <c r="J184">
        <v>5</v>
      </c>
    </row>
    <row r="185" spans="1:10" ht="16.25" customHeight="1" x14ac:dyDescent="0.2">
      <c r="A185" s="19" t="s">
        <v>2974</v>
      </c>
      <c r="B185" s="20" t="s">
        <v>2975</v>
      </c>
      <c r="C185" s="19"/>
      <c r="G185" t="s">
        <v>2716</v>
      </c>
      <c r="H185" t="s">
        <v>2154</v>
      </c>
      <c r="I185" t="s">
        <v>2717</v>
      </c>
      <c r="J185">
        <v>0</v>
      </c>
    </row>
    <row r="186" spans="1:10" ht="16.25" customHeight="1" x14ac:dyDescent="0.2">
      <c r="A186" s="19" t="s">
        <v>2976</v>
      </c>
      <c r="B186" s="20" t="s">
        <v>2977</v>
      </c>
      <c r="C186" s="19"/>
      <c r="G186" t="s">
        <v>2716</v>
      </c>
      <c r="H186" t="s">
        <v>2154</v>
      </c>
      <c r="I186" t="s">
        <v>2717</v>
      </c>
      <c r="J186">
        <v>0</v>
      </c>
    </row>
    <row r="187" spans="1:10" ht="16.25" customHeight="1" x14ac:dyDescent="0.2">
      <c r="A187" s="19" t="s">
        <v>2978</v>
      </c>
      <c r="B187" s="20" t="s">
        <v>2979</v>
      </c>
      <c r="C187" s="19"/>
      <c r="G187" t="s">
        <v>2716</v>
      </c>
      <c r="H187" t="s">
        <v>2154</v>
      </c>
      <c r="I187" t="s">
        <v>2717</v>
      </c>
      <c r="J187">
        <v>0</v>
      </c>
    </row>
    <row r="188" spans="1:10" ht="16.25" customHeight="1" x14ac:dyDescent="0.2">
      <c r="A188" s="19" t="s">
        <v>2980</v>
      </c>
      <c r="B188" s="20" t="s">
        <v>2981</v>
      </c>
      <c r="C188" s="19"/>
      <c r="G188" t="s">
        <v>2716</v>
      </c>
      <c r="H188" t="s">
        <v>2148</v>
      </c>
      <c r="I188" t="s">
        <v>2717</v>
      </c>
      <c r="J188">
        <v>0</v>
      </c>
    </row>
    <row r="189" spans="1:10" ht="16.25" customHeight="1" x14ac:dyDescent="0.2">
      <c r="A189" s="19" t="s">
        <v>2982</v>
      </c>
      <c r="B189" s="20" t="s">
        <v>2983</v>
      </c>
      <c r="C189" s="19"/>
      <c r="G189" t="s">
        <v>2716</v>
      </c>
      <c r="H189" t="s">
        <v>2145</v>
      </c>
      <c r="I189" t="s">
        <v>2717</v>
      </c>
      <c r="J189">
        <v>0</v>
      </c>
    </row>
    <row r="190" spans="1:10" ht="16.25" customHeight="1" x14ac:dyDescent="0.2">
      <c r="A190" s="19" t="s">
        <v>2984</v>
      </c>
      <c r="B190" s="20" t="s">
        <v>2985</v>
      </c>
      <c r="C190" s="19"/>
      <c r="G190" t="s">
        <v>2716</v>
      </c>
      <c r="H190" t="s">
        <v>2145</v>
      </c>
      <c r="I190" t="s">
        <v>2717</v>
      </c>
      <c r="J190">
        <v>0</v>
      </c>
    </row>
    <row r="191" spans="1:10" ht="16.25" customHeight="1" x14ac:dyDescent="0.2">
      <c r="A191" s="19" t="s">
        <v>2986</v>
      </c>
      <c r="B191" s="20" t="s">
        <v>2987</v>
      </c>
      <c r="C191" s="19"/>
      <c r="G191" t="s">
        <v>2716</v>
      </c>
      <c r="H191" t="s">
        <v>2145</v>
      </c>
      <c r="I191" t="s">
        <v>2717</v>
      </c>
      <c r="J191">
        <v>0</v>
      </c>
    </row>
    <row r="192" spans="1:10" ht="16.25" customHeight="1" x14ac:dyDescent="0.2">
      <c r="A192" s="19" t="s">
        <v>2988</v>
      </c>
      <c r="B192" s="20" t="s">
        <v>2989</v>
      </c>
      <c r="C192" s="19"/>
      <c r="G192" t="s">
        <v>2716</v>
      </c>
      <c r="H192" t="s">
        <v>2145</v>
      </c>
      <c r="I192" t="s">
        <v>2717</v>
      </c>
      <c r="J192">
        <v>0</v>
      </c>
    </row>
    <row r="193" spans="1:10" ht="16.25" customHeight="1" x14ac:dyDescent="0.2">
      <c r="A193" s="19" t="s">
        <v>2990</v>
      </c>
      <c r="B193" s="20" t="s">
        <v>2991</v>
      </c>
      <c r="C193" s="19"/>
      <c r="G193" t="s">
        <v>2716</v>
      </c>
      <c r="H193" t="s">
        <v>2145</v>
      </c>
      <c r="I193" t="s">
        <v>2717</v>
      </c>
      <c r="J193">
        <v>0</v>
      </c>
    </row>
    <row r="194" spans="1:10" ht="16.25" customHeight="1" x14ac:dyDescent="0.2">
      <c r="A194" s="19" t="s">
        <v>2992</v>
      </c>
      <c r="B194" s="20" t="s">
        <v>2993</v>
      </c>
      <c r="C194" s="19"/>
      <c r="G194" t="s">
        <v>2716</v>
      </c>
      <c r="H194" t="s">
        <v>2145</v>
      </c>
      <c r="I194" t="s">
        <v>2717</v>
      </c>
      <c r="J194">
        <v>0</v>
      </c>
    </row>
    <row r="195" spans="1:10" ht="16.25" customHeight="1" x14ac:dyDescent="0.2">
      <c r="A195" s="19" t="s">
        <v>2994</v>
      </c>
      <c r="B195" s="20" t="s">
        <v>2995</v>
      </c>
      <c r="C195" s="19"/>
      <c r="G195" t="s">
        <v>2716</v>
      </c>
      <c r="H195" t="s">
        <v>2145</v>
      </c>
      <c r="I195" t="s">
        <v>2717</v>
      </c>
      <c r="J195">
        <v>0</v>
      </c>
    </row>
    <row r="196" spans="1:10" ht="16.25" customHeight="1" x14ac:dyDescent="0.2">
      <c r="A196" s="19" t="s">
        <v>2996</v>
      </c>
      <c r="B196" s="20" t="s">
        <v>2997</v>
      </c>
      <c r="C196" s="19"/>
      <c r="G196" t="s">
        <v>2716</v>
      </c>
      <c r="H196" t="s">
        <v>2145</v>
      </c>
      <c r="I196" t="s">
        <v>2717</v>
      </c>
      <c r="J196">
        <v>0</v>
      </c>
    </row>
    <row r="197" spans="1:10" ht="16.25" customHeight="1" x14ac:dyDescent="0.2">
      <c r="A197" s="19" t="s">
        <v>2998</v>
      </c>
      <c r="B197" s="20" t="s">
        <v>2999</v>
      </c>
      <c r="C197" s="19"/>
      <c r="G197" t="s">
        <v>2716</v>
      </c>
      <c r="H197" t="s">
        <v>2145</v>
      </c>
      <c r="I197" t="s">
        <v>2717</v>
      </c>
      <c r="J197">
        <v>0</v>
      </c>
    </row>
    <row r="198" spans="1:10" ht="16.25" customHeight="1" x14ac:dyDescent="0.2">
      <c r="A198" s="19" t="s">
        <v>3000</v>
      </c>
      <c r="B198" s="20" t="s">
        <v>3001</v>
      </c>
      <c r="C198" s="19"/>
      <c r="G198" t="s">
        <v>2716</v>
      </c>
      <c r="H198" t="s">
        <v>2145</v>
      </c>
      <c r="I198" t="s">
        <v>2717</v>
      </c>
      <c r="J198">
        <v>0</v>
      </c>
    </row>
    <row r="199" spans="1:10" ht="16.25" customHeight="1" x14ac:dyDescent="0.2">
      <c r="A199" s="19" t="s">
        <v>1235</v>
      </c>
      <c r="B199" s="20" t="s">
        <v>1236</v>
      </c>
      <c r="C199" s="19" t="s">
        <v>539</v>
      </c>
      <c r="G199" t="s">
        <v>2721</v>
      </c>
      <c r="H199" t="s">
        <v>2145</v>
      </c>
      <c r="I199" t="s">
        <v>3002</v>
      </c>
      <c r="J199">
        <v>7</v>
      </c>
    </row>
    <row r="200" spans="1:10" ht="16.25" customHeight="1" x14ac:dyDescent="0.2">
      <c r="A200" s="19" t="s">
        <v>3003</v>
      </c>
      <c r="B200" s="20" t="s">
        <v>3004</v>
      </c>
      <c r="C200" s="19"/>
      <c r="G200" t="s">
        <v>2716</v>
      </c>
      <c r="H200" t="s">
        <v>2145</v>
      </c>
      <c r="I200" t="s">
        <v>2717</v>
      </c>
      <c r="J200">
        <v>0</v>
      </c>
    </row>
    <row r="201" spans="1:10" ht="16.25" customHeight="1" x14ac:dyDescent="0.2">
      <c r="A201" s="19" t="s">
        <v>3005</v>
      </c>
      <c r="B201" s="20" t="s">
        <v>3006</v>
      </c>
      <c r="C201" s="19"/>
      <c r="G201" t="s">
        <v>2716</v>
      </c>
      <c r="H201" t="s">
        <v>2145</v>
      </c>
      <c r="I201" t="s">
        <v>2717</v>
      </c>
      <c r="J201">
        <v>0</v>
      </c>
    </row>
    <row r="202" spans="1:10" ht="16.25" customHeight="1" x14ac:dyDescent="0.2">
      <c r="A202" s="19" t="s">
        <v>1244</v>
      </c>
      <c r="B202" s="20" t="s">
        <v>1245</v>
      </c>
      <c r="C202" s="19" t="s">
        <v>539</v>
      </c>
      <c r="G202" t="s">
        <v>2721</v>
      </c>
      <c r="H202" t="s">
        <v>2149</v>
      </c>
      <c r="I202" t="s">
        <v>3007</v>
      </c>
      <c r="J202">
        <v>4</v>
      </c>
    </row>
    <row r="203" spans="1:10" ht="16.25" customHeight="1" x14ac:dyDescent="0.2">
      <c r="A203" s="19" t="s">
        <v>1137</v>
      </c>
      <c r="B203" s="20" t="s">
        <v>1139</v>
      </c>
      <c r="C203" s="19" t="s">
        <v>539</v>
      </c>
      <c r="G203" t="s">
        <v>2721</v>
      </c>
      <c r="H203" t="s">
        <v>2146</v>
      </c>
      <c r="I203" t="s">
        <v>3008</v>
      </c>
      <c r="J203">
        <v>3</v>
      </c>
    </row>
    <row r="204" spans="1:10" ht="16.25" customHeight="1" x14ac:dyDescent="0.2">
      <c r="A204" s="19" t="s">
        <v>1120</v>
      </c>
      <c r="B204" s="20" t="s">
        <v>1123</v>
      </c>
      <c r="C204" s="19" t="s">
        <v>712</v>
      </c>
      <c r="G204" t="s">
        <v>2721</v>
      </c>
      <c r="H204" t="s">
        <v>2147</v>
      </c>
      <c r="I204" t="s">
        <v>3009</v>
      </c>
      <c r="J204">
        <v>6</v>
      </c>
    </row>
    <row r="205" spans="1:10" ht="16.25" customHeight="1" x14ac:dyDescent="0.2">
      <c r="A205" s="19" t="s">
        <v>943</v>
      </c>
      <c r="B205" s="20" t="s">
        <v>944</v>
      </c>
      <c r="C205" s="19" t="s">
        <v>648</v>
      </c>
      <c r="G205" t="s">
        <v>2699</v>
      </c>
      <c r="H205" t="s">
        <v>2147</v>
      </c>
      <c r="I205" t="s">
        <v>3010</v>
      </c>
      <c r="J205">
        <v>6</v>
      </c>
    </row>
    <row r="206" spans="1:10" ht="16.25" customHeight="1" x14ac:dyDescent="0.2">
      <c r="A206" s="19" t="s">
        <v>586</v>
      </c>
      <c r="B206" s="20" t="s">
        <v>588</v>
      </c>
      <c r="C206" s="19" t="s">
        <v>575</v>
      </c>
      <c r="G206" t="s">
        <v>2699</v>
      </c>
      <c r="H206" t="s">
        <v>2145</v>
      </c>
      <c r="I206" t="s">
        <v>3011</v>
      </c>
      <c r="J206">
        <v>16</v>
      </c>
    </row>
    <row r="207" spans="1:10" x14ac:dyDescent="0.2">
      <c r="A207" t="s">
        <v>1467</v>
      </c>
      <c r="B207" t="s">
        <v>1468</v>
      </c>
      <c r="C207" t="s">
        <v>574</v>
      </c>
      <c r="G207" t="s">
        <v>2699</v>
      </c>
      <c r="H207" t="s">
        <v>2149</v>
      </c>
      <c r="I207" t="s">
        <v>3012</v>
      </c>
      <c r="J207">
        <v>8</v>
      </c>
    </row>
  </sheetData>
  <dataValidations count="1">
    <dataValidation type="list" allowBlank="1" showInputMessage="1" showErrorMessage="1" sqref="C2:C1048576" xr:uid="{00000000-0002-0000-0500-000000000000}">
      <formula1>RaterList</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7"/>
  <sheetViews>
    <sheetView showGridLines="0" zoomScaleNormal="100" workbookViewId="0">
      <selection activeCell="H9" sqref="H9"/>
    </sheetView>
  </sheetViews>
  <sheetFormatPr baseColWidth="10" defaultColWidth="8.6640625" defaultRowHeight="15" x14ac:dyDescent="0.2"/>
  <cols>
    <col min="1" max="1" width="21.1640625" bestFit="1" customWidth="1"/>
    <col min="2" max="2" width="9.5" bestFit="1" customWidth="1"/>
    <col min="3" max="3" width="60.33203125" bestFit="1" customWidth="1"/>
    <col min="4" max="4" width="12" customWidth="1"/>
    <col min="5" max="5" width="3" customWidth="1"/>
    <col min="6" max="6" width="8" customWidth="1"/>
    <col min="7" max="7" width="9" customWidth="1"/>
    <col min="8" max="8" width="13.33203125" bestFit="1" customWidth="1"/>
    <col min="9" max="9" width="17.5" bestFit="1" customWidth="1"/>
  </cols>
  <sheetData>
    <row r="1" spans="1:9" ht="22.25" customHeight="1" x14ac:dyDescent="0.2">
      <c r="A1" s="13" t="s">
        <v>3013</v>
      </c>
    </row>
    <row r="2" spans="1:9" ht="22.25" customHeight="1" x14ac:dyDescent="0.2">
      <c r="A2" s="66" t="s">
        <v>2536</v>
      </c>
      <c r="B2" s="66" t="s">
        <v>2237</v>
      </c>
      <c r="C2" s="66" t="s">
        <v>2537</v>
      </c>
    </row>
    <row r="3" spans="1:9" ht="16.25" customHeight="1" x14ac:dyDescent="0.2">
      <c r="A3" s="10" t="s">
        <v>3014</v>
      </c>
      <c r="B3" s="88">
        <v>2</v>
      </c>
      <c r="C3" s="14" t="s">
        <v>3015</v>
      </c>
    </row>
    <row r="4" spans="1:9" ht="16.25" customHeight="1" x14ac:dyDescent="0.2">
      <c r="A4" s="10" t="s">
        <v>3016</v>
      </c>
      <c r="B4" s="89">
        <v>10</v>
      </c>
      <c r="C4" s="14" t="s">
        <v>3017</v>
      </c>
    </row>
    <row r="5" spans="1:9" ht="16.25" customHeight="1" x14ac:dyDescent="0.2">
      <c r="A5" s="10" t="s">
        <v>3018</v>
      </c>
      <c r="B5" s="89">
        <v>0</v>
      </c>
      <c r="C5" s="14" t="s">
        <v>3019</v>
      </c>
      <c r="D5" s="3"/>
    </row>
    <row r="6" spans="1:9" x14ac:dyDescent="0.2">
      <c r="A6" s="1" t="s">
        <v>3020</v>
      </c>
      <c r="B6" s="1">
        <v>0.2</v>
      </c>
      <c r="C6" t="s">
        <v>3021</v>
      </c>
      <c r="D6" s="3"/>
      <c r="E6" s="3"/>
      <c r="F6" s="3"/>
    </row>
    <row r="7" spans="1:9" ht="22.25" customHeight="1" x14ac:dyDescent="0.2">
      <c r="A7" s="66" t="s">
        <v>3022</v>
      </c>
      <c r="B7" s="66" t="s">
        <v>2053</v>
      </c>
      <c r="D7" s="66" t="s">
        <v>2517</v>
      </c>
      <c r="F7" s="66" t="s">
        <v>466</v>
      </c>
      <c r="G7" s="66" t="s">
        <v>467</v>
      </c>
      <c r="H7" s="102" t="s">
        <v>469</v>
      </c>
      <c r="I7" s="102" t="s">
        <v>468</v>
      </c>
    </row>
    <row r="8" spans="1:9" ht="16.25" customHeight="1" x14ac:dyDescent="0.2">
      <c r="A8" s="19" t="s">
        <v>539</v>
      </c>
      <c r="B8" s="20" t="s">
        <v>540</v>
      </c>
      <c r="D8" s="20" t="s">
        <v>1919</v>
      </c>
      <c r="F8" s="21">
        <v>2020</v>
      </c>
      <c r="G8" s="20" t="s">
        <v>537</v>
      </c>
      <c r="H8" s="103" t="s">
        <v>1086</v>
      </c>
      <c r="I8" s="103" t="s">
        <v>1476</v>
      </c>
    </row>
    <row r="9" spans="1:9" ht="16.25" customHeight="1" x14ac:dyDescent="0.2">
      <c r="A9" s="19" t="s">
        <v>712</v>
      </c>
      <c r="B9" s="20" t="s">
        <v>540</v>
      </c>
      <c r="D9" s="20" t="s">
        <v>1913</v>
      </c>
      <c r="F9" s="20">
        <v>2021</v>
      </c>
      <c r="G9" s="20" t="s">
        <v>555</v>
      </c>
      <c r="H9" s="103" t="s">
        <v>1090</v>
      </c>
      <c r="I9" s="103" t="s">
        <v>1121</v>
      </c>
    </row>
    <row r="10" spans="1:9" ht="16.25" customHeight="1" x14ac:dyDescent="0.2">
      <c r="A10" s="19" t="s">
        <v>610</v>
      </c>
      <c r="B10" s="20" t="s">
        <v>540</v>
      </c>
      <c r="D10" s="20" t="s">
        <v>1923</v>
      </c>
      <c r="F10" s="20">
        <v>2022</v>
      </c>
      <c r="G10" s="20" t="s">
        <v>563</v>
      </c>
      <c r="H10" s="103" t="s">
        <v>1092</v>
      </c>
      <c r="I10" s="103" t="s">
        <v>1095</v>
      </c>
    </row>
    <row r="11" spans="1:9" ht="16.25" customHeight="1" x14ac:dyDescent="0.2">
      <c r="A11" s="19" t="s">
        <v>574</v>
      </c>
      <c r="B11" s="20" t="s">
        <v>540</v>
      </c>
      <c r="D11" s="20"/>
      <c r="F11" s="20">
        <v>2023</v>
      </c>
      <c r="G11" s="20" t="s">
        <v>569</v>
      </c>
      <c r="H11" s="103" t="s">
        <v>538</v>
      </c>
      <c r="I11" s="103" t="s">
        <v>647</v>
      </c>
    </row>
    <row r="12" spans="1:9" ht="16.25" customHeight="1" x14ac:dyDescent="0.2">
      <c r="A12" s="19" t="s">
        <v>648</v>
      </c>
      <c r="B12" s="20" t="s">
        <v>540</v>
      </c>
      <c r="D12" s="20"/>
      <c r="F12" s="20">
        <v>2024</v>
      </c>
      <c r="G12" s="103"/>
      <c r="H12" s="103"/>
      <c r="I12" s="103" t="s">
        <v>538</v>
      </c>
    </row>
    <row r="13" spans="1:9" ht="16.25" customHeight="1" x14ac:dyDescent="0.2">
      <c r="A13" s="19" t="s">
        <v>575</v>
      </c>
      <c r="B13" s="20" t="s">
        <v>540</v>
      </c>
      <c r="D13" s="20"/>
      <c r="F13" s="20">
        <v>2025</v>
      </c>
      <c r="G13" s="20"/>
    </row>
    <row r="14" spans="1:9" ht="16.25" customHeight="1" x14ac:dyDescent="0.2">
      <c r="A14" s="19" t="s">
        <v>1911</v>
      </c>
      <c r="B14" s="20" t="s">
        <v>1912</v>
      </c>
      <c r="D14" s="20"/>
      <c r="F14" s="20">
        <v>2026</v>
      </c>
      <c r="G14" s="20"/>
    </row>
    <row r="16" spans="1:9" x14ac:dyDescent="0.2">
      <c r="A16" s="93" t="s">
        <v>3023</v>
      </c>
    </row>
    <row r="17" spans="1:3" x14ac:dyDescent="0.2">
      <c r="A17" t="s">
        <v>3024</v>
      </c>
    </row>
    <row r="18" spans="1:3" x14ac:dyDescent="0.2">
      <c r="A18" t="s">
        <v>3025</v>
      </c>
      <c r="B18">
        <v>0</v>
      </c>
      <c r="C18" t="s">
        <v>3026</v>
      </c>
    </row>
    <row r="19" spans="1:3" x14ac:dyDescent="0.2">
      <c r="A19" t="s">
        <v>3027</v>
      </c>
      <c r="B19" t="s">
        <v>3028</v>
      </c>
      <c r="C19" t="s">
        <v>3029</v>
      </c>
    </row>
    <row r="20" spans="1:3" x14ac:dyDescent="0.2">
      <c r="A20" t="s">
        <v>3030</v>
      </c>
      <c r="B20" t="s">
        <v>3031</v>
      </c>
      <c r="C20" t="s">
        <v>3032</v>
      </c>
    </row>
    <row r="21" spans="1:3" x14ac:dyDescent="0.2">
      <c r="A21" t="s">
        <v>3033</v>
      </c>
      <c r="B21" t="s">
        <v>3034</v>
      </c>
      <c r="C21" t="s">
        <v>3035</v>
      </c>
    </row>
    <row r="22" spans="1:3" x14ac:dyDescent="0.2">
      <c r="A22" t="s">
        <v>3036</v>
      </c>
      <c r="B22" t="s">
        <v>3037</v>
      </c>
      <c r="C22" t="s">
        <v>3038</v>
      </c>
    </row>
    <row r="23" spans="1:3" x14ac:dyDescent="0.2">
      <c r="A23" t="s">
        <v>3039</v>
      </c>
      <c r="B23" t="s">
        <v>3040</v>
      </c>
      <c r="C23" t="s">
        <v>3041</v>
      </c>
    </row>
    <row r="24" spans="1:3" x14ac:dyDescent="0.2">
      <c r="A24" t="s">
        <v>3042</v>
      </c>
      <c r="B24">
        <v>0</v>
      </c>
      <c r="C24" t="s">
        <v>3043</v>
      </c>
    </row>
    <row r="25" spans="1:3" x14ac:dyDescent="0.2">
      <c r="A25" t="s">
        <v>3044</v>
      </c>
      <c r="B25">
        <v>0</v>
      </c>
      <c r="C25" t="s">
        <v>3045</v>
      </c>
    </row>
    <row r="26" spans="1:3" x14ac:dyDescent="0.2">
      <c r="A26" t="s">
        <v>3046</v>
      </c>
      <c r="B26" t="s">
        <v>3047</v>
      </c>
      <c r="C26" t="s">
        <v>3048</v>
      </c>
    </row>
    <row r="27" spans="1:3" x14ac:dyDescent="0.2">
      <c r="A27" t="s">
        <v>3049</v>
      </c>
      <c r="B27" t="s">
        <v>3050</v>
      </c>
      <c r="C27" t="s">
        <v>3051</v>
      </c>
    </row>
    <row r="28" spans="1:3" x14ac:dyDescent="0.2">
      <c r="A28" t="s">
        <v>3052</v>
      </c>
      <c r="B28" t="s">
        <v>3053</v>
      </c>
      <c r="C28" t="s">
        <v>3054</v>
      </c>
    </row>
    <row r="30" spans="1:3" x14ac:dyDescent="0.2">
      <c r="A30" t="s">
        <v>3055</v>
      </c>
    </row>
    <row r="32" spans="1:3" x14ac:dyDescent="0.2">
      <c r="A32" t="s">
        <v>3056</v>
      </c>
      <c r="C32" t="s">
        <v>3057</v>
      </c>
    </row>
    <row r="33" spans="1:3" x14ac:dyDescent="0.2">
      <c r="A33" t="s">
        <v>3058</v>
      </c>
      <c r="B33" t="s">
        <v>3059</v>
      </c>
      <c r="C33" t="s">
        <v>3060</v>
      </c>
    </row>
    <row r="34" spans="1:3" x14ac:dyDescent="0.2">
      <c r="A34" t="s">
        <v>3061</v>
      </c>
      <c r="B34" t="s">
        <v>562</v>
      </c>
      <c r="C34" t="s">
        <v>3062</v>
      </c>
    </row>
    <row r="35" spans="1:3" x14ac:dyDescent="0.2">
      <c r="A35" t="s">
        <v>3063</v>
      </c>
      <c r="B35" t="s">
        <v>3064</v>
      </c>
      <c r="C35" t="s">
        <v>3065</v>
      </c>
    </row>
    <row r="36" spans="1:3" x14ac:dyDescent="0.2">
      <c r="A36" t="s">
        <v>2691</v>
      </c>
      <c r="B36" t="s">
        <v>3066</v>
      </c>
      <c r="C36" t="s">
        <v>3067</v>
      </c>
    </row>
    <row r="37" spans="1:3" x14ac:dyDescent="0.2">
      <c r="A37" t="s">
        <v>3068</v>
      </c>
      <c r="B37" t="s">
        <v>3069</v>
      </c>
      <c r="C37" t="s">
        <v>3070</v>
      </c>
    </row>
    <row r="38" spans="1:3" x14ac:dyDescent="0.2">
      <c r="A38" t="s">
        <v>3071</v>
      </c>
      <c r="B38" t="s">
        <v>3072</v>
      </c>
      <c r="C38" t="s">
        <v>3073</v>
      </c>
    </row>
    <row r="39" spans="1:3" x14ac:dyDescent="0.2">
      <c r="A39" t="s">
        <v>3074</v>
      </c>
      <c r="B39" t="s">
        <v>3075</v>
      </c>
      <c r="C39" t="s">
        <v>3076</v>
      </c>
    </row>
    <row r="40" spans="1:3" x14ac:dyDescent="0.2">
      <c r="A40" t="s">
        <v>3077</v>
      </c>
      <c r="B40" t="s">
        <v>3078</v>
      </c>
      <c r="C40" t="s">
        <v>3079</v>
      </c>
    </row>
    <row r="41" spans="1:3" x14ac:dyDescent="0.2">
      <c r="A41" t="s">
        <v>3080</v>
      </c>
      <c r="B41" t="s">
        <v>3081</v>
      </c>
      <c r="C41" t="s">
        <v>3082</v>
      </c>
    </row>
    <row r="42" spans="1:3" x14ac:dyDescent="0.2">
      <c r="A42" t="s">
        <v>3083</v>
      </c>
      <c r="B42" t="s">
        <v>3053</v>
      </c>
      <c r="C42" t="s">
        <v>3084</v>
      </c>
    </row>
    <row r="44" spans="1:3" x14ac:dyDescent="0.2">
      <c r="A44" t="s">
        <v>3085</v>
      </c>
      <c r="C44" t="s">
        <v>3086</v>
      </c>
    </row>
    <row r="45" spans="1:3" x14ac:dyDescent="0.2">
      <c r="A45" t="s">
        <v>3087</v>
      </c>
      <c r="B45" t="s">
        <v>3088</v>
      </c>
      <c r="C45" t="s">
        <v>3089</v>
      </c>
    </row>
    <row r="46" spans="1:3" x14ac:dyDescent="0.2">
      <c r="A46" t="s">
        <v>3090</v>
      </c>
      <c r="B46" t="s">
        <v>3091</v>
      </c>
      <c r="C46" t="s">
        <v>3092</v>
      </c>
    </row>
    <row r="47" spans="1:3" x14ac:dyDescent="0.2">
      <c r="A47" t="s">
        <v>3093</v>
      </c>
      <c r="B47">
        <v>74</v>
      </c>
      <c r="C47" t="s">
        <v>3094</v>
      </c>
    </row>
    <row r="48" spans="1:3" x14ac:dyDescent="0.2">
      <c r="A48" t="s">
        <v>3095</v>
      </c>
      <c r="B48" t="s">
        <v>3096</v>
      </c>
      <c r="C48" t="s">
        <v>3097</v>
      </c>
    </row>
    <row r="49" spans="1:3" x14ac:dyDescent="0.2">
      <c r="A49" t="s">
        <v>3098</v>
      </c>
      <c r="B49" t="s">
        <v>3099</v>
      </c>
      <c r="C49" t="s">
        <v>3100</v>
      </c>
    </row>
    <row r="50" spans="1:3" x14ac:dyDescent="0.2">
      <c r="A50" t="s">
        <v>3101</v>
      </c>
      <c r="C50" t="s">
        <v>3102</v>
      </c>
    </row>
    <row r="51" spans="1:3" x14ac:dyDescent="0.2">
      <c r="A51" t="s">
        <v>3103</v>
      </c>
      <c r="B51">
        <v>244</v>
      </c>
      <c r="C51" t="s">
        <v>3104</v>
      </c>
    </row>
    <row r="52" spans="1:3" x14ac:dyDescent="0.2">
      <c r="A52" t="s">
        <v>3105</v>
      </c>
      <c r="B52" t="s">
        <v>3106</v>
      </c>
      <c r="C52" t="s">
        <v>3107</v>
      </c>
    </row>
    <row r="53" spans="1:3" x14ac:dyDescent="0.2">
      <c r="A53" t="s">
        <v>3108</v>
      </c>
      <c r="B53" t="s">
        <v>3109</v>
      </c>
      <c r="C53" t="s">
        <v>3110</v>
      </c>
    </row>
    <row r="54" spans="1:3" x14ac:dyDescent="0.2">
      <c r="A54" t="s">
        <v>3111</v>
      </c>
      <c r="B54" t="s">
        <v>3112</v>
      </c>
      <c r="C54" t="s">
        <v>3113</v>
      </c>
    </row>
    <row r="55" spans="1:3" x14ac:dyDescent="0.2">
      <c r="A55" t="s">
        <v>3114</v>
      </c>
      <c r="B55" t="s">
        <v>3115</v>
      </c>
      <c r="C55" t="s">
        <v>3116</v>
      </c>
    </row>
    <row r="56" spans="1:3" x14ac:dyDescent="0.2">
      <c r="A56" t="s">
        <v>2423</v>
      </c>
      <c r="B56">
        <v>5</v>
      </c>
      <c r="C56" t="s">
        <v>3117</v>
      </c>
    </row>
    <row r="57" spans="1:3" x14ac:dyDescent="0.2">
      <c r="A57" t="s">
        <v>3118</v>
      </c>
      <c r="B57" t="s">
        <v>3053</v>
      </c>
      <c r="C57" t="s">
        <v>3119</v>
      </c>
    </row>
  </sheetData>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
  <sheetViews>
    <sheetView workbookViewId="0">
      <pane ySplit="2" topLeftCell="A3" activePane="bottomLeft" state="frozen"/>
      <selection pane="bottomLeft"/>
    </sheetView>
  </sheetViews>
  <sheetFormatPr baseColWidth="10" defaultColWidth="8.83203125" defaultRowHeight="15" x14ac:dyDescent="0.2"/>
  <cols>
    <col min="1" max="7" width="40" customWidth="1"/>
  </cols>
  <sheetData>
    <row r="1" spans="1:7" x14ac:dyDescent="0.2">
      <c r="A1" s="152" t="s">
        <v>3120</v>
      </c>
    </row>
    <row r="2" spans="1:7" x14ac:dyDescent="0.2">
      <c r="A2" s="152" t="s">
        <v>3121</v>
      </c>
      <c r="B2" s="152" t="s">
        <v>3122</v>
      </c>
      <c r="C2" s="152" t="s">
        <v>3123</v>
      </c>
      <c r="D2" s="152"/>
      <c r="E2" s="152"/>
      <c r="F2" s="152"/>
    </row>
    <row r="3" spans="1:7" x14ac:dyDescent="0.2">
      <c r="A3" t="s">
        <v>3124</v>
      </c>
      <c r="B3" t="s">
        <v>3125</v>
      </c>
      <c r="C3" t="s">
        <v>3126</v>
      </c>
      <c r="D3" t="s">
        <v>3127</v>
      </c>
      <c r="E3" t="s">
        <v>3128</v>
      </c>
      <c r="F3" t="s">
        <v>3129</v>
      </c>
    </row>
    <row r="4" spans="1:7" x14ac:dyDescent="0.2">
      <c r="A4" t="s">
        <v>3130</v>
      </c>
      <c r="B4" t="s">
        <v>3131</v>
      </c>
      <c r="C4" t="s">
        <v>3132</v>
      </c>
      <c r="D4" t="s">
        <v>3133</v>
      </c>
      <c r="E4" t="s">
        <v>3134</v>
      </c>
      <c r="F4" t="s">
        <v>3135</v>
      </c>
    </row>
    <row r="5" spans="1:7" x14ac:dyDescent="0.2">
      <c r="A5" t="s">
        <v>3136</v>
      </c>
      <c r="B5" t="s">
        <v>3137</v>
      </c>
      <c r="C5" t="s">
        <v>3138</v>
      </c>
      <c r="D5" t="s">
        <v>3121</v>
      </c>
      <c r="E5" t="s">
        <v>3139</v>
      </c>
      <c r="F5" t="s">
        <v>3140</v>
      </c>
    </row>
    <row r="6" spans="1:7" x14ac:dyDescent="0.2">
      <c r="A6" t="s">
        <v>3141</v>
      </c>
      <c r="B6" t="s">
        <v>3142</v>
      </c>
      <c r="C6" t="s">
        <v>3143</v>
      </c>
      <c r="D6" t="s">
        <v>3121</v>
      </c>
      <c r="E6" t="s">
        <v>3144</v>
      </c>
      <c r="F6" t="s">
        <v>3145</v>
      </c>
    </row>
    <row r="7" spans="1:7" x14ac:dyDescent="0.2">
      <c r="A7" t="s">
        <v>3146</v>
      </c>
      <c r="B7" t="s">
        <v>3147</v>
      </c>
      <c r="C7" t="s">
        <v>3148</v>
      </c>
      <c r="D7" t="s">
        <v>3133</v>
      </c>
      <c r="E7" t="s">
        <v>3149</v>
      </c>
      <c r="F7" t="s">
        <v>3135</v>
      </c>
    </row>
    <row r="8" spans="1:7" x14ac:dyDescent="0.2">
      <c r="A8" t="s">
        <v>3150</v>
      </c>
      <c r="B8" t="s">
        <v>3151</v>
      </c>
      <c r="C8" t="s">
        <v>3152</v>
      </c>
      <c r="D8" t="s">
        <v>3121</v>
      </c>
      <c r="E8" t="s">
        <v>3153</v>
      </c>
      <c r="F8" t="s">
        <v>258</v>
      </c>
    </row>
    <row r="9" spans="1:7" x14ac:dyDescent="0.2">
      <c r="A9" t="s">
        <v>3154</v>
      </c>
      <c r="B9" t="s">
        <v>3155</v>
      </c>
      <c r="C9" t="s">
        <v>3156</v>
      </c>
      <c r="D9" t="s">
        <v>3121</v>
      </c>
      <c r="E9" t="s">
        <v>3157</v>
      </c>
      <c r="F9" t="s">
        <v>399</v>
      </c>
    </row>
    <row r="11" spans="1:7" x14ac:dyDescent="0.2">
      <c r="A11" s="152" t="s">
        <v>3158</v>
      </c>
    </row>
    <row r="12" spans="1:7" x14ac:dyDescent="0.2">
      <c r="A12" s="152" t="s">
        <v>3159</v>
      </c>
      <c r="B12" s="152" t="s">
        <v>3160</v>
      </c>
      <c r="C12" s="152" t="s">
        <v>2525</v>
      </c>
      <c r="D12" s="152" t="s">
        <v>3161</v>
      </c>
      <c r="E12" s="152" t="s">
        <v>3162</v>
      </c>
      <c r="F12" s="152" t="s">
        <v>3163</v>
      </c>
      <c r="G12" s="152" t="s">
        <v>3164</v>
      </c>
    </row>
    <row r="13" spans="1:7" x14ac:dyDescent="0.2">
      <c r="A13" t="s">
        <v>3165</v>
      </c>
      <c r="B13" t="s">
        <v>3166</v>
      </c>
      <c r="C13" t="s">
        <v>3167</v>
      </c>
      <c r="D13" t="s">
        <v>3168</v>
      </c>
      <c r="E13" t="s">
        <v>3169</v>
      </c>
      <c r="F13" t="s">
        <v>3170</v>
      </c>
      <c r="G13" t="s">
        <v>3171</v>
      </c>
    </row>
    <row r="14" spans="1:7" x14ac:dyDescent="0.2">
      <c r="A14" t="s">
        <v>3165</v>
      </c>
      <c r="B14" t="s">
        <v>3172</v>
      </c>
      <c r="C14" t="s">
        <v>3173</v>
      </c>
      <c r="D14" t="s">
        <v>3174</v>
      </c>
      <c r="E14" t="s">
        <v>3175</v>
      </c>
      <c r="F14" t="s">
        <v>3176</v>
      </c>
      <c r="G14" t="s">
        <v>3177</v>
      </c>
    </row>
    <row r="15" spans="1:7" x14ac:dyDescent="0.2">
      <c r="A15" t="s">
        <v>3178</v>
      </c>
      <c r="B15" t="s">
        <v>3179</v>
      </c>
      <c r="C15" t="s">
        <v>3180</v>
      </c>
      <c r="D15" t="s">
        <v>3181</v>
      </c>
      <c r="E15" t="s">
        <v>3181</v>
      </c>
      <c r="F15" t="s">
        <v>3182</v>
      </c>
      <c r="G15" t="s">
        <v>3183</v>
      </c>
    </row>
    <row r="16" spans="1:7" x14ac:dyDescent="0.2">
      <c r="A16" t="s">
        <v>3178</v>
      </c>
      <c r="B16" t="s">
        <v>3184</v>
      </c>
      <c r="C16" t="s">
        <v>3185</v>
      </c>
      <c r="D16" t="s">
        <v>3181</v>
      </c>
      <c r="E16" t="s">
        <v>3181</v>
      </c>
      <c r="F16" t="s">
        <v>3186</v>
      </c>
      <c r="G16" t="s">
        <v>3187</v>
      </c>
    </row>
    <row r="18" spans="1:7" x14ac:dyDescent="0.2">
      <c r="A18" s="154" t="s">
        <v>3188</v>
      </c>
    </row>
    <row r="20" spans="1:7" x14ac:dyDescent="0.2">
      <c r="A20" s="158" t="s">
        <v>3189</v>
      </c>
      <c r="B20" s="158"/>
      <c r="C20" s="158"/>
      <c r="D20" s="158"/>
      <c r="E20" s="158"/>
      <c r="F20" s="158"/>
      <c r="G20" s="158"/>
    </row>
    <row r="21" spans="1:7" x14ac:dyDescent="0.2">
      <c r="A21" s="158" t="s">
        <v>3190</v>
      </c>
      <c r="B21" t="s">
        <v>3191</v>
      </c>
    </row>
    <row r="22" spans="1:7" x14ac:dyDescent="0.2">
      <c r="A22" t="s">
        <v>3192</v>
      </c>
      <c r="B22" t="s">
        <v>3193</v>
      </c>
    </row>
    <row r="23" spans="1:7" x14ac:dyDescent="0.2">
      <c r="A23" s="152" t="s">
        <v>3194</v>
      </c>
      <c r="B23" s="152" t="s">
        <v>3195</v>
      </c>
      <c r="C23" s="152" t="s">
        <v>3196</v>
      </c>
      <c r="D23" s="152" t="s">
        <v>3197</v>
      </c>
      <c r="E23" s="152" t="s">
        <v>3198</v>
      </c>
      <c r="F23" s="152" t="s">
        <v>2537</v>
      </c>
      <c r="G23" s="152"/>
    </row>
    <row r="24" spans="1:7" x14ac:dyDescent="0.2">
      <c r="A24" t="s">
        <v>3199</v>
      </c>
      <c r="B24" t="s">
        <v>3199</v>
      </c>
      <c r="C24" t="s">
        <v>3200</v>
      </c>
      <c r="D24" t="s">
        <v>3201</v>
      </c>
      <c r="E24" t="s">
        <v>3202</v>
      </c>
      <c r="F24" t="s">
        <v>3203</v>
      </c>
    </row>
    <row r="25" spans="1:7" x14ac:dyDescent="0.2">
      <c r="A25" t="s">
        <v>3204</v>
      </c>
      <c r="B25" t="s">
        <v>3204</v>
      </c>
      <c r="C25" t="s">
        <v>3205</v>
      </c>
      <c r="D25" t="s">
        <v>3206</v>
      </c>
      <c r="E25" t="s">
        <v>3207</v>
      </c>
      <c r="F25" t="s">
        <v>3208</v>
      </c>
    </row>
    <row r="26" spans="1:7" x14ac:dyDescent="0.2">
      <c r="A26" t="s">
        <v>3209</v>
      </c>
      <c r="B26" t="s">
        <v>3210</v>
      </c>
      <c r="C26" t="s">
        <v>3211</v>
      </c>
      <c r="D26" t="s">
        <v>3212</v>
      </c>
      <c r="E26" t="s">
        <v>3213</v>
      </c>
      <c r="F26" t="s">
        <v>3214</v>
      </c>
    </row>
    <row r="27" spans="1:7" x14ac:dyDescent="0.2">
      <c r="A27" t="s">
        <v>3215</v>
      </c>
      <c r="B27" t="s">
        <v>3215</v>
      </c>
      <c r="C27" t="s">
        <v>3200</v>
      </c>
      <c r="D27" t="s">
        <v>3216</v>
      </c>
      <c r="E27" t="s">
        <v>3217</v>
      </c>
      <c r="F27" t="s">
        <v>3218</v>
      </c>
    </row>
    <row r="28" spans="1:7" x14ac:dyDescent="0.2">
      <c r="A28" t="s">
        <v>3219</v>
      </c>
      <c r="B28" t="s">
        <v>3219</v>
      </c>
      <c r="C28" t="s">
        <v>3220</v>
      </c>
      <c r="D28" t="s">
        <v>3221</v>
      </c>
      <c r="E28" t="s">
        <v>3222</v>
      </c>
      <c r="F28" t="s">
        <v>3223</v>
      </c>
    </row>
    <row r="29" spans="1:7" x14ac:dyDescent="0.2">
      <c r="A29" t="s">
        <v>3224</v>
      </c>
      <c r="B29" t="s">
        <v>3224</v>
      </c>
      <c r="C29" t="s">
        <v>3200</v>
      </c>
      <c r="D29" t="s">
        <v>3225</v>
      </c>
      <c r="E29" t="s">
        <v>3226</v>
      </c>
      <c r="F29" t="s">
        <v>3227</v>
      </c>
    </row>
    <row r="30" spans="1:7" x14ac:dyDescent="0.2">
      <c r="A30" t="s">
        <v>3228</v>
      </c>
      <c r="B30" t="s">
        <v>3228</v>
      </c>
      <c r="C30" t="s">
        <v>3229</v>
      </c>
      <c r="D30" t="s">
        <v>3230</v>
      </c>
      <c r="E30" t="s">
        <v>3231</v>
      </c>
      <c r="F30" t="s">
        <v>3232</v>
      </c>
    </row>
    <row r="31" spans="1:7" x14ac:dyDescent="0.2">
      <c r="A31" t="s">
        <v>3233</v>
      </c>
      <c r="B31" t="s">
        <v>3234</v>
      </c>
      <c r="C31" t="s">
        <v>3200</v>
      </c>
      <c r="D31" t="s">
        <v>3235</v>
      </c>
      <c r="E31" t="s">
        <v>3236</v>
      </c>
      <c r="F31" t="s">
        <v>3237</v>
      </c>
    </row>
    <row r="32" spans="1:7" x14ac:dyDescent="0.2">
      <c r="A32" t="s">
        <v>3238</v>
      </c>
      <c r="B32" t="s">
        <v>3239</v>
      </c>
      <c r="C32" t="s">
        <v>3240</v>
      </c>
      <c r="D32" t="s">
        <v>3241</v>
      </c>
      <c r="E32" t="s">
        <v>3242</v>
      </c>
      <c r="F32" t="s">
        <v>3243</v>
      </c>
    </row>
    <row r="33" spans="1:7" x14ac:dyDescent="0.2">
      <c r="A33" t="s">
        <v>3244</v>
      </c>
      <c r="B33" t="s">
        <v>3245</v>
      </c>
      <c r="C33" t="s">
        <v>3220</v>
      </c>
      <c r="D33" t="s">
        <v>3246</v>
      </c>
      <c r="E33" t="s">
        <v>3247</v>
      </c>
      <c r="F33" t="s">
        <v>3248</v>
      </c>
    </row>
    <row r="34" spans="1:7" x14ac:dyDescent="0.2">
      <c r="A34" t="s">
        <v>3249</v>
      </c>
      <c r="B34" t="s">
        <v>3250</v>
      </c>
      <c r="C34" t="s">
        <v>3220</v>
      </c>
      <c r="D34" t="s">
        <v>3251</v>
      </c>
      <c r="E34" t="s">
        <v>3252</v>
      </c>
      <c r="F34" t="s">
        <v>3253</v>
      </c>
    </row>
    <row r="35" spans="1:7" x14ac:dyDescent="0.2">
      <c r="A35" t="s">
        <v>3254</v>
      </c>
      <c r="B35" t="s">
        <v>3255</v>
      </c>
      <c r="C35" t="s">
        <v>3220</v>
      </c>
      <c r="D35" t="s">
        <v>3256</v>
      </c>
      <c r="E35" t="s">
        <v>3257</v>
      </c>
      <c r="F35" t="s">
        <v>3258</v>
      </c>
    </row>
    <row r="37" spans="1:7" x14ac:dyDescent="0.2">
      <c r="A37" s="161" t="s">
        <v>3259</v>
      </c>
      <c r="B37" t="s">
        <v>3121</v>
      </c>
    </row>
    <row r="38" spans="1:7" x14ac:dyDescent="0.2">
      <c r="A38" t="s">
        <v>3260</v>
      </c>
    </row>
    <row r="40" spans="1:7" x14ac:dyDescent="0.2">
      <c r="A40" s="161" t="s">
        <v>3261</v>
      </c>
      <c r="B40" t="s">
        <v>3121</v>
      </c>
    </row>
    <row r="41" spans="1:7" x14ac:dyDescent="0.2">
      <c r="A41" t="s">
        <v>3262</v>
      </c>
    </row>
    <row r="43" spans="1:7" x14ac:dyDescent="0.2">
      <c r="A43" s="161" t="s">
        <v>3263</v>
      </c>
      <c r="B43" t="s">
        <v>3121</v>
      </c>
    </row>
    <row r="44" spans="1:7" x14ac:dyDescent="0.2">
      <c r="A44" t="s">
        <v>3264</v>
      </c>
    </row>
    <row r="45" spans="1:7" x14ac:dyDescent="0.2">
      <c r="A45" t="s">
        <v>3265</v>
      </c>
      <c r="B45" t="s">
        <v>3266</v>
      </c>
      <c r="C45" t="s">
        <v>3267</v>
      </c>
      <c r="D45" t="s">
        <v>3268</v>
      </c>
      <c r="E45" t="s">
        <v>3269</v>
      </c>
      <c r="F45" t="s">
        <v>3270</v>
      </c>
      <c r="G45" t="s">
        <v>3271</v>
      </c>
    </row>
    <row r="46" spans="1:7" x14ac:dyDescent="0.2">
      <c r="A46" t="s">
        <v>3272</v>
      </c>
      <c r="B46" t="s">
        <v>3273</v>
      </c>
      <c r="D46" t="s">
        <v>3268</v>
      </c>
    </row>
    <row r="47" spans="1:7" x14ac:dyDescent="0.2">
      <c r="A47" t="s">
        <v>3268</v>
      </c>
      <c r="B47" t="s">
        <v>3122</v>
      </c>
      <c r="C47" t="s">
        <v>3274</v>
      </c>
      <c r="D47" t="s">
        <v>3275</v>
      </c>
      <c r="E47" t="s">
        <v>3276</v>
      </c>
      <c r="F47" t="s">
        <v>3277</v>
      </c>
      <c r="G47" t="s">
        <v>3268</v>
      </c>
    </row>
    <row r="48" spans="1:7" x14ac:dyDescent="0.2">
      <c r="A48" t="s">
        <v>3278</v>
      </c>
      <c r="B48" t="s">
        <v>3279</v>
      </c>
      <c r="C48" t="s">
        <v>3280</v>
      </c>
      <c r="D48" t="s">
        <v>3268</v>
      </c>
      <c r="E48" t="s">
        <v>3281</v>
      </c>
      <c r="F48" t="s">
        <v>3282</v>
      </c>
      <c r="G48" t="s">
        <v>3268</v>
      </c>
    </row>
    <row r="49" spans="1:7" x14ac:dyDescent="0.2">
      <c r="A49" t="s">
        <v>3283</v>
      </c>
      <c r="B49" t="s">
        <v>3284</v>
      </c>
      <c r="C49" t="s">
        <v>3285</v>
      </c>
      <c r="D49" t="s">
        <v>3268</v>
      </c>
      <c r="E49" t="s">
        <v>3286</v>
      </c>
      <c r="F49" t="s">
        <v>3287</v>
      </c>
      <c r="G49" t="s">
        <v>3268</v>
      </c>
    </row>
    <row r="50" spans="1:7" x14ac:dyDescent="0.2">
      <c r="A50" t="s">
        <v>3288</v>
      </c>
      <c r="B50" t="s">
        <v>3289</v>
      </c>
      <c r="C50" t="s">
        <v>3290</v>
      </c>
      <c r="D50" t="s">
        <v>3268</v>
      </c>
      <c r="E50" t="s">
        <v>3291</v>
      </c>
      <c r="F50" t="s">
        <v>3292</v>
      </c>
      <c r="G50" t="s">
        <v>3268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3"/>
  <sheetViews>
    <sheetView workbookViewId="0">
      <pane ySplit="1" topLeftCell="A2" activePane="bottomLeft" state="frozen"/>
      <selection pane="bottomLeft"/>
    </sheetView>
  </sheetViews>
  <sheetFormatPr baseColWidth="10" defaultColWidth="8.83203125" defaultRowHeight="15" x14ac:dyDescent="0.2"/>
  <cols>
    <col min="1" max="2" width="62" customWidth="1"/>
    <col min="3" max="3" width="27" customWidth="1"/>
    <col min="4" max="4" width="5" customWidth="1"/>
    <col min="5" max="7" width="62" customWidth="1"/>
    <col min="8" max="8" width="10" customWidth="1"/>
    <col min="9" max="9" width="9" customWidth="1"/>
    <col min="10" max="10" width="10" customWidth="1"/>
    <col min="11" max="12" width="9" customWidth="1"/>
    <col min="13" max="13" width="62" customWidth="1"/>
    <col min="14" max="14" width="21" customWidth="1"/>
    <col min="15" max="15" width="42" customWidth="1"/>
    <col min="16" max="16" width="62" customWidth="1"/>
  </cols>
  <sheetData>
    <row r="1" spans="1:16" x14ac:dyDescent="0.2">
      <c r="A1" s="152" t="s">
        <v>0</v>
      </c>
      <c r="B1" s="152" t="s">
        <v>1</v>
      </c>
      <c r="C1" s="152" t="s">
        <v>2</v>
      </c>
      <c r="D1" s="152" t="s">
        <v>3</v>
      </c>
      <c r="E1" s="152" t="s">
        <v>4</v>
      </c>
      <c r="F1" s="152" t="s">
        <v>5</v>
      </c>
      <c r="G1" s="152" t="s">
        <v>6</v>
      </c>
      <c r="H1" s="152" t="s">
        <v>7</v>
      </c>
      <c r="I1" s="152" t="s">
        <v>8</v>
      </c>
      <c r="J1" s="152" t="s">
        <v>9</v>
      </c>
      <c r="K1" s="152" t="s">
        <v>10</v>
      </c>
      <c r="L1" s="152" t="s">
        <v>11</v>
      </c>
      <c r="M1" s="152" t="s">
        <v>12</v>
      </c>
      <c r="N1" s="152" t="s">
        <v>13</v>
      </c>
      <c r="O1" s="152" t="s">
        <v>14</v>
      </c>
      <c r="P1" s="152" t="s">
        <v>15</v>
      </c>
    </row>
    <row r="2" spans="1:16" x14ac:dyDescent="0.2">
      <c r="A2" t="s">
        <v>16</v>
      </c>
      <c r="B2" t="s">
        <v>17</v>
      </c>
      <c r="C2" t="s">
        <v>18</v>
      </c>
      <c r="D2" t="s">
        <v>17</v>
      </c>
      <c r="F2" t="s">
        <v>19</v>
      </c>
      <c r="N2" t="s">
        <v>20</v>
      </c>
      <c r="O2" t="s">
        <v>21</v>
      </c>
    </row>
    <row r="3" spans="1:16" x14ac:dyDescent="0.2">
      <c r="A3" t="s">
        <v>22</v>
      </c>
      <c r="B3" t="s">
        <v>23</v>
      </c>
      <c r="C3" t="s">
        <v>18</v>
      </c>
      <c r="D3" t="s">
        <v>17</v>
      </c>
      <c r="F3" t="s">
        <v>24</v>
      </c>
      <c r="N3" t="s">
        <v>20</v>
      </c>
      <c r="O3" t="s">
        <v>25</v>
      </c>
      <c r="P3" t="s">
        <v>26</v>
      </c>
    </row>
    <row r="4" spans="1:16" x14ac:dyDescent="0.2">
      <c r="A4" t="s">
        <v>27</v>
      </c>
      <c r="B4" t="s">
        <v>28</v>
      </c>
      <c r="C4" t="s">
        <v>18</v>
      </c>
      <c r="N4" t="s">
        <v>20</v>
      </c>
      <c r="O4" t="s">
        <v>21</v>
      </c>
      <c r="P4" t="s">
        <v>29</v>
      </c>
    </row>
    <row r="5" spans="1:16" x14ac:dyDescent="0.2">
      <c r="A5" t="s">
        <v>30</v>
      </c>
      <c r="B5" t="s">
        <v>31</v>
      </c>
      <c r="C5" t="s">
        <v>18</v>
      </c>
      <c r="N5" t="s">
        <v>20</v>
      </c>
      <c r="O5" t="s">
        <v>21</v>
      </c>
      <c r="P5" t="s">
        <v>32</v>
      </c>
    </row>
    <row r="6" spans="1:16" x14ac:dyDescent="0.2">
      <c r="A6" t="s">
        <v>33</v>
      </c>
      <c r="B6" t="s">
        <v>34</v>
      </c>
      <c r="C6" t="s">
        <v>18</v>
      </c>
      <c r="F6" t="s">
        <v>35</v>
      </c>
      <c r="N6" t="s">
        <v>20</v>
      </c>
      <c r="O6" t="s">
        <v>21</v>
      </c>
    </row>
    <row r="7" spans="1:16" x14ac:dyDescent="0.2">
      <c r="A7" t="s">
        <v>36</v>
      </c>
      <c r="B7" t="s">
        <v>37</v>
      </c>
      <c r="C7" t="s">
        <v>18</v>
      </c>
      <c r="E7" t="s">
        <v>38</v>
      </c>
      <c r="F7" t="s">
        <v>35</v>
      </c>
      <c r="N7" t="s">
        <v>39</v>
      </c>
      <c r="O7" t="s">
        <v>40</v>
      </c>
    </row>
    <row r="8" spans="1:16" x14ac:dyDescent="0.2">
      <c r="A8" t="s">
        <v>41</v>
      </c>
      <c r="B8" t="s">
        <v>42</v>
      </c>
      <c r="C8" t="s">
        <v>18</v>
      </c>
      <c r="E8" t="s">
        <v>43</v>
      </c>
      <c r="F8" t="s">
        <v>35</v>
      </c>
      <c r="G8" t="s">
        <v>44</v>
      </c>
      <c r="N8" t="s">
        <v>39</v>
      </c>
      <c r="O8" t="s">
        <v>40</v>
      </c>
    </row>
    <row r="9" spans="1:16" x14ac:dyDescent="0.2">
      <c r="A9" t="s">
        <v>45</v>
      </c>
      <c r="B9" t="s">
        <v>46</v>
      </c>
      <c r="C9" t="s">
        <v>47</v>
      </c>
      <c r="D9" t="s">
        <v>42</v>
      </c>
      <c r="E9" t="s">
        <v>48</v>
      </c>
      <c r="F9" t="s">
        <v>35</v>
      </c>
      <c r="G9" t="s">
        <v>49</v>
      </c>
      <c r="K9" t="s">
        <v>50</v>
      </c>
      <c r="L9" t="s">
        <v>51</v>
      </c>
      <c r="M9" t="s">
        <v>52</v>
      </c>
      <c r="N9" t="s">
        <v>39</v>
      </c>
      <c r="O9" t="s">
        <v>40</v>
      </c>
      <c r="P9" t="s">
        <v>53</v>
      </c>
    </row>
    <row r="10" spans="1:16" x14ac:dyDescent="0.2">
      <c r="A10" t="s">
        <v>54</v>
      </c>
      <c r="B10" t="s">
        <v>55</v>
      </c>
      <c r="D10" t="s">
        <v>42</v>
      </c>
      <c r="F10" t="s">
        <v>35</v>
      </c>
      <c r="N10" t="s">
        <v>39</v>
      </c>
      <c r="O10" t="s">
        <v>40</v>
      </c>
    </row>
    <row r="11" spans="1:16" x14ac:dyDescent="0.2">
      <c r="A11" t="s">
        <v>56</v>
      </c>
      <c r="B11" t="s">
        <v>57</v>
      </c>
      <c r="C11" t="s">
        <v>47</v>
      </c>
      <c r="D11" t="s">
        <v>42</v>
      </c>
      <c r="E11" t="s">
        <v>58</v>
      </c>
      <c r="F11" t="s">
        <v>35</v>
      </c>
      <c r="G11" t="s">
        <v>59</v>
      </c>
      <c r="N11" t="s">
        <v>20</v>
      </c>
      <c r="O11" t="s">
        <v>40</v>
      </c>
    </row>
    <row r="12" spans="1:16" x14ac:dyDescent="0.2">
      <c r="A12" t="s">
        <v>60</v>
      </c>
      <c r="B12" t="s">
        <v>61</v>
      </c>
      <c r="C12" t="s">
        <v>62</v>
      </c>
      <c r="D12" t="s">
        <v>42</v>
      </c>
      <c r="K12" t="s">
        <v>50</v>
      </c>
      <c r="L12" t="s">
        <v>51</v>
      </c>
      <c r="M12" t="s">
        <v>63</v>
      </c>
      <c r="N12" t="s">
        <v>39</v>
      </c>
      <c r="O12" t="s">
        <v>40</v>
      </c>
    </row>
    <row r="13" spans="1:16" x14ac:dyDescent="0.2">
      <c r="A13" t="s">
        <v>64</v>
      </c>
      <c r="B13" t="s">
        <v>65</v>
      </c>
      <c r="C13" t="s">
        <v>47</v>
      </c>
      <c r="D13" t="s">
        <v>66</v>
      </c>
      <c r="E13" t="s">
        <v>67</v>
      </c>
      <c r="F13" t="s">
        <v>35</v>
      </c>
      <c r="G13" t="s">
        <v>68</v>
      </c>
      <c r="N13" t="s">
        <v>20</v>
      </c>
      <c r="O13" t="s">
        <v>40</v>
      </c>
      <c r="P13" t="s">
        <v>69</v>
      </c>
    </row>
    <row r="14" spans="1:16" x14ac:dyDescent="0.2">
      <c r="A14" t="s">
        <v>70</v>
      </c>
      <c r="B14" t="s">
        <v>71</v>
      </c>
      <c r="C14" t="s">
        <v>47</v>
      </c>
      <c r="D14" t="s">
        <v>66</v>
      </c>
      <c r="E14" t="s">
        <v>72</v>
      </c>
      <c r="F14" t="s">
        <v>35</v>
      </c>
      <c r="N14" t="s">
        <v>20</v>
      </c>
      <c r="P14" t="s">
        <v>73</v>
      </c>
    </row>
    <row r="15" spans="1:16" x14ac:dyDescent="0.2">
      <c r="A15" t="s">
        <v>74</v>
      </c>
      <c r="B15" t="s">
        <v>75</v>
      </c>
      <c r="C15" t="s">
        <v>47</v>
      </c>
      <c r="D15" t="s">
        <v>37</v>
      </c>
      <c r="E15" t="s">
        <v>76</v>
      </c>
      <c r="F15" t="s">
        <v>35</v>
      </c>
      <c r="G15" t="s">
        <v>77</v>
      </c>
      <c r="H15" t="s">
        <v>78</v>
      </c>
      <c r="I15" t="s">
        <v>79</v>
      </c>
      <c r="J15" t="s">
        <v>80</v>
      </c>
      <c r="N15" t="s">
        <v>39</v>
      </c>
      <c r="O15" t="s">
        <v>40</v>
      </c>
      <c r="P15" t="s">
        <v>81</v>
      </c>
    </row>
    <row r="16" spans="1:16" x14ac:dyDescent="0.2">
      <c r="A16" t="s">
        <v>82</v>
      </c>
      <c r="B16" t="s">
        <v>83</v>
      </c>
      <c r="C16" t="s">
        <v>84</v>
      </c>
      <c r="D16" t="s">
        <v>37</v>
      </c>
      <c r="F16" t="s">
        <v>85</v>
      </c>
      <c r="N16" t="s">
        <v>39</v>
      </c>
      <c r="O16" t="s">
        <v>86</v>
      </c>
      <c r="P16" t="s">
        <v>87</v>
      </c>
    </row>
    <row r="17" spans="1:16" x14ac:dyDescent="0.2">
      <c r="A17" t="s">
        <v>88</v>
      </c>
      <c r="B17" t="s">
        <v>89</v>
      </c>
      <c r="D17" t="s">
        <v>37</v>
      </c>
      <c r="E17" t="s">
        <v>76</v>
      </c>
      <c r="F17" t="s">
        <v>35</v>
      </c>
      <c r="G17" t="s">
        <v>90</v>
      </c>
      <c r="N17" t="s">
        <v>39</v>
      </c>
      <c r="O17" t="s">
        <v>86</v>
      </c>
      <c r="P17" t="s">
        <v>91</v>
      </c>
    </row>
    <row r="18" spans="1:16" x14ac:dyDescent="0.2">
      <c r="A18" t="s">
        <v>92</v>
      </c>
      <c r="B18" t="s">
        <v>93</v>
      </c>
      <c r="D18" t="s">
        <v>37</v>
      </c>
      <c r="N18" t="s">
        <v>39</v>
      </c>
      <c r="O18" t="s">
        <v>86</v>
      </c>
      <c r="P18" t="s">
        <v>94</v>
      </c>
    </row>
    <row r="19" spans="1:16" x14ac:dyDescent="0.2">
      <c r="A19" t="s">
        <v>95</v>
      </c>
      <c r="B19" t="s">
        <v>96</v>
      </c>
      <c r="D19" t="s">
        <v>34</v>
      </c>
      <c r="F19" t="s">
        <v>35</v>
      </c>
      <c r="G19" t="s">
        <v>97</v>
      </c>
      <c r="K19" t="s">
        <v>98</v>
      </c>
      <c r="M19" t="s">
        <v>99</v>
      </c>
      <c r="N19" t="s">
        <v>20</v>
      </c>
      <c r="O19" t="s">
        <v>40</v>
      </c>
    </row>
    <row r="20" spans="1:16" x14ac:dyDescent="0.2">
      <c r="A20" t="s">
        <v>74</v>
      </c>
      <c r="B20" t="s">
        <v>75</v>
      </c>
      <c r="C20" t="s">
        <v>47</v>
      </c>
      <c r="D20" t="s">
        <v>37</v>
      </c>
      <c r="F20" t="s">
        <v>35</v>
      </c>
      <c r="H20" t="s">
        <v>100</v>
      </c>
      <c r="I20" t="s">
        <v>101</v>
      </c>
      <c r="J20" t="s">
        <v>80</v>
      </c>
      <c r="N20" t="s">
        <v>20</v>
      </c>
      <c r="O20" t="s">
        <v>40</v>
      </c>
    </row>
    <row r="21" spans="1:16" x14ac:dyDescent="0.2">
      <c r="A21" t="s">
        <v>102</v>
      </c>
      <c r="B21" t="s">
        <v>46</v>
      </c>
      <c r="C21" t="s">
        <v>47</v>
      </c>
      <c r="D21" t="s">
        <v>42</v>
      </c>
      <c r="E21" t="s">
        <v>103</v>
      </c>
      <c r="N21" t="s">
        <v>39</v>
      </c>
      <c r="O21" t="s">
        <v>40</v>
      </c>
    </row>
    <row r="22" spans="1:16" x14ac:dyDescent="0.2">
      <c r="A22" t="s">
        <v>104</v>
      </c>
      <c r="B22" t="s">
        <v>105</v>
      </c>
      <c r="D22" t="s">
        <v>34</v>
      </c>
      <c r="F22" t="s">
        <v>35</v>
      </c>
      <c r="G22" t="s">
        <v>106</v>
      </c>
      <c r="K22" t="s">
        <v>107</v>
      </c>
      <c r="M22" t="s">
        <v>99</v>
      </c>
      <c r="N22" t="s">
        <v>20</v>
      </c>
      <c r="O22" t="s">
        <v>40</v>
      </c>
    </row>
    <row r="23" spans="1:16" x14ac:dyDescent="0.2">
      <c r="A23" t="s">
        <v>108</v>
      </c>
      <c r="B23" t="s">
        <v>109</v>
      </c>
      <c r="C23" t="s">
        <v>47</v>
      </c>
      <c r="D23" t="s">
        <v>37</v>
      </c>
      <c r="F23" t="s">
        <v>35</v>
      </c>
      <c r="H23" t="s">
        <v>110</v>
      </c>
      <c r="I23" t="s">
        <v>111</v>
      </c>
      <c r="J23" t="s">
        <v>80</v>
      </c>
      <c r="N23" t="s">
        <v>20</v>
      </c>
      <c r="O23" t="s">
        <v>40</v>
      </c>
    </row>
    <row r="24" spans="1:16" x14ac:dyDescent="0.2">
      <c r="A24" t="s">
        <v>112</v>
      </c>
      <c r="B24" t="s">
        <v>113</v>
      </c>
      <c r="C24" t="s">
        <v>47</v>
      </c>
      <c r="D24" t="s">
        <v>114</v>
      </c>
      <c r="E24" t="s">
        <v>115</v>
      </c>
      <c r="N24" t="s">
        <v>39</v>
      </c>
      <c r="O24" t="s">
        <v>40</v>
      </c>
    </row>
    <row r="25" spans="1:16" x14ac:dyDescent="0.2">
      <c r="A25" t="s">
        <v>116</v>
      </c>
      <c r="B25" t="s">
        <v>117</v>
      </c>
      <c r="D25" t="s">
        <v>34</v>
      </c>
      <c r="F25" t="s">
        <v>35</v>
      </c>
      <c r="G25" t="s">
        <v>118</v>
      </c>
      <c r="K25" t="s">
        <v>119</v>
      </c>
      <c r="M25" t="s">
        <v>99</v>
      </c>
      <c r="N25" t="s">
        <v>20</v>
      </c>
      <c r="O25" t="s">
        <v>40</v>
      </c>
    </row>
    <row r="26" spans="1:16" x14ac:dyDescent="0.2">
      <c r="A26" t="s">
        <v>120</v>
      </c>
      <c r="B26" t="s">
        <v>121</v>
      </c>
      <c r="C26" t="s">
        <v>47</v>
      </c>
      <c r="D26" t="s">
        <v>37</v>
      </c>
      <c r="F26" t="s">
        <v>35</v>
      </c>
      <c r="H26" t="s">
        <v>122</v>
      </c>
      <c r="I26" t="s">
        <v>123</v>
      </c>
      <c r="J26" t="s">
        <v>80</v>
      </c>
      <c r="N26" t="s">
        <v>20</v>
      </c>
      <c r="O26" t="s">
        <v>40</v>
      </c>
    </row>
    <row r="27" spans="1:16" x14ac:dyDescent="0.2">
      <c r="A27" t="s">
        <v>124</v>
      </c>
      <c r="B27" t="s">
        <v>125</v>
      </c>
      <c r="C27" t="s">
        <v>47</v>
      </c>
      <c r="D27" t="s">
        <v>126</v>
      </c>
      <c r="E27" t="s">
        <v>127</v>
      </c>
      <c r="N27" t="s">
        <v>39</v>
      </c>
      <c r="O27" t="s">
        <v>40</v>
      </c>
    </row>
    <row r="28" spans="1:16" x14ac:dyDescent="0.2">
      <c r="A28" t="s">
        <v>128</v>
      </c>
      <c r="B28" t="s">
        <v>129</v>
      </c>
      <c r="D28" t="s">
        <v>34</v>
      </c>
      <c r="F28" t="s">
        <v>35</v>
      </c>
      <c r="G28" t="s">
        <v>130</v>
      </c>
      <c r="K28" t="s">
        <v>131</v>
      </c>
      <c r="M28" t="s">
        <v>99</v>
      </c>
      <c r="N28" t="s">
        <v>20</v>
      </c>
      <c r="O28" t="s">
        <v>40</v>
      </c>
    </row>
    <row r="29" spans="1:16" x14ac:dyDescent="0.2">
      <c r="A29" t="s">
        <v>132</v>
      </c>
      <c r="B29" t="s">
        <v>133</v>
      </c>
      <c r="C29" t="s">
        <v>47</v>
      </c>
      <c r="D29" t="s">
        <v>37</v>
      </c>
      <c r="F29" t="s">
        <v>35</v>
      </c>
      <c r="H29" t="s">
        <v>134</v>
      </c>
      <c r="I29" t="s">
        <v>135</v>
      </c>
      <c r="J29" t="s">
        <v>80</v>
      </c>
      <c r="N29" t="s">
        <v>20</v>
      </c>
      <c r="O29" t="s">
        <v>40</v>
      </c>
    </row>
    <row r="30" spans="1:16" x14ac:dyDescent="0.2">
      <c r="A30" t="s">
        <v>136</v>
      </c>
      <c r="B30" t="s">
        <v>137</v>
      </c>
      <c r="C30" t="s">
        <v>47</v>
      </c>
      <c r="D30" t="s">
        <v>138</v>
      </c>
      <c r="E30" t="s">
        <v>139</v>
      </c>
      <c r="N30" t="s">
        <v>39</v>
      </c>
      <c r="O30" t="s">
        <v>40</v>
      </c>
    </row>
    <row r="31" spans="1:16" x14ac:dyDescent="0.2">
      <c r="A31" t="s">
        <v>140</v>
      </c>
      <c r="B31" t="s">
        <v>141</v>
      </c>
      <c r="D31" t="s">
        <v>34</v>
      </c>
      <c r="F31" t="s">
        <v>35</v>
      </c>
      <c r="G31" t="s">
        <v>142</v>
      </c>
      <c r="K31" t="s">
        <v>143</v>
      </c>
      <c r="M31" t="s">
        <v>99</v>
      </c>
      <c r="N31" t="s">
        <v>20</v>
      </c>
      <c r="O31" t="s">
        <v>40</v>
      </c>
    </row>
    <row r="32" spans="1:16" x14ac:dyDescent="0.2">
      <c r="A32" t="s">
        <v>144</v>
      </c>
      <c r="B32" t="s">
        <v>145</v>
      </c>
      <c r="C32" t="s">
        <v>47</v>
      </c>
      <c r="D32" t="s">
        <v>37</v>
      </c>
      <c r="F32" t="s">
        <v>35</v>
      </c>
      <c r="H32" t="s">
        <v>146</v>
      </c>
      <c r="I32" t="s">
        <v>147</v>
      </c>
      <c r="J32" t="s">
        <v>80</v>
      </c>
      <c r="N32" t="s">
        <v>20</v>
      </c>
      <c r="O32" t="s">
        <v>40</v>
      </c>
    </row>
    <row r="33" spans="1:15" x14ac:dyDescent="0.2">
      <c r="A33" t="s">
        <v>148</v>
      </c>
      <c r="B33" t="s">
        <v>149</v>
      </c>
      <c r="C33" t="s">
        <v>47</v>
      </c>
      <c r="D33" t="s">
        <v>150</v>
      </c>
      <c r="E33" t="s">
        <v>151</v>
      </c>
      <c r="N33" t="s">
        <v>39</v>
      </c>
      <c r="O33" t="s">
        <v>40</v>
      </c>
    </row>
    <row r="34" spans="1:15" x14ac:dyDescent="0.2">
      <c r="A34" t="s">
        <v>152</v>
      </c>
      <c r="B34" t="s">
        <v>57</v>
      </c>
      <c r="C34" t="s">
        <v>47</v>
      </c>
      <c r="D34" t="s">
        <v>42</v>
      </c>
      <c r="E34" t="s">
        <v>153</v>
      </c>
      <c r="F34" t="s">
        <v>154</v>
      </c>
      <c r="G34" t="s">
        <v>59</v>
      </c>
      <c r="N34" t="s">
        <v>20</v>
      </c>
      <c r="O34" t="s">
        <v>40</v>
      </c>
    </row>
    <row r="35" spans="1:15" x14ac:dyDescent="0.2">
      <c r="A35" t="s">
        <v>155</v>
      </c>
      <c r="B35" t="s">
        <v>156</v>
      </c>
      <c r="D35" t="s">
        <v>157</v>
      </c>
      <c r="E35" t="s">
        <v>158</v>
      </c>
      <c r="F35" t="s">
        <v>159</v>
      </c>
      <c r="G35" t="s">
        <v>160</v>
      </c>
      <c r="H35" t="s">
        <v>161</v>
      </c>
      <c r="I35" t="s">
        <v>162</v>
      </c>
      <c r="J35" t="s">
        <v>80</v>
      </c>
      <c r="M35" t="s">
        <v>163</v>
      </c>
      <c r="N35" t="s">
        <v>20</v>
      </c>
      <c r="O35" t="s">
        <v>164</v>
      </c>
    </row>
    <row r="36" spans="1:15" x14ac:dyDescent="0.2">
      <c r="A36" t="s">
        <v>165</v>
      </c>
      <c r="B36" t="s">
        <v>126</v>
      </c>
      <c r="C36" t="s">
        <v>166</v>
      </c>
      <c r="D36" t="s">
        <v>157</v>
      </c>
      <c r="F36" t="s">
        <v>167</v>
      </c>
      <c r="N36" t="s">
        <v>20</v>
      </c>
      <c r="O36" t="s">
        <v>168</v>
      </c>
    </row>
    <row r="37" spans="1:15" x14ac:dyDescent="0.2">
      <c r="A37" t="s">
        <v>169</v>
      </c>
      <c r="B37" t="s">
        <v>170</v>
      </c>
      <c r="C37" t="s">
        <v>171</v>
      </c>
      <c r="D37" t="s">
        <v>157</v>
      </c>
      <c r="N37" t="s">
        <v>20</v>
      </c>
      <c r="O37" t="s">
        <v>168</v>
      </c>
    </row>
    <row r="38" spans="1:15" x14ac:dyDescent="0.2">
      <c r="A38" t="s">
        <v>172</v>
      </c>
      <c r="B38" t="s">
        <v>173</v>
      </c>
      <c r="C38" t="s">
        <v>166</v>
      </c>
      <c r="D38" t="s">
        <v>157</v>
      </c>
      <c r="F38" t="s">
        <v>167</v>
      </c>
      <c r="N38" t="s">
        <v>20</v>
      </c>
      <c r="O38" t="s">
        <v>168</v>
      </c>
    </row>
    <row r="39" spans="1:15" x14ac:dyDescent="0.2">
      <c r="A39" t="s">
        <v>174</v>
      </c>
      <c r="B39" t="s">
        <v>175</v>
      </c>
      <c r="C39" t="s">
        <v>171</v>
      </c>
      <c r="D39" t="s">
        <v>157</v>
      </c>
      <c r="N39" t="s">
        <v>20</v>
      </c>
      <c r="O39" t="s">
        <v>168</v>
      </c>
    </row>
    <row r="40" spans="1:15" x14ac:dyDescent="0.2">
      <c r="A40" t="s">
        <v>176</v>
      </c>
      <c r="B40" t="s">
        <v>177</v>
      </c>
      <c r="C40" t="s">
        <v>166</v>
      </c>
      <c r="D40" t="s">
        <v>157</v>
      </c>
      <c r="F40" t="s">
        <v>167</v>
      </c>
      <c r="N40" t="s">
        <v>20</v>
      </c>
      <c r="O40" t="s">
        <v>168</v>
      </c>
    </row>
    <row r="41" spans="1:15" x14ac:dyDescent="0.2">
      <c r="A41" t="s">
        <v>178</v>
      </c>
      <c r="B41" t="s">
        <v>179</v>
      </c>
      <c r="C41" t="s">
        <v>171</v>
      </c>
      <c r="D41" t="s">
        <v>157</v>
      </c>
      <c r="N41" t="s">
        <v>20</v>
      </c>
      <c r="O41" t="s">
        <v>168</v>
      </c>
    </row>
    <row r="42" spans="1:15" x14ac:dyDescent="0.2">
      <c r="A42" t="s">
        <v>180</v>
      </c>
      <c r="B42" t="s">
        <v>181</v>
      </c>
      <c r="C42" t="s">
        <v>166</v>
      </c>
      <c r="D42" t="s">
        <v>157</v>
      </c>
      <c r="F42" t="s">
        <v>167</v>
      </c>
      <c r="N42" t="s">
        <v>20</v>
      </c>
      <c r="O42" t="s">
        <v>168</v>
      </c>
    </row>
    <row r="43" spans="1:15" x14ac:dyDescent="0.2">
      <c r="A43" t="s">
        <v>182</v>
      </c>
      <c r="B43" t="s">
        <v>183</v>
      </c>
      <c r="C43" t="s">
        <v>171</v>
      </c>
      <c r="D43" t="s">
        <v>157</v>
      </c>
      <c r="N43" t="s">
        <v>20</v>
      </c>
      <c r="O43" t="s">
        <v>168</v>
      </c>
    </row>
    <row r="44" spans="1:15" x14ac:dyDescent="0.2">
      <c r="A44" t="s">
        <v>184</v>
      </c>
      <c r="B44" t="s">
        <v>185</v>
      </c>
      <c r="C44" t="s">
        <v>166</v>
      </c>
      <c r="D44" t="s">
        <v>157</v>
      </c>
      <c r="F44" t="s">
        <v>167</v>
      </c>
      <c r="N44" t="s">
        <v>20</v>
      </c>
      <c r="O44" t="s">
        <v>168</v>
      </c>
    </row>
    <row r="45" spans="1:15" x14ac:dyDescent="0.2">
      <c r="A45" t="s">
        <v>186</v>
      </c>
      <c r="B45" t="s">
        <v>187</v>
      </c>
      <c r="C45" t="s">
        <v>171</v>
      </c>
      <c r="D45" t="s">
        <v>157</v>
      </c>
      <c r="N45" t="s">
        <v>20</v>
      </c>
      <c r="O45" t="s">
        <v>168</v>
      </c>
    </row>
    <row r="46" spans="1:15" x14ac:dyDescent="0.2">
      <c r="A46" t="s">
        <v>188</v>
      </c>
      <c r="B46" t="s">
        <v>189</v>
      </c>
      <c r="C46" t="s">
        <v>166</v>
      </c>
      <c r="D46" t="s">
        <v>157</v>
      </c>
      <c r="F46" t="s">
        <v>167</v>
      </c>
      <c r="N46" t="s">
        <v>20</v>
      </c>
      <c r="O46" t="s">
        <v>168</v>
      </c>
    </row>
    <row r="47" spans="1:15" x14ac:dyDescent="0.2">
      <c r="A47" t="s">
        <v>190</v>
      </c>
      <c r="B47" t="s">
        <v>191</v>
      </c>
      <c r="C47" t="s">
        <v>171</v>
      </c>
      <c r="D47" t="s">
        <v>157</v>
      </c>
      <c r="N47" t="s">
        <v>20</v>
      </c>
      <c r="O47" t="s">
        <v>168</v>
      </c>
    </row>
    <row r="48" spans="1:15" x14ac:dyDescent="0.2">
      <c r="A48" t="s">
        <v>192</v>
      </c>
      <c r="B48" t="s">
        <v>193</v>
      </c>
      <c r="C48" t="s">
        <v>18</v>
      </c>
      <c r="F48" t="s">
        <v>194</v>
      </c>
      <c r="N48" t="s">
        <v>20</v>
      </c>
      <c r="O48" t="s">
        <v>168</v>
      </c>
    </row>
    <row r="49" spans="1:16" x14ac:dyDescent="0.2">
      <c r="A49" t="s">
        <v>195</v>
      </c>
      <c r="B49" t="s">
        <v>196</v>
      </c>
      <c r="C49" t="s">
        <v>171</v>
      </c>
      <c r="D49" t="s">
        <v>193</v>
      </c>
      <c r="F49" t="s">
        <v>197</v>
      </c>
      <c r="G49" t="s">
        <v>198</v>
      </c>
      <c r="N49" t="s">
        <v>20</v>
      </c>
      <c r="O49" t="s">
        <v>168</v>
      </c>
      <c r="P49" t="s">
        <v>199</v>
      </c>
    </row>
    <row r="50" spans="1:16" x14ac:dyDescent="0.2">
      <c r="A50" t="s">
        <v>200</v>
      </c>
      <c r="B50" t="s">
        <v>201</v>
      </c>
      <c r="C50" t="s">
        <v>171</v>
      </c>
      <c r="D50" t="s">
        <v>193</v>
      </c>
      <c r="N50" t="s">
        <v>20</v>
      </c>
      <c r="O50" t="s">
        <v>168</v>
      </c>
      <c r="P50" t="s">
        <v>202</v>
      </c>
    </row>
    <row r="51" spans="1:16" x14ac:dyDescent="0.2">
      <c r="A51" t="s">
        <v>203</v>
      </c>
      <c r="B51" t="s">
        <v>204</v>
      </c>
      <c r="C51" t="s">
        <v>62</v>
      </c>
      <c r="D51" t="s">
        <v>193</v>
      </c>
      <c r="H51" t="s">
        <v>205</v>
      </c>
      <c r="I51" t="s">
        <v>206</v>
      </c>
      <c r="J51" t="s">
        <v>80</v>
      </c>
      <c r="K51" t="s">
        <v>207</v>
      </c>
      <c r="M51" t="s">
        <v>208</v>
      </c>
      <c r="N51" t="s">
        <v>20</v>
      </c>
      <c r="O51" t="s">
        <v>168</v>
      </c>
    </row>
    <row r="52" spans="1:16" x14ac:dyDescent="0.2">
      <c r="A52" t="s">
        <v>209</v>
      </c>
      <c r="B52" t="s">
        <v>210</v>
      </c>
      <c r="C52" t="s">
        <v>47</v>
      </c>
      <c r="D52" t="s">
        <v>193</v>
      </c>
      <c r="E52" t="s">
        <v>211</v>
      </c>
      <c r="F52" t="s">
        <v>197</v>
      </c>
      <c r="G52" t="s">
        <v>212</v>
      </c>
      <c r="N52" t="s">
        <v>20</v>
      </c>
      <c r="O52" t="s">
        <v>168</v>
      </c>
    </row>
    <row r="53" spans="1:16" x14ac:dyDescent="0.2">
      <c r="A53" t="s">
        <v>213</v>
      </c>
      <c r="B53" t="s">
        <v>214</v>
      </c>
      <c r="C53" t="s">
        <v>47</v>
      </c>
      <c r="D53" t="s">
        <v>193</v>
      </c>
      <c r="E53" t="s">
        <v>215</v>
      </c>
      <c r="F53" t="s">
        <v>197</v>
      </c>
      <c r="G53" t="s">
        <v>216</v>
      </c>
      <c r="N53" t="s">
        <v>20</v>
      </c>
      <c r="O53" t="s">
        <v>168</v>
      </c>
      <c r="P53" t="s">
        <v>217</v>
      </c>
    </row>
    <row r="54" spans="1:16" x14ac:dyDescent="0.2">
      <c r="A54" t="s">
        <v>218</v>
      </c>
      <c r="B54" t="s">
        <v>219</v>
      </c>
      <c r="D54" t="s">
        <v>193</v>
      </c>
      <c r="K54" t="s">
        <v>219</v>
      </c>
      <c r="M54" t="s">
        <v>220</v>
      </c>
      <c r="N54" t="s">
        <v>20</v>
      </c>
      <c r="O54" t="s">
        <v>168</v>
      </c>
    </row>
    <row r="55" spans="1:16" x14ac:dyDescent="0.2">
      <c r="A55" t="s">
        <v>221</v>
      </c>
      <c r="B55" t="s">
        <v>222</v>
      </c>
      <c r="D55" t="s">
        <v>193</v>
      </c>
      <c r="K55" t="s">
        <v>222</v>
      </c>
      <c r="M55" t="s">
        <v>220</v>
      </c>
      <c r="N55" t="s">
        <v>20</v>
      </c>
      <c r="O55" t="s">
        <v>168</v>
      </c>
    </row>
    <row r="56" spans="1:16" x14ac:dyDescent="0.2">
      <c r="A56" t="s">
        <v>223</v>
      </c>
      <c r="B56" t="s">
        <v>224</v>
      </c>
      <c r="C56" t="s">
        <v>47</v>
      </c>
      <c r="D56" t="s">
        <v>225</v>
      </c>
      <c r="E56" t="s">
        <v>226</v>
      </c>
      <c r="F56" t="s">
        <v>197</v>
      </c>
      <c r="G56" t="s">
        <v>227</v>
      </c>
      <c r="K56" t="s">
        <v>228</v>
      </c>
      <c r="M56" t="s">
        <v>229</v>
      </c>
      <c r="N56" t="s">
        <v>20</v>
      </c>
      <c r="O56" t="s">
        <v>230</v>
      </c>
      <c r="P56" t="s">
        <v>231</v>
      </c>
    </row>
    <row r="57" spans="1:16" x14ac:dyDescent="0.2">
      <c r="A57" t="s">
        <v>232</v>
      </c>
      <c r="B57" t="s">
        <v>233</v>
      </c>
      <c r="C57" t="s">
        <v>47</v>
      </c>
      <c r="D57" t="s">
        <v>234</v>
      </c>
      <c r="E57" t="s">
        <v>235</v>
      </c>
      <c r="F57" t="s">
        <v>197</v>
      </c>
      <c r="G57" t="s">
        <v>227</v>
      </c>
      <c r="K57" t="s">
        <v>236</v>
      </c>
      <c r="M57" t="s">
        <v>237</v>
      </c>
      <c r="N57" t="s">
        <v>20</v>
      </c>
      <c r="O57" t="s">
        <v>230</v>
      </c>
      <c r="P57" t="s">
        <v>238</v>
      </c>
    </row>
    <row r="58" spans="1:16" x14ac:dyDescent="0.2">
      <c r="A58" t="s">
        <v>239</v>
      </c>
      <c r="B58" t="s">
        <v>240</v>
      </c>
      <c r="C58" t="s">
        <v>47</v>
      </c>
      <c r="D58" t="s">
        <v>241</v>
      </c>
      <c r="E58" t="s">
        <v>242</v>
      </c>
      <c r="F58" t="s">
        <v>197</v>
      </c>
      <c r="G58" t="s">
        <v>227</v>
      </c>
      <c r="K58" t="s">
        <v>243</v>
      </c>
      <c r="M58" t="s">
        <v>244</v>
      </c>
      <c r="N58" t="s">
        <v>20</v>
      </c>
      <c r="O58" t="s">
        <v>230</v>
      </c>
      <c r="P58" t="s">
        <v>245</v>
      </c>
    </row>
    <row r="59" spans="1:16" x14ac:dyDescent="0.2">
      <c r="A59" t="s">
        <v>246</v>
      </c>
      <c r="B59" t="s">
        <v>247</v>
      </c>
      <c r="C59" t="s">
        <v>47</v>
      </c>
      <c r="D59" t="s">
        <v>173</v>
      </c>
      <c r="E59" t="s">
        <v>248</v>
      </c>
      <c r="F59" t="s">
        <v>197</v>
      </c>
      <c r="G59" t="s">
        <v>227</v>
      </c>
      <c r="K59" t="s">
        <v>249</v>
      </c>
      <c r="M59" t="s">
        <v>250</v>
      </c>
      <c r="N59" t="s">
        <v>20</v>
      </c>
      <c r="O59" t="s">
        <v>230</v>
      </c>
      <c r="P59" t="s">
        <v>251</v>
      </c>
    </row>
    <row r="60" spans="1:16" x14ac:dyDescent="0.2">
      <c r="A60" t="s">
        <v>252</v>
      </c>
      <c r="B60" t="s">
        <v>253</v>
      </c>
      <c r="C60" t="s">
        <v>47</v>
      </c>
      <c r="D60" t="s">
        <v>254</v>
      </c>
      <c r="E60" t="s">
        <v>255</v>
      </c>
      <c r="F60" t="s">
        <v>256</v>
      </c>
      <c r="G60" t="s">
        <v>257</v>
      </c>
      <c r="N60" t="s">
        <v>39</v>
      </c>
      <c r="O60" t="s">
        <v>258</v>
      </c>
      <c r="P60" t="s">
        <v>259</v>
      </c>
    </row>
    <row r="61" spans="1:16" x14ac:dyDescent="0.2">
      <c r="A61" t="s">
        <v>260</v>
      </c>
      <c r="B61" t="s">
        <v>261</v>
      </c>
      <c r="C61" t="s">
        <v>262</v>
      </c>
      <c r="D61" t="s">
        <v>263</v>
      </c>
      <c r="F61" t="s">
        <v>256</v>
      </c>
      <c r="N61" t="s">
        <v>39</v>
      </c>
      <c r="O61" t="s">
        <v>258</v>
      </c>
      <c r="P61" t="s">
        <v>264</v>
      </c>
    </row>
    <row r="62" spans="1:16" x14ac:dyDescent="0.2">
      <c r="A62" t="s">
        <v>265</v>
      </c>
      <c r="B62" t="s">
        <v>266</v>
      </c>
      <c r="C62" t="s">
        <v>267</v>
      </c>
      <c r="F62" t="s">
        <v>256</v>
      </c>
      <c r="N62" t="s">
        <v>20</v>
      </c>
      <c r="O62" t="s">
        <v>258</v>
      </c>
    </row>
    <row r="63" spans="1:16" x14ac:dyDescent="0.2">
      <c r="A63" t="s">
        <v>268</v>
      </c>
      <c r="B63" t="s">
        <v>269</v>
      </c>
      <c r="C63" t="s">
        <v>47</v>
      </c>
      <c r="D63" t="s">
        <v>270</v>
      </c>
      <c r="E63" t="s">
        <v>255</v>
      </c>
      <c r="F63" t="s">
        <v>256</v>
      </c>
      <c r="G63" t="s">
        <v>257</v>
      </c>
      <c r="N63" t="s">
        <v>39</v>
      </c>
      <c r="O63" t="s">
        <v>258</v>
      </c>
      <c r="P63" t="s">
        <v>271</v>
      </c>
    </row>
    <row r="64" spans="1:16" x14ac:dyDescent="0.2">
      <c r="A64" t="s">
        <v>272</v>
      </c>
      <c r="B64" t="s">
        <v>273</v>
      </c>
      <c r="C64" t="s">
        <v>262</v>
      </c>
      <c r="D64" t="s">
        <v>274</v>
      </c>
      <c r="F64" t="s">
        <v>256</v>
      </c>
      <c r="N64" t="s">
        <v>39</v>
      </c>
      <c r="O64" t="s">
        <v>258</v>
      </c>
      <c r="P64" t="s">
        <v>275</v>
      </c>
    </row>
    <row r="65" spans="1:16" x14ac:dyDescent="0.2">
      <c r="A65" t="s">
        <v>276</v>
      </c>
      <c r="B65" t="s">
        <v>277</v>
      </c>
      <c r="C65" t="s">
        <v>267</v>
      </c>
      <c r="F65" t="s">
        <v>256</v>
      </c>
      <c r="N65" t="s">
        <v>20</v>
      </c>
      <c r="O65" t="s">
        <v>258</v>
      </c>
    </row>
    <row r="66" spans="1:16" x14ac:dyDescent="0.2">
      <c r="A66" t="s">
        <v>278</v>
      </c>
      <c r="B66" t="s">
        <v>279</v>
      </c>
      <c r="C66" t="s">
        <v>47</v>
      </c>
      <c r="D66" t="s">
        <v>280</v>
      </c>
      <c r="E66" t="s">
        <v>255</v>
      </c>
      <c r="F66" t="s">
        <v>256</v>
      </c>
      <c r="G66" t="s">
        <v>257</v>
      </c>
      <c r="N66" t="s">
        <v>39</v>
      </c>
      <c r="O66" t="s">
        <v>258</v>
      </c>
      <c r="P66" t="s">
        <v>281</v>
      </c>
    </row>
    <row r="67" spans="1:16" x14ac:dyDescent="0.2">
      <c r="A67" t="s">
        <v>282</v>
      </c>
      <c r="B67" t="s">
        <v>283</v>
      </c>
      <c r="C67" t="s">
        <v>262</v>
      </c>
      <c r="D67" t="s">
        <v>284</v>
      </c>
      <c r="F67" t="s">
        <v>256</v>
      </c>
      <c r="N67" t="s">
        <v>39</v>
      </c>
      <c r="O67" t="s">
        <v>258</v>
      </c>
      <c r="P67" t="s">
        <v>285</v>
      </c>
    </row>
    <row r="68" spans="1:16" x14ac:dyDescent="0.2">
      <c r="A68" t="s">
        <v>286</v>
      </c>
      <c r="B68" t="s">
        <v>287</v>
      </c>
      <c r="C68" t="s">
        <v>267</v>
      </c>
      <c r="F68" t="s">
        <v>256</v>
      </c>
      <c r="N68" t="s">
        <v>20</v>
      </c>
      <c r="O68" t="s">
        <v>258</v>
      </c>
    </row>
    <row r="69" spans="1:16" x14ac:dyDescent="0.2">
      <c r="A69" t="s">
        <v>288</v>
      </c>
      <c r="B69" t="s">
        <v>289</v>
      </c>
      <c r="C69" t="s">
        <v>47</v>
      </c>
      <c r="D69" t="s">
        <v>290</v>
      </c>
      <c r="E69" t="s">
        <v>255</v>
      </c>
      <c r="F69" t="s">
        <v>256</v>
      </c>
      <c r="G69" t="s">
        <v>257</v>
      </c>
      <c r="N69" t="s">
        <v>39</v>
      </c>
      <c r="O69" t="s">
        <v>258</v>
      </c>
      <c r="P69" t="s">
        <v>291</v>
      </c>
    </row>
    <row r="70" spans="1:16" x14ac:dyDescent="0.2">
      <c r="A70" t="s">
        <v>292</v>
      </c>
      <c r="B70" t="s">
        <v>293</v>
      </c>
      <c r="C70" t="s">
        <v>262</v>
      </c>
      <c r="D70" t="s">
        <v>284</v>
      </c>
      <c r="F70" t="s">
        <v>256</v>
      </c>
      <c r="N70" t="s">
        <v>39</v>
      </c>
      <c r="O70" t="s">
        <v>258</v>
      </c>
      <c r="P70" t="s">
        <v>294</v>
      </c>
    </row>
    <row r="71" spans="1:16" x14ac:dyDescent="0.2">
      <c r="A71" t="s">
        <v>295</v>
      </c>
      <c r="B71" t="s">
        <v>296</v>
      </c>
      <c r="C71" t="s">
        <v>267</v>
      </c>
      <c r="F71" t="s">
        <v>256</v>
      </c>
      <c r="N71" t="s">
        <v>20</v>
      </c>
      <c r="O71" t="s">
        <v>258</v>
      </c>
    </row>
    <row r="72" spans="1:16" x14ac:dyDescent="0.2">
      <c r="A72" t="s">
        <v>297</v>
      </c>
      <c r="B72" t="s">
        <v>298</v>
      </c>
      <c r="C72" t="s">
        <v>47</v>
      </c>
      <c r="D72" t="s">
        <v>299</v>
      </c>
      <c r="E72" t="s">
        <v>300</v>
      </c>
      <c r="F72" t="s">
        <v>301</v>
      </c>
      <c r="G72" t="s">
        <v>257</v>
      </c>
      <c r="N72" t="s">
        <v>39</v>
      </c>
      <c r="O72" t="s">
        <v>258</v>
      </c>
      <c r="P72" t="s">
        <v>302</v>
      </c>
    </row>
    <row r="73" spans="1:16" x14ac:dyDescent="0.2">
      <c r="A73" t="s">
        <v>303</v>
      </c>
      <c r="B73" t="s">
        <v>304</v>
      </c>
      <c r="C73" t="s">
        <v>262</v>
      </c>
      <c r="D73" t="s">
        <v>305</v>
      </c>
      <c r="F73" t="s">
        <v>301</v>
      </c>
      <c r="N73" t="s">
        <v>39</v>
      </c>
      <c r="O73" t="s">
        <v>258</v>
      </c>
      <c r="P73" t="s">
        <v>306</v>
      </c>
    </row>
    <row r="74" spans="1:16" x14ac:dyDescent="0.2">
      <c r="A74" t="s">
        <v>307</v>
      </c>
      <c r="B74" t="s">
        <v>308</v>
      </c>
      <c r="C74" t="s">
        <v>267</v>
      </c>
      <c r="F74" t="s">
        <v>301</v>
      </c>
      <c r="N74" t="s">
        <v>20</v>
      </c>
      <c r="O74" t="s">
        <v>258</v>
      </c>
    </row>
    <row r="75" spans="1:16" x14ac:dyDescent="0.2">
      <c r="A75" t="s">
        <v>309</v>
      </c>
      <c r="B75" t="s">
        <v>310</v>
      </c>
      <c r="C75" t="s">
        <v>47</v>
      </c>
      <c r="D75" t="s">
        <v>311</v>
      </c>
      <c r="E75" t="s">
        <v>300</v>
      </c>
      <c r="F75" t="s">
        <v>301</v>
      </c>
      <c r="G75" t="s">
        <v>257</v>
      </c>
      <c r="N75" t="s">
        <v>39</v>
      </c>
      <c r="O75" t="s">
        <v>258</v>
      </c>
      <c r="P75" t="s">
        <v>312</v>
      </c>
    </row>
    <row r="76" spans="1:16" x14ac:dyDescent="0.2">
      <c r="A76" t="s">
        <v>313</v>
      </c>
      <c r="B76" t="s">
        <v>314</v>
      </c>
      <c r="C76" t="s">
        <v>262</v>
      </c>
      <c r="D76" t="s">
        <v>177</v>
      </c>
      <c r="F76" t="s">
        <v>301</v>
      </c>
      <c r="N76" t="s">
        <v>39</v>
      </c>
      <c r="O76" t="s">
        <v>258</v>
      </c>
      <c r="P76" t="s">
        <v>315</v>
      </c>
    </row>
    <row r="77" spans="1:16" x14ac:dyDescent="0.2">
      <c r="A77" t="s">
        <v>316</v>
      </c>
      <c r="B77" t="s">
        <v>317</v>
      </c>
      <c r="C77" t="s">
        <v>267</v>
      </c>
      <c r="F77" t="s">
        <v>301</v>
      </c>
      <c r="N77" t="s">
        <v>20</v>
      </c>
      <c r="O77" t="s">
        <v>258</v>
      </c>
    </row>
    <row r="78" spans="1:16" x14ac:dyDescent="0.2">
      <c r="A78" t="s">
        <v>318</v>
      </c>
      <c r="B78" t="s">
        <v>279</v>
      </c>
      <c r="C78" t="s">
        <v>47</v>
      </c>
      <c r="D78" t="s">
        <v>280</v>
      </c>
      <c r="E78" t="s">
        <v>300</v>
      </c>
      <c r="F78" t="s">
        <v>301</v>
      </c>
      <c r="G78" t="s">
        <v>257</v>
      </c>
      <c r="N78" t="s">
        <v>39</v>
      </c>
      <c r="O78" t="s">
        <v>258</v>
      </c>
      <c r="P78" t="s">
        <v>281</v>
      </c>
    </row>
    <row r="79" spans="1:16" x14ac:dyDescent="0.2">
      <c r="A79" t="s">
        <v>319</v>
      </c>
      <c r="B79" t="s">
        <v>283</v>
      </c>
      <c r="C79" t="s">
        <v>262</v>
      </c>
      <c r="D79" t="s">
        <v>284</v>
      </c>
      <c r="F79" t="s">
        <v>301</v>
      </c>
      <c r="N79" t="s">
        <v>39</v>
      </c>
      <c r="O79" t="s">
        <v>258</v>
      </c>
      <c r="P79" t="s">
        <v>285</v>
      </c>
    </row>
    <row r="80" spans="1:16" x14ac:dyDescent="0.2">
      <c r="A80" t="s">
        <v>320</v>
      </c>
      <c r="B80" t="s">
        <v>287</v>
      </c>
      <c r="C80" t="s">
        <v>267</v>
      </c>
      <c r="F80" t="s">
        <v>301</v>
      </c>
      <c r="N80" t="s">
        <v>20</v>
      </c>
      <c r="O80" t="s">
        <v>258</v>
      </c>
    </row>
    <row r="81" spans="1:16" x14ac:dyDescent="0.2">
      <c r="A81" t="s">
        <v>321</v>
      </c>
      <c r="B81" t="s">
        <v>289</v>
      </c>
      <c r="C81" t="s">
        <v>47</v>
      </c>
      <c r="D81" t="s">
        <v>290</v>
      </c>
      <c r="E81" t="s">
        <v>300</v>
      </c>
      <c r="F81" t="s">
        <v>301</v>
      </c>
      <c r="G81" t="s">
        <v>257</v>
      </c>
      <c r="N81" t="s">
        <v>39</v>
      </c>
      <c r="O81" t="s">
        <v>258</v>
      </c>
      <c r="P81" t="s">
        <v>291</v>
      </c>
    </row>
    <row r="82" spans="1:16" x14ac:dyDescent="0.2">
      <c r="A82" t="s">
        <v>322</v>
      </c>
      <c r="B82" t="s">
        <v>293</v>
      </c>
      <c r="C82" t="s">
        <v>262</v>
      </c>
      <c r="D82" t="s">
        <v>284</v>
      </c>
      <c r="F82" t="s">
        <v>301</v>
      </c>
      <c r="N82" t="s">
        <v>39</v>
      </c>
      <c r="O82" t="s">
        <v>258</v>
      </c>
      <c r="P82" t="s">
        <v>294</v>
      </c>
    </row>
    <row r="83" spans="1:16" x14ac:dyDescent="0.2">
      <c r="A83" t="s">
        <v>323</v>
      </c>
      <c r="B83" t="s">
        <v>296</v>
      </c>
      <c r="C83" t="s">
        <v>267</v>
      </c>
      <c r="F83" t="s">
        <v>301</v>
      </c>
      <c r="N83" t="s">
        <v>20</v>
      </c>
      <c r="O83" t="s">
        <v>258</v>
      </c>
    </row>
    <row r="84" spans="1:16" x14ac:dyDescent="0.2">
      <c r="A84" t="s">
        <v>324</v>
      </c>
      <c r="B84" t="s">
        <v>325</v>
      </c>
      <c r="C84" t="s">
        <v>326</v>
      </c>
      <c r="D84" t="s">
        <v>327</v>
      </c>
      <c r="F84" t="s">
        <v>328</v>
      </c>
      <c r="G84" t="s">
        <v>329</v>
      </c>
      <c r="H84" t="s">
        <v>325</v>
      </c>
      <c r="I84" t="s">
        <v>325</v>
      </c>
      <c r="K84" t="s">
        <v>330</v>
      </c>
      <c r="N84" t="s">
        <v>39</v>
      </c>
      <c r="O84" t="s">
        <v>331</v>
      </c>
      <c r="P84" t="s">
        <v>332</v>
      </c>
    </row>
    <row r="85" spans="1:16" x14ac:dyDescent="0.2">
      <c r="A85" t="s">
        <v>333</v>
      </c>
      <c r="B85" t="s">
        <v>334</v>
      </c>
      <c r="C85" t="s">
        <v>326</v>
      </c>
      <c r="D85" t="s">
        <v>335</v>
      </c>
      <c r="F85" t="s">
        <v>328</v>
      </c>
      <c r="G85" t="s">
        <v>336</v>
      </c>
      <c r="H85" t="s">
        <v>337</v>
      </c>
      <c r="I85" t="s">
        <v>338</v>
      </c>
      <c r="K85" t="s">
        <v>339</v>
      </c>
      <c r="N85" t="s">
        <v>39</v>
      </c>
      <c r="O85" t="s">
        <v>331</v>
      </c>
      <c r="P85" t="s">
        <v>340</v>
      </c>
    </row>
    <row r="86" spans="1:16" x14ac:dyDescent="0.2">
      <c r="A86" t="s">
        <v>341</v>
      </c>
      <c r="B86" t="s">
        <v>342</v>
      </c>
      <c r="C86" t="s">
        <v>326</v>
      </c>
      <c r="D86" t="s">
        <v>225</v>
      </c>
      <c r="F86" t="s">
        <v>328</v>
      </c>
      <c r="G86" t="s">
        <v>329</v>
      </c>
      <c r="H86" t="s">
        <v>343</v>
      </c>
      <c r="I86" t="s">
        <v>325</v>
      </c>
      <c r="K86" t="s">
        <v>344</v>
      </c>
      <c r="N86" t="s">
        <v>39</v>
      </c>
      <c r="O86" t="s">
        <v>331</v>
      </c>
    </row>
    <row r="87" spans="1:16" x14ac:dyDescent="0.2">
      <c r="A87" t="s">
        <v>345</v>
      </c>
      <c r="B87" t="s">
        <v>346</v>
      </c>
      <c r="C87" t="s">
        <v>326</v>
      </c>
      <c r="D87" t="s">
        <v>347</v>
      </c>
      <c r="F87" t="s">
        <v>328</v>
      </c>
      <c r="G87" t="s">
        <v>336</v>
      </c>
      <c r="H87" t="s">
        <v>348</v>
      </c>
      <c r="I87" t="s">
        <v>349</v>
      </c>
      <c r="K87" t="s">
        <v>350</v>
      </c>
      <c r="N87" t="s">
        <v>39</v>
      </c>
      <c r="O87" t="s">
        <v>331</v>
      </c>
    </row>
    <row r="88" spans="1:16" x14ac:dyDescent="0.2">
      <c r="A88" t="s">
        <v>351</v>
      </c>
      <c r="B88" t="s">
        <v>352</v>
      </c>
      <c r="C88" t="s">
        <v>326</v>
      </c>
      <c r="D88" t="s">
        <v>353</v>
      </c>
      <c r="F88" t="s">
        <v>328</v>
      </c>
      <c r="G88" t="s">
        <v>329</v>
      </c>
      <c r="H88" t="s">
        <v>354</v>
      </c>
      <c r="I88" t="s">
        <v>355</v>
      </c>
      <c r="K88" t="s">
        <v>356</v>
      </c>
      <c r="N88" t="s">
        <v>39</v>
      </c>
      <c r="O88" t="s">
        <v>331</v>
      </c>
    </row>
    <row r="89" spans="1:16" x14ac:dyDescent="0.2">
      <c r="A89" t="s">
        <v>357</v>
      </c>
      <c r="B89" t="s">
        <v>358</v>
      </c>
      <c r="C89" t="s">
        <v>326</v>
      </c>
      <c r="D89" t="s">
        <v>335</v>
      </c>
      <c r="F89" t="s">
        <v>328</v>
      </c>
      <c r="G89" t="s">
        <v>336</v>
      </c>
      <c r="H89" t="s">
        <v>359</v>
      </c>
      <c r="I89" t="s">
        <v>360</v>
      </c>
      <c r="K89" t="s">
        <v>361</v>
      </c>
      <c r="N89" t="s">
        <v>39</v>
      </c>
      <c r="O89" t="s">
        <v>331</v>
      </c>
    </row>
    <row r="90" spans="1:16" x14ac:dyDescent="0.2">
      <c r="A90" t="s">
        <v>362</v>
      </c>
      <c r="B90" t="s">
        <v>363</v>
      </c>
      <c r="C90" t="s">
        <v>47</v>
      </c>
      <c r="D90" t="s">
        <v>364</v>
      </c>
      <c r="E90" t="s">
        <v>365</v>
      </c>
      <c r="F90" t="s">
        <v>366</v>
      </c>
      <c r="H90" t="s">
        <v>367</v>
      </c>
      <c r="I90" t="s">
        <v>368</v>
      </c>
      <c r="J90" t="s">
        <v>80</v>
      </c>
      <c r="N90" t="s">
        <v>20</v>
      </c>
      <c r="O90" t="s">
        <v>369</v>
      </c>
      <c r="P90" t="s">
        <v>370</v>
      </c>
    </row>
    <row r="91" spans="1:16" x14ac:dyDescent="0.2">
      <c r="A91" t="s">
        <v>371</v>
      </c>
      <c r="B91" t="s">
        <v>372</v>
      </c>
      <c r="C91" t="s">
        <v>47</v>
      </c>
      <c r="D91" t="s">
        <v>373</v>
      </c>
      <c r="E91" t="s">
        <v>374</v>
      </c>
      <c r="F91" t="s">
        <v>375</v>
      </c>
      <c r="N91" t="s">
        <v>20</v>
      </c>
      <c r="O91" t="s">
        <v>369</v>
      </c>
    </row>
    <row r="92" spans="1:16" x14ac:dyDescent="0.2">
      <c r="A92" t="s">
        <v>376</v>
      </c>
      <c r="B92" t="s">
        <v>377</v>
      </c>
      <c r="C92" t="s">
        <v>47</v>
      </c>
      <c r="D92" t="s">
        <v>364</v>
      </c>
      <c r="E92" t="s">
        <v>365</v>
      </c>
      <c r="F92" t="s">
        <v>366</v>
      </c>
      <c r="H92" t="s">
        <v>378</v>
      </c>
      <c r="I92" t="s">
        <v>379</v>
      </c>
      <c r="J92" t="s">
        <v>80</v>
      </c>
      <c r="N92" t="s">
        <v>20</v>
      </c>
      <c r="O92" t="s">
        <v>369</v>
      </c>
      <c r="P92" t="s">
        <v>380</v>
      </c>
    </row>
    <row r="93" spans="1:16" x14ac:dyDescent="0.2">
      <c r="A93" t="s">
        <v>381</v>
      </c>
      <c r="B93" t="s">
        <v>382</v>
      </c>
      <c r="C93" t="s">
        <v>47</v>
      </c>
      <c r="D93" t="s">
        <v>373</v>
      </c>
      <c r="E93" t="s">
        <v>374</v>
      </c>
      <c r="F93" t="s">
        <v>375</v>
      </c>
      <c r="N93" t="s">
        <v>20</v>
      </c>
      <c r="O93" t="s">
        <v>369</v>
      </c>
    </row>
    <row r="94" spans="1:16" x14ac:dyDescent="0.2">
      <c r="A94" t="s">
        <v>383</v>
      </c>
      <c r="B94" t="s">
        <v>384</v>
      </c>
      <c r="C94" t="s">
        <v>47</v>
      </c>
      <c r="D94" t="s">
        <v>364</v>
      </c>
      <c r="E94" t="s">
        <v>365</v>
      </c>
      <c r="F94" t="s">
        <v>366</v>
      </c>
      <c r="H94" t="s">
        <v>385</v>
      </c>
      <c r="I94" t="s">
        <v>386</v>
      </c>
      <c r="J94" t="s">
        <v>80</v>
      </c>
      <c r="N94" t="s">
        <v>20</v>
      </c>
      <c r="O94" t="s">
        <v>369</v>
      </c>
      <c r="P94" t="s">
        <v>387</v>
      </c>
    </row>
    <row r="95" spans="1:16" x14ac:dyDescent="0.2">
      <c r="A95" t="s">
        <v>388</v>
      </c>
      <c r="B95" t="s">
        <v>389</v>
      </c>
      <c r="C95" t="s">
        <v>47</v>
      </c>
      <c r="D95" t="s">
        <v>373</v>
      </c>
      <c r="E95" t="s">
        <v>374</v>
      </c>
      <c r="F95" t="s">
        <v>375</v>
      </c>
      <c r="N95" t="s">
        <v>20</v>
      </c>
      <c r="O95" t="s">
        <v>369</v>
      </c>
    </row>
    <row r="96" spans="1:16" x14ac:dyDescent="0.2">
      <c r="A96" t="s">
        <v>390</v>
      </c>
      <c r="B96" t="s">
        <v>391</v>
      </c>
      <c r="C96" t="s">
        <v>47</v>
      </c>
      <c r="D96" t="s">
        <v>364</v>
      </c>
      <c r="E96" t="s">
        <v>365</v>
      </c>
      <c r="F96" t="s">
        <v>366</v>
      </c>
      <c r="H96" t="s">
        <v>392</v>
      </c>
      <c r="I96" t="s">
        <v>393</v>
      </c>
      <c r="J96" t="s">
        <v>80</v>
      </c>
      <c r="N96" t="s">
        <v>20</v>
      </c>
      <c r="O96" t="s">
        <v>369</v>
      </c>
      <c r="P96" t="s">
        <v>394</v>
      </c>
    </row>
    <row r="97" spans="1:16" x14ac:dyDescent="0.2">
      <c r="A97" t="s">
        <v>395</v>
      </c>
      <c r="B97" t="s">
        <v>396</v>
      </c>
      <c r="C97" t="s">
        <v>47</v>
      </c>
      <c r="D97" t="s">
        <v>373</v>
      </c>
      <c r="E97" t="s">
        <v>374</v>
      </c>
      <c r="F97" t="s">
        <v>375</v>
      </c>
      <c r="N97" t="s">
        <v>20</v>
      </c>
      <c r="O97" t="s">
        <v>369</v>
      </c>
    </row>
    <row r="98" spans="1:16" x14ac:dyDescent="0.2">
      <c r="A98" t="s">
        <v>397</v>
      </c>
      <c r="B98" t="s">
        <v>398</v>
      </c>
      <c r="N98" t="s">
        <v>20</v>
      </c>
      <c r="O98" t="s">
        <v>399</v>
      </c>
    </row>
    <row r="99" spans="1:16" x14ac:dyDescent="0.2">
      <c r="A99" t="s">
        <v>400</v>
      </c>
      <c r="B99" t="s">
        <v>401</v>
      </c>
      <c r="N99" t="s">
        <v>20</v>
      </c>
      <c r="O99" t="s">
        <v>399</v>
      </c>
      <c r="P99" t="s">
        <v>402</v>
      </c>
    </row>
    <row r="100" spans="1:16" x14ac:dyDescent="0.2">
      <c r="A100" t="s">
        <v>403</v>
      </c>
      <c r="F100" t="s">
        <v>404</v>
      </c>
      <c r="N100" t="s">
        <v>20</v>
      </c>
      <c r="O100" t="s">
        <v>399</v>
      </c>
    </row>
    <row r="101" spans="1:16" x14ac:dyDescent="0.2">
      <c r="A101" t="s">
        <v>405</v>
      </c>
      <c r="F101" t="s">
        <v>406</v>
      </c>
      <c r="N101" t="s">
        <v>20</v>
      </c>
      <c r="O101" t="s">
        <v>399</v>
      </c>
    </row>
    <row r="102" spans="1:16" x14ac:dyDescent="0.2">
      <c r="A102" t="s">
        <v>407</v>
      </c>
      <c r="B102" t="s">
        <v>46</v>
      </c>
      <c r="C102" t="s">
        <v>47</v>
      </c>
      <c r="D102" t="s">
        <v>42</v>
      </c>
      <c r="E102" t="s">
        <v>408</v>
      </c>
      <c r="F102" t="s">
        <v>35</v>
      </c>
      <c r="N102" t="s">
        <v>39</v>
      </c>
      <c r="O102" t="s">
        <v>399</v>
      </c>
      <c r="P102" t="s">
        <v>409</v>
      </c>
    </row>
    <row r="103" spans="1:16" x14ac:dyDescent="0.2">
      <c r="A103" t="s">
        <v>410</v>
      </c>
      <c r="B103" t="s">
        <v>363</v>
      </c>
      <c r="C103" t="s">
        <v>47</v>
      </c>
      <c r="D103" t="s">
        <v>364</v>
      </c>
      <c r="E103" t="s">
        <v>411</v>
      </c>
      <c r="F103" t="s">
        <v>412</v>
      </c>
      <c r="N103" t="s">
        <v>20</v>
      </c>
      <c r="O103" t="s">
        <v>369</v>
      </c>
    </row>
    <row r="104" spans="1:16" x14ac:dyDescent="0.2">
      <c r="A104" t="s">
        <v>413</v>
      </c>
      <c r="B104" t="s">
        <v>414</v>
      </c>
      <c r="C104" t="s">
        <v>47</v>
      </c>
      <c r="D104" t="s">
        <v>415</v>
      </c>
      <c r="E104" t="s">
        <v>416</v>
      </c>
      <c r="F104" t="s">
        <v>417</v>
      </c>
      <c r="K104" t="s">
        <v>418</v>
      </c>
      <c r="L104" t="s">
        <v>419</v>
      </c>
      <c r="M104" t="s">
        <v>420</v>
      </c>
      <c r="N104" t="s">
        <v>39</v>
      </c>
      <c r="O104" t="s">
        <v>421</v>
      </c>
      <c r="P104" t="s">
        <v>422</v>
      </c>
    </row>
    <row r="105" spans="1:16" x14ac:dyDescent="0.2">
      <c r="A105" t="s">
        <v>423</v>
      </c>
      <c r="B105" t="s">
        <v>424</v>
      </c>
      <c r="C105" t="s">
        <v>47</v>
      </c>
      <c r="D105" t="s">
        <v>425</v>
      </c>
      <c r="E105" t="s">
        <v>426</v>
      </c>
      <c r="F105" t="s">
        <v>427</v>
      </c>
      <c r="L105" t="s">
        <v>428</v>
      </c>
      <c r="N105" t="s">
        <v>39</v>
      </c>
      <c r="O105" t="s">
        <v>421</v>
      </c>
      <c r="P105" t="s">
        <v>429</v>
      </c>
    </row>
    <row r="106" spans="1:16" x14ac:dyDescent="0.2">
      <c r="A106" t="s">
        <v>430</v>
      </c>
      <c r="B106" t="s">
        <v>431</v>
      </c>
      <c r="C106" t="s">
        <v>47</v>
      </c>
      <c r="D106" t="s">
        <v>432</v>
      </c>
      <c r="E106" t="s">
        <v>433</v>
      </c>
      <c r="F106" t="s">
        <v>434</v>
      </c>
      <c r="K106" t="s">
        <v>435</v>
      </c>
      <c r="L106" t="s">
        <v>436</v>
      </c>
      <c r="M106" t="s">
        <v>437</v>
      </c>
      <c r="N106" t="s">
        <v>39</v>
      </c>
      <c r="O106" t="s">
        <v>399</v>
      </c>
      <c r="P106" t="s">
        <v>438</v>
      </c>
    </row>
    <row r="108" spans="1:16" x14ac:dyDescent="0.2">
      <c r="A108" s="157" t="s">
        <v>439</v>
      </c>
      <c r="B108" s="157"/>
      <c r="C108" s="157"/>
      <c r="D108" s="157"/>
      <c r="E108" s="157"/>
      <c r="F108" s="157"/>
      <c r="G108" s="157"/>
      <c r="H108" s="157"/>
      <c r="I108" s="157"/>
      <c r="J108" s="157"/>
      <c r="K108" s="157"/>
      <c r="L108" s="157"/>
      <c r="M108" s="157"/>
      <c r="N108" s="157"/>
      <c r="O108" s="157"/>
      <c r="P108" s="157"/>
    </row>
    <row r="109" spans="1:16" x14ac:dyDescent="0.2">
      <c r="A109" s="152" t="s">
        <v>0</v>
      </c>
      <c r="B109" s="152" t="s">
        <v>1</v>
      </c>
      <c r="C109" s="152" t="s">
        <v>2</v>
      </c>
      <c r="D109" s="152" t="s">
        <v>440</v>
      </c>
      <c r="E109" s="152" t="s">
        <v>441</v>
      </c>
      <c r="F109" s="152" t="s">
        <v>5</v>
      </c>
      <c r="G109" s="152" t="s">
        <v>6</v>
      </c>
      <c r="H109" s="152"/>
      <c r="I109" s="152"/>
      <c r="J109" s="152"/>
      <c r="K109" s="152"/>
      <c r="L109" s="152"/>
      <c r="M109" s="152"/>
      <c r="N109" s="152"/>
      <c r="O109" s="152" t="s">
        <v>14</v>
      </c>
      <c r="P109" s="152" t="s">
        <v>15</v>
      </c>
    </row>
    <row r="110" spans="1:16" x14ac:dyDescent="0.2">
      <c r="A110" t="s">
        <v>442</v>
      </c>
      <c r="B110" t="s">
        <v>65</v>
      </c>
      <c r="C110" t="s">
        <v>47</v>
      </c>
      <c r="D110" t="s">
        <v>347</v>
      </c>
      <c r="E110" t="s">
        <v>66</v>
      </c>
      <c r="F110" t="s">
        <v>443</v>
      </c>
      <c r="G110" t="s">
        <v>444</v>
      </c>
      <c r="N110" t="s">
        <v>20</v>
      </c>
      <c r="O110" t="s">
        <v>445</v>
      </c>
      <c r="P110" t="s">
        <v>446</v>
      </c>
    </row>
    <row r="111" spans="1:16" x14ac:dyDescent="0.2">
      <c r="A111" t="s">
        <v>447</v>
      </c>
      <c r="B111" t="s">
        <v>391</v>
      </c>
      <c r="C111" t="s">
        <v>47</v>
      </c>
      <c r="D111" t="s">
        <v>448</v>
      </c>
      <c r="E111" t="s">
        <v>364</v>
      </c>
      <c r="F111" t="s">
        <v>449</v>
      </c>
      <c r="G111" t="s">
        <v>450</v>
      </c>
      <c r="N111" t="s">
        <v>20</v>
      </c>
      <c r="O111" t="s">
        <v>369</v>
      </c>
      <c r="P111" t="s">
        <v>451</v>
      </c>
    </row>
    <row r="112" spans="1:16" x14ac:dyDescent="0.2">
      <c r="A112" t="s">
        <v>452</v>
      </c>
      <c r="B112" t="s">
        <v>396</v>
      </c>
      <c r="C112" t="s">
        <v>47</v>
      </c>
      <c r="D112" t="s">
        <v>453</v>
      </c>
      <c r="E112" t="s">
        <v>373</v>
      </c>
      <c r="F112" t="s">
        <v>454</v>
      </c>
      <c r="G112" t="s">
        <v>455</v>
      </c>
      <c r="N112" t="s">
        <v>20</v>
      </c>
      <c r="O112" t="s">
        <v>369</v>
      </c>
      <c r="P112" t="s">
        <v>456</v>
      </c>
    </row>
    <row r="113" spans="1:15" x14ac:dyDescent="0.2">
      <c r="A113" t="s">
        <v>457</v>
      </c>
      <c r="G113" t="s">
        <v>458</v>
      </c>
      <c r="O113" t="s">
        <v>369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0"/>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80" customWidth="1"/>
  </cols>
  <sheetData>
    <row r="1" spans="1:2" x14ac:dyDescent="0.2">
      <c r="A1" s="152" t="s">
        <v>2480</v>
      </c>
      <c r="B1" s="152" t="s">
        <v>3293</v>
      </c>
    </row>
    <row r="2" spans="1:2" x14ac:dyDescent="0.2">
      <c r="A2" t="s">
        <v>3294</v>
      </c>
      <c r="B2" t="s">
        <v>3295</v>
      </c>
    </row>
    <row r="3" spans="1:2" x14ac:dyDescent="0.2">
      <c r="A3" t="s">
        <v>3296</v>
      </c>
      <c r="B3" t="s">
        <v>3297</v>
      </c>
    </row>
    <row r="4" spans="1:2" x14ac:dyDescent="0.2">
      <c r="A4" t="s">
        <v>3298</v>
      </c>
      <c r="B4" t="s">
        <v>3299</v>
      </c>
    </row>
    <row r="5" spans="1:2" x14ac:dyDescent="0.2">
      <c r="A5" t="s">
        <v>3300</v>
      </c>
      <c r="B5" t="s">
        <v>3301</v>
      </c>
    </row>
    <row r="6" spans="1:2" x14ac:dyDescent="0.2">
      <c r="A6" t="s">
        <v>3302</v>
      </c>
      <c r="B6" t="s">
        <v>3303</v>
      </c>
    </row>
    <row r="7" spans="1:2" x14ac:dyDescent="0.2">
      <c r="A7" t="s">
        <v>3304</v>
      </c>
      <c r="B7" t="s">
        <v>3305</v>
      </c>
    </row>
    <row r="8" spans="1:2" x14ac:dyDescent="0.2">
      <c r="A8" t="s">
        <v>3306</v>
      </c>
      <c r="B8" t="s">
        <v>3307</v>
      </c>
    </row>
    <row r="9" spans="1:2" x14ac:dyDescent="0.2">
      <c r="A9" t="s">
        <v>3308</v>
      </c>
      <c r="B9" t="s">
        <v>3309</v>
      </c>
    </row>
    <row r="10" spans="1:2" x14ac:dyDescent="0.2">
      <c r="A10" t="s">
        <v>3310</v>
      </c>
      <c r="B10" t="s">
        <v>3311</v>
      </c>
    </row>
    <row r="11" spans="1:2" x14ac:dyDescent="0.2">
      <c r="A11" t="s">
        <v>3312</v>
      </c>
      <c r="B11" t="s">
        <v>3313</v>
      </c>
    </row>
    <row r="12" spans="1:2" x14ac:dyDescent="0.2">
      <c r="A12" t="s">
        <v>3314</v>
      </c>
      <c r="B12" t="s">
        <v>3315</v>
      </c>
    </row>
    <row r="14" spans="1:2" x14ac:dyDescent="0.2">
      <c r="A14" t="s">
        <v>3316</v>
      </c>
    </row>
    <row r="15" spans="1:2" x14ac:dyDescent="0.2">
      <c r="A15" t="s">
        <v>3317</v>
      </c>
      <c r="B15" t="s">
        <v>3318</v>
      </c>
    </row>
    <row r="16" spans="1:2" x14ac:dyDescent="0.2">
      <c r="A16" t="s">
        <v>3319</v>
      </c>
      <c r="B16" t="s">
        <v>3320</v>
      </c>
    </row>
    <row r="17" spans="1:2" x14ac:dyDescent="0.2">
      <c r="A17" t="s">
        <v>3321</v>
      </c>
      <c r="B17" t="s">
        <v>3322</v>
      </c>
    </row>
    <row r="18" spans="1:2" x14ac:dyDescent="0.2">
      <c r="A18" t="s">
        <v>3323</v>
      </c>
      <c r="B18" t="s">
        <v>3324</v>
      </c>
    </row>
    <row r="19" spans="1:2" x14ac:dyDescent="0.2">
      <c r="A19" t="s">
        <v>3325</v>
      </c>
      <c r="B19" t="s">
        <v>3326</v>
      </c>
    </row>
    <row r="20" spans="1:2" x14ac:dyDescent="0.2">
      <c r="A20" t="s">
        <v>3327</v>
      </c>
      <c r="B20" t="s">
        <v>3328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G31"/>
  <sheetViews>
    <sheetView workbookViewId="0">
      <pane ySplit="1" topLeftCell="A2" activePane="bottomLeft" state="frozen"/>
      <selection pane="bottomLeft"/>
    </sheetView>
  </sheetViews>
  <sheetFormatPr baseColWidth="10" defaultColWidth="8.83203125" defaultRowHeight="15" x14ac:dyDescent="0.2"/>
  <cols>
    <col min="1" max="8" width="30" customWidth="1"/>
  </cols>
  <sheetData>
    <row r="2" spans="1:7" x14ac:dyDescent="0.2">
      <c r="A2" s="152" t="s">
        <v>3329</v>
      </c>
    </row>
    <row r="4" spans="1:7" x14ac:dyDescent="0.2">
      <c r="A4" s="152"/>
      <c r="B4" t="s">
        <v>3330</v>
      </c>
      <c r="C4" t="s">
        <v>3331</v>
      </c>
      <c r="D4" t="s">
        <v>3332</v>
      </c>
      <c r="E4" t="s">
        <v>3333</v>
      </c>
      <c r="F4" t="s">
        <v>3334</v>
      </c>
      <c r="G4" t="s">
        <v>3335</v>
      </c>
    </row>
    <row r="5" spans="1:7" x14ac:dyDescent="0.2">
      <c r="A5" t="s">
        <v>3336</v>
      </c>
      <c r="B5">
        <v>30</v>
      </c>
      <c r="C5">
        <v>22</v>
      </c>
      <c r="D5">
        <v>20</v>
      </c>
      <c r="E5">
        <v>72</v>
      </c>
      <c r="F5" t="s">
        <v>3337</v>
      </c>
    </row>
    <row r="6" spans="1:7" x14ac:dyDescent="0.2">
      <c r="A6" t="s">
        <v>3338</v>
      </c>
      <c r="B6">
        <v>24</v>
      </c>
      <c r="C6">
        <v>35</v>
      </c>
      <c r="D6">
        <v>28</v>
      </c>
      <c r="E6">
        <v>87</v>
      </c>
      <c r="F6" t="s">
        <v>3339</v>
      </c>
    </row>
    <row r="7" spans="1:7" x14ac:dyDescent="0.2">
      <c r="A7" t="s">
        <v>3340</v>
      </c>
      <c r="B7">
        <v>13</v>
      </c>
      <c r="C7">
        <v>29</v>
      </c>
      <c r="D7">
        <v>32</v>
      </c>
      <c r="E7">
        <v>74</v>
      </c>
      <c r="F7" t="s">
        <v>3341</v>
      </c>
    </row>
    <row r="8" spans="1:7" x14ac:dyDescent="0.2">
      <c r="A8" t="s">
        <v>3342</v>
      </c>
      <c r="B8">
        <v>67</v>
      </c>
      <c r="C8">
        <v>86</v>
      </c>
      <c r="D8">
        <v>80</v>
      </c>
      <c r="E8">
        <v>233</v>
      </c>
    </row>
    <row r="9" spans="1:7" x14ac:dyDescent="0.2">
      <c r="A9" t="s">
        <v>3343</v>
      </c>
      <c r="B9" t="s">
        <v>3344</v>
      </c>
      <c r="C9" t="s">
        <v>3345</v>
      </c>
      <c r="D9" t="s">
        <v>3346</v>
      </c>
    </row>
    <row r="10" spans="1:7" x14ac:dyDescent="0.2">
      <c r="A10" t="s">
        <v>3347</v>
      </c>
    </row>
    <row r="12" spans="1:7" x14ac:dyDescent="0.2">
      <c r="A12" s="152" t="s">
        <v>3348</v>
      </c>
    </row>
    <row r="14" spans="1:7" x14ac:dyDescent="0.2">
      <c r="A14" s="152"/>
      <c r="B14" t="s">
        <v>3330</v>
      </c>
      <c r="C14" t="s">
        <v>3331</v>
      </c>
      <c r="D14" t="s">
        <v>3332</v>
      </c>
      <c r="E14" t="s">
        <v>3333</v>
      </c>
    </row>
    <row r="15" spans="1:7" x14ac:dyDescent="0.2">
      <c r="A15" t="s">
        <v>3336</v>
      </c>
      <c r="B15">
        <v>28</v>
      </c>
      <c r="C15">
        <v>40</v>
      </c>
      <c r="D15">
        <v>28</v>
      </c>
      <c r="E15">
        <v>96</v>
      </c>
    </row>
    <row r="16" spans="1:7" x14ac:dyDescent="0.2">
      <c r="A16" t="s">
        <v>3338</v>
      </c>
      <c r="B16">
        <v>5</v>
      </c>
      <c r="C16">
        <v>20</v>
      </c>
      <c r="D16">
        <v>15</v>
      </c>
      <c r="E16">
        <v>40</v>
      </c>
    </row>
    <row r="17" spans="1:5" x14ac:dyDescent="0.2">
      <c r="A17" t="s">
        <v>3340</v>
      </c>
      <c r="B17">
        <v>6</v>
      </c>
      <c r="C17">
        <v>12</v>
      </c>
      <c r="D17">
        <v>17</v>
      </c>
      <c r="E17">
        <v>35</v>
      </c>
    </row>
    <row r="18" spans="1:5" x14ac:dyDescent="0.2">
      <c r="A18" t="s">
        <v>3342</v>
      </c>
      <c r="B18">
        <v>39</v>
      </c>
      <c r="C18">
        <v>72</v>
      </c>
      <c r="D18">
        <v>60</v>
      </c>
      <c r="E18">
        <v>171</v>
      </c>
    </row>
    <row r="19" spans="1:5" x14ac:dyDescent="0.2">
      <c r="A19" t="s">
        <v>3349</v>
      </c>
    </row>
    <row r="21" spans="1:5" x14ac:dyDescent="0.2">
      <c r="A21" s="152" t="s">
        <v>3350</v>
      </c>
    </row>
    <row r="23" spans="1:5" x14ac:dyDescent="0.2">
      <c r="A23" s="152" t="s">
        <v>3351</v>
      </c>
      <c r="B23" t="s">
        <v>3352</v>
      </c>
      <c r="C23" t="s">
        <v>3353</v>
      </c>
      <c r="D23" t="s">
        <v>3354</v>
      </c>
      <c r="E23" t="s">
        <v>3333</v>
      </c>
    </row>
    <row r="24" spans="1:5" x14ac:dyDescent="0.2">
      <c r="A24" t="s">
        <v>3355</v>
      </c>
    </row>
    <row r="25" spans="1:5" x14ac:dyDescent="0.2">
      <c r="A25" t="s">
        <v>3356</v>
      </c>
    </row>
    <row r="26" spans="1:5" x14ac:dyDescent="0.2">
      <c r="A26" t="s">
        <v>3357</v>
      </c>
    </row>
    <row r="28" spans="1:5" x14ac:dyDescent="0.2">
      <c r="A28" t="s">
        <v>3358</v>
      </c>
      <c r="B28" t="s">
        <v>156</v>
      </c>
    </row>
    <row r="29" spans="1:5" x14ac:dyDescent="0.2">
      <c r="A29" t="s">
        <v>3359</v>
      </c>
      <c r="B29" t="s">
        <v>3360</v>
      </c>
    </row>
    <row r="30" spans="1:5" x14ac:dyDescent="0.2">
      <c r="A30" t="s">
        <v>2277</v>
      </c>
      <c r="B30" t="s">
        <v>3361</v>
      </c>
    </row>
    <row r="31" spans="1:5" x14ac:dyDescent="0.2">
      <c r="A31" t="s">
        <v>3362</v>
      </c>
      <c r="B31" t="s">
        <v>3363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69"/>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8" customWidth="1"/>
    <col min="3" max="3" width="14" customWidth="1"/>
    <col min="4" max="4" width="12" customWidth="1"/>
    <col min="5" max="5" width="13" customWidth="1"/>
    <col min="6" max="6" width="15" customWidth="1"/>
    <col min="7" max="7" width="43" customWidth="1"/>
    <col min="8" max="8" width="17" customWidth="1"/>
    <col min="9" max="9" width="7" customWidth="1"/>
  </cols>
  <sheetData>
    <row r="1" spans="1:9" x14ac:dyDescent="0.2">
      <c r="A1" s="152" t="s">
        <v>3364</v>
      </c>
      <c r="B1" s="152" t="s">
        <v>3365</v>
      </c>
      <c r="C1" s="152" t="s">
        <v>3366</v>
      </c>
      <c r="D1" s="152" t="s">
        <v>3367</v>
      </c>
      <c r="E1" s="152" t="s">
        <v>3368</v>
      </c>
      <c r="F1" s="152" t="s">
        <v>3369</v>
      </c>
      <c r="G1" s="152" t="s">
        <v>3370</v>
      </c>
      <c r="H1" s="152" t="s">
        <v>3371</v>
      </c>
      <c r="I1" s="152" t="s">
        <v>15</v>
      </c>
    </row>
    <row r="2" spans="1:9" x14ac:dyDescent="0.2">
      <c r="A2" t="s">
        <v>3372</v>
      </c>
      <c r="B2" t="s">
        <v>686</v>
      </c>
      <c r="C2" t="s">
        <v>694</v>
      </c>
      <c r="D2" t="s">
        <v>694</v>
      </c>
      <c r="E2" t="s">
        <v>3373</v>
      </c>
      <c r="F2" t="s">
        <v>546</v>
      </c>
      <c r="G2" t="s">
        <v>3374</v>
      </c>
      <c r="H2" t="s">
        <v>546</v>
      </c>
    </row>
    <row r="3" spans="1:9" x14ac:dyDescent="0.2">
      <c r="A3" t="s">
        <v>3375</v>
      </c>
      <c r="B3" t="s">
        <v>686</v>
      </c>
      <c r="C3" t="s">
        <v>687</v>
      </c>
      <c r="D3" t="s">
        <v>687</v>
      </c>
      <c r="E3" t="s">
        <v>3373</v>
      </c>
      <c r="F3" t="s">
        <v>546</v>
      </c>
      <c r="G3" t="s">
        <v>3374</v>
      </c>
      <c r="H3" t="s">
        <v>546</v>
      </c>
    </row>
    <row r="4" spans="1:9" x14ac:dyDescent="0.2">
      <c r="A4" t="s">
        <v>3376</v>
      </c>
      <c r="B4" t="s">
        <v>686</v>
      </c>
      <c r="C4" t="s">
        <v>660</v>
      </c>
      <c r="D4" t="s">
        <v>660</v>
      </c>
      <c r="E4" t="s">
        <v>3373</v>
      </c>
      <c r="F4" t="s">
        <v>546</v>
      </c>
      <c r="G4" t="s">
        <v>3374</v>
      </c>
      <c r="H4" t="s">
        <v>546</v>
      </c>
    </row>
    <row r="5" spans="1:9" x14ac:dyDescent="0.2">
      <c r="A5" t="s">
        <v>3377</v>
      </c>
      <c r="B5" t="s">
        <v>741</v>
      </c>
      <c r="C5" t="s">
        <v>681</v>
      </c>
      <c r="D5" t="s">
        <v>681</v>
      </c>
      <c r="E5" t="s">
        <v>3373</v>
      </c>
      <c r="F5" t="s">
        <v>546</v>
      </c>
      <c r="G5" t="s">
        <v>3374</v>
      </c>
      <c r="H5" t="s">
        <v>546</v>
      </c>
    </row>
    <row r="6" spans="1:9" x14ac:dyDescent="0.2">
      <c r="A6" t="s">
        <v>3378</v>
      </c>
      <c r="B6" t="s">
        <v>741</v>
      </c>
      <c r="C6" t="s">
        <v>642</v>
      </c>
      <c r="D6" t="s">
        <v>642</v>
      </c>
      <c r="E6" t="s">
        <v>3373</v>
      </c>
      <c r="F6" t="s">
        <v>546</v>
      </c>
      <c r="G6" t="s">
        <v>3374</v>
      </c>
      <c r="H6" t="s">
        <v>546</v>
      </c>
    </row>
    <row r="7" spans="1:9" x14ac:dyDescent="0.2">
      <c r="A7" t="s">
        <v>3379</v>
      </c>
      <c r="B7" t="s">
        <v>741</v>
      </c>
      <c r="C7" t="s">
        <v>744</v>
      </c>
      <c r="D7" t="s">
        <v>744</v>
      </c>
      <c r="E7" t="s">
        <v>3373</v>
      </c>
      <c r="F7" t="s">
        <v>546</v>
      </c>
      <c r="G7" t="s">
        <v>3374</v>
      </c>
      <c r="H7" t="s">
        <v>546</v>
      </c>
    </row>
    <row r="8" spans="1:9" x14ac:dyDescent="0.2">
      <c r="A8" t="s">
        <v>3380</v>
      </c>
      <c r="B8" t="s">
        <v>741</v>
      </c>
      <c r="C8" t="s">
        <v>677</v>
      </c>
      <c r="D8" t="s">
        <v>677</v>
      </c>
      <c r="E8" t="s">
        <v>3373</v>
      </c>
      <c r="F8" t="s">
        <v>546</v>
      </c>
      <c r="G8" t="s">
        <v>3374</v>
      </c>
      <c r="H8" t="s">
        <v>546</v>
      </c>
    </row>
    <row r="9" spans="1:9" x14ac:dyDescent="0.2">
      <c r="A9" t="s">
        <v>3381</v>
      </c>
      <c r="B9" t="s">
        <v>1982</v>
      </c>
      <c r="C9" t="s">
        <v>841</v>
      </c>
      <c r="D9" t="s">
        <v>841</v>
      </c>
      <c r="E9" t="s">
        <v>3373</v>
      </c>
      <c r="F9" t="s">
        <v>546</v>
      </c>
      <c r="G9" t="s">
        <v>3374</v>
      </c>
      <c r="H9" t="s">
        <v>554</v>
      </c>
    </row>
    <row r="10" spans="1:9" x14ac:dyDescent="0.2">
      <c r="A10" t="s">
        <v>3382</v>
      </c>
      <c r="B10" t="s">
        <v>730</v>
      </c>
      <c r="C10" t="s">
        <v>731</v>
      </c>
      <c r="D10" t="s">
        <v>731</v>
      </c>
      <c r="E10" t="s">
        <v>3373</v>
      </c>
      <c r="F10" t="s">
        <v>546</v>
      </c>
      <c r="G10" t="s">
        <v>3374</v>
      </c>
      <c r="H10" t="s">
        <v>546</v>
      </c>
    </row>
    <row r="11" spans="1:9" x14ac:dyDescent="0.2">
      <c r="A11" t="s">
        <v>3383</v>
      </c>
      <c r="B11" t="s">
        <v>730</v>
      </c>
      <c r="C11" t="s">
        <v>641</v>
      </c>
      <c r="D11" t="s">
        <v>641</v>
      </c>
      <c r="E11" t="s">
        <v>3373</v>
      </c>
      <c r="F11" t="s">
        <v>546</v>
      </c>
      <c r="G11" t="s">
        <v>3374</v>
      </c>
      <c r="H11" t="s">
        <v>546</v>
      </c>
    </row>
    <row r="12" spans="1:9" x14ac:dyDescent="0.2">
      <c r="A12" t="s">
        <v>3384</v>
      </c>
      <c r="B12" t="s">
        <v>730</v>
      </c>
      <c r="C12" t="s">
        <v>736</v>
      </c>
      <c r="D12" t="s">
        <v>736</v>
      </c>
      <c r="E12" t="s">
        <v>3373</v>
      </c>
      <c r="F12" t="s">
        <v>546</v>
      </c>
      <c r="G12" t="s">
        <v>3374</v>
      </c>
      <c r="H12" t="s">
        <v>546</v>
      </c>
    </row>
    <row r="13" spans="1:9" x14ac:dyDescent="0.2">
      <c r="A13" t="s">
        <v>3385</v>
      </c>
      <c r="B13" t="s">
        <v>865</v>
      </c>
      <c r="C13" t="s">
        <v>938</v>
      </c>
      <c r="D13" t="s">
        <v>938</v>
      </c>
      <c r="E13" t="s">
        <v>3373</v>
      </c>
      <c r="F13" t="s">
        <v>546</v>
      </c>
      <c r="G13" t="s">
        <v>3374</v>
      </c>
      <c r="H13" t="s">
        <v>554</v>
      </c>
    </row>
    <row r="14" spans="1:9" x14ac:dyDescent="0.2">
      <c r="A14" t="s">
        <v>3386</v>
      </c>
      <c r="B14" t="s">
        <v>865</v>
      </c>
      <c r="C14" t="s">
        <v>742</v>
      </c>
      <c r="D14" t="s">
        <v>742</v>
      </c>
      <c r="E14" t="s">
        <v>3373</v>
      </c>
      <c r="F14" t="s">
        <v>546</v>
      </c>
      <c r="G14" t="s">
        <v>3374</v>
      </c>
      <c r="H14" t="s">
        <v>554</v>
      </c>
    </row>
    <row r="15" spans="1:9" x14ac:dyDescent="0.2">
      <c r="A15" t="s">
        <v>3387</v>
      </c>
      <c r="B15" t="s">
        <v>865</v>
      </c>
      <c r="C15" t="s">
        <v>872</v>
      </c>
      <c r="D15" t="s">
        <v>872</v>
      </c>
      <c r="E15" t="s">
        <v>3373</v>
      </c>
      <c r="F15" t="s">
        <v>546</v>
      </c>
      <c r="G15" t="s">
        <v>3374</v>
      </c>
      <c r="H15" t="s">
        <v>554</v>
      </c>
    </row>
    <row r="16" spans="1:9" x14ac:dyDescent="0.2">
      <c r="A16" t="s">
        <v>3388</v>
      </c>
      <c r="B16" t="s">
        <v>865</v>
      </c>
      <c r="C16" t="s">
        <v>664</v>
      </c>
      <c r="D16" t="s">
        <v>664</v>
      </c>
      <c r="E16" t="s">
        <v>3373</v>
      </c>
      <c r="F16" t="s">
        <v>546</v>
      </c>
      <c r="G16" t="s">
        <v>3374</v>
      </c>
      <c r="H16" t="s">
        <v>554</v>
      </c>
    </row>
    <row r="17" spans="1:8" x14ac:dyDescent="0.2">
      <c r="A17" t="s">
        <v>3389</v>
      </c>
      <c r="B17" t="s">
        <v>655</v>
      </c>
      <c r="C17" t="s">
        <v>656</v>
      </c>
      <c r="D17" t="s">
        <v>656</v>
      </c>
      <c r="E17" t="s">
        <v>3373</v>
      </c>
      <c r="F17" t="s">
        <v>546</v>
      </c>
      <c r="G17" t="s">
        <v>3374</v>
      </c>
      <c r="H17" t="s">
        <v>546</v>
      </c>
    </row>
    <row r="18" spans="1:8" x14ac:dyDescent="0.2">
      <c r="A18" t="s">
        <v>3390</v>
      </c>
      <c r="B18" t="s">
        <v>655</v>
      </c>
      <c r="C18" t="s">
        <v>660</v>
      </c>
      <c r="D18" t="s">
        <v>660</v>
      </c>
      <c r="E18" t="s">
        <v>3373</v>
      </c>
      <c r="F18" t="s">
        <v>546</v>
      </c>
      <c r="G18" t="s">
        <v>3374</v>
      </c>
      <c r="H18" t="s">
        <v>546</v>
      </c>
    </row>
    <row r="19" spans="1:8" x14ac:dyDescent="0.2">
      <c r="A19" t="s">
        <v>3391</v>
      </c>
      <c r="B19" t="s">
        <v>655</v>
      </c>
      <c r="C19" t="s">
        <v>664</v>
      </c>
      <c r="D19" t="s">
        <v>664</v>
      </c>
      <c r="E19" t="s">
        <v>3373</v>
      </c>
      <c r="F19" t="s">
        <v>546</v>
      </c>
      <c r="G19" t="s">
        <v>3374</v>
      </c>
      <c r="H19" t="s">
        <v>546</v>
      </c>
    </row>
    <row r="20" spans="1:8" x14ac:dyDescent="0.2">
      <c r="A20" t="s">
        <v>3392</v>
      </c>
      <c r="B20" t="s">
        <v>1438</v>
      </c>
      <c r="C20" t="s">
        <v>1439</v>
      </c>
      <c r="D20" t="s">
        <v>1439</v>
      </c>
      <c r="E20" t="s">
        <v>3373</v>
      </c>
      <c r="F20" t="s">
        <v>546</v>
      </c>
      <c r="G20" t="s">
        <v>3374</v>
      </c>
      <c r="H20" t="s">
        <v>546</v>
      </c>
    </row>
    <row r="21" spans="1:8" x14ac:dyDescent="0.2">
      <c r="A21" t="s">
        <v>3393</v>
      </c>
      <c r="B21" t="s">
        <v>1438</v>
      </c>
      <c r="C21" t="s">
        <v>1442</v>
      </c>
      <c r="D21" t="s">
        <v>1442</v>
      </c>
      <c r="E21" t="s">
        <v>3373</v>
      </c>
      <c r="F21" t="s">
        <v>546</v>
      </c>
      <c r="G21" t="s">
        <v>3374</v>
      </c>
      <c r="H21" t="s">
        <v>546</v>
      </c>
    </row>
    <row r="22" spans="1:8" x14ac:dyDescent="0.2">
      <c r="A22" t="s">
        <v>3394</v>
      </c>
      <c r="B22" t="s">
        <v>1438</v>
      </c>
      <c r="C22" t="s">
        <v>818</v>
      </c>
      <c r="D22" t="s">
        <v>818</v>
      </c>
      <c r="E22" t="s">
        <v>3373</v>
      </c>
      <c r="F22" t="s">
        <v>546</v>
      </c>
      <c r="G22" t="s">
        <v>3374</v>
      </c>
      <c r="H22" t="s">
        <v>546</v>
      </c>
    </row>
    <row r="23" spans="1:8" x14ac:dyDescent="0.2">
      <c r="A23" t="s">
        <v>3395</v>
      </c>
      <c r="B23" t="s">
        <v>713</v>
      </c>
      <c r="C23" t="s">
        <v>715</v>
      </c>
      <c r="D23" t="s">
        <v>714</v>
      </c>
      <c r="E23" t="s">
        <v>3396</v>
      </c>
      <c r="F23" t="s">
        <v>554</v>
      </c>
      <c r="G23" t="s">
        <v>3374</v>
      </c>
      <c r="H23" t="s">
        <v>546</v>
      </c>
    </row>
    <row r="24" spans="1:8" x14ac:dyDescent="0.2">
      <c r="A24" t="s">
        <v>3397</v>
      </c>
      <c r="B24" t="s">
        <v>713</v>
      </c>
      <c r="C24" t="s">
        <v>884</v>
      </c>
      <c r="D24" t="s">
        <v>719</v>
      </c>
      <c r="E24" t="s">
        <v>3396</v>
      </c>
      <c r="F24" t="s">
        <v>554</v>
      </c>
      <c r="G24" t="s">
        <v>3374</v>
      </c>
      <c r="H24" t="s">
        <v>546</v>
      </c>
    </row>
    <row r="25" spans="1:8" x14ac:dyDescent="0.2">
      <c r="A25" t="s">
        <v>3398</v>
      </c>
      <c r="B25" t="s">
        <v>713</v>
      </c>
      <c r="C25" t="s">
        <v>723</v>
      </c>
      <c r="D25" t="s">
        <v>722</v>
      </c>
      <c r="E25" t="s">
        <v>3396</v>
      </c>
      <c r="F25" t="s">
        <v>554</v>
      </c>
      <c r="G25" t="s">
        <v>3374</v>
      </c>
      <c r="H25" t="s">
        <v>546</v>
      </c>
    </row>
    <row r="26" spans="1:8" x14ac:dyDescent="0.2">
      <c r="A26" t="s">
        <v>3399</v>
      </c>
      <c r="B26" t="s">
        <v>713</v>
      </c>
      <c r="C26" t="s">
        <v>727</v>
      </c>
      <c r="D26" t="s">
        <v>726</v>
      </c>
      <c r="E26" t="s">
        <v>3396</v>
      </c>
      <c r="F26" t="s">
        <v>554</v>
      </c>
      <c r="G26" t="s">
        <v>3374</v>
      </c>
      <c r="H26" t="s">
        <v>546</v>
      </c>
    </row>
    <row r="27" spans="1:8" x14ac:dyDescent="0.2">
      <c r="A27" t="s">
        <v>3400</v>
      </c>
      <c r="B27" t="s">
        <v>613</v>
      </c>
      <c r="C27" t="s">
        <v>615</v>
      </c>
      <c r="D27" t="s">
        <v>614</v>
      </c>
      <c r="E27" t="s">
        <v>3396</v>
      </c>
      <c r="F27" t="s">
        <v>554</v>
      </c>
      <c r="G27" t="s">
        <v>3374</v>
      </c>
      <c r="H27" t="s">
        <v>546</v>
      </c>
    </row>
    <row r="28" spans="1:8" x14ac:dyDescent="0.2">
      <c r="A28" t="s">
        <v>3401</v>
      </c>
      <c r="B28" t="s">
        <v>613</v>
      </c>
      <c r="C28" t="s">
        <v>620</v>
      </c>
      <c r="D28" t="s">
        <v>619</v>
      </c>
      <c r="E28" t="s">
        <v>3396</v>
      </c>
      <c r="F28" t="s">
        <v>554</v>
      </c>
      <c r="G28" t="s">
        <v>3374</v>
      </c>
      <c r="H28" t="s">
        <v>546</v>
      </c>
    </row>
    <row r="29" spans="1:8" x14ac:dyDescent="0.2">
      <c r="A29" t="s">
        <v>3402</v>
      </c>
      <c r="B29" t="s">
        <v>613</v>
      </c>
      <c r="C29" t="s">
        <v>626</v>
      </c>
      <c r="D29" t="s">
        <v>625</v>
      </c>
      <c r="E29" t="s">
        <v>3396</v>
      </c>
      <c r="F29" t="s">
        <v>554</v>
      </c>
      <c r="G29" t="s">
        <v>3374</v>
      </c>
      <c r="H29" t="s">
        <v>546</v>
      </c>
    </row>
    <row r="30" spans="1:8" x14ac:dyDescent="0.2">
      <c r="A30" t="s">
        <v>3403</v>
      </c>
      <c r="B30" t="s">
        <v>613</v>
      </c>
      <c r="C30" t="s">
        <v>632</v>
      </c>
      <c r="D30" t="s">
        <v>631</v>
      </c>
      <c r="E30" t="s">
        <v>3396</v>
      </c>
      <c r="F30" t="s">
        <v>554</v>
      </c>
      <c r="G30" t="s">
        <v>3374</v>
      </c>
      <c r="H30" t="s">
        <v>546</v>
      </c>
    </row>
    <row r="31" spans="1:8" x14ac:dyDescent="0.2">
      <c r="A31" t="s">
        <v>3404</v>
      </c>
      <c r="B31" t="s">
        <v>1962</v>
      </c>
      <c r="C31" t="s">
        <v>709</v>
      </c>
      <c r="D31" t="s">
        <v>708</v>
      </c>
      <c r="E31" t="s">
        <v>3396</v>
      </c>
      <c r="F31" t="s">
        <v>554</v>
      </c>
      <c r="G31" t="s">
        <v>3374</v>
      </c>
      <c r="H31" t="s">
        <v>546</v>
      </c>
    </row>
    <row r="32" spans="1:8" x14ac:dyDescent="0.2">
      <c r="A32" t="s">
        <v>3405</v>
      </c>
      <c r="B32" t="s">
        <v>1962</v>
      </c>
      <c r="C32" t="s">
        <v>620</v>
      </c>
      <c r="D32" t="s">
        <v>619</v>
      </c>
      <c r="E32" t="s">
        <v>3396</v>
      </c>
      <c r="F32" t="s">
        <v>554</v>
      </c>
      <c r="G32" t="s">
        <v>3374</v>
      </c>
      <c r="H32" t="s">
        <v>546</v>
      </c>
    </row>
    <row r="33" spans="1:8" x14ac:dyDescent="0.2">
      <c r="A33" t="s">
        <v>3406</v>
      </c>
      <c r="B33" t="s">
        <v>1962</v>
      </c>
      <c r="C33" t="s">
        <v>566</v>
      </c>
      <c r="D33" t="s">
        <v>565</v>
      </c>
      <c r="E33" t="s">
        <v>3396</v>
      </c>
      <c r="F33" t="s">
        <v>554</v>
      </c>
      <c r="G33" t="s">
        <v>3374</v>
      </c>
      <c r="H33" t="s">
        <v>546</v>
      </c>
    </row>
    <row r="34" spans="1:8" x14ac:dyDescent="0.2">
      <c r="A34" t="s">
        <v>3407</v>
      </c>
      <c r="B34" t="s">
        <v>1294</v>
      </c>
      <c r="C34" t="s">
        <v>620</v>
      </c>
      <c r="D34" t="s">
        <v>620</v>
      </c>
      <c r="E34" t="s">
        <v>3373</v>
      </c>
      <c r="F34" t="s">
        <v>546</v>
      </c>
      <c r="G34" t="s">
        <v>3374</v>
      </c>
      <c r="H34" t="s">
        <v>546</v>
      </c>
    </row>
    <row r="35" spans="1:8" x14ac:dyDescent="0.2">
      <c r="A35" t="s">
        <v>3408</v>
      </c>
      <c r="B35" t="s">
        <v>1294</v>
      </c>
      <c r="C35" t="s">
        <v>625</v>
      </c>
      <c r="D35" t="s">
        <v>625</v>
      </c>
      <c r="E35" t="s">
        <v>3373</v>
      </c>
      <c r="F35" t="s">
        <v>546</v>
      </c>
      <c r="G35" t="s">
        <v>3374</v>
      </c>
      <c r="H35" t="s">
        <v>546</v>
      </c>
    </row>
    <row r="36" spans="1:8" x14ac:dyDescent="0.2">
      <c r="A36" t="s">
        <v>3409</v>
      </c>
      <c r="B36" t="s">
        <v>1294</v>
      </c>
      <c r="C36" t="s">
        <v>846</v>
      </c>
      <c r="D36" t="s">
        <v>846</v>
      </c>
      <c r="E36" t="s">
        <v>3373</v>
      </c>
      <c r="F36" t="s">
        <v>546</v>
      </c>
      <c r="G36" t="s">
        <v>3374</v>
      </c>
      <c r="H36" t="s">
        <v>546</v>
      </c>
    </row>
    <row r="37" spans="1:8" x14ac:dyDescent="0.2">
      <c r="A37" t="s">
        <v>3410</v>
      </c>
      <c r="B37" t="s">
        <v>1477</v>
      </c>
      <c r="C37" t="s">
        <v>641</v>
      </c>
      <c r="D37" t="s">
        <v>981</v>
      </c>
      <c r="E37" t="s">
        <v>3396</v>
      </c>
      <c r="F37" t="s">
        <v>554</v>
      </c>
      <c r="G37" t="s">
        <v>3374</v>
      </c>
      <c r="H37" t="s">
        <v>546</v>
      </c>
    </row>
    <row r="38" spans="1:8" x14ac:dyDescent="0.2">
      <c r="A38" t="s">
        <v>3411</v>
      </c>
      <c r="B38" t="s">
        <v>1477</v>
      </c>
      <c r="C38" t="s">
        <v>626</v>
      </c>
      <c r="D38" t="s">
        <v>625</v>
      </c>
      <c r="E38" t="s">
        <v>3396</v>
      </c>
      <c r="F38" t="s">
        <v>554</v>
      </c>
      <c r="G38" t="s">
        <v>3374</v>
      </c>
      <c r="H38" t="s">
        <v>546</v>
      </c>
    </row>
    <row r="39" spans="1:8" x14ac:dyDescent="0.2">
      <c r="A39" t="s">
        <v>3412</v>
      </c>
      <c r="B39" t="s">
        <v>1477</v>
      </c>
      <c r="C39" t="s">
        <v>694</v>
      </c>
      <c r="D39" t="s">
        <v>776</v>
      </c>
      <c r="E39" t="s">
        <v>3396</v>
      </c>
      <c r="F39" t="s">
        <v>554</v>
      </c>
      <c r="G39" t="s">
        <v>3374</v>
      </c>
      <c r="H39" t="s">
        <v>546</v>
      </c>
    </row>
    <row r="40" spans="1:8" x14ac:dyDescent="0.2">
      <c r="A40" t="s">
        <v>3413</v>
      </c>
      <c r="B40" t="s">
        <v>1130</v>
      </c>
      <c r="C40" t="s">
        <v>1131</v>
      </c>
      <c r="D40" t="s">
        <v>615</v>
      </c>
      <c r="E40" t="s">
        <v>3396</v>
      </c>
      <c r="F40" t="s">
        <v>554</v>
      </c>
      <c r="G40" t="s">
        <v>3374</v>
      </c>
      <c r="H40" t="s">
        <v>546</v>
      </c>
    </row>
    <row r="41" spans="1:8" x14ac:dyDescent="0.2">
      <c r="A41" t="s">
        <v>3414</v>
      </c>
      <c r="B41" t="s">
        <v>1130</v>
      </c>
      <c r="C41" t="s">
        <v>780</v>
      </c>
      <c r="D41" t="s">
        <v>779</v>
      </c>
      <c r="E41" t="s">
        <v>3396</v>
      </c>
      <c r="F41" t="s">
        <v>554</v>
      </c>
      <c r="G41" t="s">
        <v>3374</v>
      </c>
      <c r="H41" t="s">
        <v>546</v>
      </c>
    </row>
    <row r="42" spans="1:8" x14ac:dyDescent="0.2">
      <c r="A42" t="s">
        <v>3415</v>
      </c>
      <c r="B42" t="s">
        <v>1130</v>
      </c>
      <c r="C42" t="s">
        <v>687</v>
      </c>
      <c r="D42" t="s">
        <v>1001</v>
      </c>
      <c r="E42" t="s">
        <v>3396</v>
      </c>
      <c r="F42" t="s">
        <v>554</v>
      </c>
      <c r="G42" t="s">
        <v>3374</v>
      </c>
      <c r="H42" t="s">
        <v>546</v>
      </c>
    </row>
    <row r="43" spans="1:8" x14ac:dyDescent="0.2">
      <c r="A43" t="s">
        <v>3416</v>
      </c>
      <c r="B43" t="s">
        <v>1130</v>
      </c>
      <c r="C43" t="s">
        <v>694</v>
      </c>
      <c r="D43" t="s">
        <v>776</v>
      </c>
      <c r="E43" t="s">
        <v>3396</v>
      </c>
      <c r="F43" t="s">
        <v>554</v>
      </c>
      <c r="G43" t="s">
        <v>3374</v>
      </c>
      <c r="H43" t="s">
        <v>546</v>
      </c>
    </row>
    <row r="44" spans="1:8" x14ac:dyDescent="0.2">
      <c r="A44" t="s">
        <v>3417</v>
      </c>
      <c r="B44" t="s">
        <v>1208</v>
      </c>
      <c r="C44" t="s">
        <v>615</v>
      </c>
      <c r="D44" t="s">
        <v>615</v>
      </c>
      <c r="E44" t="s">
        <v>3373</v>
      </c>
      <c r="F44" t="s">
        <v>546</v>
      </c>
      <c r="G44" t="s">
        <v>3374</v>
      </c>
      <c r="H44" t="s">
        <v>546</v>
      </c>
    </row>
    <row r="45" spans="1:8" x14ac:dyDescent="0.2">
      <c r="A45" t="s">
        <v>3418</v>
      </c>
      <c r="B45" t="s">
        <v>1208</v>
      </c>
      <c r="C45" t="s">
        <v>772</v>
      </c>
      <c r="D45" t="s">
        <v>772</v>
      </c>
      <c r="E45" t="s">
        <v>3373</v>
      </c>
      <c r="F45" t="s">
        <v>546</v>
      </c>
      <c r="G45" t="s">
        <v>3374</v>
      </c>
      <c r="H45" t="s">
        <v>546</v>
      </c>
    </row>
    <row r="46" spans="1:8" x14ac:dyDescent="0.2">
      <c r="A46" t="s">
        <v>3419</v>
      </c>
      <c r="B46" t="s">
        <v>1208</v>
      </c>
      <c r="C46" t="s">
        <v>626</v>
      </c>
      <c r="D46" t="s">
        <v>626</v>
      </c>
      <c r="E46" t="s">
        <v>3373</v>
      </c>
      <c r="F46" t="s">
        <v>546</v>
      </c>
      <c r="G46" t="s">
        <v>3374</v>
      </c>
      <c r="H46" t="s">
        <v>546</v>
      </c>
    </row>
    <row r="47" spans="1:8" x14ac:dyDescent="0.2">
      <c r="A47" t="s">
        <v>3420</v>
      </c>
      <c r="B47" t="s">
        <v>1208</v>
      </c>
      <c r="C47" t="s">
        <v>736</v>
      </c>
      <c r="D47" t="s">
        <v>736</v>
      </c>
      <c r="E47" t="s">
        <v>3373</v>
      </c>
      <c r="F47" t="s">
        <v>546</v>
      </c>
      <c r="G47" t="s">
        <v>3374</v>
      </c>
      <c r="H47" t="s">
        <v>546</v>
      </c>
    </row>
    <row r="48" spans="1:8" x14ac:dyDescent="0.2">
      <c r="A48" t="s">
        <v>3421</v>
      </c>
      <c r="B48" t="s">
        <v>944</v>
      </c>
      <c r="C48" t="s">
        <v>681</v>
      </c>
      <c r="D48" t="s">
        <v>681</v>
      </c>
      <c r="E48" t="s">
        <v>3373</v>
      </c>
      <c r="F48" t="s">
        <v>546</v>
      </c>
      <c r="G48" t="s">
        <v>3374</v>
      </c>
      <c r="H48" t="s">
        <v>546</v>
      </c>
    </row>
    <row r="49" spans="1:8" x14ac:dyDescent="0.2">
      <c r="A49" t="s">
        <v>3422</v>
      </c>
      <c r="B49" t="s">
        <v>944</v>
      </c>
      <c r="C49" t="s">
        <v>660</v>
      </c>
      <c r="D49" t="s">
        <v>660</v>
      </c>
      <c r="E49" t="s">
        <v>3373</v>
      </c>
      <c r="F49" t="s">
        <v>546</v>
      </c>
      <c r="G49" t="s">
        <v>3374</v>
      </c>
      <c r="H49" t="s">
        <v>546</v>
      </c>
    </row>
    <row r="50" spans="1:8" x14ac:dyDescent="0.2">
      <c r="A50" t="s">
        <v>3423</v>
      </c>
      <c r="B50" t="s">
        <v>944</v>
      </c>
      <c r="C50" t="s">
        <v>677</v>
      </c>
      <c r="D50" t="s">
        <v>677</v>
      </c>
      <c r="E50" t="s">
        <v>3373</v>
      </c>
      <c r="F50" t="s">
        <v>546</v>
      </c>
      <c r="G50" t="s">
        <v>3374</v>
      </c>
      <c r="H50" t="s">
        <v>546</v>
      </c>
    </row>
    <row r="51" spans="1:8" x14ac:dyDescent="0.2">
      <c r="A51" t="s">
        <v>3424</v>
      </c>
      <c r="B51" t="s">
        <v>1495</v>
      </c>
      <c r="C51" t="s">
        <v>1496</v>
      </c>
      <c r="D51" t="s">
        <v>1496</v>
      </c>
      <c r="E51" t="s">
        <v>3373</v>
      </c>
      <c r="F51" t="s">
        <v>546</v>
      </c>
      <c r="G51" t="s">
        <v>3374</v>
      </c>
      <c r="H51" t="s">
        <v>546</v>
      </c>
    </row>
    <row r="52" spans="1:8" x14ac:dyDescent="0.2">
      <c r="A52" t="s">
        <v>3425</v>
      </c>
      <c r="B52" t="s">
        <v>1495</v>
      </c>
      <c r="C52" t="s">
        <v>1499</v>
      </c>
      <c r="D52" t="s">
        <v>1499</v>
      </c>
      <c r="E52" t="s">
        <v>3373</v>
      </c>
      <c r="F52" t="s">
        <v>546</v>
      </c>
      <c r="G52" t="s">
        <v>3374</v>
      </c>
      <c r="H52" t="s">
        <v>546</v>
      </c>
    </row>
    <row r="53" spans="1:8" x14ac:dyDescent="0.2">
      <c r="A53" t="s">
        <v>3426</v>
      </c>
      <c r="B53" t="s">
        <v>1495</v>
      </c>
      <c r="C53" t="s">
        <v>926</v>
      </c>
      <c r="D53" t="s">
        <v>926</v>
      </c>
      <c r="E53" t="s">
        <v>3373</v>
      </c>
      <c r="F53" t="s">
        <v>546</v>
      </c>
      <c r="G53" t="s">
        <v>3374</v>
      </c>
      <c r="H53" t="s">
        <v>546</v>
      </c>
    </row>
    <row r="54" spans="1:8" x14ac:dyDescent="0.2">
      <c r="A54" t="s">
        <v>3427</v>
      </c>
      <c r="B54" t="s">
        <v>933</v>
      </c>
      <c r="C54" t="s">
        <v>680</v>
      </c>
      <c r="D54" t="s">
        <v>731</v>
      </c>
      <c r="E54" t="s">
        <v>3396</v>
      </c>
      <c r="F54" t="s">
        <v>554</v>
      </c>
      <c r="G54" t="s">
        <v>3374</v>
      </c>
      <c r="H54" t="s">
        <v>546</v>
      </c>
    </row>
    <row r="55" spans="1:8" x14ac:dyDescent="0.2">
      <c r="A55" t="s">
        <v>3428</v>
      </c>
      <c r="B55" t="s">
        <v>933</v>
      </c>
      <c r="C55" t="s">
        <v>687</v>
      </c>
      <c r="D55" t="s">
        <v>1001</v>
      </c>
      <c r="E55" t="s">
        <v>3396</v>
      </c>
      <c r="F55" t="s">
        <v>554</v>
      </c>
      <c r="G55" t="s">
        <v>3374</v>
      </c>
      <c r="H55" t="s">
        <v>546</v>
      </c>
    </row>
    <row r="56" spans="1:8" x14ac:dyDescent="0.2">
      <c r="A56" t="s">
        <v>3429</v>
      </c>
      <c r="B56" t="s">
        <v>933</v>
      </c>
      <c r="C56" t="s">
        <v>626</v>
      </c>
      <c r="D56" t="s">
        <v>625</v>
      </c>
      <c r="E56" t="s">
        <v>3396</v>
      </c>
      <c r="F56" t="s">
        <v>554</v>
      </c>
      <c r="G56" t="s">
        <v>3374</v>
      </c>
      <c r="H56" t="s">
        <v>546</v>
      </c>
    </row>
    <row r="57" spans="1:8" x14ac:dyDescent="0.2">
      <c r="A57" t="s">
        <v>3430</v>
      </c>
      <c r="B57" t="s">
        <v>933</v>
      </c>
      <c r="C57" t="s">
        <v>705</v>
      </c>
      <c r="D57" t="s">
        <v>704</v>
      </c>
      <c r="E57" t="s">
        <v>3396</v>
      </c>
      <c r="F57" t="s">
        <v>554</v>
      </c>
      <c r="G57" t="s">
        <v>3374</v>
      </c>
      <c r="H57" t="s">
        <v>546</v>
      </c>
    </row>
    <row r="58" spans="1:8" x14ac:dyDescent="0.2">
      <c r="A58" t="s">
        <v>3431</v>
      </c>
      <c r="B58" t="s">
        <v>854</v>
      </c>
      <c r="C58" t="s">
        <v>715</v>
      </c>
      <c r="D58" t="s">
        <v>714</v>
      </c>
      <c r="E58" t="s">
        <v>3396</v>
      </c>
      <c r="F58" t="s">
        <v>554</v>
      </c>
      <c r="G58" t="s">
        <v>3374</v>
      </c>
      <c r="H58" t="s">
        <v>546</v>
      </c>
    </row>
    <row r="59" spans="1:8" x14ac:dyDescent="0.2">
      <c r="A59" t="s">
        <v>3432</v>
      </c>
      <c r="B59" t="s">
        <v>854</v>
      </c>
      <c r="C59" t="s">
        <v>719</v>
      </c>
      <c r="D59" t="s">
        <v>718</v>
      </c>
      <c r="E59" t="s">
        <v>3396</v>
      </c>
      <c r="F59" t="s">
        <v>554</v>
      </c>
      <c r="G59" t="s">
        <v>3374</v>
      </c>
      <c r="H59" t="s">
        <v>546</v>
      </c>
    </row>
    <row r="60" spans="1:8" x14ac:dyDescent="0.2">
      <c r="A60" t="s">
        <v>3433</v>
      </c>
      <c r="B60" t="s">
        <v>854</v>
      </c>
      <c r="C60" t="s">
        <v>722</v>
      </c>
      <c r="D60" t="s">
        <v>757</v>
      </c>
      <c r="E60" t="s">
        <v>3396</v>
      </c>
      <c r="F60" t="s">
        <v>554</v>
      </c>
      <c r="G60" t="s">
        <v>3374</v>
      </c>
      <c r="H60" t="s">
        <v>546</v>
      </c>
    </row>
    <row r="61" spans="1:8" x14ac:dyDescent="0.2">
      <c r="A61" t="s">
        <v>3434</v>
      </c>
      <c r="B61" t="s">
        <v>854</v>
      </c>
      <c r="C61" t="s">
        <v>727</v>
      </c>
      <c r="D61" t="s">
        <v>726</v>
      </c>
      <c r="E61" t="s">
        <v>3396</v>
      </c>
      <c r="F61" t="s">
        <v>554</v>
      </c>
      <c r="G61" t="s">
        <v>3374</v>
      </c>
      <c r="H61" t="s">
        <v>546</v>
      </c>
    </row>
    <row r="62" spans="1:8" x14ac:dyDescent="0.2">
      <c r="A62" t="s">
        <v>3435</v>
      </c>
      <c r="B62" t="s">
        <v>1272</v>
      </c>
      <c r="C62" t="s">
        <v>1274</v>
      </c>
      <c r="D62" t="s">
        <v>1273</v>
      </c>
      <c r="E62" t="s">
        <v>3396</v>
      </c>
      <c r="F62" t="s">
        <v>554</v>
      </c>
      <c r="G62" t="s">
        <v>3374</v>
      </c>
      <c r="H62" t="s">
        <v>546</v>
      </c>
    </row>
    <row r="63" spans="1:8" x14ac:dyDescent="0.2">
      <c r="A63" t="s">
        <v>3436</v>
      </c>
      <c r="B63" t="s">
        <v>1272</v>
      </c>
      <c r="C63" t="s">
        <v>1279</v>
      </c>
      <c r="D63" t="s">
        <v>1278</v>
      </c>
      <c r="E63" t="s">
        <v>3396</v>
      </c>
      <c r="F63" t="s">
        <v>554</v>
      </c>
      <c r="G63" t="s">
        <v>3374</v>
      </c>
      <c r="H63" t="s">
        <v>546</v>
      </c>
    </row>
    <row r="64" spans="1:8" x14ac:dyDescent="0.2">
      <c r="A64" t="s">
        <v>3437</v>
      </c>
      <c r="B64" t="s">
        <v>1272</v>
      </c>
      <c r="C64" t="s">
        <v>1283</v>
      </c>
      <c r="D64" t="s">
        <v>1282</v>
      </c>
      <c r="E64" t="s">
        <v>3396</v>
      </c>
      <c r="F64" t="s">
        <v>554</v>
      </c>
      <c r="G64" t="s">
        <v>3374</v>
      </c>
      <c r="H64" t="s">
        <v>546</v>
      </c>
    </row>
    <row r="65" spans="1:8" x14ac:dyDescent="0.2">
      <c r="A65" t="s">
        <v>3438</v>
      </c>
      <c r="B65" t="s">
        <v>1272</v>
      </c>
      <c r="C65" t="s">
        <v>726</v>
      </c>
      <c r="D65" t="s">
        <v>760</v>
      </c>
      <c r="E65" t="s">
        <v>3396</v>
      </c>
      <c r="F65" t="s">
        <v>554</v>
      </c>
      <c r="G65" t="s">
        <v>3374</v>
      </c>
      <c r="H65" t="s">
        <v>546</v>
      </c>
    </row>
    <row r="66" spans="1:8" x14ac:dyDescent="0.2">
      <c r="A66" t="s">
        <v>3439</v>
      </c>
      <c r="B66" t="s">
        <v>1999</v>
      </c>
      <c r="C66" t="s">
        <v>599</v>
      </c>
      <c r="D66" t="s">
        <v>599</v>
      </c>
      <c r="E66" t="s">
        <v>3373</v>
      </c>
      <c r="F66" t="s">
        <v>546</v>
      </c>
      <c r="G66" t="s">
        <v>3374</v>
      </c>
      <c r="H66" t="s">
        <v>546</v>
      </c>
    </row>
    <row r="67" spans="1:8" x14ac:dyDescent="0.2">
      <c r="A67" t="s">
        <v>3440</v>
      </c>
      <c r="B67" t="s">
        <v>1999</v>
      </c>
      <c r="C67" t="s">
        <v>1553</v>
      </c>
      <c r="D67" t="s">
        <v>1553</v>
      </c>
      <c r="E67" t="s">
        <v>3373</v>
      </c>
      <c r="F67" t="s">
        <v>546</v>
      </c>
      <c r="G67" t="s">
        <v>3374</v>
      </c>
      <c r="H67" t="s">
        <v>546</v>
      </c>
    </row>
    <row r="68" spans="1:8" x14ac:dyDescent="0.2">
      <c r="A68" t="s">
        <v>3441</v>
      </c>
      <c r="B68" t="s">
        <v>1999</v>
      </c>
      <c r="C68" t="s">
        <v>1174</v>
      </c>
      <c r="D68" t="s">
        <v>1174</v>
      </c>
      <c r="E68" t="s">
        <v>3373</v>
      </c>
      <c r="F68" t="s">
        <v>546</v>
      </c>
      <c r="G68" t="s">
        <v>3374</v>
      </c>
      <c r="H68" t="s">
        <v>546</v>
      </c>
    </row>
    <row r="69" spans="1:8" x14ac:dyDescent="0.2">
      <c r="A69" t="s">
        <v>3442</v>
      </c>
      <c r="B69" t="s">
        <v>637</v>
      </c>
      <c r="C69" t="s">
        <v>639</v>
      </c>
      <c r="D69" t="s">
        <v>638</v>
      </c>
      <c r="E69" t="s">
        <v>3396</v>
      </c>
      <c r="F69" t="s">
        <v>554</v>
      </c>
      <c r="G69" t="s">
        <v>3374</v>
      </c>
      <c r="H69" t="s">
        <v>546</v>
      </c>
    </row>
    <row r="70" spans="1:8" x14ac:dyDescent="0.2">
      <c r="A70" t="s">
        <v>3443</v>
      </c>
      <c r="B70" t="s">
        <v>637</v>
      </c>
      <c r="C70" t="s">
        <v>642</v>
      </c>
      <c r="D70" t="s">
        <v>641</v>
      </c>
      <c r="E70" t="s">
        <v>3396</v>
      </c>
      <c r="F70" t="s">
        <v>554</v>
      </c>
      <c r="G70" t="s">
        <v>3374</v>
      </c>
      <c r="H70" t="s">
        <v>546</v>
      </c>
    </row>
    <row r="71" spans="1:8" x14ac:dyDescent="0.2">
      <c r="A71" t="s">
        <v>3444</v>
      </c>
      <c r="B71" t="s">
        <v>637</v>
      </c>
      <c r="C71" t="s">
        <v>645</v>
      </c>
      <c r="D71" t="s">
        <v>644</v>
      </c>
      <c r="E71" t="s">
        <v>3396</v>
      </c>
      <c r="F71" t="s">
        <v>554</v>
      </c>
      <c r="G71" t="s">
        <v>3374</v>
      </c>
      <c r="H71" t="s">
        <v>546</v>
      </c>
    </row>
    <row r="72" spans="1:8" x14ac:dyDescent="0.2">
      <c r="A72" t="s">
        <v>3445</v>
      </c>
      <c r="B72" t="s">
        <v>1112</v>
      </c>
      <c r="C72" t="s">
        <v>1113</v>
      </c>
      <c r="D72" t="s">
        <v>1113</v>
      </c>
      <c r="E72" t="s">
        <v>3373</v>
      </c>
      <c r="F72" t="s">
        <v>546</v>
      </c>
      <c r="G72" t="s">
        <v>3374</v>
      </c>
      <c r="H72" t="s">
        <v>546</v>
      </c>
    </row>
    <row r="73" spans="1:8" x14ac:dyDescent="0.2">
      <c r="A73" t="s">
        <v>3446</v>
      </c>
      <c r="B73" t="s">
        <v>1112</v>
      </c>
      <c r="C73" t="s">
        <v>681</v>
      </c>
      <c r="D73" t="s">
        <v>681</v>
      </c>
      <c r="E73" t="s">
        <v>3373</v>
      </c>
      <c r="F73" t="s">
        <v>546</v>
      </c>
      <c r="G73" t="s">
        <v>3374</v>
      </c>
      <c r="H73" t="s">
        <v>546</v>
      </c>
    </row>
    <row r="74" spans="1:8" x14ac:dyDescent="0.2">
      <c r="A74" t="s">
        <v>3447</v>
      </c>
      <c r="B74" t="s">
        <v>1112</v>
      </c>
      <c r="C74" t="s">
        <v>742</v>
      </c>
      <c r="D74" t="s">
        <v>742</v>
      </c>
      <c r="E74" t="s">
        <v>3373</v>
      </c>
      <c r="F74" t="s">
        <v>546</v>
      </c>
      <c r="G74" t="s">
        <v>3374</v>
      </c>
      <c r="H74" t="s">
        <v>546</v>
      </c>
    </row>
    <row r="75" spans="1:8" x14ac:dyDescent="0.2">
      <c r="A75" t="s">
        <v>3448</v>
      </c>
      <c r="B75" t="s">
        <v>1112</v>
      </c>
      <c r="C75" t="s">
        <v>677</v>
      </c>
      <c r="D75" t="s">
        <v>677</v>
      </c>
      <c r="E75" t="s">
        <v>3373</v>
      </c>
      <c r="F75" t="s">
        <v>546</v>
      </c>
      <c r="G75" t="s">
        <v>3374</v>
      </c>
      <c r="H75" t="s">
        <v>546</v>
      </c>
    </row>
    <row r="76" spans="1:8" x14ac:dyDescent="0.2">
      <c r="A76" t="s">
        <v>3449</v>
      </c>
      <c r="B76" t="s">
        <v>1057</v>
      </c>
      <c r="C76" t="s">
        <v>1067</v>
      </c>
      <c r="D76" t="s">
        <v>1067</v>
      </c>
      <c r="E76" t="s">
        <v>3373</v>
      </c>
      <c r="F76" t="s">
        <v>546</v>
      </c>
      <c r="G76" t="s">
        <v>3374</v>
      </c>
      <c r="H76" t="s">
        <v>546</v>
      </c>
    </row>
    <row r="77" spans="1:8" x14ac:dyDescent="0.2">
      <c r="A77" t="s">
        <v>3450</v>
      </c>
      <c r="B77" t="s">
        <v>1057</v>
      </c>
      <c r="C77" t="s">
        <v>1058</v>
      </c>
      <c r="D77" t="s">
        <v>1058</v>
      </c>
      <c r="E77" t="s">
        <v>3373</v>
      </c>
      <c r="F77" t="s">
        <v>546</v>
      </c>
      <c r="G77" t="s">
        <v>3374</v>
      </c>
      <c r="H77" t="s">
        <v>546</v>
      </c>
    </row>
    <row r="78" spans="1:8" x14ac:dyDescent="0.2">
      <c r="A78" t="s">
        <v>3451</v>
      </c>
      <c r="B78" t="s">
        <v>1057</v>
      </c>
      <c r="C78" t="s">
        <v>1061</v>
      </c>
      <c r="D78" t="s">
        <v>1061</v>
      </c>
      <c r="E78" t="s">
        <v>3373</v>
      </c>
      <c r="F78" t="s">
        <v>546</v>
      </c>
      <c r="G78" t="s">
        <v>3374</v>
      </c>
      <c r="H78" t="s">
        <v>546</v>
      </c>
    </row>
    <row r="79" spans="1:8" x14ac:dyDescent="0.2">
      <c r="A79" t="s">
        <v>3452</v>
      </c>
      <c r="B79" t="s">
        <v>1057</v>
      </c>
      <c r="C79" t="s">
        <v>1064</v>
      </c>
      <c r="D79" t="s">
        <v>1064</v>
      </c>
      <c r="E79" t="s">
        <v>3373</v>
      </c>
      <c r="F79" t="s">
        <v>546</v>
      </c>
      <c r="G79" t="s">
        <v>3374</v>
      </c>
      <c r="H79" t="s">
        <v>546</v>
      </c>
    </row>
    <row r="80" spans="1:8" x14ac:dyDescent="0.2">
      <c r="A80" t="s">
        <v>3453</v>
      </c>
      <c r="B80" t="s">
        <v>1000</v>
      </c>
      <c r="C80" t="s">
        <v>656</v>
      </c>
      <c r="D80" t="s">
        <v>656</v>
      </c>
      <c r="E80" t="s">
        <v>3373</v>
      </c>
      <c r="F80" t="s">
        <v>546</v>
      </c>
      <c r="G80" t="s">
        <v>3374</v>
      </c>
      <c r="H80" t="s">
        <v>546</v>
      </c>
    </row>
    <row r="81" spans="1:8" x14ac:dyDescent="0.2">
      <c r="A81" t="s">
        <v>3454</v>
      </c>
      <c r="B81" t="s">
        <v>1000</v>
      </c>
      <c r="C81" t="s">
        <v>1001</v>
      </c>
      <c r="D81" t="s">
        <v>1001</v>
      </c>
      <c r="E81" t="s">
        <v>3373</v>
      </c>
      <c r="F81" t="s">
        <v>546</v>
      </c>
      <c r="G81" t="s">
        <v>3374</v>
      </c>
      <c r="H81" t="s">
        <v>546</v>
      </c>
    </row>
    <row r="82" spans="1:8" x14ac:dyDescent="0.2">
      <c r="A82" t="s">
        <v>3455</v>
      </c>
      <c r="B82" t="s">
        <v>1000</v>
      </c>
      <c r="C82" t="s">
        <v>705</v>
      </c>
      <c r="D82" t="s">
        <v>705</v>
      </c>
      <c r="E82" t="s">
        <v>3373</v>
      </c>
      <c r="F82" t="s">
        <v>546</v>
      </c>
      <c r="G82" t="s">
        <v>3374</v>
      </c>
      <c r="H82" t="s">
        <v>546</v>
      </c>
    </row>
    <row r="83" spans="1:8" x14ac:dyDescent="0.2">
      <c r="A83" t="s">
        <v>3456</v>
      </c>
      <c r="B83" t="s">
        <v>1361</v>
      </c>
      <c r="C83" t="s">
        <v>1363</v>
      </c>
      <c r="D83" t="s">
        <v>1362</v>
      </c>
      <c r="E83" t="s">
        <v>3396</v>
      </c>
      <c r="F83" t="s">
        <v>554</v>
      </c>
      <c r="G83" t="s">
        <v>3374</v>
      </c>
      <c r="H83" t="s">
        <v>546</v>
      </c>
    </row>
    <row r="84" spans="1:8" x14ac:dyDescent="0.2">
      <c r="A84" t="s">
        <v>3457</v>
      </c>
      <c r="B84" t="s">
        <v>1361</v>
      </c>
      <c r="C84" t="s">
        <v>823</v>
      </c>
      <c r="D84" t="s">
        <v>822</v>
      </c>
      <c r="E84" t="s">
        <v>3396</v>
      </c>
      <c r="F84" t="s">
        <v>554</v>
      </c>
      <c r="G84" t="s">
        <v>3374</v>
      </c>
      <c r="H84" t="s">
        <v>546</v>
      </c>
    </row>
    <row r="85" spans="1:8" x14ac:dyDescent="0.2">
      <c r="A85" t="s">
        <v>3458</v>
      </c>
      <c r="B85" t="s">
        <v>1361</v>
      </c>
      <c r="C85" t="s">
        <v>1369</v>
      </c>
      <c r="D85" t="s">
        <v>1368</v>
      </c>
      <c r="E85" t="s">
        <v>3396</v>
      </c>
      <c r="F85" t="s">
        <v>554</v>
      </c>
      <c r="G85" t="s">
        <v>3374</v>
      </c>
      <c r="H85" t="s">
        <v>546</v>
      </c>
    </row>
    <row r="86" spans="1:8" x14ac:dyDescent="0.2">
      <c r="A86" t="s">
        <v>3459</v>
      </c>
      <c r="B86" t="s">
        <v>1430</v>
      </c>
      <c r="C86" t="s">
        <v>656</v>
      </c>
      <c r="D86" t="s">
        <v>656</v>
      </c>
      <c r="E86" t="s">
        <v>3373</v>
      </c>
      <c r="F86" t="s">
        <v>546</v>
      </c>
      <c r="G86" t="s">
        <v>3374</v>
      </c>
      <c r="H86" t="s">
        <v>546</v>
      </c>
    </row>
    <row r="87" spans="1:8" x14ac:dyDescent="0.2">
      <c r="A87" t="s">
        <v>3460</v>
      </c>
      <c r="B87" t="s">
        <v>1430</v>
      </c>
      <c r="C87" t="s">
        <v>626</v>
      </c>
      <c r="D87" t="s">
        <v>626</v>
      </c>
      <c r="E87" t="s">
        <v>3373</v>
      </c>
      <c r="F87" t="s">
        <v>546</v>
      </c>
      <c r="G87" t="s">
        <v>3374</v>
      </c>
      <c r="H87" t="s">
        <v>546</v>
      </c>
    </row>
    <row r="88" spans="1:8" x14ac:dyDescent="0.2">
      <c r="A88" t="s">
        <v>3461</v>
      </c>
      <c r="B88" t="s">
        <v>1430</v>
      </c>
      <c r="C88" t="s">
        <v>737</v>
      </c>
      <c r="D88" t="s">
        <v>737</v>
      </c>
      <c r="E88" t="s">
        <v>3373</v>
      </c>
      <c r="F88" t="s">
        <v>546</v>
      </c>
      <c r="G88" t="s">
        <v>3374</v>
      </c>
      <c r="H88" t="s">
        <v>546</v>
      </c>
    </row>
    <row r="89" spans="1:8" x14ac:dyDescent="0.2">
      <c r="A89" t="s">
        <v>3462</v>
      </c>
      <c r="B89" t="s">
        <v>878</v>
      </c>
      <c r="C89" t="s">
        <v>714</v>
      </c>
      <c r="D89" t="s">
        <v>879</v>
      </c>
      <c r="E89" t="s">
        <v>3396</v>
      </c>
      <c r="F89" t="s">
        <v>554</v>
      </c>
      <c r="G89" t="s">
        <v>3374</v>
      </c>
      <c r="H89" t="s">
        <v>546</v>
      </c>
    </row>
    <row r="90" spans="1:8" x14ac:dyDescent="0.2">
      <c r="A90" t="s">
        <v>3463</v>
      </c>
      <c r="B90" t="s">
        <v>878</v>
      </c>
      <c r="C90" t="s">
        <v>766</v>
      </c>
      <c r="D90" t="s">
        <v>895</v>
      </c>
      <c r="E90" t="s">
        <v>3396</v>
      </c>
      <c r="F90" t="s">
        <v>554</v>
      </c>
      <c r="G90" t="s">
        <v>3374</v>
      </c>
      <c r="H90" t="s">
        <v>546</v>
      </c>
    </row>
    <row r="91" spans="1:8" x14ac:dyDescent="0.2">
      <c r="A91" t="s">
        <v>3464</v>
      </c>
      <c r="B91" t="s">
        <v>878</v>
      </c>
      <c r="C91" t="s">
        <v>884</v>
      </c>
      <c r="D91" t="s">
        <v>719</v>
      </c>
      <c r="E91" t="s">
        <v>3396</v>
      </c>
      <c r="F91" t="s">
        <v>554</v>
      </c>
      <c r="G91" t="s">
        <v>3374</v>
      </c>
      <c r="H91" t="s">
        <v>546</v>
      </c>
    </row>
    <row r="92" spans="1:8" x14ac:dyDescent="0.2">
      <c r="A92" t="s">
        <v>3465</v>
      </c>
      <c r="B92" t="s">
        <v>878</v>
      </c>
      <c r="C92" t="s">
        <v>900</v>
      </c>
      <c r="D92" t="s">
        <v>899</v>
      </c>
      <c r="E92" t="s">
        <v>3396</v>
      </c>
      <c r="F92" t="s">
        <v>554</v>
      </c>
      <c r="G92" t="s">
        <v>3374</v>
      </c>
      <c r="H92" t="s">
        <v>546</v>
      </c>
    </row>
    <row r="93" spans="1:8" x14ac:dyDescent="0.2">
      <c r="A93" t="s">
        <v>3466</v>
      </c>
      <c r="B93" t="s">
        <v>878</v>
      </c>
      <c r="C93" t="s">
        <v>722</v>
      </c>
      <c r="D93" t="s">
        <v>757</v>
      </c>
      <c r="E93" t="s">
        <v>3396</v>
      </c>
      <c r="F93" t="s">
        <v>554</v>
      </c>
      <c r="G93" t="s">
        <v>3374</v>
      </c>
      <c r="H93" t="s">
        <v>546</v>
      </c>
    </row>
    <row r="94" spans="1:8" x14ac:dyDescent="0.2">
      <c r="A94" t="s">
        <v>3467</v>
      </c>
      <c r="B94" t="s">
        <v>878</v>
      </c>
      <c r="C94" t="s">
        <v>891</v>
      </c>
      <c r="D94" t="s">
        <v>727</v>
      </c>
      <c r="E94" t="s">
        <v>3396</v>
      </c>
      <c r="F94" t="s">
        <v>554</v>
      </c>
      <c r="G94" t="s">
        <v>3374</v>
      </c>
      <c r="H94" t="s">
        <v>546</v>
      </c>
    </row>
    <row r="95" spans="1:8" x14ac:dyDescent="0.2">
      <c r="A95" t="s">
        <v>3468</v>
      </c>
      <c r="B95" t="s">
        <v>1071</v>
      </c>
      <c r="C95" t="s">
        <v>979</v>
      </c>
      <c r="D95" t="s">
        <v>978</v>
      </c>
      <c r="E95" t="s">
        <v>3396</v>
      </c>
      <c r="F95" t="s">
        <v>554</v>
      </c>
      <c r="G95" t="s">
        <v>3374</v>
      </c>
      <c r="H95" t="s">
        <v>546</v>
      </c>
    </row>
    <row r="96" spans="1:8" x14ac:dyDescent="0.2">
      <c r="A96" t="s">
        <v>3469</v>
      </c>
      <c r="B96" t="s">
        <v>1071</v>
      </c>
      <c r="C96" t="s">
        <v>709</v>
      </c>
      <c r="D96" t="s">
        <v>708</v>
      </c>
      <c r="E96" t="s">
        <v>3396</v>
      </c>
      <c r="F96" t="s">
        <v>554</v>
      </c>
      <c r="G96" t="s">
        <v>3374</v>
      </c>
      <c r="H96" t="s">
        <v>546</v>
      </c>
    </row>
    <row r="97" spans="1:8" x14ac:dyDescent="0.2">
      <c r="A97" t="s">
        <v>3470</v>
      </c>
      <c r="B97" t="s">
        <v>1071</v>
      </c>
      <c r="C97" t="s">
        <v>772</v>
      </c>
      <c r="D97" t="s">
        <v>701</v>
      </c>
      <c r="E97" t="s">
        <v>3396</v>
      </c>
      <c r="F97" t="s">
        <v>554</v>
      </c>
      <c r="G97" t="s">
        <v>3374</v>
      </c>
      <c r="H97" t="s">
        <v>546</v>
      </c>
    </row>
    <row r="98" spans="1:8" x14ac:dyDescent="0.2">
      <c r="A98" t="s">
        <v>3471</v>
      </c>
      <c r="B98" t="s">
        <v>1071</v>
      </c>
      <c r="C98" t="s">
        <v>1075</v>
      </c>
      <c r="D98" t="s">
        <v>1074</v>
      </c>
      <c r="E98" t="s">
        <v>3396</v>
      </c>
      <c r="F98" t="s">
        <v>554</v>
      </c>
      <c r="G98" t="s">
        <v>3374</v>
      </c>
      <c r="H98" t="s">
        <v>546</v>
      </c>
    </row>
    <row r="99" spans="1:8" x14ac:dyDescent="0.2">
      <c r="A99" t="s">
        <v>3472</v>
      </c>
      <c r="B99" t="s">
        <v>1071</v>
      </c>
      <c r="C99" t="s">
        <v>676</v>
      </c>
      <c r="D99" t="s">
        <v>705</v>
      </c>
      <c r="E99" t="s">
        <v>3396</v>
      </c>
      <c r="F99" t="s">
        <v>554</v>
      </c>
      <c r="G99" t="s">
        <v>3374</v>
      </c>
      <c r="H99" t="s">
        <v>546</v>
      </c>
    </row>
    <row r="100" spans="1:8" x14ac:dyDescent="0.2">
      <c r="A100" t="s">
        <v>3473</v>
      </c>
      <c r="B100" t="s">
        <v>1123</v>
      </c>
      <c r="C100" t="s">
        <v>1099</v>
      </c>
      <c r="D100" t="s">
        <v>1099</v>
      </c>
      <c r="E100" t="s">
        <v>3373</v>
      </c>
      <c r="F100" t="s">
        <v>546</v>
      </c>
      <c r="G100" t="s">
        <v>3374</v>
      </c>
      <c r="H100" t="s">
        <v>546</v>
      </c>
    </row>
    <row r="101" spans="1:8" x14ac:dyDescent="0.2">
      <c r="A101" t="s">
        <v>3474</v>
      </c>
      <c r="B101" t="s">
        <v>1123</v>
      </c>
      <c r="C101" t="s">
        <v>709</v>
      </c>
      <c r="D101" t="s">
        <v>709</v>
      </c>
      <c r="E101" t="s">
        <v>3373</v>
      </c>
      <c r="F101" t="s">
        <v>546</v>
      </c>
      <c r="G101" t="s">
        <v>3374</v>
      </c>
      <c r="H101" t="s">
        <v>546</v>
      </c>
    </row>
    <row r="102" spans="1:8" x14ac:dyDescent="0.2">
      <c r="A102" t="s">
        <v>3475</v>
      </c>
      <c r="B102" t="s">
        <v>1123</v>
      </c>
      <c r="C102" t="s">
        <v>1001</v>
      </c>
      <c r="D102" t="s">
        <v>1001</v>
      </c>
      <c r="E102" t="s">
        <v>3373</v>
      </c>
      <c r="F102" t="s">
        <v>546</v>
      </c>
      <c r="G102" t="s">
        <v>3374</v>
      </c>
      <c r="H102" t="s">
        <v>546</v>
      </c>
    </row>
    <row r="103" spans="1:8" x14ac:dyDescent="0.2">
      <c r="A103" t="s">
        <v>3476</v>
      </c>
      <c r="B103" t="s">
        <v>1123</v>
      </c>
      <c r="C103" t="s">
        <v>872</v>
      </c>
      <c r="D103" t="s">
        <v>872</v>
      </c>
      <c r="E103" t="s">
        <v>3373</v>
      </c>
      <c r="F103" t="s">
        <v>546</v>
      </c>
      <c r="G103" t="s">
        <v>3374</v>
      </c>
      <c r="H103" t="s">
        <v>546</v>
      </c>
    </row>
    <row r="104" spans="1:8" x14ac:dyDescent="0.2">
      <c r="A104" t="s">
        <v>3477</v>
      </c>
      <c r="B104" t="s">
        <v>770</v>
      </c>
      <c r="C104" t="s">
        <v>779</v>
      </c>
      <c r="D104" t="s">
        <v>779</v>
      </c>
      <c r="E104" t="s">
        <v>3373</v>
      </c>
      <c r="F104" t="s">
        <v>546</v>
      </c>
      <c r="G104" t="s">
        <v>3374</v>
      </c>
      <c r="H104" t="s">
        <v>546</v>
      </c>
    </row>
    <row r="105" spans="1:8" x14ac:dyDescent="0.2">
      <c r="A105" t="s">
        <v>3478</v>
      </c>
      <c r="B105" t="s">
        <v>770</v>
      </c>
      <c r="C105" t="s">
        <v>772</v>
      </c>
      <c r="D105" t="s">
        <v>772</v>
      </c>
      <c r="E105" t="s">
        <v>3373</v>
      </c>
      <c r="F105" t="s">
        <v>546</v>
      </c>
      <c r="G105" t="s">
        <v>3374</v>
      </c>
      <c r="H105" t="s">
        <v>546</v>
      </c>
    </row>
    <row r="106" spans="1:8" x14ac:dyDescent="0.2">
      <c r="A106" t="s">
        <v>3479</v>
      </c>
      <c r="B106" t="s">
        <v>770</v>
      </c>
      <c r="C106" t="s">
        <v>776</v>
      </c>
      <c r="D106" t="s">
        <v>776</v>
      </c>
      <c r="E106" t="s">
        <v>3373</v>
      </c>
      <c r="F106" t="s">
        <v>546</v>
      </c>
      <c r="G106" t="s">
        <v>3374</v>
      </c>
      <c r="H106" t="s">
        <v>546</v>
      </c>
    </row>
    <row r="107" spans="1:8" x14ac:dyDescent="0.2">
      <c r="A107" t="s">
        <v>3480</v>
      </c>
      <c r="B107" t="s">
        <v>1105</v>
      </c>
      <c r="C107" t="s">
        <v>715</v>
      </c>
      <c r="D107" t="s">
        <v>714</v>
      </c>
      <c r="E107" t="s">
        <v>3396</v>
      </c>
      <c r="F107" t="s">
        <v>554</v>
      </c>
      <c r="G107" t="s">
        <v>3374</v>
      </c>
      <c r="H107" t="s">
        <v>546</v>
      </c>
    </row>
    <row r="108" spans="1:8" x14ac:dyDescent="0.2">
      <c r="A108" t="s">
        <v>3481</v>
      </c>
      <c r="B108" t="s">
        <v>1105</v>
      </c>
      <c r="C108" t="s">
        <v>884</v>
      </c>
      <c r="D108" t="s">
        <v>719</v>
      </c>
      <c r="E108" t="s">
        <v>3396</v>
      </c>
      <c r="F108" t="s">
        <v>554</v>
      </c>
      <c r="G108" t="s">
        <v>3374</v>
      </c>
      <c r="H108" t="s">
        <v>546</v>
      </c>
    </row>
    <row r="109" spans="1:8" x14ac:dyDescent="0.2">
      <c r="A109" t="s">
        <v>3482</v>
      </c>
      <c r="B109" t="s">
        <v>1105</v>
      </c>
      <c r="C109" t="s">
        <v>722</v>
      </c>
      <c r="D109" t="s">
        <v>757</v>
      </c>
      <c r="E109" t="s">
        <v>3396</v>
      </c>
      <c r="F109" t="s">
        <v>554</v>
      </c>
      <c r="G109" t="s">
        <v>3374</v>
      </c>
      <c r="H109" t="s">
        <v>546</v>
      </c>
    </row>
    <row r="110" spans="1:8" x14ac:dyDescent="0.2">
      <c r="A110" t="s">
        <v>3483</v>
      </c>
      <c r="B110" t="s">
        <v>749</v>
      </c>
      <c r="C110" t="s">
        <v>879</v>
      </c>
      <c r="D110" t="s">
        <v>3484</v>
      </c>
      <c r="E110" t="s">
        <v>3396</v>
      </c>
      <c r="F110" t="s">
        <v>554</v>
      </c>
      <c r="G110" t="s">
        <v>3374</v>
      </c>
      <c r="H110" t="s">
        <v>546</v>
      </c>
    </row>
    <row r="111" spans="1:8" x14ac:dyDescent="0.2">
      <c r="A111" t="s">
        <v>3485</v>
      </c>
      <c r="B111" t="s">
        <v>749</v>
      </c>
      <c r="C111" t="s">
        <v>767</v>
      </c>
      <c r="D111" t="s">
        <v>766</v>
      </c>
      <c r="E111" t="s">
        <v>3396</v>
      </c>
      <c r="F111" t="s">
        <v>554</v>
      </c>
      <c r="G111" t="s">
        <v>3374</v>
      </c>
      <c r="H111" t="s">
        <v>546</v>
      </c>
    </row>
    <row r="112" spans="1:8" x14ac:dyDescent="0.2">
      <c r="A112" t="s">
        <v>3486</v>
      </c>
      <c r="B112" t="s">
        <v>749</v>
      </c>
      <c r="C112" t="s">
        <v>719</v>
      </c>
      <c r="D112" t="s">
        <v>718</v>
      </c>
      <c r="E112" t="s">
        <v>3396</v>
      </c>
      <c r="F112" t="s">
        <v>554</v>
      </c>
      <c r="G112" t="s">
        <v>3374</v>
      </c>
      <c r="H112" t="s">
        <v>546</v>
      </c>
    </row>
    <row r="113" spans="1:8" x14ac:dyDescent="0.2">
      <c r="A113" t="s">
        <v>3487</v>
      </c>
      <c r="B113" t="s">
        <v>749</v>
      </c>
      <c r="C113" t="s">
        <v>722</v>
      </c>
      <c r="D113" t="s">
        <v>757</v>
      </c>
      <c r="E113" t="s">
        <v>3396</v>
      </c>
      <c r="F113" t="s">
        <v>554</v>
      </c>
      <c r="G113" t="s">
        <v>3374</v>
      </c>
      <c r="H113" t="s">
        <v>546</v>
      </c>
    </row>
    <row r="114" spans="1:8" x14ac:dyDescent="0.2">
      <c r="A114" t="s">
        <v>3488</v>
      </c>
      <c r="B114" t="s">
        <v>749</v>
      </c>
      <c r="C114" t="s">
        <v>726</v>
      </c>
      <c r="D114" t="s">
        <v>760</v>
      </c>
      <c r="E114" t="s">
        <v>3396</v>
      </c>
      <c r="F114" t="s">
        <v>554</v>
      </c>
      <c r="G114" t="s">
        <v>3374</v>
      </c>
      <c r="H114" t="s">
        <v>546</v>
      </c>
    </row>
    <row r="115" spans="1:8" x14ac:dyDescent="0.2">
      <c r="A115" t="s">
        <v>3489</v>
      </c>
      <c r="B115" t="s">
        <v>1147</v>
      </c>
      <c r="C115" t="s">
        <v>676</v>
      </c>
      <c r="D115" t="s">
        <v>705</v>
      </c>
      <c r="E115" t="s">
        <v>3396</v>
      </c>
      <c r="F115" t="s">
        <v>554</v>
      </c>
      <c r="G115" t="s">
        <v>3374</v>
      </c>
      <c r="H115" t="s">
        <v>546</v>
      </c>
    </row>
    <row r="116" spans="1:8" x14ac:dyDescent="0.2">
      <c r="A116" t="s">
        <v>3490</v>
      </c>
      <c r="B116" t="s">
        <v>1147</v>
      </c>
      <c r="C116" t="s">
        <v>680</v>
      </c>
      <c r="D116" t="s">
        <v>731</v>
      </c>
      <c r="E116" t="s">
        <v>3396</v>
      </c>
      <c r="F116" t="s">
        <v>554</v>
      </c>
      <c r="G116" t="s">
        <v>3374</v>
      </c>
      <c r="H116" t="s">
        <v>546</v>
      </c>
    </row>
    <row r="117" spans="1:8" x14ac:dyDescent="0.2">
      <c r="A117" t="s">
        <v>3491</v>
      </c>
      <c r="B117" t="s">
        <v>1147</v>
      </c>
      <c r="C117" t="s">
        <v>1149</v>
      </c>
      <c r="D117" t="s">
        <v>1148</v>
      </c>
      <c r="E117" t="s">
        <v>3396</v>
      </c>
      <c r="F117" t="s">
        <v>554</v>
      </c>
      <c r="G117" t="s">
        <v>3374</v>
      </c>
      <c r="H117" t="s">
        <v>546</v>
      </c>
    </row>
    <row r="118" spans="1:8" x14ac:dyDescent="0.2">
      <c r="A118" t="s">
        <v>3492</v>
      </c>
      <c r="B118" t="s">
        <v>699</v>
      </c>
      <c r="C118" t="s">
        <v>709</v>
      </c>
      <c r="D118" t="s">
        <v>708</v>
      </c>
      <c r="E118" t="s">
        <v>3396</v>
      </c>
      <c r="F118" t="s">
        <v>554</v>
      </c>
      <c r="G118" t="s">
        <v>3374</v>
      </c>
      <c r="H118" t="s">
        <v>546</v>
      </c>
    </row>
    <row r="119" spans="1:8" x14ac:dyDescent="0.2">
      <c r="A119" t="s">
        <v>3493</v>
      </c>
      <c r="B119" t="s">
        <v>699</v>
      </c>
      <c r="C119" t="s">
        <v>701</v>
      </c>
      <c r="D119" t="s">
        <v>700</v>
      </c>
      <c r="E119" t="s">
        <v>3396</v>
      </c>
      <c r="F119" t="s">
        <v>554</v>
      </c>
      <c r="G119" t="s">
        <v>3374</v>
      </c>
      <c r="H119" t="s">
        <v>546</v>
      </c>
    </row>
    <row r="120" spans="1:8" x14ac:dyDescent="0.2">
      <c r="A120" t="s">
        <v>3494</v>
      </c>
      <c r="B120" t="s">
        <v>699</v>
      </c>
      <c r="C120" t="s">
        <v>705</v>
      </c>
      <c r="D120" t="s">
        <v>704</v>
      </c>
      <c r="E120" t="s">
        <v>3396</v>
      </c>
      <c r="F120" t="s">
        <v>554</v>
      </c>
      <c r="G120" t="s">
        <v>3374</v>
      </c>
      <c r="H120" t="s">
        <v>546</v>
      </c>
    </row>
    <row r="121" spans="1:8" x14ac:dyDescent="0.2">
      <c r="A121" t="s">
        <v>3495</v>
      </c>
      <c r="B121" t="s">
        <v>1157</v>
      </c>
      <c r="C121" t="s">
        <v>1163</v>
      </c>
      <c r="D121" t="s">
        <v>657</v>
      </c>
      <c r="E121" t="s">
        <v>3396</v>
      </c>
      <c r="F121" t="s">
        <v>554</v>
      </c>
      <c r="G121" t="s">
        <v>3374</v>
      </c>
      <c r="H121" t="s">
        <v>546</v>
      </c>
    </row>
    <row r="122" spans="1:8" x14ac:dyDescent="0.2">
      <c r="A122" t="s">
        <v>3496</v>
      </c>
      <c r="B122" t="s">
        <v>1157</v>
      </c>
      <c r="C122" t="s">
        <v>688</v>
      </c>
      <c r="D122" t="s">
        <v>687</v>
      </c>
      <c r="E122" t="s">
        <v>3396</v>
      </c>
      <c r="F122" t="s">
        <v>554</v>
      </c>
      <c r="G122" t="s">
        <v>3374</v>
      </c>
      <c r="H122" t="s">
        <v>546</v>
      </c>
    </row>
    <row r="123" spans="1:8" x14ac:dyDescent="0.2">
      <c r="A123" t="s">
        <v>3497</v>
      </c>
      <c r="B123" t="s">
        <v>1157</v>
      </c>
      <c r="C123" t="s">
        <v>661</v>
      </c>
      <c r="D123" t="s">
        <v>660</v>
      </c>
      <c r="E123" t="s">
        <v>3396</v>
      </c>
      <c r="F123" t="s">
        <v>554</v>
      </c>
      <c r="G123" t="s">
        <v>3374</v>
      </c>
      <c r="H123" t="s">
        <v>546</v>
      </c>
    </row>
    <row r="124" spans="1:8" x14ac:dyDescent="0.2">
      <c r="A124" t="s">
        <v>3498</v>
      </c>
      <c r="B124" t="s">
        <v>952</v>
      </c>
      <c r="C124" t="s">
        <v>657</v>
      </c>
      <c r="D124" t="s">
        <v>656</v>
      </c>
      <c r="E124" t="s">
        <v>3396</v>
      </c>
      <c r="F124" t="s">
        <v>554</v>
      </c>
      <c r="G124" t="s">
        <v>3374</v>
      </c>
      <c r="H124" t="s">
        <v>546</v>
      </c>
    </row>
    <row r="125" spans="1:8" x14ac:dyDescent="0.2">
      <c r="A125" t="s">
        <v>3499</v>
      </c>
      <c r="B125" t="s">
        <v>952</v>
      </c>
      <c r="C125" t="s">
        <v>660</v>
      </c>
      <c r="D125" t="s">
        <v>626</v>
      </c>
      <c r="E125" t="s">
        <v>3396</v>
      </c>
      <c r="F125" t="s">
        <v>554</v>
      </c>
      <c r="G125" t="s">
        <v>3374</v>
      </c>
      <c r="H125" t="s">
        <v>546</v>
      </c>
    </row>
    <row r="126" spans="1:8" x14ac:dyDescent="0.2">
      <c r="A126" t="s">
        <v>3500</v>
      </c>
      <c r="B126" t="s">
        <v>952</v>
      </c>
      <c r="C126" t="s">
        <v>737</v>
      </c>
      <c r="D126" t="s">
        <v>736</v>
      </c>
      <c r="E126" t="s">
        <v>3396</v>
      </c>
      <c r="F126" t="s">
        <v>554</v>
      </c>
      <c r="G126" t="s">
        <v>3374</v>
      </c>
      <c r="H126" t="s">
        <v>546</v>
      </c>
    </row>
    <row r="127" spans="1:8" x14ac:dyDescent="0.2">
      <c r="A127" t="s">
        <v>3501</v>
      </c>
      <c r="B127" t="s">
        <v>1037</v>
      </c>
      <c r="C127" t="s">
        <v>614</v>
      </c>
      <c r="D127" t="s">
        <v>578</v>
      </c>
      <c r="E127" t="s">
        <v>3396</v>
      </c>
      <c r="F127" t="s">
        <v>554</v>
      </c>
      <c r="G127" t="s">
        <v>3374</v>
      </c>
      <c r="H127" t="s">
        <v>546</v>
      </c>
    </row>
    <row r="128" spans="1:8" x14ac:dyDescent="0.2">
      <c r="A128" t="s">
        <v>3502</v>
      </c>
      <c r="B128" t="s">
        <v>1037</v>
      </c>
      <c r="C128" t="s">
        <v>701</v>
      </c>
      <c r="D128" t="s">
        <v>700</v>
      </c>
      <c r="E128" t="s">
        <v>3396</v>
      </c>
      <c r="F128" t="s">
        <v>554</v>
      </c>
      <c r="G128" t="s">
        <v>3374</v>
      </c>
      <c r="H128" t="s">
        <v>546</v>
      </c>
    </row>
    <row r="129" spans="1:8" x14ac:dyDescent="0.2">
      <c r="A129" t="s">
        <v>3503</v>
      </c>
      <c r="B129" t="s">
        <v>1037</v>
      </c>
      <c r="C129" t="s">
        <v>565</v>
      </c>
      <c r="D129" t="s">
        <v>1042</v>
      </c>
      <c r="E129" t="s">
        <v>3396</v>
      </c>
      <c r="F129" t="s">
        <v>554</v>
      </c>
      <c r="G129" t="s">
        <v>3374</v>
      </c>
      <c r="H129" t="s">
        <v>546</v>
      </c>
    </row>
    <row r="130" spans="1:8" x14ac:dyDescent="0.2">
      <c r="A130" t="s">
        <v>3504</v>
      </c>
      <c r="B130" t="s">
        <v>1037</v>
      </c>
      <c r="C130" t="s">
        <v>694</v>
      </c>
      <c r="D130" t="s">
        <v>776</v>
      </c>
      <c r="E130" t="s">
        <v>3396</v>
      </c>
      <c r="F130" t="s">
        <v>554</v>
      </c>
      <c r="G130" t="s">
        <v>3374</v>
      </c>
      <c r="H130" t="s">
        <v>546</v>
      </c>
    </row>
    <row r="131" spans="1:8" x14ac:dyDescent="0.2">
      <c r="A131" t="s">
        <v>3505</v>
      </c>
      <c r="B131" t="s">
        <v>2006</v>
      </c>
      <c r="C131" t="s">
        <v>1198</v>
      </c>
      <c r="D131" t="s">
        <v>1198</v>
      </c>
      <c r="E131" t="s">
        <v>3373</v>
      </c>
      <c r="F131" t="s">
        <v>546</v>
      </c>
      <c r="G131" t="s">
        <v>3374</v>
      </c>
      <c r="H131" t="s">
        <v>554</v>
      </c>
    </row>
    <row r="132" spans="1:8" x14ac:dyDescent="0.2">
      <c r="A132" t="s">
        <v>3506</v>
      </c>
      <c r="B132" t="s">
        <v>2006</v>
      </c>
      <c r="C132" t="s">
        <v>695</v>
      </c>
      <c r="D132" t="s">
        <v>695</v>
      </c>
      <c r="E132" t="s">
        <v>3373</v>
      </c>
      <c r="F132" t="s">
        <v>546</v>
      </c>
      <c r="G132" t="s">
        <v>3374</v>
      </c>
      <c r="H132" t="s">
        <v>554</v>
      </c>
    </row>
    <row r="133" spans="1:8" x14ac:dyDescent="0.2">
      <c r="A133" t="s">
        <v>3507</v>
      </c>
      <c r="B133" t="s">
        <v>2006</v>
      </c>
      <c r="C133" t="s">
        <v>677</v>
      </c>
      <c r="D133" t="s">
        <v>677</v>
      </c>
      <c r="E133" t="s">
        <v>3373</v>
      </c>
      <c r="F133" t="s">
        <v>546</v>
      </c>
      <c r="G133" t="s">
        <v>3374</v>
      </c>
      <c r="H133" t="s">
        <v>554</v>
      </c>
    </row>
    <row r="134" spans="1:8" x14ac:dyDescent="0.2">
      <c r="A134" t="s">
        <v>3508</v>
      </c>
      <c r="B134" t="s">
        <v>2006</v>
      </c>
      <c r="C134" t="s">
        <v>1192</v>
      </c>
      <c r="D134" t="s">
        <v>1192</v>
      </c>
      <c r="E134" t="s">
        <v>3373</v>
      </c>
      <c r="F134" t="s">
        <v>546</v>
      </c>
      <c r="G134" t="s">
        <v>3374</v>
      </c>
      <c r="H134" t="s">
        <v>554</v>
      </c>
    </row>
    <row r="135" spans="1:8" x14ac:dyDescent="0.2">
      <c r="A135" t="s">
        <v>3509</v>
      </c>
      <c r="B135" t="s">
        <v>836</v>
      </c>
      <c r="C135" t="s">
        <v>797</v>
      </c>
      <c r="D135" t="s">
        <v>796</v>
      </c>
      <c r="E135" t="s">
        <v>3396</v>
      </c>
      <c r="F135" t="s">
        <v>554</v>
      </c>
      <c r="G135" t="s">
        <v>3374</v>
      </c>
      <c r="H135" t="s">
        <v>546</v>
      </c>
    </row>
    <row r="136" spans="1:8" x14ac:dyDescent="0.2">
      <c r="A136" t="s">
        <v>3510</v>
      </c>
      <c r="B136" t="s">
        <v>836</v>
      </c>
      <c r="C136" t="s">
        <v>797</v>
      </c>
      <c r="D136" t="s">
        <v>796</v>
      </c>
      <c r="E136" t="s">
        <v>3396</v>
      </c>
      <c r="F136" t="s">
        <v>554</v>
      </c>
      <c r="G136" t="s">
        <v>3374</v>
      </c>
      <c r="H136" t="s">
        <v>546</v>
      </c>
    </row>
    <row r="137" spans="1:8" x14ac:dyDescent="0.2">
      <c r="A137" t="s">
        <v>3511</v>
      </c>
      <c r="B137" t="s">
        <v>836</v>
      </c>
      <c r="C137" t="s">
        <v>785</v>
      </c>
      <c r="D137" t="s">
        <v>784</v>
      </c>
      <c r="E137" t="s">
        <v>3396</v>
      </c>
      <c r="F137" t="s">
        <v>554</v>
      </c>
      <c r="G137" t="s">
        <v>3374</v>
      </c>
      <c r="H137" t="s">
        <v>546</v>
      </c>
    </row>
    <row r="138" spans="1:8" x14ac:dyDescent="0.2">
      <c r="A138" t="s">
        <v>3512</v>
      </c>
      <c r="B138" t="s">
        <v>836</v>
      </c>
      <c r="C138" t="s">
        <v>606</v>
      </c>
      <c r="D138" t="s">
        <v>793</v>
      </c>
      <c r="E138" t="s">
        <v>3396</v>
      </c>
      <c r="F138" t="s">
        <v>554</v>
      </c>
      <c r="G138" t="s">
        <v>3374</v>
      </c>
      <c r="H138" t="s">
        <v>546</v>
      </c>
    </row>
    <row r="139" spans="1:8" x14ac:dyDescent="0.2">
      <c r="A139" t="s">
        <v>3513</v>
      </c>
      <c r="B139" t="s">
        <v>836</v>
      </c>
      <c r="C139" t="s">
        <v>926</v>
      </c>
      <c r="D139" t="s">
        <v>925</v>
      </c>
      <c r="E139" t="s">
        <v>3396</v>
      </c>
      <c r="F139" t="s">
        <v>554</v>
      </c>
      <c r="G139" t="s">
        <v>3374</v>
      </c>
      <c r="H139" t="s">
        <v>546</v>
      </c>
    </row>
    <row r="140" spans="1:8" x14ac:dyDescent="0.2">
      <c r="A140" t="s">
        <v>3514</v>
      </c>
      <c r="B140" t="s">
        <v>817</v>
      </c>
      <c r="C140" t="s">
        <v>826</v>
      </c>
      <c r="D140" t="s">
        <v>826</v>
      </c>
      <c r="E140" t="s">
        <v>3373</v>
      </c>
      <c r="F140" t="s">
        <v>546</v>
      </c>
      <c r="G140" t="s">
        <v>3374</v>
      </c>
      <c r="H140" t="s">
        <v>546</v>
      </c>
    </row>
    <row r="141" spans="1:8" x14ac:dyDescent="0.2">
      <c r="A141" t="s">
        <v>3515</v>
      </c>
      <c r="B141" t="s">
        <v>817</v>
      </c>
      <c r="C141" t="s">
        <v>818</v>
      </c>
      <c r="D141" t="s">
        <v>818</v>
      </c>
      <c r="E141" t="s">
        <v>3373</v>
      </c>
      <c r="F141" t="s">
        <v>546</v>
      </c>
      <c r="G141" t="s">
        <v>3374</v>
      </c>
      <c r="H141" t="s">
        <v>546</v>
      </c>
    </row>
    <row r="142" spans="1:8" x14ac:dyDescent="0.2">
      <c r="A142" t="s">
        <v>3516</v>
      </c>
      <c r="B142" t="s">
        <v>817</v>
      </c>
      <c r="C142" t="s">
        <v>822</v>
      </c>
      <c r="D142" t="s">
        <v>822</v>
      </c>
      <c r="E142" t="s">
        <v>3373</v>
      </c>
      <c r="F142" t="s">
        <v>546</v>
      </c>
      <c r="G142" t="s">
        <v>3374</v>
      </c>
      <c r="H142" t="s">
        <v>546</v>
      </c>
    </row>
    <row r="143" spans="1:8" x14ac:dyDescent="0.2">
      <c r="A143" t="s">
        <v>3517</v>
      </c>
      <c r="B143" t="s">
        <v>1080</v>
      </c>
      <c r="C143" t="s">
        <v>680</v>
      </c>
      <c r="D143" t="s">
        <v>731</v>
      </c>
      <c r="E143" t="s">
        <v>3396</v>
      </c>
      <c r="F143" t="s">
        <v>554</v>
      </c>
      <c r="G143" t="s">
        <v>3374</v>
      </c>
      <c r="H143" t="s">
        <v>546</v>
      </c>
    </row>
    <row r="144" spans="1:8" x14ac:dyDescent="0.2">
      <c r="A144" t="s">
        <v>3518</v>
      </c>
      <c r="B144" t="s">
        <v>1080</v>
      </c>
      <c r="C144" t="s">
        <v>641</v>
      </c>
      <c r="D144" t="s">
        <v>981</v>
      </c>
      <c r="E144" t="s">
        <v>3396</v>
      </c>
      <c r="F144" t="s">
        <v>554</v>
      </c>
      <c r="G144" t="s">
        <v>3374</v>
      </c>
      <c r="H144" t="s">
        <v>546</v>
      </c>
    </row>
    <row r="145" spans="1:8" x14ac:dyDescent="0.2">
      <c r="A145" t="s">
        <v>3519</v>
      </c>
      <c r="B145" t="s">
        <v>1080</v>
      </c>
      <c r="C145" t="s">
        <v>1031</v>
      </c>
      <c r="D145" t="s">
        <v>1204</v>
      </c>
      <c r="E145" t="s">
        <v>3396</v>
      </c>
      <c r="F145" t="s">
        <v>554</v>
      </c>
      <c r="G145" t="s">
        <v>3374</v>
      </c>
      <c r="H145" t="s">
        <v>546</v>
      </c>
    </row>
    <row r="146" spans="1:8" x14ac:dyDescent="0.2">
      <c r="A146" t="s">
        <v>3520</v>
      </c>
      <c r="B146" t="s">
        <v>1080</v>
      </c>
      <c r="C146" t="s">
        <v>705</v>
      </c>
      <c r="D146" t="s">
        <v>704</v>
      </c>
      <c r="E146" t="s">
        <v>3396</v>
      </c>
      <c r="F146" t="s">
        <v>554</v>
      </c>
      <c r="G146" t="s">
        <v>3374</v>
      </c>
      <c r="H146" t="s">
        <v>546</v>
      </c>
    </row>
    <row r="147" spans="1:8" x14ac:dyDescent="0.2">
      <c r="A147" t="s">
        <v>3521</v>
      </c>
      <c r="B147" t="s">
        <v>1048</v>
      </c>
      <c r="C147" t="s">
        <v>773</v>
      </c>
      <c r="D147" t="s">
        <v>773</v>
      </c>
      <c r="E147" t="s">
        <v>3373</v>
      </c>
      <c r="F147" t="s">
        <v>546</v>
      </c>
      <c r="G147" t="s">
        <v>3374</v>
      </c>
      <c r="H147" t="s">
        <v>546</v>
      </c>
    </row>
    <row r="148" spans="1:8" x14ac:dyDescent="0.2">
      <c r="A148" t="s">
        <v>3522</v>
      </c>
      <c r="B148" t="s">
        <v>1048</v>
      </c>
      <c r="C148" t="s">
        <v>632</v>
      </c>
      <c r="D148" t="s">
        <v>632</v>
      </c>
      <c r="E148" t="s">
        <v>3373</v>
      </c>
      <c r="F148" t="s">
        <v>546</v>
      </c>
      <c r="G148" t="s">
        <v>3374</v>
      </c>
      <c r="H148" t="s">
        <v>546</v>
      </c>
    </row>
    <row r="149" spans="1:8" x14ac:dyDescent="0.2">
      <c r="A149" t="s">
        <v>3523</v>
      </c>
      <c r="B149" t="s">
        <v>670</v>
      </c>
      <c r="C149" t="s">
        <v>681</v>
      </c>
      <c r="D149" t="s">
        <v>680</v>
      </c>
      <c r="E149" t="s">
        <v>3396</v>
      </c>
      <c r="F149" t="s">
        <v>554</v>
      </c>
      <c r="G149" t="s">
        <v>3374</v>
      </c>
      <c r="H149" t="s">
        <v>546</v>
      </c>
    </row>
    <row r="150" spans="1:8" x14ac:dyDescent="0.2">
      <c r="A150" t="s">
        <v>3524</v>
      </c>
      <c r="B150" t="s">
        <v>670</v>
      </c>
      <c r="C150" t="s">
        <v>672</v>
      </c>
      <c r="D150" t="s">
        <v>671</v>
      </c>
      <c r="E150" t="s">
        <v>3396</v>
      </c>
      <c r="F150" t="s">
        <v>554</v>
      </c>
      <c r="G150" t="s">
        <v>3374</v>
      </c>
      <c r="H150" t="s">
        <v>546</v>
      </c>
    </row>
    <row r="151" spans="1:8" x14ac:dyDescent="0.2">
      <c r="A151" t="s">
        <v>3525</v>
      </c>
      <c r="B151" t="s">
        <v>670</v>
      </c>
      <c r="C151" t="s">
        <v>676</v>
      </c>
      <c r="D151" t="s">
        <v>705</v>
      </c>
      <c r="E151" t="s">
        <v>3396</v>
      </c>
      <c r="F151" t="s">
        <v>554</v>
      </c>
      <c r="G151" t="s">
        <v>3374</v>
      </c>
      <c r="H151" t="s">
        <v>546</v>
      </c>
    </row>
    <row r="152" spans="1:8" x14ac:dyDescent="0.2">
      <c r="A152" t="s">
        <v>3526</v>
      </c>
      <c r="B152" t="s">
        <v>960</v>
      </c>
      <c r="C152" t="s">
        <v>656</v>
      </c>
      <c r="D152" t="s">
        <v>656</v>
      </c>
      <c r="E152" t="s">
        <v>3373</v>
      </c>
      <c r="F152" t="s">
        <v>546</v>
      </c>
      <c r="G152" t="s">
        <v>3374</v>
      </c>
      <c r="H152" t="s">
        <v>546</v>
      </c>
    </row>
    <row r="153" spans="1:8" x14ac:dyDescent="0.2">
      <c r="A153" t="s">
        <v>3527</v>
      </c>
      <c r="B153" t="s">
        <v>960</v>
      </c>
      <c r="C153" t="s">
        <v>626</v>
      </c>
      <c r="D153" t="s">
        <v>626</v>
      </c>
      <c r="E153" t="s">
        <v>3373</v>
      </c>
      <c r="F153" t="s">
        <v>546</v>
      </c>
      <c r="G153" t="s">
        <v>3374</v>
      </c>
      <c r="H153" t="s">
        <v>546</v>
      </c>
    </row>
    <row r="154" spans="1:8" x14ac:dyDescent="0.2">
      <c r="A154" t="s">
        <v>3528</v>
      </c>
      <c r="B154" t="s">
        <v>960</v>
      </c>
      <c r="C154" t="s">
        <v>776</v>
      </c>
      <c r="D154" t="s">
        <v>776</v>
      </c>
      <c r="E154" t="s">
        <v>3373</v>
      </c>
      <c r="F154" t="s">
        <v>546</v>
      </c>
      <c r="G154" t="s">
        <v>3374</v>
      </c>
      <c r="H154" t="s">
        <v>546</v>
      </c>
    </row>
    <row r="155" spans="1:8" x14ac:dyDescent="0.2">
      <c r="A155" t="s">
        <v>3529</v>
      </c>
      <c r="B155" t="s">
        <v>1320</v>
      </c>
      <c r="C155" t="s">
        <v>680</v>
      </c>
      <c r="D155" t="s">
        <v>680</v>
      </c>
      <c r="E155" t="s">
        <v>3373</v>
      </c>
      <c r="F155" t="s">
        <v>546</v>
      </c>
      <c r="G155" t="s">
        <v>3374</v>
      </c>
      <c r="H155" t="s">
        <v>546</v>
      </c>
    </row>
    <row r="156" spans="1:8" x14ac:dyDescent="0.2">
      <c r="A156" t="s">
        <v>3530</v>
      </c>
      <c r="B156" t="s">
        <v>1320</v>
      </c>
      <c r="C156" t="s">
        <v>1351</v>
      </c>
      <c r="D156" t="s">
        <v>1351</v>
      </c>
      <c r="E156" t="s">
        <v>3373</v>
      </c>
      <c r="F156" t="s">
        <v>546</v>
      </c>
      <c r="G156" t="s">
        <v>3374</v>
      </c>
      <c r="H156" t="s">
        <v>546</v>
      </c>
    </row>
    <row r="157" spans="1:8" x14ac:dyDescent="0.2">
      <c r="A157" t="s">
        <v>3531</v>
      </c>
      <c r="B157" t="s">
        <v>1320</v>
      </c>
      <c r="C157" t="s">
        <v>642</v>
      </c>
      <c r="D157" t="s">
        <v>642</v>
      </c>
      <c r="E157" t="s">
        <v>3373</v>
      </c>
      <c r="F157" t="s">
        <v>546</v>
      </c>
      <c r="G157" t="s">
        <v>3374</v>
      </c>
      <c r="H157" t="s">
        <v>546</v>
      </c>
    </row>
    <row r="158" spans="1:8" x14ac:dyDescent="0.2">
      <c r="A158" t="s">
        <v>3532</v>
      </c>
      <c r="B158" t="s">
        <v>1320</v>
      </c>
      <c r="C158" t="s">
        <v>989</v>
      </c>
      <c r="D158" t="s">
        <v>989</v>
      </c>
      <c r="E158" t="s">
        <v>3373</v>
      </c>
      <c r="F158" t="s">
        <v>546</v>
      </c>
      <c r="G158" t="s">
        <v>3374</v>
      </c>
      <c r="H158" t="s">
        <v>546</v>
      </c>
    </row>
    <row r="159" spans="1:8" x14ac:dyDescent="0.2">
      <c r="A159" t="s">
        <v>3533</v>
      </c>
      <c r="B159" t="s">
        <v>1320</v>
      </c>
      <c r="C159" t="s">
        <v>872</v>
      </c>
      <c r="D159" t="s">
        <v>872</v>
      </c>
      <c r="E159" t="s">
        <v>3373</v>
      </c>
      <c r="F159" t="s">
        <v>546</v>
      </c>
      <c r="G159" t="s">
        <v>3374</v>
      </c>
      <c r="H159" t="s">
        <v>546</v>
      </c>
    </row>
    <row r="160" spans="1:8" x14ac:dyDescent="0.2">
      <c r="A160" t="s">
        <v>3534</v>
      </c>
      <c r="B160" t="s">
        <v>1320</v>
      </c>
      <c r="C160" t="s">
        <v>737</v>
      </c>
      <c r="D160" t="s">
        <v>737</v>
      </c>
      <c r="E160" t="s">
        <v>3373</v>
      </c>
      <c r="F160" t="s">
        <v>546</v>
      </c>
      <c r="G160" t="s">
        <v>3374</v>
      </c>
      <c r="H160" t="s">
        <v>546</v>
      </c>
    </row>
    <row r="161" spans="1:8" x14ac:dyDescent="0.2">
      <c r="A161" t="s">
        <v>3535</v>
      </c>
      <c r="B161" t="s">
        <v>988</v>
      </c>
      <c r="C161" t="s">
        <v>989</v>
      </c>
      <c r="D161" t="s">
        <v>989</v>
      </c>
      <c r="E161" t="s">
        <v>3373</v>
      </c>
      <c r="F161" t="s">
        <v>546</v>
      </c>
      <c r="G161" t="s">
        <v>3374</v>
      </c>
      <c r="H161" t="s">
        <v>546</v>
      </c>
    </row>
    <row r="162" spans="1:8" x14ac:dyDescent="0.2">
      <c r="A162" t="s">
        <v>3536</v>
      </c>
      <c r="B162" t="s">
        <v>988</v>
      </c>
      <c r="C162" t="s">
        <v>626</v>
      </c>
      <c r="D162" t="s">
        <v>626</v>
      </c>
      <c r="E162" t="s">
        <v>3373</v>
      </c>
      <c r="F162" t="s">
        <v>546</v>
      </c>
      <c r="G162" t="s">
        <v>3374</v>
      </c>
      <c r="H162" t="s">
        <v>546</v>
      </c>
    </row>
    <row r="163" spans="1:8" x14ac:dyDescent="0.2">
      <c r="A163" t="s">
        <v>3537</v>
      </c>
      <c r="B163" t="s">
        <v>988</v>
      </c>
      <c r="C163" t="s">
        <v>993</v>
      </c>
      <c r="D163" t="s">
        <v>993</v>
      </c>
      <c r="E163" t="s">
        <v>3373</v>
      </c>
      <c r="F163" t="s">
        <v>546</v>
      </c>
      <c r="G163" t="s">
        <v>3374</v>
      </c>
      <c r="H163" t="s">
        <v>546</v>
      </c>
    </row>
    <row r="164" spans="1:8" x14ac:dyDescent="0.2">
      <c r="A164" t="s">
        <v>3538</v>
      </c>
      <c r="B164" t="s">
        <v>1485</v>
      </c>
      <c r="C164" t="s">
        <v>1363</v>
      </c>
      <c r="D164" t="s">
        <v>1363</v>
      </c>
      <c r="E164" t="s">
        <v>3373</v>
      </c>
      <c r="F164" t="s">
        <v>546</v>
      </c>
      <c r="G164" t="s">
        <v>3374</v>
      </c>
      <c r="H164" t="s">
        <v>546</v>
      </c>
    </row>
    <row r="165" spans="1:8" x14ac:dyDescent="0.2">
      <c r="A165" t="s">
        <v>3539</v>
      </c>
      <c r="B165" t="s">
        <v>1485</v>
      </c>
      <c r="C165" t="s">
        <v>823</v>
      </c>
      <c r="D165" t="s">
        <v>823</v>
      </c>
      <c r="E165" t="s">
        <v>3373</v>
      </c>
      <c r="F165" t="s">
        <v>546</v>
      </c>
      <c r="G165" t="s">
        <v>3374</v>
      </c>
      <c r="H165" t="s">
        <v>546</v>
      </c>
    </row>
    <row r="166" spans="1:8" x14ac:dyDescent="0.2">
      <c r="A166" t="s">
        <v>3540</v>
      </c>
      <c r="B166" t="s">
        <v>1485</v>
      </c>
      <c r="C166" t="s">
        <v>1490</v>
      </c>
      <c r="D166" t="s">
        <v>1490</v>
      </c>
      <c r="E166" t="s">
        <v>3373</v>
      </c>
      <c r="F166" t="s">
        <v>546</v>
      </c>
      <c r="G166" t="s">
        <v>3374</v>
      </c>
      <c r="H166" t="s">
        <v>546</v>
      </c>
    </row>
    <row r="167" spans="1:8" x14ac:dyDescent="0.2">
      <c r="A167" t="s">
        <v>3541</v>
      </c>
      <c r="B167" t="s">
        <v>542</v>
      </c>
      <c r="C167" t="s">
        <v>577</v>
      </c>
      <c r="D167" t="s">
        <v>577</v>
      </c>
      <c r="E167" t="s">
        <v>3373</v>
      </c>
      <c r="F167" t="s">
        <v>546</v>
      </c>
      <c r="G167" t="s">
        <v>3374</v>
      </c>
      <c r="H167" t="s">
        <v>546</v>
      </c>
    </row>
    <row r="168" spans="1:8" x14ac:dyDescent="0.2">
      <c r="A168" t="s">
        <v>3542</v>
      </c>
      <c r="B168" t="s">
        <v>542</v>
      </c>
      <c r="C168" t="s">
        <v>543</v>
      </c>
      <c r="D168" t="s">
        <v>543</v>
      </c>
      <c r="E168" t="s">
        <v>3373</v>
      </c>
      <c r="F168" t="s">
        <v>546</v>
      </c>
      <c r="G168" t="s">
        <v>3374</v>
      </c>
      <c r="H168" t="s">
        <v>546</v>
      </c>
    </row>
    <row r="169" spans="1:8" x14ac:dyDescent="0.2">
      <c r="A169" t="s">
        <v>3543</v>
      </c>
      <c r="B169" t="s">
        <v>542</v>
      </c>
      <c r="C169" t="s">
        <v>556</v>
      </c>
      <c r="D169" t="s">
        <v>556</v>
      </c>
      <c r="E169" t="s">
        <v>3373</v>
      </c>
      <c r="F169" t="s">
        <v>546</v>
      </c>
      <c r="G169" t="s">
        <v>3374</v>
      </c>
      <c r="H169" t="s">
        <v>546</v>
      </c>
    </row>
    <row r="170" spans="1:8" x14ac:dyDescent="0.2">
      <c r="A170" t="s">
        <v>3544</v>
      </c>
      <c r="B170" t="s">
        <v>542</v>
      </c>
      <c r="C170" t="s">
        <v>565</v>
      </c>
      <c r="D170" t="s">
        <v>565</v>
      </c>
      <c r="E170" t="s">
        <v>3373</v>
      </c>
      <c r="F170" t="s">
        <v>546</v>
      </c>
      <c r="G170" t="s">
        <v>3374</v>
      </c>
      <c r="H170" t="s">
        <v>546</v>
      </c>
    </row>
    <row r="171" spans="1:8" x14ac:dyDescent="0.2">
      <c r="A171" t="s">
        <v>3545</v>
      </c>
      <c r="B171" t="s">
        <v>542</v>
      </c>
      <c r="C171" t="s">
        <v>650</v>
      </c>
      <c r="D171" t="s">
        <v>650</v>
      </c>
      <c r="E171" t="s">
        <v>3373</v>
      </c>
      <c r="F171" t="s">
        <v>546</v>
      </c>
      <c r="G171" t="s">
        <v>3374</v>
      </c>
      <c r="H171" t="s">
        <v>546</v>
      </c>
    </row>
    <row r="172" spans="1:8" x14ac:dyDescent="0.2">
      <c r="A172" t="s">
        <v>3546</v>
      </c>
      <c r="B172" t="s">
        <v>542</v>
      </c>
      <c r="C172" t="s">
        <v>570</v>
      </c>
      <c r="D172" t="s">
        <v>570</v>
      </c>
      <c r="E172" t="s">
        <v>3373</v>
      </c>
      <c r="F172" t="s">
        <v>546</v>
      </c>
      <c r="G172" t="s">
        <v>3374</v>
      </c>
      <c r="H172" t="s">
        <v>546</v>
      </c>
    </row>
    <row r="173" spans="1:8" x14ac:dyDescent="0.2">
      <c r="A173" t="s">
        <v>3547</v>
      </c>
      <c r="B173" t="s">
        <v>802</v>
      </c>
      <c r="C173" t="s">
        <v>803</v>
      </c>
      <c r="D173" t="s">
        <v>803</v>
      </c>
      <c r="E173" t="s">
        <v>3373</v>
      </c>
      <c r="F173" t="s">
        <v>546</v>
      </c>
      <c r="G173" t="s">
        <v>3374</v>
      </c>
      <c r="H173" t="s">
        <v>546</v>
      </c>
    </row>
    <row r="174" spans="1:8" x14ac:dyDescent="0.2">
      <c r="A174" t="s">
        <v>3548</v>
      </c>
      <c r="B174" t="s">
        <v>802</v>
      </c>
      <c r="C174" t="s">
        <v>808</v>
      </c>
      <c r="D174" t="s">
        <v>808</v>
      </c>
      <c r="E174" t="s">
        <v>3373</v>
      </c>
      <c r="F174" t="s">
        <v>546</v>
      </c>
      <c r="G174" t="s">
        <v>3374</v>
      </c>
      <c r="H174" t="s">
        <v>546</v>
      </c>
    </row>
    <row r="175" spans="1:8" x14ac:dyDescent="0.2">
      <c r="A175" t="s">
        <v>3549</v>
      </c>
      <c r="B175" t="s">
        <v>802</v>
      </c>
      <c r="C175" t="s">
        <v>812</v>
      </c>
      <c r="D175" t="s">
        <v>812</v>
      </c>
      <c r="E175" t="s">
        <v>3373</v>
      </c>
      <c r="F175" t="s">
        <v>546</v>
      </c>
      <c r="G175" t="s">
        <v>3374</v>
      </c>
      <c r="H175" t="s">
        <v>546</v>
      </c>
    </row>
    <row r="176" spans="1:8" x14ac:dyDescent="0.2">
      <c r="A176" t="s">
        <v>3550</v>
      </c>
      <c r="B176" t="s">
        <v>588</v>
      </c>
      <c r="C176" t="s">
        <v>589</v>
      </c>
      <c r="D176" t="s">
        <v>589</v>
      </c>
      <c r="E176" t="s">
        <v>3373</v>
      </c>
      <c r="F176" t="s">
        <v>546</v>
      </c>
      <c r="G176" t="s">
        <v>3374</v>
      </c>
      <c r="H176" t="s">
        <v>546</v>
      </c>
    </row>
    <row r="177" spans="1:8" x14ac:dyDescent="0.2">
      <c r="A177" t="s">
        <v>3551</v>
      </c>
      <c r="B177" t="s">
        <v>588</v>
      </c>
      <c r="C177" t="s">
        <v>598</v>
      </c>
      <c r="D177" t="s">
        <v>598</v>
      </c>
      <c r="E177" t="s">
        <v>3373</v>
      </c>
      <c r="F177" t="s">
        <v>546</v>
      </c>
      <c r="G177" t="s">
        <v>3374</v>
      </c>
      <c r="H177" t="s">
        <v>546</v>
      </c>
    </row>
    <row r="178" spans="1:8" x14ac:dyDescent="0.2">
      <c r="A178" t="s">
        <v>3552</v>
      </c>
      <c r="B178" t="s">
        <v>588</v>
      </c>
      <c r="C178" t="s">
        <v>602</v>
      </c>
      <c r="D178" t="s">
        <v>602</v>
      </c>
      <c r="E178" t="s">
        <v>3373</v>
      </c>
      <c r="F178" t="s">
        <v>546</v>
      </c>
      <c r="G178" t="s">
        <v>3374</v>
      </c>
      <c r="H178" t="s">
        <v>546</v>
      </c>
    </row>
    <row r="179" spans="1:8" x14ac:dyDescent="0.2">
      <c r="A179" t="s">
        <v>3553</v>
      </c>
      <c r="B179" t="s">
        <v>588</v>
      </c>
      <c r="C179" t="s">
        <v>606</v>
      </c>
      <c r="D179" t="s">
        <v>606</v>
      </c>
      <c r="E179" t="s">
        <v>3373</v>
      </c>
      <c r="F179" t="s">
        <v>546</v>
      </c>
      <c r="G179" t="s">
        <v>3374</v>
      </c>
      <c r="H179" t="s">
        <v>546</v>
      </c>
    </row>
    <row r="180" spans="1:8" x14ac:dyDescent="0.2">
      <c r="A180" t="s">
        <v>3554</v>
      </c>
      <c r="B180" t="s">
        <v>1975</v>
      </c>
      <c r="C180" t="s">
        <v>938</v>
      </c>
      <c r="D180" t="s">
        <v>937</v>
      </c>
      <c r="E180" t="s">
        <v>3396</v>
      </c>
      <c r="F180" t="s">
        <v>554</v>
      </c>
      <c r="G180" t="s">
        <v>3374</v>
      </c>
      <c r="H180" t="s">
        <v>546</v>
      </c>
    </row>
    <row r="181" spans="1:8" x14ac:dyDescent="0.2">
      <c r="A181" t="s">
        <v>3555</v>
      </c>
      <c r="B181" t="s">
        <v>1975</v>
      </c>
      <c r="C181" t="s">
        <v>642</v>
      </c>
      <c r="D181" t="s">
        <v>641</v>
      </c>
      <c r="E181" t="s">
        <v>3396</v>
      </c>
      <c r="F181" t="s">
        <v>554</v>
      </c>
      <c r="G181" t="s">
        <v>3374</v>
      </c>
      <c r="H181" t="s">
        <v>546</v>
      </c>
    </row>
    <row r="182" spans="1:8" x14ac:dyDescent="0.2">
      <c r="A182" t="s">
        <v>3556</v>
      </c>
      <c r="B182" t="s">
        <v>1975</v>
      </c>
      <c r="C182" t="s">
        <v>872</v>
      </c>
      <c r="D182" t="s">
        <v>1031</v>
      </c>
      <c r="E182" t="s">
        <v>3396</v>
      </c>
      <c r="F182" t="s">
        <v>554</v>
      </c>
      <c r="G182" t="s">
        <v>3374</v>
      </c>
      <c r="H182" t="s">
        <v>546</v>
      </c>
    </row>
    <row r="183" spans="1:8" x14ac:dyDescent="0.2">
      <c r="A183" t="s">
        <v>3557</v>
      </c>
      <c r="B183" t="s">
        <v>1975</v>
      </c>
      <c r="C183" t="s">
        <v>736</v>
      </c>
      <c r="D183" t="s">
        <v>983</v>
      </c>
      <c r="E183" t="s">
        <v>3396</v>
      </c>
      <c r="F183" t="s">
        <v>554</v>
      </c>
      <c r="G183" t="s">
        <v>3374</v>
      </c>
      <c r="H183" t="s">
        <v>546</v>
      </c>
    </row>
    <row r="184" spans="1:8" x14ac:dyDescent="0.2">
      <c r="A184" t="s">
        <v>3558</v>
      </c>
      <c r="B184" t="s">
        <v>1456</v>
      </c>
      <c r="C184" t="s">
        <v>1457</v>
      </c>
      <c r="D184" t="s">
        <v>1457</v>
      </c>
      <c r="E184" t="s">
        <v>3373</v>
      </c>
      <c r="F184" t="s">
        <v>546</v>
      </c>
      <c r="G184" t="s">
        <v>3374</v>
      </c>
      <c r="H184" t="s">
        <v>546</v>
      </c>
    </row>
    <row r="185" spans="1:8" x14ac:dyDescent="0.2">
      <c r="A185" t="s">
        <v>3559</v>
      </c>
      <c r="B185" t="s">
        <v>1456</v>
      </c>
      <c r="C185" t="s">
        <v>1460</v>
      </c>
      <c r="D185" t="s">
        <v>1460</v>
      </c>
      <c r="E185" t="s">
        <v>3373</v>
      </c>
      <c r="F185" t="s">
        <v>546</v>
      </c>
      <c r="G185" t="s">
        <v>3374</v>
      </c>
      <c r="H185" t="s">
        <v>546</v>
      </c>
    </row>
    <row r="186" spans="1:8" x14ac:dyDescent="0.2">
      <c r="A186" t="s">
        <v>3560</v>
      </c>
      <c r="B186" t="s">
        <v>1456</v>
      </c>
      <c r="C186" t="s">
        <v>1463</v>
      </c>
      <c r="D186" t="s">
        <v>1463</v>
      </c>
      <c r="E186" t="s">
        <v>3373</v>
      </c>
      <c r="F186" t="s">
        <v>546</v>
      </c>
      <c r="G186" t="s">
        <v>3374</v>
      </c>
      <c r="H186" t="s">
        <v>546</v>
      </c>
    </row>
    <row r="187" spans="1:8" x14ac:dyDescent="0.2">
      <c r="A187" t="s">
        <v>3561</v>
      </c>
      <c r="B187" t="s">
        <v>1602</v>
      </c>
      <c r="C187" t="s">
        <v>1604</v>
      </c>
      <c r="D187" t="s">
        <v>1603</v>
      </c>
      <c r="E187" t="s">
        <v>3396</v>
      </c>
      <c r="F187" t="s">
        <v>554</v>
      </c>
      <c r="G187" t="s">
        <v>3374</v>
      </c>
      <c r="H187" t="s">
        <v>546</v>
      </c>
    </row>
    <row r="188" spans="1:8" x14ac:dyDescent="0.2">
      <c r="A188" t="s">
        <v>3562</v>
      </c>
      <c r="B188" t="s">
        <v>1602</v>
      </c>
      <c r="C188" t="s">
        <v>1232</v>
      </c>
      <c r="D188" t="s">
        <v>1623</v>
      </c>
      <c r="E188" t="s">
        <v>3396</v>
      </c>
      <c r="F188" t="s">
        <v>554</v>
      </c>
      <c r="G188" t="s">
        <v>3374</v>
      </c>
      <c r="H188" t="s">
        <v>546</v>
      </c>
    </row>
    <row r="189" spans="1:8" x14ac:dyDescent="0.2">
      <c r="A189" t="s">
        <v>3563</v>
      </c>
      <c r="B189" t="s">
        <v>1602</v>
      </c>
      <c r="C189" t="s">
        <v>1131</v>
      </c>
      <c r="D189" t="s">
        <v>615</v>
      </c>
      <c r="E189" t="s">
        <v>3396</v>
      </c>
      <c r="F189" t="s">
        <v>554</v>
      </c>
      <c r="G189" t="s">
        <v>3374</v>
      </c>
      <c r="H189" t="s">
        <v>546</v>
      </c>
    </row>
    <row r="190" spans="1:8" x14ac:dyDescent="0.2">
      <c r="A190" t="s">
        <v>3564</v>
      </c>
      <c r="B190" t="s">
        <v>1602</v>
      </c>
      <c r="C190" t="s">
        <v>543</v>
      </c>
      <c r="D190" t="s">
        <v>920</v>
      </c>
      <c r="E190" t="s">
        <v>3396</v>
      </c>
      <c r="F190" t="s">
        <v>554</v>
      </c>
      <c r="G190" t="s">
        <v>3374</v>
      </c>
      <c r="H190" t="s">
        <v>546</v>
      </c>
    </row>
    <row r="191" spans="1:8" x14ac:dyDescent="0.2">
      <c r="A191" t="s">
        <v>3565</v>
      </c>
      <c r="B191" t="s">
        <v>1602</v>
      </c>
      <c r="C191" t="s">
        <v>1609</v>
      </c>
      <c r="D191" t="s">
        <v>1608</v>
      </c>
      <c r="E191" t="s">
        <v>3396</v>
      </c>
      <c r="F191" t="s">
        <v>554</v>
      </c>
      <c r="G191" t="s">
        <v>3374</v>
      </c>
      <c r="H191" t="s">
        <v>546</v>
      </c>
    </row>
    <row r="192" spans="1:8" x14ac:dyDescent="0.2">
      <c r="A192" t="s">
        <v>3566</v>
      </c>
      <c r="B192" t="s">
        <v>1602</v>
      </c>
      <c r="C192" t="s">
        <v>1628</v>
      </c>
      <c r="D192" t="s">
        <v>1627</v>
      </c>
      <c r="E192" t="s">
        <v>3396</v>
      </c>
      <c r="F192" t="s">
        <v>554</v>
      </c>
      <c r="G192" t="s">
        <v>3374</v>
      </c>
      <c r="H192" t="s">
        <v>546</v>
      </c>
    </row>
    <row r="193" spans="1:8" x14ac:dyDescent="0.2">
      <c r="A193" t="s">
        <v>3567</v>
      </c>
      <c r="B193" t="s">
        <v>1602</v>
      </c>
      <c r="C193" t="s">
        <v>556</v>
      </c>
      <c r="D193" t="s">
        <v>884</v>
      </c>
      <c r="E193" t="s">
        <v>3396</v>
      </c>
      <c r="F193" t="s">
        <v>554</v>
      </c>
      <c r="G193" t="s">
        <v>3374</v>
      </c>
      <c r="H193" t="s">
        <v>546</v>
      </c>
    </row>
    <row r="194" spans="1:8" x14ac:dyDescent="0.2">
      <c r="A194" t="s">
        <v>3568</v>
      </c>
      <c r="B194" t="s">
        <v>1602</v>
      </c>
      <c r="C194" t="s">
        <v>1657</v>
      </c>
      <c r="D194" t="s">
        <v>1656</v>
      </c>
      <c r="E194" t="s">
        <v>3396</v>
      </c>
      <c r="F194" t="s">
        <v>554</v>
      </c>
      <c r="G194" t="s">
        <v>3374</v>
      </c>
      <c r="H194" t="s">
        <v>546</v>
      </c>
    </row>
    <row r="195" spans="1:8" x14ac:dyDescent="0.2">
      <c r="A195" t="s">
        <v>3569</v>
      </c>
      <c r="B195" t="s">
        <v>1602</v>
      </c>
      <c r="C195" t="s">
        <v>1614</v>
      </c>
      <c r="D195" t="s">
        <v>1613</v>
      </c>
      <c r="E195" t="s">
        <v>3396</v>
      </c>
      <c r="F195" t="s">
        <v>554</v>
      </c>
      <c r="G195" t="s">
        <v>3374</v>
      </c>
      <c r="H195" t="s">
        <v>546</v>
      </c>
    </row>
    <row r="196" spans="1:8" x14ac:dyDescent="0.2">
      <c r="A196" t="s">
        <v>3570</v>
      </c>
      <c r="B196" t="s">
        <v>1602</v>
      </c>
      <c r="C196" t="s">
        <v>1633</v>
      </c>
      <c r="D196" t="s">
        <v>1632</v>
      </c>
      <c r="E196" t="s">
        <v>3396</v>
      </c>
      <c r="F196" t="s">
        <v>554</v>
      </c>
      <c r="G196" t="s">
        <v>3374</v>
      </c>
      <c r="H196" t="s">
        <v>546</v>
      </c>
    </row>
    <row r="197" spans="1:8" x14ac:dyDescent="0.2">
      <c r="A197" t="s">
        <v>3571</v>
      </c>
      <c r="B197" t="s">
        <v>1602</v>
      </c>
      <c r="C197" t="s">
        <v>1283</v>
      </c>
      <c r="D197" t="s">
        <v>1282</v>
      </c>
      <c r="E197" t="s">
        <v>3396</v>
      </c>
      <c r="F197" t="s">
        <v>554</v>
      </c>
      <c r="G197" t="s">
        <v>3374</v>
      </c>
      <c r="H197" t="s">
        <v>546</v>
      </c>
    </row>
    <row r="198" spans="1:8" x14ac:dyDescent="0.2">
      <c r="A198" t="s">
        <v>3572</v>
      </c>
      <c r="B198" t="s">
        <v>1602</v>
      </c>
      <c r="C198" t="s">
        <v>1619</v>
      </c>
      <c r="D198" t="s">
        <v>1618</v>
      </c>
      <c r="E198" t="s">
        <v>3396</v>
      </c>
      <c r="F198" t="s">
        <v>554</v>
      </c>
      <c r="G198" t="s">
        <v>3374</v>
      </c>
      <c r="H198" t="s">
        <v>546</v>
      </c>
    </row>
    <row r="199" spans="1:8" x14ac:dyDescent="0.2">
      <c r="A199" t="s">
        <v>3573</v>
      </c>
      <c r="B199" t="s">
        <v>1602</v>
      </c>
      <c r="C199" t="s">
        <v>638</v>
      </c>
      <c r="D199" t="s">
        <v>1637</v>
      </c>
      <c r="E199" t="s">
        <v>3396</v>
      </c>
      <c r="F199" t="s">
        <v>554</v>
      </c>
      <c r="G199" t="s">
        <v>3374</v>
      </c>
      <c r="H199" t="s">
        <v>546</v>
      </c>
    </row>
    <row r="200" spans="1:8" x14ac:dyDescent="0.2">
      <c r="A200" t="s">
        <v>3574</v>
      </c>
      <c r="B200" t="s">
        <v>1602</v>
      </c>
      <c r="C200" t="s">
        <v>736</v>
      </c>
      <c r="D200" t="s">
        <v>983</v>
      </c>
      <c r="E200" t="s">
        <v>3396</v>
      </c>
      <c r="F200" t="s">
        <v>554</v>
      </c>
      <c r="G200" t="s">
        <v>3374</v>
      </c>
      <c r="H200" t="s">
        <v>546</v>
      </c>
    </row>
    <row r="201" spans="1:8" x14ac:dyDescent="0.2">
      <c r="A201" t="s">
        <v>3575</v>
      </c>
      <c r="B201" t="s">
        <v>977</v>
      </c>
      <c r="C201" t="s">
        <v>979</v>
      </c>
      <c r="D201" t="s">
        <v>978</v>
      </c>
      <c r="E201" t="s">
        <v>3396</v>
      </c>
      <c r="F201" t="s">
        <v>554</v>
      </c>
      <c r="G201" t="s">
        <v>3374</v>
      </c>
      <c r="H201" t="s">
        <v>546</v>
      </c>
    </row>
    <row r="202" spans="1:8" x14ac:dyDescent="0.2">
      <c r="A202" t="s">
        <v>3576</v>
      </c>
      <c r="B202" t="s">
        <v>977</v>
      </c>
      <c r="C202" t="s">
        <v>731</v>
      </c>
      <c r="D202" t="s">
        <v>985</v>
      </c>
      <c r="E202" t="s">
        <v>3396</v>
      </c>
      <c r="F202" t="s">
        <v>554</v>
      </c>
      <c r="G202" t="s">
        <v>3374</v>
      </c>
      <c r="H202" t="s">
        <v>546</v>
      </c>
    </row>
    <row r="203" spans="1:8" x14ac:dyDescent="0.2">
      <c r="A203" t="s">
        <v>3577</v>
      </c>
      <c r="B203" t="s">
        <v>977</v>
      </c>
      <c r="C203" t="s">
        <v>641</v>
      </c>
      <c r="D203" t="s">
        <v>981</v>
      </c>
      <c r="E203" t="s">
        <v>3396</v>
      </c>
      <c r="F203" t="s">
        <v>554</v>
      </c>
      <c r="G203" t="s">
        <v>3374</v>
      </c>
      <c r="H203" t="s">
        <v>546</v>
      </c>
    </row>
    <row r="204" spans="1:8" x14ac:dyDescent="0.2">
      <c r="A204" t="s">
        <v>3578</v>
      </c>
      <c r="B204" t="s">
        <v>977</v>
      </c>
      <c r="C204" t="s">
        <v>736</v>
      </c>
      <c r="D204" t="s">
        <v>983</v>
      </c>
      <c r="E204" t="s">
        <v>3396</v>
      </c>
      <c r="F204" t="s">
        <v>554</v>
      </c>
      <c r="G204" t="s">
        <v>3374</v>
      </c>
      <c r="H204" t="s">
        <v>546</v>
      </c>
    </row>
    <row r="205" spans="1:8" x14ac:dyDescent="0.2">
      <c r="A205" t="s">
        <v>3579</v>
      </c>
      <c r="B205" t="s">
        <v>1139</v>
      </c>
      <c r="C205" t="s">
        <v>985</v>
      </c>
      <c r="D205" t="s">
        <v>985</v>
      </c>
      <c r="E205" t="s">
        <v>3373</v>
      </c>
      <c r="F205" t="s">
        <v>546</v>
      </c>
      <c r="G205" t="s">
        <v>3374</v>
      </c>
      <c r="H205" t="s">
        <v>546</v>
      </c>
    </row>
    <row r="206" spans="1:8" x14ac:dyDescent="0.2">
      <c r="A206" t="s">
        <v>3580</v>
      </c>
      <c r="B206" t="s">
        <v>1139</v>
      </c>
      <c r="C206" t="s">
        <v>866</v>
      </c>
      <c r="D206" t="s">
        <v>866</v>
      </c>
      <c r="E206" t="s">
        <v>3373</v>
      </c>
      <c r="F206" t="s">
        <v>546</v>
      </c>
      <c r="G206" t="s">
        <v>3374</v>
      </c>
      <c r="H206" t="s">
        <v>546</v>
      </c>
    </row>
    <row r="207" spans="1:8" x14ac:dyDescent="0.2">
      <c r="A207" t="s">
        <v>3581</v>
      </c>
      <c r="B207" t="s">
        <v>1139</v>
      </c>
      <c r="C207" t="s">
        <v>677</v>
      </c>
      <c r="D207" t="s">
        <v>677</v>
      </c>
      <c r="E207" t="s">
        <v>3373</v>
      </c>
      <c r="F207" t="s">
        <v>546</v>
      </c>
      <c r="G207" t="s">
        <v>3374</v>
      </c>
      <c r="H207" t="s">
        <v>546</v>
      </c>
    </row>
    <row r="208" spans="1:8" x14ac:dyDescent="0.2">
      <c r="A208" t="s">
        <v>3582</v>
      </c>
      <c r="B208" t="s">
        <v>2019</v>
      </c>
      <c r="C208" t="s">
        <v>1709</v>
      </c>
      <c r="D208" t="s">
        <v>1709</v>
      </c>
      <c r="E208" t="s">
        <v>3373</v>
      </c>
      <c r="F208" t="s">
        <v>546</v>
      </c>
      <c r="G208" t="s">
        <v>3374</v>
      </c>
      <c r="H208" t="s">
        <v>546</v>
      </c>
    </row>
    <row r="209" spans="1:8" x14ac:dyDescent="0.2">
      <c r="A209" t="s">
        <v>3583</v>
      </c>
      <c r="B209" t="s">
        <v>2019</v>
      </c>
      <c r="C209" t="s">
        <v>981</v>
      </c>
      <c r="D209" t="s">
        <v>981</v>
      </c>
      <c r="E209" t="s">
        <v>3373</v>
      </c>
      <c r="F209" t="s">
        <v>546</v>
      </c>
      <c r="G209" t="s">
        <v>3374</v>
      </c>
      <c r="H209" t="s">
        <v>546</v>
      </c>
    </row>
    <row r="210" spans="1:8" x14ac:dyDescent="0.2">
      <c r="A210" t="s">
        <v>3584</v>
      </c>
      <c r="B210" t="s">
        <v>2019</v>
      </c>
      <c r="C210" t="s">
        <v>1204</v>
      </c>
      <c r="D210" t="s">
        <v>1204</v>
      </c>
      <c r="E210" t="s">
        <v>3373</v>
      </c>
      <c r="F210" t="s">
        <v>546</v>
      </c>
      <c r="G210" t="s">
        <v>3374</v>
      </c>
      <c r="H210" t="s">
        <v>546</v>
      </c>
    </row>
    <row r="211" spans="1:8" x14ac:dyDescent="0.2">
      <c r="A211" t="s">
        <v>3585</v>
      </c>
      <c r="B211" t="s">
        <v>2019</v>
      </c>
      <c r="C211" t="s">
        <v>983</v>
      </c>
      <c r="D211" t="s">
        <v>983</v>
      </c>
      <c r="E211" t="s">
        <v>3373</v>
      </c>
      <c r="F211" t="s">
        <v>546</v>
      </c>
      <c r="G211" t="s">
        <v>3374</v>
      </c>
      <c r="H211" t="s">
        <v>546</v>
      </c>
    </row>
    <row r="212" spans="1:8" x14ac:dyDescent="0.2">
      <c r="A212" t="s">
        <v>3586</v>
      </c>
      <c r="B212" t="s">
        <v>1166</v>
      </c>
      <c r="C212" t="s">
        <v>938</v>
      </c>
      <c r="D212" t="s">
        <v>937</v>
      </c>
      <c r="E212" t="s">
        <v>3396</v>
      </c>
      <c r="F212" t="s">
        <v>554</v>
      </c>
      <c r="G212" t="s">
        <v>3374</v>
      </c>
      <c r="H212" t="s">
        <v>546</v>
      </c>
    </row>
    <row r="213" spans="1:8" x14ac:dyDescent="0.2">
      <c r="A213" t="s">
        <v>3587</v>
      </c>
      <c r="B213" t="s">
        <v>1166</v>
      </c>
      <c r="C213" t="s">
        <v>657</v>
      </c>
      <c r="D213" t="s">
        <v>656</v>
      </c>
      <c r="E213" t="s">
        <v>3396</v>
      </c>
      <c r="F213" t="s">
        <v>554</v>
      </c>
      <c r="G213" t="s">
        <v>3374</v>
      </c>
      <c r="H213" t="s">
        <v>546</v>
      </c>
    </row>
    <row r="214" spans="1:8" x14ac:dyDescent="0.2">
      <c r="A214" t="s">
        <v>3588</v>
      </c>
      <c r="B214" t="s">
        <v>1166</v>
      </c>
      <c r="C214" t="s">
        <v>660</v>
      </c>
      <c r="D214" t="s">
        <v>626</v>
      </c>
      <c r="E214" t="s">
        <v>3396</v>
      </c>
      <c r="F214" t="s">
        <v>554</v>
      </c>
      <c r="G214" t="s">
        <v>3374</v>
      </c>
      <c r="H214" t="s">
        <v>546</v>
      </c>
    </row>
    <row r="215" spans="1:8" x14ac:dyDescent="0.2">
      <c r="A215" t="s">
        <v>3589</v>
      </c>
      <c r="B215" t="s">
        <v>1166</v>
      </c>
      <c r="C215" t="s">
        <v>1174</v>
      </c>
      <c r="D215" t="s">
        <v>926</v>
      </c>
      <c r="E215" t="s">
        <v>3396</v>
      </c>
      <c r="F215" t="s">
        <v>554</v>
      </c>
      <c r="G215" t="s">
        <v>3374</v>
      </c>
      <c r="H215" t="s">
        <v>546</v>
      </c>
    </row>
    <row r="216" spans="1:8" x14ac:dyDescent="0.2">
      <c r="A216" t="s">
        <v>3590</v>
      </c>
      <c r="B216" t="s">
        <v>1088</v>
      </c>
      <c r="C216" t="s">
        <v>979</v>
      </c>
      <c r="D216" t="s">
        <v>978</v>
      </c>
      <c r="E216" t="s">
        <v>3396</v>
      </c>
      <c r="F216" t="s">
        <v>554</v>
      </c>
      <c r="G216" t="s">
        <v>3374</v>
      </c>
      <c r="H216" t="s">
        <v>546</v>
      </c>
    </row>
    <row r="217" spans="1:8" x14ac:dyDescent="0.2">
      <c r="A217" t="s">
        <v>3591</v>
      </c>
      <c r="B217" t="s">
        <v>1088</v>
      </c>
      <c r="C217" t="s">
        <v>731</v>
      </c>
      <c r="D217" t="s">
        <v>985</v>
      </c>
      <c r="E217" t="s">
        <v>3396</v>
      </c>
      <c r="F217" t="s">
        <v>554</v>
      </c>
      <c r="G217" t="s">
        <v>3374</v>
      </c>
      <c r="H217" t="s">
        <v>546</v>
      </c>
    </row>
    <row r="218" spans="1:8" x14ac:dyDescent="0.2">
      <c r="A218" t="s">
        <v>3592</v>
      </c>
      <c r="B218" t="s">
        <v>1088</v>
      </c>
      <c r="C218" t="s">
        <v>620</v>
      </c>
      <c r="D218" t="s">
        <v>619</v>
      </c>
      <c r="E218" t="s">
        <v>3396</v>
      </c>
      <c r="F218" t="s">
        <v>554</v>
      </c>
      <c r="G218" t="s">
        <v>3374</v>
      </c>
      <c r="H218" t="s">
        <v>546</v>
      </c>
    </row>
    <row r="219" spans="1:8" x14ac:dyDescent="0.2">
      <c r="A219" t="s">
        <v>3593</v>
      </c>
      <c r="B219" t="s">
        <v>1088</v>
      </c>
      <c r="C219" t="s">
        <v>625</v>
      </c>
      <c r="D219" t="s">
        <v>1093</v>
      </c>
      <c r="E219" t="s">
        <v>3396</v>
      </c>
      <c r="F219" t="s">
        <v>554</v>
      </c>
      <c r="G219" t="s">
        <v>3374</v>
      </c>
      <c r="H219" t="s">
        <v>546</v>
      </c>
    </row>
    <row r="220" spans="1:8" x14ac:dyDescent="0.2">
      <c r="A220" t="s">
        <v>3594</v>
      </c>
      <c r="B220" t="s">
        <v>1468</v>
      </c>
      <c r="C220" t="s">
        <v>776</v>
      </c>
      <c r="D220" t="s">
        <v>776</v>
      </c>
      <c r="E220" t="s">
        <v>3373</v>
      </c>
      <c r="F220" t="s">
        <v>546</v>
      </c>
      <c r="G220" t="s">
        <v>3374</v>
      </c>
      <c r="H220" t="s">
        <v>546</v>
      </c>
    </row>
    <row r="221" spans="1:8" x14ac:dyDescent="0.2">
      <c r="A221" t="s">
        <v>3595</v>
      </c>
      <c r="B221" t="s">
        <v>1468</v>
      </c>
      <c r="C221" t="s">
        <v>620</v>
      </c>
      <c r="D221" t="s">
        <v>620</v>
      </c>
      <c r="E221" t="s">
        <v>3373</v>
      </c>
      <c r="F221" t="s">
        <v>546</v>
      </c>
      <c r="G221" t="s">
        <v>3374</v>
      </c>
      <c r="H221" t="s">
        <v>546</v>
      </c>
    </row>
    <row r="222" spans="1:8" x14ac:dyDescent="0.2">
      <c r="A222" t="s">
        <v>3596</v>
      </c>
      <c r="B222" t="s">
        <v>1468</v>
      </c>
      <c r="C222" t="s">
        <v>626</v>
      </c>
      <c r="D222" t="s">
        <v>626</v>
      </c>
      <c r="E222" t="s">
        <v>3373</v>
      </c>
      <c r="F222" t="s">
        <v>546</v>
      </c>
      <c r="G222" t="s">
        <v>3374</v>
      </c>
      <c r="H222" t="s">
        <v>546</v>
      </c>
    </row>
    <row r="223" spans="1:8" x14ac:dyDescent="0.2">
      <c r="A223" t="s">
        <v>3597</v>
      </c>
      <c r="B223" t="s">
        <v>905</v>
      </c>
      <c r="C223" t="s">
        <v>577</v>
      </c>
      <c r="D223" t="s">
        <v>577</v>
      </c>
      <c r="E223" t="s">
        <v>3373</v>
      </c>
      <c r="F223" t="s">
        <v>546</v>
      </c>
      <c r="G223" t="s">
        <v>3374</v>
      </c>
      <c r="H223" t="s">
        <v>546</v>
      </c>
    </row>
    <row r="224" spans="1:8" x14ac:dyDescent="0.2">
      <c r="A224" t="s">
        <v>3598</v>
      </c>
      <c r="B224" t="s">
        <v>905</v>
      </c>
      <c r="C224" t="s">
        <v>543</v>
      </c>
      <c r="D224" t="s">
        <v>543</v>
      </c>
      <c r="E224" t="s">
        <v>3373</v>
      </c>
      <c r="F224" t="s">
        <v>546</v>
      </c>
      <c r="G224" t="s">
        <v>3374</v>
      </c>
      <c r="H224" t="s">
        <v>546</v>
      </c>
    </row>
    <row r="225" spans="1:8" x14ac:dyDescent="0.2">
      <c r="A225" t="s">
        <v>3599</v>
      </c>
      <c r="B225" t="s">
        <v>905</v>
      </c>
      <c r="C225" t="s">
        <v>557</v>
      </c>
      <c r="D225" t="s">
        <v>557</v>
      </c>
      <c r="E225" t="s">
        <v>3373</v>
      </c>
      <c r="F225" t="s">
        <v>546</v>
      </c>
      <c r="G225" t="s">
        <v>3374</v>
      </c>
      <c r="H225" t="s">
        <v>546</v>
      </c>
    </row>
    <row r="226" spans="1:8" x14ac:dyDescent="0.2">
      <c r="A226" t="s">
        <v>3600</v>
      </c>
      <c r="B226" t="s">
        <v>905</v>
      </c>
      <c r="C226" t="s">
        <v>913</v>
      </c>
      <c r="D226" t="s">
        <v>913</v>
      </c>
      <c r="E226" t="s">
        <v>3373</v>
      </c>
      <c r="F226" t="s">
        <v>546</v>
      </c>
      <c r="G226" t="s">
        <v>3374</v>
      </c>
      <c r="H226" t="s">
        <v>546</v>
      </c>
    </row>
    <row r="227" spans="1:8" x14ac:dyDescent="0.2">
      <c r="A227" t="s">
        <v>3601</v>
      </c>
      <c r="B227" t="s">
        <v>905</v>
      </c>
      <c r="C227" t="s">
        <v>571</v>
      </c>
      <c r="D227" t="s">
        <v>571</v>
      </c>
      <c r="E227" t="s">
        <v>3373</v>
      </c>
      <c r="F227" t="s">
        <v>546</v>
      </c>
      <c r="G227" t="s">
        <v>3374</v>
      </c>
      <c r="H227" t="s">
        <v>546</v>
      </c>
    </row>
    <row r="228" spans="1:8" x14ac:dyDescent="0.2">
      <c r="A228" t="s">
        <v>3602</v>
      </c>
      <c r="B228" t="s">
        <v>1373</v>
      </c>
      <c r="C228" t="s">
        <v>677</v>
      </c>
      <c r="D228" t="s">
        <v>676</v>
      </c>
      <c r="E228" t="s">
        <v>3396</v>
      </c>
      <c r="F228" t="s">
        <v>554</v>
      </c>
      <c r="G228" t="s">
        <v>3374</v>
      </c>
      <c r="H228" t="s">
        <v>546</v>
      </c>
    </row>
    <row r="229" spans="1:8" x14ac:dyDescent="0.2">
      <c r="A229" t="s">
        <v>3603</v>
      </c>
      <c r="B229" t="s">
        <v>1373</v>
      </c>
      <c r="C229" t="s">
        <v>1379</v>
      </c>
      <c r="D229" t="s">
        <v>1378</v>
      </c>
      <c r="E229" t="s">
        <v>3396</v>
      </c>
      <c r="F229" t="s">
        <v>554</v>
      </c>
      <c r="G229" t="s">
        <v>3374</v>
      </c>
      <c r="H229" t="s">
        <v>546</v>
      </c>
    </row>
    <row r="230" spans="1:8" x14ac:dyDescent="0.2">
      <c r="A230" t="s">
        <v>3604</v>
      </c>
      <c r="B230" t="s">
        <v>1373</v>
      </c>
      <c r="C230" t="s">
        <v>645</v>
      </c>
      <c r="D230" t="s">
        <v>644</v>
      </c>
      <c r="E230" t="s">
        <v>3396</v>
      </c>
      <c r="F230" t="s">
        <v>554</v>
      </c>
      <c r="G230" t="s">
        <v>3374</v>
      </c>
      <c r="H230" t="s">
        <v>546</v>
      </c>
    </row>
    <row r="231" spans="1:8" x14ac:dyDescent="0.2">
      <c r="A231" t="s">
        <v>3605</v>
      </c>
      <c r="B231" t="s">
        <v>1201</v>
      </c>
      <c r="C231" t="s">
        <v>709</v>
      </c>
      <c r="D231" t="s">
        <v>708</v>
      </c>
      <c r="E231" t="s">
        <v>3396</v>
      </c>
      <c r="F231" t="s">
        <v>554</v>
      </c>
      <c r="G231" t="s">
        <v>3374</v>
      </c>
      <c r="H231" t="s">
        <v>546</v>
      </c>
    </row>
    <row r="232" spans="1:8" x14ac:dyDescent="0.2">
      <c r="A232" t="s">
        <v>3606</v>
      </c>
      <c r="B232" t="s">
        <v>1201</v>
      </c>
      <c r="C232" t="s">
        <v>620</v>
      </c>
      <c r="D232" t="s">
        <v>619</v>
      </c>
      <c r="E232" t="s">
        <v>3396</v>
      </c>
      <c r="F232" t="s">
        <v>554</v>
      </c>
      <c r="G232" t="s">
        <v>3374</v>
      </c>
      <c r="H232" t="s">
        <v>546</v>
      </c>
    </row>
    <row r="233" spans="1:8" x14ac:dyDescent="0.2">
      <c r="A233" t="s">
        <v>3607</v>
      </c>
      <c r="B233" t="s">
        <v>1201</v>
      </c>
      <c r="C233" t="s">
        <v>1031</v>
      </c>
      <c r="D233" t="s">
        <v>1204</v>
      </c>
      <c r="E233" t="s">
        <v>3396</v>
      </c>
      <c r="F233" t="s">
        <v>554</v>
      </c>
      <c r="G233" t="s">
        <v>3374</v>
      </c>
      <c r="H233" t="s">
        <v>546</v>
      </c>
    </row>
    <row r="234" spans="1:8" x14ac:dyDescent="0.2">
      <c r="A234" t="s">
        <v>3608</v>
      </c>
      <c r="B234" t="s">
        <v>1201</v>
      </c>
      <c r="C234" t="s">
        <v>705</v>
      </c>
      <c r="D234" t="s">
        <v>704</v>
      </c>
      <c r="E234" t="s">
        <v>3396</v>
      </c>
      <c r="F234" t="s">
        <v>554</v>
      </c>
      <c r="G234" t="s">
        <v>3374</v>
      </c>
      <c r="H234" t="s">
        <v>546</v>
      </c>
    </row>
    <row r="235" spans="1:8" x14ac:dyDescent="0.2">
      <c r="A235" t="s">
        <v>3609</v>
      </c>
      <c r="B235" t="s">
        <v>2027</v>
      </c>
      <c r="C235" t="s">
        <v>1778</v>
      </c>
      <c r="D235" t="s">
        <v>1124</v>
      </c>
      <c r="E235" t="s">
        <v>3396</v>
      </c>
      <c r="F235" t="s">
        <v>554</v>
      </c>
      <c r="G235" t="s">
        <v>3374</v>
      </c>
      <c r="H235" t="s">
        <v>546</v>
      </c>
    </row>
    <row r="236" spans="1:8" x14ac:dyDescent="0.2">
      <c r="A236" t="s">
        <v>3610</v>
      </c>
      <c r="B236" t="s">
        <v>2027</v>
      </c>
      <c r="C236" t="s">
        <v>687</v>
      </c>
      <c r="D236" t="s">
        <v>1001</v>
      </c>
      <c r="E236" t="s">
        <v>3396</v>
      </c>
      <c r="F236" t="s">
        <v>554</v>
      </c>
      <c r="G236" t="s">
        <v>3374</v>
      </c>
      <c r="H236" t="s">
        <v>546</v>
      </c>
    </row>
    <row r="237" spans="1:8" x14ac:dyDescent="0.2">
      <c r="A237" t="s">
        <v>3611</v>
      </c>
      <c r="B237" t="s">
        <v>2027</v>
      </c>
      <c r="C237" t="s">
        <v>660</v>
      </c>
      <c r="D237" t="s">
        <v>626</v>
      </c>
      <c r="E237" t="s">
        <v>3396</v>
      </c>
      <c r="F237" t="s">
        <v>554</v>
      </c>
      <c r="G237" t="s">
        <v>3374</v>
      </c>
      <c r="H237" t="s">
        <v>546</v>
      </c>
    </row>
    <row r="238" spans="1:8" x14ac:dyDescent="0.2">
      <c r="A238" t="s">
        <v>3612</v>
      </c>
      <c r="B238" t="s">
        <v>2027</v>
      </c>
      <c r="C238" t="s">
        <v>1569</v>
      </c>
      <c r="D238" t="s">
        <v>3613</v>
      </c>
      <c r="E238" t="s">
        <v>3396</v>
      </c>
      <c r="F238" t="s">
        <v>554</v>
      </c>
      <c r="G238" t="s">
        <v>3374</v>
      </c>
      <c r="H238" t="s">
        <v>546</v>
      </c>
    </row>
    <row r="239" spans="1:8" x14ac:dyDescent="0.2">
      <c r="A239" t="s">
        <v>3614</v>
      </c>
      <c r="B239" t="s">
        <v>783</v>
      </c>
      <c r="C239" t="s">
        <v>790</v>
      </c>
      <c r="D239" t="s">
        <v>789</v>
      </c>
      <c r="E239" t="s">
        <v>3396</v>
      </c>
      <c r="F239" t="s">
        <v>554</v>
      </c>
      <c r="G239" t="s">
        <v>3374</v>
      </c>
      <c r="H239" t="s">
        <v>546</v>
      </c>
    </row>
    <row r="240" spans="1:8" x14ac:dyDescent="0.2">
      <c r="A240" t="s">
        <v>3615</v>
      </c>
      <c r="B240" t="s">
        <v>783</v>
      </c>
      <c r="C240" t="s">
        <v>797</v>
      </c>
      <c r="D240" t="s">
        <v>796</v>
      </c>
      <c r="E240" t="s">
        <v>3396</v>
      </c>
      <c r="F240" t="s">
        <v>554</v>
      </c>
      <c r="G240" t="s">
        <v>3374</v>
      </c>
      <c r="H240" t="s">
        <v>546</v>
      </c>
    </row>
    <row r="241" spans="1:8" x14ac:dyDescent="0.2">
      <c r="A241" t="s">
        <v>3616</v>
      </c>
      <c r="B241" t="s">
        <v>783</v>
      </c>
      <c r="C241" t="s">
        <v>785</v>
      </c>
      <c r="D241" t="s">
        <v>784</v>
      </c>
      <c r="E241" t="s">
        <v>3396</v>
      </c>
      <c r="F241" t="s">
        <v>554</v>
      </c>
      <c r="G241" t="s">
        <v>3374</v>
      </c>
      <c r="H241" t="s">
        <v>546</v>
      </c>
    </row>
    <row r="242" spans="1:8" x14ac:dyDescent="0.2">
      <c r="A242" t="s">
        <v>3617</v>
      </c>
      <c r="B242" t="s">
        <v>783</v>
      </c>
      <c r="C242" t="s">
        <v>606</v>
      </c>
      <c r="D242" t="s">
        <v>793</v>
      </c>
      <c r="E242" t="s">
        <v>3396</v>
      </c>
      <c r="F242" t="s">
        <v>554</v>
      </c>
      <c r="G242" t="s">
        <v>3374</v>
      </c>
      <c r="H242" t="s">
        <v>546</v>
      </c>
    </row>
    <row r="243" spans="1:8" x14ac:dyDescent="0.2">
      <c r="A243" t="s">
        <v>3618</v>
      </c>
      <c r="B243" t="s">
        <v>968</v>
      </c>
      <c r="C243" t="s">
        <v>779</v>
      </c>
      <c r="D243" t="s">
        <v>779</v>
      </c>
      <c r="E243" t="s">
        <v>3373</v>
      </c>
      <c r="F243" t="s">
        <v>546</v>
      </c>
      <c r="G243" t="s">
        <v>3374</v>
      </c>
      <c r="H243" t="s">
        <v>546</v>
      </c>
    </row>
    <row r="244" spans="1:8" x14ac:dyDescent="0.2">
      <c r="A244" t="s">
        <v>3619</v>
      </c>
      <c r="B244" t="s">
        <v>968</v>
      </c>
      <c r="C244" t="s">
        <v>566</v>
      </c>
      <c r="D244" t="s">
        <v>566</v>
      </c>
      <c r="E244" t="s">
        <v>3373</v>
      </c>
      <c r="F244" t="s">
        <v>546</v>
      </c>
      <c r="G244" t="s">
        <v>3374</v>
      </c>
      <c r="H244" t="s">
        <v>546</v>
      </c>
    </row>
    <row r="245" spans="1:8" x14ac:dyDescent="0.2">
      <c r="A245" t="s">
        <v>3620</v>
      </c>
      <c r="B245" t="s">
        <v>968</v>
      </c>
      <c r="C245" t="s">
        <v>776</v>
      </c>
      <c r="D245" t="s">
        <v>776</v>
      </c>
      <c r="E245" t="s">
        <v>3373</v>
      </c>
      <c r="F245" t="s">
        <v>546</v>
      </c>
      <c r="G245" t="s">
        <v>3374</v>
      </c>
      <c r="H245" t="s">
        <v>546</v>
      </c>
    </row>
    <row r="246" spans="1:8" x14ac:dyDescent="0.2">
      <c r="A246" t="s">
        <v>3621</v>
      </c>
      <c r="B246" t="s">
        <v>1015</v>
      </c>
      <c r="C246" t="s">
        <v>715</v>
      </c>
      <c r="D246" t="s">
        <v>715</v>
      </c>
      <c r="E246" t="s">
        <v>3373</v>
      </c>
      <c r="F246" t="s">
        <v>546</v>
      </c>
      <c r="G246" t="s">
        <v>3374</v>
      </c>
      <c r="H246" t="s">
        <v>546</v>
      </c>
    </row>
    <row r="247" spans="1:8" x14ac:dyDescent="0.2">
      <c r="A247" t="s">
        <v>3622</v>
      </c>
      <c r="B247" t="s">
        <v>1015</v>
      </c>
      <c r="C247" t="s">
        <v>884</v>
      </c>
      <c r="D247" t="s">
        <v>884</v>
      </c>
      <c r="E247" t="s">
        <v>3373</v>
      </c>
      <c r="F247" t="s">
        <v>546</v>
      </c>
      <c r="G247" t="s">
        <v>3374</v>
      </c>
      <c r="H247" t="s">
        <v>546</v>
      </c>
    </row>
    <row r="248" spans="1:8" x14ac:dyDescent="0.2">
      <c r="A248" t="s">
        <v>3623</v>
      </c>
      <c r="B248" t="s">
        <v>1015</v>
      </c>
      <c r="C248" t="s">
        <v>723</v>
      </c>
      <c r="D248" t="s">
        <v>723</v>
      </c>
      <c r="E248" t="s">
        <v>3373</v>
      </c>
      <c r="F248" t="s">
        <v>546</v>
      </c>
      <c r="G248" t="s">
        <v>3374</v>
      </c>
      <c r="H248" t="s">
        <v>546</v>
      </c>
    </row>
    <row r="249" spans="1:8" x14ac:dyDescent="0.2">
      <c r="A249" t="s">
        <v>3624</v>
      </c>
      <c r="B249" t="s">
        <v>1015</v>
      </c>
      <c r="C249" t="s">
        <v>570</v>
      </c>
      <c r="D249" t="s">
        <v>570</v>
      </c>
      <c r="E249" t="s">
        <v>3373</v>
      </c>
      <c r="F249" t="s">
        <v>546</v>
      </c>
      <c r="G249" t="s">
        <v>3374</v>
      </c>
      <c r="H249" t="s">
        <v>546</v>
      </c>
    </row>
    <row r="250" spans="1:8" x14ac:dyDescent="0.2">
      <c r="A250" t="s">
        <v>3625</v>
      </c>
      <c r="B250" t="s">
        <v>936</v>
      </c>
      <c r="C250" t="s">
        <v>938</v>
      </c>
      <c r="D250" t="s">
        <v>937</v>
      </c>
      <c r="E250" t="s">
        <v>3396</v>
      </c>
      <c r="F250" t="s">
        <v>554</v>
      </c>
      <c r="G250" t="s">
        <v>3374</v>
      </c>
      <c r="H250" t="s">
        <v>546</v>
      </c>
    </row>
    <row r="251" spans="1:8" x14ac:dyDescent="0.2">
      <c r="A251" t="s">
        <v>3626</v>
      </c>
      <c r="B251" t="s">
        <v>936</v>
      </c>
      <c r="C251" t="s">
        <v>680</v>
      </c>
      <c r="D251" t="s">
        <v>731</v>
      </c>
      <c r="E251" t="s">
        <v>3396</v>
      </c>
      <c r="F251" t="s">
        <v>554</v>
      </c>
      <c r="G251" t="s">
        <v>3374</v>
      </c>
      <c r="H251" t="s">
        <v>546</v>
      </c>
    </row>
    <row r="252" spans="1:8" x14ac:dyDescent="0.2">
      <c r="A252" t="s">
        <v>3627</v>
      </c>
      <c r="B252" t="s">
        <v>936</v>
      </c>
      <c r="C252" t="s">
        <v>642</v>
      </c>
      <c r="D252" t="s">
        <v>641</v>
      </c>
      <c r="E252" t="s">
        <v>3396</v>
      </c>
      <c r="F252" t="s">
        <v>554</v>
      </c>
      <c r="G252" t="s">
        <v>3374</v>
      </c>
      <c r="H252" t="s">
        <v>546</v>
      </c>
    </row>
    <row r="253" spans="1:8" x14ac:dyDescent="0.2">
      <c r="A253" t="s">
        <v>3628</v>
      </c>
      <c r="B253" t="s">
        <v>936</v>
      </c>
      <c r="C253" t="s">
        <v>737</v>
      </c>
      <c r="D253" t="s">
        <v>736</v>
      </c>
      <c r="E253" t="s">
        <v>3396</v>
      </c>
      <c r="F253" t="s">
        <v>554</v>
      </c>
      <c r="G253" t="s">
        <v>3374</v>
      </c>
      <c r="H253" t="s">
        <v>546</v>
      </c>
    </row>
    <row r="254" spans="1:8" x14ac:dyDescent="0.2">
      <c r="A254" t="s">
        <v>3629</v>
      </c>
      <c r="B254" t="s">
        <v>1506</v>
      </c>
      <c r="C254" t="s">
        <v>620</v>
      </c>
      <c r="D254" t="s">
        <v>619</v>
      </c>
      <c r="E254" t="s">
        <v>3396</v>
      </c>
      <c r="F254" t="s">
        <v>554</v>
      </c>
      <c r="G254" t="s">
        <v>3374</v>
      </c>
      <c r="H254" t="s">
        <v>546</v>
      </c>
    </row>
    <row r="255" spans="1:8" x14ac:dyDescent="0.2">
      <c r="A255" t="s">
        <v>3630</v>
      </c>
      <c r="B255" t="s">
        <v>1506</v>
      </c>
      <c r="C255" t="s">
        <v>625</v>
      </c>
      <c r="D255" t="s">
        <v>1093</v>
      </c>
      <c r="E255" t="s">
        <v>3396</v>
      </c>
      <c r="F255" t="s">
        <v>554</v>
      </c>
      <c r="G255" t="s">
        <v>3374</v>
      </c>
      <c r="H255" t="s">
        <v>546</v>
      </c>
    </row>
    <row r="256" spans="1:8" x14ac:dyDescent="0.2">
      <c r="A256" t="s">
        <v>3631</v>
      </c>
      <c r="B256" t="s">
        <v>1506</v>
      </c>
      <c r="C256" t="s">
        <v>632</v>
      </c>
      <c r="D256" t="s">
        <v>631</v>
      </c>
      <c r="E256" t="s">
        <v>3396</v>
      </c>
      <c r="F256" t="s">
        <v>554</v>
      </c>
      <c r="G256" t="s">
        <v>3374</v>
      </c>
      <c r="H256" t="s">
        <v>546</v>
      </c>
    </row>
    <row r="257" spans="1:8" x14ac:dyDescent="0.2">
      <c r="A257" t="s">
        <v>3632</v>
      </c>
      <c r="B257" t="s">
        <v>1098</v>
      </c>
      <c r="C257" t="s">
        <v>979</v>
      </c>
      <c r="D257" t="s">
        <v>979</v>
      </c>
      <c r="E257" t="s">
        <v>3373</v>
      </c>
      <c r="F257" t="s">
        <v>546</v>
      </c>
      <c r="G257" t="s">
        <v>3374</v>
      </c>
      <c r="H257" t="s">
        <v>546</v>
      </c>
    </row>
    <row r="258" spans="1:8" x14ac:dyDescent="0.2">
      <c r="A258" t="s">
        <v>3633</v>
      </c>
      <c r="B258" t="s">
        <v>1098</v>
      </c>
      <c r="C258" t="s">
        <v>709</v>
      </c>
      <c r="D258" t="s">
        <v>709</v>
      </c>
      <c r="E258" t="s">
        <v>3373</v>
      </c>
      <c r="F258" t="s">
        <v>546</v>
      </c>
      <c r="G258" t="s">
        <v>3374</v>
      </c>
      <c r="H258" t="s">
        <v>546</v>
      </c>
    </row>
    <row r="259" spans="1:8" x14ac:dyDescent="0.2">
      <c r="A259" t="s">
        <v>3634</v>
      </c>
      <c r="B259" t="s">
        <v>1098</v>
      </c>
      <c r="C259" t="s">
        <v>620</v>
      </c>
      <c r="D259" t="s">
        <v>620</v>
      </c>
      <c r="E259" t="s">
        <v>3373</v>
      </c>
      <c r="F259" t="s">
        <v>546</v>
      </c>
      <c r="G259" t="s">
        <v>3374</v>
      </c>
      <c r="H259" t="s">
        <v>546</v>
      </c>
    </row>
    <row r="260" spans="1:8" x14ac:dyDescent="0.2">
      <c r="A260" t="s">
        <v>3635</v>
      </c>
      <c r="B260" t="s">
        <v>1098</v>
      </c>
      <c r="C260" t="s">
        <v>625</v>
      </c>
      <c r="D260" t="s">
        <v>625</v>
      </c>
      <c r="E260" t="s">
        <v>3373</v>
      </c>
      <c r="F260" t="s">
        <v>546</v>
      </c>
      <c r="G260" t="s">
        <v>3374</v>
      </c>
      <c r="H260" t="s">
        <v>546</v>
      </c>
    </row>
    <row r="261" spans="1:8" x14ac:dyDescent="0.2">
      <c r="A261" t="s">
        <v>3636</v>
      </c>
      <c r="B261" t="s">
        <v>2038</v>
      </c>
      <c r="C261" t="s">
        <v>2039</v>
      </c>
      <c r="D261" t="s">
        <v>2039</v>
      </c>
      <c r="E261" t="s">
        <v>3373</v>
      </c>
      <c r="F261" t="s">
        <v>546</v>
      </c>
      <c r="G261" t="s">
        <v>3374</v>
      </c>
      <c r="H261" t="s">
        <v>546</v>
      </c>
    </row>
    <row r="262" spans="1:8" x14ac:dyDescent="0.2">
      <c r="A262" t="s">
        <v>3637</v>
      </c>
      <c r="B262" t="s">
        <v>2038</v>
      </c>
      <c r="C262" t="s">
        <v>843</v>
      </c>
      <c r="D262" t="s">
        <v>843</v>
      </c>
      <c r="E262" t="s">
        <v>3373</v>
      </c>
      <c r="F262" t="s">
        <v>546</v>
      </c>
      <c r="G262" t="s">
        <v>3374</v>
      </c>
      <c r="H262" t="s">
        <v>546</v>
      </c>
    </row>
    <row r="263" spans="1:8" x14ac:dyDescent="0.2">
      <c r="A263" t="s">
        <v>3638</v>
      </c>
      <c r="B263" t="s">
        <v>2038</v>
      </c>
      <c r="C263" t="s">
        <v>1553</v>
      </c>
      <c r="D263" t="s">
        <v>1553</v>
      </c>
      <c r="E263" t="s">
        <v>3373</v>
      </c>
      <c r="F263" t="s">
        <v>546</v>
      </c>
      <c r="G263" t="s">
        <v>3374</v>
      </c>
      <c r="H263" t="s">
        <v>546</v>
      </c>
    </row>
    <row r="264" spans="1:8" x14ac:dyDescent="0.2">
      <c r="A264" t="s">
        <v>3639</v>
      </c>
      <c r="B264" t="s">
        <v>2038</v>
      </c>
      <c r="C264" t="s">
        <v>925</v>
      </c>
      <c r="D264" t="s">
        <v>925</v>
      </c>
      <c r="E264" t="s">
        <v>3373</v>
      </c>
      <c r="F264" t="s">
        <v>546</v>
      </c>
      <c r="G264" t="s">
        <v>3374</v>
      </c>
      <c r="H264" t="s">
        <v>546</v>
      </c>
    </row>
    <row r="265" spans="1:8" x14ac:dyDescent="0.2">
      <c r="A265" t="s">
        <v>3640</v>
      </c>
      <c r="B265" t="s">
        <v>839</v>
      </c>
      <c r="C265" t="s">
        <v>841</v>
      </c>
      <c r="D265" t="s">
        <v>840</v>
      </c>
      <c r="E265" t="s">
        <v>3396</v>
      </c>
      <c r="F265" t="s">
        <v>554</v>
      </c>
      <c r="G265" t="s">
        <v>3374</v>
      </c>
      <c r="H265" t="s">
        <v>546</v>
      </c>
    </row>
    <row r="266" spans="1:8" x14ac:dyDescent="0.2">
      <c r="A266" t="s">
        <v>3641</v>
      </c>
      <c r="B266" t="s">
        <v>839</v>
      </c>
      <c r="C266" t="s">
        <v>849</v>
      </c>
      <c r="D266" t="s">
        <v>797</v>
      </c>
      <c r="E266" t="s">
        <v>3396</v>
      </c>
      <c r="F266" t="s">
        <v>554</v>
      </c>
      <c r="G266" t="s">
        <v>3374</v>
      </c>
      <c r="H266" t="s">
        <v>546</v>
      </c>
    </row>
    <row r="267" spans="1:8" x14ac:dyDescent="0.2">
      <c r="A267" t="s">
        <v>3642</v>
      </c>
      <c r="B267" t="s">
        <v>839</v>
      </c>
      <c r="C267" t="s">
        <v>843</v>
      </c>
      <c r="D267" t="s">
        <v>785</v>
      </c>
      <c r="E267" t="s">
        <v>3396</v>
      </c>
      <c r="F267" t="s">
        <v>554</v>
      </c>
      <c r="G267" t="s">
        <v>3374</v>
      </c>
      <c r="H267" t="s">
        <v>546</v>
      </c>
    </row>
    <row r="268" spans="1:8" x14ac:dyDescent="0.2">
      <c r="A268" t="s">
        <v>3643</v>
      </c>
      <c r="B268" t="s">
        <v>839</v>
      </c>
      <c r="C268" t="s">
        <v>607</v>
      </c>
      <c r="D268" t="s">
        <v>606</v>
      </c>
      <c r="E268" t="s">
        <v>3396</v>
      </c>
      <c r="F268" t="s">
        <v>554</v>
      </c>
      <c r="G268" t="s">
        <v>3374</v>
      </c>
      <c r="H268" t="s">
        <v>546</v>
      </c>
    </row>
    <row r="269" spans="1:8" x14ac:dyDescent="0.2">
      <c r="A269" t="s">
        <v>3644</v>
      </c>
      <c r="B269" t="s">
        <v>839</v>
      </c>
      <c r="C269" t="s">
        <v>847</v>
      </c>
      <c r="D269" t="s">
        <v>846</v>
      </c>
      <c r="E269" t="s">
        <v>3396</v>
      </c>
      <c r="F269" t="s">
        <v>554</v>
      </c>
      <c r="G269" t="s">
        <v>3374</v>
      </c>
      <c r="H269" t="s">
        <v>546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4"/>
  <sheetViews>
    <sheetView workbookViewId="0">
      <pane ySplit="1" topLeftCell="A2" activePane="bottomLeft" state="frozen"/>
      <selection pane="bottomLeft"/>
    </sheetView>
  </sheetViews>
  <sheetFormatPr baseColWidth="10" defaultColWidth="8.83203125" defaultRowHeight="15" x14ac:dyDescent="0.2"/>
  <cols>
    <col min="1" max="10" width="20" customWidth="1"/>
  </cols>
  <sheetData>
    <row r="1" spans="1:10" x14ac:dyDescent="0.2">
      <c r="A1" s="152" t="s">
        <v>3645</v>
      </c>
    </row>
    <row r="2" spans="1:10" x14ac:dyDescent="0.2">
      <c r="A2" s="152" t="s">
        <v>5</v>
      </c>
      <c r="B2" s="152" t="s">
        <v>3646</v>
      </c>
      <c r="C2" s="152" t="s">
        <v>3647</v>
      </c>
      <c r="D2" s="152" t="s">
        <v>3648</v>
      </c>
      <c r="E2" s="152" t="s">
        <v>3649</v>
      </c>
      <c r="F2" s="152" t="s">
        <v>3650</v>
      </c>
      <c r="G2" s="152" t="s">
        <v>3651</v>
      </c>
      <c r="H2" s="152" t="s">
        <v>3652</v>
      </c>
      <c r="I2" s="152" t="s">
        <v>3653</v>
      </c>
      <c r="J2" s="152" t="s">
        <v>3654</v>
      </c>
    </row>
    <row r="3" spans="1:10" x14ac:dyDescent="0.2">
      <c r="A3" t="s">
        <v>256</v>
      </c>
      <c r="B3" t="s">
        <v>3655</v>
      </c>
      <c r="C3" t="s">
        <v>364</v>
      </c>
      <c r="D3" t="s">
        <v>254</v>
      </c>
      <c r="E3" t="s">
        <v>263</v>
      </c>
      <c r="F3" t="s">
        <v>3656</v>
      </c>
      <c r="G3" t="s">
        <v>266</v>
      </c>
      <c r="H3" t="s">
        <v>3657</v>
      </c>
      <c r="I3" t="s">
        <v>3658</v>
      </c>
      <c r="J3" t="s">
        <v>3659</v>
      </c>
    </row>
    <row r="4" spans="1:10" x14ac:dyDescent="0.2">
      <c r="A4" t="s">
        <v>256</v>
      </c>
      <c r="B4" t="s">
        <v>3660</v>
      </c>
      <c r="C4" t="s">
        <v>364</v>
      </c>
      <c r="D4" t="s">
        <v>270</v>
      </c>
      <c r="E4" t="s">
        <v>274</v>
      </c>
      <c r="F4" t="s">
        <v>3661</v>
      </c>
      <c r="G4" t="s">
        <v>277</v>
      </c>
      <c r="H4" t="s">
        <v>3662</v>
      </c>
      <c r="I4" t="s">
        <v>3663</v>
      </c>
      <c r="J4" t="s">
        <v>3664</v>
      </c>
    </row>
    <row r="5" spans="1:10" x14ac:dyDescent="0.2">
      <c r="A5" t="s">
        <v>256</v>
      </c>
      <c r="B5" t="s">
        <v>3665</v>
      </c>
      <c r="C5" t="s">
        <v>364</v>
      </c>
      <c r="D5" t="s">
        <v>280</v>
      </c>
      <c r="E5" t="s">
        <v>284</v>
      </c>
      <c r="F5" t="s">
        <v>3666</v>
      </c>
      <c r="G5" t="s">
        <v>287</v>
      </c>
      <c r="H5" t="s">
        <v>3667</v>
      </c>
      <c r="I5" t="s">
        <v>3663</v>
      </c>
      <c r="J5" t="s">
        <v>3668</v>
      </c>
    </row>
    <row r="6" spans="1:10" x14ac:dyDescent="0.2">
      <c r="A6" t="s">
        <v>256</v>
      </c>
      <c r="B6" t="s">
        <v>3669</v>
      </c>
      <c r="C6" t="s">
        <v>364</v>
      </c>
      <c r="D6" t="s">
        <v>290</v>
      </c>
      <c r="E6" t="s">
        <v>284</v>
      </c>
      <c r="F6" t="s">
        <v>3670</v>
      </c>
      <c r="G6" t="s">
        <v>296</v>
      </c>
      <c r="H6" t="s">
        <v>3671</v>
      </c>
      <c r="I6" t="s">
        <v>3672</v>
      </c>
      <c r="J6" t="s">
        <v>3673</v>
      </c>
    </row>
    <row r="7" spans="1:10" x14ac:dyDescent="0.2">
      <c r="A7" t="s">
        <v>301</v>
      </c>
      <c r="B7" t="s">
        <v>3655</v>
      </c>
      <c r="C7" t="s">
        <v>3674</v>
      </c>
      <c r="D7" t="s">
        <v>299</v>
      </c>
      <c r="E7" t="s">
        <v>305</v>
      </c>
      <c r="F7" t="s">
        <v>3675</v>
      </c>
      <c r="G7" t="s">
        <v>308</v>
      </c>
      <c r="H7" t="s">
        <v>3676</v>
      </c>
      <c r="I7" t="s">
        <v>3677</v>
      </c>
      <c r="J7" t="s">
        <v>3678</v>
      </c>
    </row>
    <row r="8" spans="1:10" x14ac:dyDescent="0.2">
      <c r="A8" t="s">
        <v>301</v>
      </c>
      <c r="B8" t="s">
        <v>3660</v>
      </c>
      <c r="C8" t="s">
        <v>3674</v>
      </c>
      <c r="D8" t="s">
        <v>311</v>
      </c>
      <c r="E8" t="s">
        <v>177</v>
      </c>
      <c r="F8" t="s">
        <v>3679</v>
      </c>
      <c r="G8" t="s">
        <v>317</v>
      </c>
      <c r="H8" t="s">
        <v>3680</v>
      </c>
      <c r="I8" t="s">
        <v>3681</v>
      </c>
      <c r="J8" t="s">
        <v>3682</v>
      </c>
    </row>
    <row r="9" spans="1:10" x14ac:dyDescent="0.2">
      <c r="A9" t="s">
        <v>301</v>
      </c>
      <c r="B9" t="s">
        <v>3665</v>
      </c>
      <c r="C9" t="s">
        <v>364</v>
      </c>
      <c r="D9" t="s">
        <v>280</v>
      </c>
      <c r="E9" t="s">
        <v>284</v>
      </c>
      <c r="F9" t="s">
        <v>3666</v>
      </c>
      <c r="G9" t="s">
        <v>287</v>
      </c>
      <c r="H9" t="s">
        <v>3667</v>
      </c>
      <c r="I9" t="s">
        <v>3663</v>
      </c>
      <c r="J9" t="s">
        <v>3668</v>
      </c>
    </row>
    <row r="10" spans="1:10" x14ac:dyDescent="0.2">
      <c r="A10" t="s">
        <v>301</v>
      </c>
      <c r="B10" t="s">
        <v>3669</v>
      </c>
      <c r="C10" t="s">
        <v>364</v>
      </c>
      <c r="D10" t="s">
        <v>290</v>
      </c>
      <c r="E10" t="s">
        <v>284</v>
      </c>
      <c r="F10" t="s">
        <v>3670</v>
      </c>
      <c r="G10" t="s">
        <v>296</v>
      </c>
      <c r="H10" t="s">
        <v>3671</v>
      </c>
      <c r="I10" t="s">
        <v>3672</v>
      </c>
      <c r="J10" t="s">
        <v>3673</v>
      </c>
    </row>
    <row r="12" spans="1:10" x14ac:dyDescent="0.2">
      <c r="A12" t="s">
        <v>3683</v>
      </c>
    </row>
    <row r="14" spans="1:10" x14ac:dyDescent="0.2">
      <c r="A14" s="152" t="s">
        <v>3684</v>
      </c>
    </row>
    <row r="15" spans="1:10" x14ac:dyDescent="0.2">
      <c r="A15" s="152" t="s">
        <v>3685</v>
      </c>
      <c r="B15" s="152" t="s">
        <v>3686</v>
      </c>
      <c r="C15" s="152" t="s">
        <v>3687</v>
      </c>
      <c r="D15" s="152" t="s">
        <v>3688</v>
      </c>
      <c r="E15" s="152" t="s">
        <v>3689</v>
      </c>
      <c r="F15" s="152" t="s">
        <v>7</v>
      </c>
      <c r="G15" s="152" t="s">
        <v>8</v>
      </c>
      <c r="H15" s="152" t="s">
        <v>10</v>
      </c>
      <c r="I15" s="152" t="s">
        <v>3690</v>
      </c>
      <c r="J15" s="152" t="s">
        <v>3691</v>
      </c>
    </row>
    <row r="16" spans="1:10" x14ac:dyDescent="0.2">
      <c r="A16" t="s">
        <v>3692</v>
      </c>
      <c r="B16" t="s">
        <v>328</v>
      </c>
      <c r="C16" t="s">
        <v>329</v>
      </c>
      <c r="D16" t="s">
        <v>327</v>
      </c>
      <c r="E16" t="s">
        <v>325</v>
      </c>
      <c r="F16" t="s">
        <v>325</v>
      </c>
      <c r="G16" t="s">
        <v>325</v>
      </c>
      <c r="H16" t="s">
        <v>330</v>
      </c>
      <c r="I16" t="s">
        <v>102</v>
      </c>
      <c r="J16" t="s">
        <v>332</v>
      </c>
    </row>
    <row r="17" spans="1:10" x14ac:dyDescent="0.2">
      <c r="A17" t="s">
        <v>3692</v>
      </c>
      <c r="B17" t="s">
        <v>328</v>
      </c>
      <c r="C17" t="s">
        <v>336</v>
      </c>
      <c r="D17" t="s">
        <v>335</v>
      </c>
      <c r="E17" t="s">
        <v>334</v>
      </c>
      <c r="F17" t="s">
        <v>337</v>
      </c>
      <c r="G17" t="s">
        <v>338</v>
      </c>
      <c r="H17" t="s">
        <v>339</v>
      </c>
      <c r="I17" t="s">
        <v>102</v>
      </c>
      <c r="J17" t="s">
        <v>340</v>
      </c>
    </row>
    <row r="18" spans="1:10" x14ac:dyDescent="0.2">
      <c r="A18" t="s">
        <v>3693</v>
      </c>
      <c r="B18" t="s">
        <v>328</v>
      </c>
      <c r="C18" t="s">
        <v>329</v>
      </c>
      <c r="D18" t="s">
        <v>225</v>
      </c>
      <c r="E18" t="s">
        <v>342</v>
      </c>
      <c r="F18" t="s">
        <v>343</v>
      </c>
      <c r="G18" t="s">
        <v>325</v>
      </c>
      <c r="H18" t="s">
        <v>344</v>
      </c>
      <c r="I18" t="s">
        <v>102</v>
      </c>
    </row>
    <row r="19" spans="1:10" x14ac:dyDescent="0.2">
      <c r="A19" t="s">
        <v>3693</v>
      </c>
      <c r="B19" t="s">
        <v>328</v>
      </c>
      <c r="C19" t="s">
        <v>336</v>
      </c>
      <c r="D19" t="s">
        <v>347</v>
      </c>
      <c r="E19" t="s">
        <v>346</v>
      </c>
      <c r="F19" t="s">
        <v>348</v>
      </c>
      <c r="G19" t="s">
        <v>349</v>
      </c>
      <c r="H19" t="s">
        <v>350</v>
      </c>
      <c r="I19" t="s">
        <v>102</v>
      </c>
    </row>
    <row r="20" spans="1:10" x14ac:dyDescent="0.2">
      <c r="A20" t="s">
        <v>3694</v>
      </c>
      <c r="B20" t="s">
        <v>328</v>
      </c>
      <c r="C20" t="s">
        <v>329</v>
      </c>
      <c r="D20" t="s">
        <v>353</v>
      </c>
      <c r="E20" t="s">
        <v>352</v>
      </c>
      <c r="F20" t="s">
        <v>354</v>
      </c>
      <c r="G20" t="s">
        <v>355</v>
      </c>
      <c r="H20" t="s">
        <v>356</v>
      </c>
      <c r="I20" t="s">
        <v>102</v>
      </c>
    </row>
    <row r="21" spans="1:10" x14ac:dyDescent="0.2">
      <c r="A21" t="s">
        <v>3694</v>
      </c>
      <c r="B21" t="s">
        <v>328</v>
      </c>
      <c r="C21" t="s">
        <v>336</v>
      </c>
      <c r="D21" t="s">
        <v>335</v>
      </c>
      <c r="E21" t="s">
        <v>358</v>
      </c>
      <c r="F21" t="s">
        <v>359</v>
      </c>
      <c r="G21" t="s">
        <v>360</v>
      </c>
      <c r="H21" t="s">
        <v>361</v>
      </c>
      <c r="I21" t="s">
        <v>102</v>
      </c>
    </row>
    <row r="23" spans="1:10" x14ac:dyDescent="0.2">
      <c r="A23" t="s">
        <v>3695</v>
      </c>
    </row>
    <row r="24" spans="1:10" x14ac:dyDescent="0.2">
      <c r="A24" t="s">
        <v>3696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K40"/>
  <sheetViews>
    <sheetView workbookViewId="0">
      <pane ySplit="1" topLeftCell="A2" activePane="bottomLeft" state="frozen"/>
      <selection pane="bottomLeft"/>
    </sheetView>
  </sheetViews>
  <sheetFormatPr baseColWidth="10" defaultColWidth="8.83203125" defaultRowHeight="15" x14ac:dyDescent="0.2"/>
  <cols>
    <col min="1" max="1" width="35" customWidth="1"/>
    <col min="2" max="2" width="60" customWidth="1"/>
    <col min="3" max="11" width="15" customWidth="1"/>
  </cols>
  <sheetData>
    <row r="2" spans="1:2" x14ac:dyDescent="0.2">
      <c r="A2" s="152" t="s">
        <v>3697</v>
      </c>
    </row>
    <row r="4" spans="1:2" x14ac:dyDescent="0.2">
      <c r="A4" t="s">
        <v>3698</v>
      </c>
      <c r="B4">
        <v>4</v>
      </c>
    </row>
    <row r="5" spans="1:2" x14ac:dyDescent="0.2">
      <c r="A5" t="s">
        <v>3699</v>
      </c>
      <c r="B5">
        <v>5</v>
      </c>
    </row>
    <row r="6" spans="1:2" x14ac:dyDescent="0.2">
      <c r="A6" t="s">
        <v>3700</v>
      </c>
      <c r="B6" t="s">
        <v>3701</v>
      </c>
    </row>
    <row r="7" spans="1:2" x14ac:dyDescent="0.2">
      <c r="A7" t="s">
        <v>3702</v>
      </c>
      <c r="B7" t="s">
        <v>401</v>
      </c>
    </row>
    <row r="8" spans="1:2" x14ac:dyDescent="0.2">
      <c r="A8" t="s">
        <v>3703</v>
      </c>
    </row>
    <row r="9" spans="1:2" x14ac:dyDescent="0.2">
      <c r="A9" t="s">
        <v>3704</v>
      </c>
    </row>
    <row r="11" spans="1:2" x14ac:dyDescent="0.2">
      <c r="A11" s="152" t="s">
        <v>3705</v>
      </c>
    </row>
    <row r="13" spans="1:2" x14ac:dyDescent="0.2">
      <c r="A13" t="s">
        <v>3706</v>
      </c>
      <c r="B13">
        <v>0.25</v>
      </c>
    </row>
    <row r="14" spans="1:2" x14ac:dyDescent="0.2">
      <c r="A14" t="s">
        <v>3707</v>
      </c>
      <c r="B14">
        <v>-0.05</v>
      </c>
    </row>
    <row r="15" spans="1:2" x14ac:dyDescent="0.2">
      <c r="A15" t="s">
        <v>3708</v>
      </c>
      <c r="B15">
        <v>146</v>
      </c>
    </row>
    <row r="16" spans="1:2" x14ac:dyDescent="0.2">
      <c r="A16" t="s">
        <v>3648</v>
      </c>
      <c r="B16">
        <v>95</v>
      </c>
    </row>
    <row r="17" spans="1:6" x14ac:dyDescent="0.2">
      <c r="A17" t="s">
        <v>3649</v>
      </c>
      <c r="B17">
        <v>62</v>
      </c>
    </row>
    <row r="18" spans="1:6" x14ac:dyDescent="0.2">
      <c r="A18" t="s">
        <v>3709</v>
      </c>
      <c r="B18">
        <v>0.65259999999999996</v>
      </c>
    </row>
    <row r="19" spans="1:6" x14ac:dyDescent="0.2">
      <c r="A19" t="s">
        <v>3710</v>
      </c>
      <c r="B19">
        <v>1.8616999999999999</v>
      </c>
    </row>
    <row r="21" spans="1:6" x14ac:dyDescent="0.2">
      <c r="A21" s="152" t="s">
        <v>3711</v>
      </c>
    </row>
    <row r="23" spans="1:6" x14ac:dyDescent="0.2">
      <c r="A23" t="s">
        <v>3712</v>
      </c>
      <c r="B23" t="s">
        <v>3713</v>
      </c>
    </row>
    <row r="24" spans="1:6" x14ac:dyDescent="0.2">
      <c r="A24" t="s">
        <v>3714</v>
      </c>
      <c r="B24" t="s">
        <v>3715</v>
      </c>
      <c r="C24" t="s">
        <v>3716</v>
      </c>
      <c r="D24" t="s">
        <v>3717</v>
      </c>
      <c r="E24" t="s">
        <v>3718</v>
      </c>
      <c r="F24" t="s">
        <v>3719</v>
      </c>
    </row>
    <row r="25" spans="1:6" x14ac:dyDescent="0.2">
      <c r="A25" t="s">
        <v>3720</v>
      </c>
      <c r="B25" t="s">
        <v>3721</v>
      </c>
      <c r="C25" t="s">
        <v>3722</v>
      </c>
      <c r="D25" t="s">
        <v>3723</v>
      </c>
      <c r="E25" t="s">
        <v>3724</v>
      </c>
      <c r="F25" t="s">
        <v>3725</v>
      </c>
    </row>
    <row r="26" spans="1:6" x14ac:dyDescent="0.2">
      <c r="A26" t="s">
        <v>3164</v>
      </c>
      <c r="B26" t="s">
        <v>3726</v>
      </c>
    </row>
    <row r="27" spans="1:6" x14ac:dyDescent="0.2">
      <c r="A27" t="s">
        <v>3727</v>
      </c>
      <c r="B27" t="s">
        <v>3728</v>
      </c>
    </row>
    <row r="29" spans="1:6" x14ac:dyDescent="0.2">
      <c r="A29" s="152" t="s">
        <v>3729</v>
      </c>
    </row>
    <row r="31" spans="1:6" x14ac:dyDescent="0.2">
      <c r="A31" t="s">
        <v>3691</v>
      </c>
      <c r="B31" t="s">
        <v>3730</v>
      </c>
    </row>
    <row r="33" spans="1:11" x14ac:dyDescent="0.2">
      <c r="A33" t="s">
        <v>3731</v>
      </c>
      <c r="B33" t="s">
        <v>3732</v>
      </c>
      <c r="C33" t="s">
        <v>3708</v>
      </c>
      <c r="D33" t="s">
        <v>3648</v>
      </c>
      <c r="E33" t="s">
        <v>3649</v>
      </c>
      <c r="F33" t="s">
        <v>3709</v>
      </c>
      <c r="G33" t="s">
        <v>3710</v>
      </c>
      <c r="H33" t="s">
        <v>3733</v>
      </c>
      <c r="I33" t="s">
        <v>3734</v>
      </c>
      <c r="J33" t="s">
        <v>3735</v>
      </c>
      <c r="K33" t="s">
        <v>11</v>
      </c>
    </row>
    <row r="34" spans="1:11" x14ac:dyDescent="0.2">
      <c r="A34" t="s">
        <v>3736</v>
      </c>
      <c r="B34">
        <v>132</v>
      </c>
      <c r="C34">
        <v>76</v>
      </c>
      <c r="D34">
        <v>43</v>
      </c>
      <c r="E34">
        <v>29</v>
      </c>
      <c r="F34">
        <v>0.6744</v>
      </c>
      <c r="G34">
        <v>1.0116000000000001</v>
      </c>
    </row>
    <row r="35" spans="1:11" x14ac:dyDescent="0.2">
      <c r="A35" t="s">
        <v>3737</v>
      </c>
      <c r="B35">
        <v>101</v>
      </c>
      <c r="C35">
        <v>70</v>
      </c>
      <c r="D35">
        <v>52</v>
      </c>
      <c r="E35">
        <v>33</v>
      </c>
      <c r="F35">
        <v>0.63460000000000005</v>
      </c>
      <c r="G35">
        <v>2.7847</v>
      </c>
      <c r="H35">
        <v>0.51919999999999999</v>
      </c>
      <c r="I35">
        <v>11.5</v>
      </c>
      <c r="J35">
        <v>6.2700000000000006E-2</v>
      </c>
      <c r="K35">
        <v>20.8</v>
      </c>
    </row>
    <row r="37" spans="1:11" x14ac:dyDescent="0.2">
      <c r="A37" t="s">
        <v>3738</v>
      </c>
    </row>
    <row r="38" spans="1:11" x14ac:dyDescent="0.2">
      <c r="A38" t="s">
        <v>3739</v>
      </c>
      <c r="B38" t="s">
        <v>3740</v>
      </c>
    </row>
    <row r="39" spans="1:11" x14ac:dyDescent="0.2">
      <c r="A39" t="s">
        <v>3741</v>
      </c>
      <c r="B39" t="s">
        <v>3742</v>
      </c>
    </row>
    <row r="40" spans="1:11" x14ac:dyDescent="0.2">
      <c r="A40" t="s">
        <v>3743</v>
      </c>
      <c r="B40" t="s">
        <v>3744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92"/>
  <sheetViews>
    <sheetView topLeftCell="A64" workbookViewId="0"/>
  </sheetViews>
  <sheetFormatPr baseColWidth="10" defaultColWidth="8.83203125" defaultRowHeight="15" x14ac:dyDescent="0.2"/>
  <cols>
    <col min="1" max="1" width="20" customWidth="1"/>
    <col min="2" max="11" width="14" customWidth="1"/>
  </cols>
  <sheetData>
    <row r="1" spans="1:11" x14ac:dyDescent="0.2">
      <c r="A1" s="152" t="s">
        <v>3745</v>
      </c>
    </row>
    <row r="2" spans="1:11" x14ac:dyDescent="0.2">
      <c r="A2" s="154" t="s">
        <v>3746</v>
      </c>
    </row>
    <row r="3" spans="1:11" x14ac:dyDescent="0.2">
      <c r="A3" s="153" t="s">
        <v>3747</v>
      </c>
    </row>
    <row r="5" spans="1:11" x14ac:dyDescent="0.2">
      <c r="A5" s="171" t="s">
        <v>3748</v>
      </c>
      <c r="B5" s="172"/>
      <c r="C5" s="172"/>
      <c r="D5" s="172"/>
      <c r="E5" s="172"/>
      <c r="F5" s="172"/>
      <c r="G5" s="172"/>
      <c r="H5" s="172"/>
      <c r="I5" s="172"/>
      <c r="J5" s="172"/>
      <c r="K5" s="172"/>
    </row>
    <row r="6" spans="1:11" x14ac:dyDescent="0.2">
      <c r="A6" s="154" t="s">
        <v>3749</v>
      </c>
      <c r="F6" s="154" t="s">
        <v>3750</v>
      </c>
    </row>
    <row r="7" spans="1:11" x14ac:dyDescent="0.2">
      <c r="A7" s="155" t="s">
        <v>2515</v>
      </c>
      <c r="B7" s="155" t="s">
        <v>3751</v>
      </c>
      <c r="C7" s="155" t="s">
        <v>554</v>
      </c>
      <c r="D7" s="155" t="s">
        <v>2525</v>
      </c>
      <c r="E7" s="155" t="s">
        <v>3752</v>
      </c>
      <c r="F7" s="155" t="s">
        <v>3753</v>
      </c>
      <c r="G7" s="155" t="s">
        <v>3754</v>
      </c>
      <c r="H7" s="155" t="s">
        <v>3755</v>
      </c>
      <c r="I7" s="155" t="s">
        <v>3756</v>
      </c>
      <c r="J7" s="155" t="s">
        <v>3757</v>
      </c>
      <c r="K7" s="155" t="s">
        <v>3758</v>
      </c>
    </row>
    <row r="8" spans="1:11" x14ac:dyDescent="0.2">
      <c r="A8" t="s">
        <v>2045</v>
      </c>
      <c r="B8">
        <f>COUNTIFS(LLM_Data_Entry!$F$3:$F$430,"LLM",LLM_Data_Entry!$R$3:$R$430,"&lt;&gt;""")</f>
        <v>361</v>
      </c>
      <c r="C8">
        <f>COUNTIFS(LLM_Data_Entry!$F$3:$F$430,"LLM",LLM_Data_Entry!$R$3:$R$430,"YES")</f>
        <v>114</v>
      </c>
      <c r="D8">
        <f t="shared" ref="D8:D16" si="0">IF(B8=0,"",C8/B8)</f>
        <v>0.31578947368421051</v>
      </c>
      <c r="E8">
        <f>COUNTIFS(LLM_Data_Entry!$F$3:$F$430,"LLM",LLM_Data_Entry!$Q$3:$Q$430,"DOWN")</f>
        <v>93</v>
      </c>
      <c r="F8">
        <f t="shared" ref="F8:F16" si="1">IF(B8=0,"",E8/B8)</f>
        <v>0.25761772853185594</v>
      </c>
      <c r="G8" t="str">
        <f ca="1">IFERROR(1-_xludf.BINOM.DIST(C8-1,B8,F8,TRUE),"")</f>
        <v/>
      </c>
      <c r="H8">
        <f t="shared" ref="H8:H16" si="2">IFERROR(2*1.645*SQRT(F8*(1-F8)/B8),"")</f>
        <v>7.5725816787798536E-2</v>
      </c>
      <c r="I8">
        <f>COUNTIFS(LLM_Data_Entry!$F$3:$F$430,"LLM",LLM_Data_Entry!$H$3:$H$430,"HOLD")</f>
        <v>158</v>
      </c>
      <c r="J8">
        <f t="shared" ref="J8:J16" si="3">IFERROR(I8/(I8+K8),"")</f>
        <v>0.4376731301939058</v>
      </c>
      <c r="K8">
        <f>COUNTIFS(LLM_Data_Entry!$F$3:$F$430,"LLM",LLM_Data_Entry!$H$3:$H$430,"BUY")+COUNTIFS(LLM_Data_Entry!$F$3:$F$430,"LLM",LLM_Data_Entry!$H$3:$H$430,"SELL")</f>
        <v>203</v>
      </c>
    </row>
    <row r="9" spans="1:11" x14ac:dyDescent="0.2">
      <c r="A9" t="s">
        <v>3759</v>
      </c>
      <c r="B9">
        <f>COUNTIF(Human_Data_Entry!$S$3:$S$524,"&lt;&gt;""")</f>
        <v>522</v>
      </c>
      <c r="C9">
        <f>COUNTIF(Human_Data_Entry!$S$3:$S$524,"YES")</f>
        <v>156</v>
      </c>
      <c r="D9">
        <f t="shared" si="0"/>
        <v>0.2988505747126437</v>
      </c>
      <c r="E9">
        <f>COUNTIF(Human_Data_Entry!$R$3:$R$524,"DOWN")</f>
        <v>117</v>
      </c>
      <c r="F9">
        <f t="shared" si="1"/>
        <v>0.22413793103448276</v>
      </c>
      <c r="G9" t="str">
        <f ca="1">IFERROR(1-_xludf.BINOM.DIST(C9-1,B9,F9,TRUE),"")</f>
        <v/>
      </c>
      <c r="H9">
        <f t="shared" si="2"/>
        <v>6.0049664583351717E-2</v>
      </c>
      <c r="I9">
        <f>COUNTIF(Human_Data_Entry!$J$3:$J$524,"HOLD")</f>
        <v>114</v>
      </c>
      <c r="J9">
        <f t="shared" si="3"/>
        <v>0.27142857142857141</v>
      </c>
      <c r="K9">
        <f>COUNTIF(Human_Data_Entry!$J$3:$J$524,"BUY")+COUNTIF(Human_Data_Entry!$J$3:$J$524,"SELL")</f>
        <v>306</v>
      </c>
    </row>
    <row r="10" spans="1:11" x14ac:dyDescent="0.2">
      <c r="A10" t="str">
        <f>Settings!$A$8</f>
        <v>Anna</v>
      </c>
      <c r="B10">
        <f>COUNTIFS(Human_Data_Entry!$G$3:$G$524,A10,Human_Data_Entry!$S$3:$S$524,"&lt;&gt;""")</f>
        <v>69</v>
      </c>
      <c r="C10">
        <f>COUNTIFS(Human_Data_Entry!$G$3:$G$524,A10,Human_Data_Entry!$S$3:$S$524,"YES")</f>
        <v>22</v>
      </c>
      <c r="D10">
        <f t="shared" si="0"/>
        <v>0.3188405797101449</v>
      </c>
      <c r="E10">
        <f>COUNTIFS(Human_Data_Entry!$G$3:$G$524,A10,Human_Data_Entry!$R$3:$R$524,"DOWN")</f>
        <v>24</v>
      </c>
      <c r="F10">
        <f t="shared" si="1"/>
        <v>0.34782608695652173</v>
      </c>
      <c r="G10" t="str">
        <f ca="1">IFERROR(1-_xludf.BINOM.DIST(C10-1,B10,F10,TRUE),"")</f>
        <v/>
      </c>
      <c r="H10">
        <f t="shared" si="2"/>
        <v>0.18864015282366428</v>
      </c>
      <c r="I10">
        <f>COUNTIFS(Human_Data_Entry!$G$3:$G$524,A10,Human_Data_Entry!$J$3:$J$524,"HOLD")</f>
        <v>20</v>
      </c>
      <c r="J10">
        <f t="shared" si="3"/>
        <v>0.28985507246376813</v>
      </c>
      <c r="K10">
        <f>COUNTIFS(Human_Data_Entry!$G$3:$G$524,A10,Human_Data_Entry!$J$3:$J$524,"BUY")+COUNTIFS(Human_Data_Entry!$G$3:$G$524,A10,Human_Data_Entry!$J$3:$J$524,"SELL")</f>
        <v>49</v>
      </c>
    </row>
    <row r="11" spans="1:11" x14ac:dyDescent="0.2">
      <c r="A11" t="str">
        <f>Settings!$A$9</f>
        <v>Abdul</v>
      </c>
      <c r="B11">
        <f>COUNTIFS(Human_Data_Entry!$G$3:$G$524,A11,Human_Data_Entry!$S$3:$S$524,"&lt;&gt;""")</f>
        <v>57</v>
      </c>
      <c r="C11">
        <f>COUNTIFS(Human_Data_Entry!$G$3:$G$524,A11,Human_Data_Entry!$S$3:$S$524,"YES")</f>
        <v>30</v>
      </c>
      <c r="D11">
        <f t="shared" si="0"/>
        <v>0.52631578947368418</v>
      </c>
      <c r="E11">
        <f>COUNTIFS(Human_Data_Entry!$G$3:$G$524,A11,Human_Data_Entry!$R$3:$R$524,"DOWN")</f>
        <v>25</v>
      </c>
      <c r="F11">
        <f t="shared" si="1"/>
        <v>0.43859649122807015</v>
      </c>
      <c r="G11" t="str">
        <f ca="1">IFERROR(1-_xludf.BINOM.DIST(C11-1,B11,F11,TRUE),"")</f>
        <v/>
      </c>
      <c r="H11">
        <f t="shared" si="2"/>
        <v>0.21623630316517706</v>
      </c>
      <c r="I11">
        <f>COUNTIFS(Human_Data_Entry!$G$3:$G$524,A11,Human_Data_Entry!$J$3:$J$524,"HOLD")</f>
        <v>9</v>
      </c>
      <c r="J11">
        <f t="shared" si="3"/>
        <v>0.15789473684210525</v>
      </c>
      <c r="K11">
        <f>COUNTIFS(Human_Data_Entry!$G$3:$G$524,A11,Human_Data_Entry!$J$3:$J$524,"BUY")+COUNTIFS(Human_Data_Entry!$G$3:$G$524,A11,Human_Data_Entry!$J$3:$J$524,"SELL")</f>
        <v>48</v>
      </c>
    </row>
    <row r="12" spans="1:11" x14ac:dyDescent="0.2">
      <c r="A12" t="str">
        <f>Settings!$A$10</f>
        <v>Nigel</v>
      </c>
      <c r="B12">
        <f>COUNTIFS(Human_Data_Entry!$G$3:$G$524,A12,Human_Data_Entry!$S$3:$S$524,"&lt;&gt;""")</f>
        <v>62</v>
      </c>
      <c r="C12">
        <f>COUNTIFS(Human_Data_Entry!$G$3:$G$524,A12,Human_Data_Entry!$S$3:$S$524,"YES")</f>
        <v>16</v>
      </c>
      <c r="D12">
        <f t="shared" si="0"/>
        <v>0.25806451612903225</v>
      </c>
      <c r="E12">
        <f>COUNTIFS(Human_Data_Entry!$G$3:$G$524,A12,Human_Data_Entry!$R$3:$R$524,"DOWN")</f>
        <v>17</v>
      </c>
      <c r="F12">
        <f t="shared" si="1"/>
        <v>0.27419354838709675</v>
      </c>
      <c r="G12" t="str">
        <f ca="1">IFERROR(1-_xludf.BINOM.DIST(C12-1,B12,F12,TRUE),"")</f>
        <v/>
      </c>
      <c r="H12">
        <f t="shared" si="2"/>
        <v>0.18639706997413188</v>
      </c>
      <c r="I12">
        <f>COUNTIFS(Human_Data_Entry!$G$3:$G$524,A12,Human_Data_Entry!$J$3:$J$524,"HOLD")</f>
        <v>10</v>
      </c>
      <c r="J12">
        <f t="shared" si="3"/>
        <v>0.16129032258064516</v>
      </c>
      <c r="K12">
        <f>COUNTIFS(Human_Data_Entry!$G$3:$G$524,A12,Human_Data_Entry!$J$3:$J$524,"BUY")+COUNTIFS(Human_Data_Entry!$G$3:$G$524,A12,Human_Data_Entry!$J$3:$J$524,"SELL")</f>
        <v>52</v>
      </c>
    </row>
    <row r="13" spans="1:11" x14ac:dyDescent="0.2">
      <c r="A13" t="str">
        <f>Settings!$A$11</f>
        <v>Meriem</v>
      </c>
      <c r="B13">
        <f>COUNTIFS(Human_Data_Entry!$G$3:$G$524,A13,Human_Data_Entry!$S$3:$S$524,"&lt;&gt;""")</f>
        <v>51</v>
      </c>
      <c r="C13">
        <f>COUNTIFS(Human_Data_Entry!$G$3:$G$524,A13,Human_Data_Entry!$S$3:$S$524,"YES")</f>
        <v>21</v>
      </c>
      <c r="D13">
        <f t="shared" si="0"/>
        <v>0.41176470588235292</v>
      </c>
      <c r="E13">
        <f>COUNTIFS(Human_Data_Entry!$G$3:$G$524,A13,Human_Data_Entry!$R$3:$R$524,"DOWN")</f>
        <v>15</v>
      </c>
      <c r="F13">
        <f t="shared" si="1"/>
        <v>0.29411764705882354</v>
      </c>
      <c r="G13" t="str">
        <f ca="1">IFERROR(1-_xludf.BINOM.DIST(C13-1,B13,F13,TRUE),"")</f>
        <v/>
      </c>
      <c r="H13">
        <f t="shared" si="2"/>
        <v>0.20991211947746435</v>
      </c>
      <c r="I13">
        <f>COUNTIFS(Human_Data_Entry!$G$3:$G$524,A13,Human_Data_Entry!$J$3:$J$524,"HOLD")</f>
        <v>15</v>
      </c>
      <c r="J13">
        <f t="shared" si="3"/>
        <v>0.29411764705882354</v>
      </c>
      <c r="K13">
        <f>COUNTIFS(Human_Data_Entry!$G$3:$G$524,A13,Human_Data_Entry!$J$3:$J$524,"BUY")+COUNTIFS(Human_Data_Entry!$G$3:$G$524,A13,Human_Data_Entry!$J$3:$J$524,"SELL")</f>
        <v>36</v>
      </c>
    </row>
    <row r="14" spans="1:11" x14ac:dyDescent="0.2">
      <c r="A14" t="str">
        <f>Settings!$A$12</f>
        <v>David</v>
      </c>
      <c r="B14">
        <f>COUNTIFS(Human_Data_Entry!$G$3:$G$524,A14,Human_Data_Entry!$S$3:$S$524,"&lt;&gt;""")</f>
        <v>86</v>
      </c>
      <c r="C14">
        <f>COUNTIFS(Human_Data_Entry!$G$3:$G$524,A14,Human_Data_Entry!$S$3:$S$524,"YES")</f>
        <v>33</v>
      </c>
      <c r="D14">
        <f t="shared" si="0"/>
        <v>0.38372093023255816</v>
      </c>
      <c r="E14">
        <f>COUNTIFS(Human_Data_Entry!$G$3:$G$524,A14,Human_Data_Entry!$R$3:$R$524,"DOWN")</f>
        <v>21</v>
      </c>
      <c r="F14">
        <f t="shared" si="1"/>
        <v>0.2441860465116279</v>
      </c>
      <c r="G14" t="str">
        <f ca="1">IFERROR(1-_xludf.BINOM.DIST(C14-1,B14,F14,TRUE),"")</f>
        <v/>
      </c>
      <c r="H14">
        <f t="shared" si="2"/>
        <v>0.1524103803077648</v>
      </c>
      <c r="I14">
        <f>COUNTIFS(Human_Data_Entry!$G$3:$G$524,A14,Human_Data_Entry!$J$3:$J$524,"HOLD")</f>
        <v>30</v>
      </c>
      <c r="J14">
        <f t="shared" si="3"/>
        <v>0.34883720930232559</v>
      </c>
      <c r="K14">
        <f>COUNTIFS(Human_Data_Entry!$G$3:$G$524,A14,Human_Data_Entry!$J$3:$J$524,"BUY")+COUNTIFS(Human_Data_Entry!$G$3:$G$524,A14,Human_Data_Entry!$J$3:$J$524,"SELL")</f>
        <v>56</v>
      </c>
    </row>
    <row r="15" spans="1:11" x14ac:dyDescent="0.2">
      <c r="A15" t="str">
        <f>Settings!$A$13</f>
        <v>Dragos</v>
      </c>
      <c r="B15">
        <f>COUNTIFS(Human_Data_Entry!$G$3:$G$524,A15,Human_Data_Entry!$S$3:$S$524,"&lt;&gt;""")</f>
        <v>95</v>
      </c>
      <c r="C15">
        <f>COUNTIFS(Human_Data_Entry!$G$3:$G$524,A15,Human_Data_Entry!$S$3:$S$524,"YES")</f>
        <v>34</v>
      </c>
      <c r="D15">
        <f t="shared" si="0"/>
        <v>0.35789473684210527</v>
      </c>
      <c r="E15">
        <f>COUNTIFS(Human_Data_Entry!$G$3:$G$524,A15,Human_Data_Entry!$R$3:$R$524,"DOWN")</f>
        <v>15</v>
      </c>
      <c r="F15">
        <f t="shared" si="1"/>
        <v>0.15789473684210525</v>
      </c>
      <c r="G15" t="str">
        <f ca="1">IFERROR(1-_xludf.BINOM.DIST(C15-1,B15,F15,TRUE),"")</f>
        <v/>
      </c>
      <c r="H15">
        <f t="shared" si="2"/>
        <v>0.12308386154699456</v>
      </c>
      <c r="I15">
        <f>COUNTIFS(Human_Data_Entry!$G$3:$G$524,A15,Human_Data_Entry!$J$3:$J$524,"HOLD")</f>
        <v>30</v>
      </c>
      <c r="J15">
        <f t="shared" si="3"/>
        <v>0.31578947368421051</v>
      </c>
      <c r="K15">
        <f>COUNTIFS(Human_Data_Entry!$G$3:$G$524,A15,Human_Data_Entry!$J$3:$J$524,"BUY")+COUNTIFS(Human_Data_Entry!$G$3:$G$524,A15,Human_Data_Entry!$J$3:$J$524,"SELL")</f>
        <v>65</v>
      </c>
    </row>
    <row r="16" spans="1:11" x14ac:dyDescent="0.2">
      <c r="A16" t="str">
        <f>Settings!$A$14</f>
        <v>Ben/DeepSeek</v>
      </c>
      <c r="B16">
        <f>COUNTIFS(Human_Data_Entry!$G$3:$G$524,A16,Human_Data_Entry!$S$3:$S$524,"&lt;&gt;""")</f>
        <v>0</v>
      </c>
      <c r="C16">
        <f>COUNTIFS(Human_Data_Entry!$G$3:$G$524,A16,Human_Data_Entry!$S$3:$S$524,"YES")</f>
        <v>0</v>
      </c>
      <c r="D16" t="str">
        <f t="shared" si="0"/>
        <v/>
      </c>
      <c r="E16">
        <f>COUNTIFS(Human_Data_Entry!$G$3:$G$524,A16,Human_Data_Entry!$R$3:$R$524,"DOWN")</f>
        <v>0</v>
      </c>
      <c r="F16" t="str">
        <f t="shared" si="1"/>
        <v/>
      </c>
      <c r="G16" t="str">
        <f ca="1">IFERROR(1-_xludf.BINOM.DIST(C16-1,B16,F16,TRUE),"")</f>
        <v/>
      </c>
      <c r="H16" t="str">
        <f t="shared" si="2"/>
        <v/>
      </c>
      <c r="I16">
        <f>COUNTIFS(Human_Data_Entry!$G$3:$G$524,A16,Human_Data_Entry!$J$3:$J$524,"HOLD")</f>
        <v>0</v>
      </c>
      <c r="J16" t="str">
        <f t="shared" si="3"/>
        <v/>
      </c>
      <c r="K16">
        <f>COUNTIFS(Human_Data_Entry!$G$3:$G$524,A16,Human_Data_Entry!$J$3:$J$524,"BUY")+COUNTIFS(Human_Data_Entry!$G$3:$G$524,A16,Human_Data_Entry!$J$3:$J$524,"SELL")</f>
        <v>0</v>
      </c>
    </row>
    <row r="18" spans="1:11" x14ac:dyDescent="0.2">
      <c r="A18" s="171" t="s">
        <v>3760</v>
      </c>
      <c r="B18" s="172"/>
      <c r="C18" s="172"/>
      <c r="D18" s="172"/>
      <c r="E18" s="172"/>
      <c r="F18" s="172"/>
      <c r="G18" s="172"/>
      <c r="H18" s="172"/>
      <c r="I18" s="172"/>
      <c r="J18" s="172"/>
      <c r="K18" s="172"/>
    </row>
    <row r="19" spans="1:11" x14ac:dyDescent="0.2">
      <c r="A19" s="154" t="s">
        <v>3761</v>
      </c>
      <c r="F19" s="154" t="s">
        <v>3762</v>
      </c>
    </row>
    <row r="20" spans="1:11" x14ac:dyDescent="0.2">
      <c r="A20" s="155" t="s">
        <v>2515</v>
      </c>
      <c r="B20" s="155" t="s">
        <v>3751</v>
      </c>
      <c r="C20" s="155" t="s">
        <v>554</v>
      </c>
      <c r="D20" s="155" t="s">
        <v>2525</v>
      </c>
      <c r="E20" s="155" t="s">
        <v>3752</v>
      </c>
      <c r="F20" s="155" t="s">
        <v>3753</v>
      </c>
      <c r="G20" s="155" t="s">
        <v>3754</v>
      </c>
      <c r="H20" s="155" t="s">
        <v>3755</v>
      </c>
      <c r="I20" s="155" t="s">
        <v>3756</v>
      </c>
      <c r="J20" s="155" t="s">
        <v>3757</v>
      </c>
      <c r="K20" s="155" t="s">
        <v>3758</v>
      </c>
    </row>
    <row r="21" spans="1:11" x14ac:dyDescent="0.2">
      <c r="A21" t="s">
        <v>2045</v>
      </c>
      <c r="B2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115</v>
      </c>
      <c r="C21">
        <f>COUNTIFS(LLM_Data_Entry!$F$3:$F$430,"LLM",LLM_Data_Entry!$H$3:$H$430,"BUY",LLM_Data_Entry!$Q$3:$Q$430,"UP")+COUNTIFS(LLM_Data_Entry!$F$3:$F$430,"LLM",LLM_Data_Entry!$H$3:$H$430,"SELL",LLM_Data_Entry!$Q$3:$Q$430,"DOWN")</f>
        <v>77</v>
      </c>
      <c r="D21">
        <f t="shared" ref="D21:D29" si="4">IF(B21=0,"",C21/B21)</f>
        <v>0.66956521739130437</v>
      </c>
      <c r="E21">
        <f>COUNTIFS(LLM_Data_Entry!$F$3:$F$430,"LLM",LLM_Data_Entry!$H$3:$H$430,"BUY",LLM_Data_Entry!$Q$3:$Q$430,"DOWN")+COUNTIFS(LLM_Data_Entry!$F$3:$F$430,"LLM",LLM_Data_Entry!$H$3:$H$430,"SELL",LLM_Data_Entry!$Q$3:$Q$430,"DOWN")</f>
        <v>60</v>
      </c>
      <c r="F21">
        <f t="shared" ref="F21:F29" si="5">IF(B21=0,"",E21/B21)</f>
        <v>0.52173913043478259</v>
      </c>
      <c r="G21" t="str">
        <f ca="1">IFERROR(1-_xludf.BINOM.DIST(C21-1,B21,F21,TRUE),"")</f>
        <v/>
      </c>
      <c r="H21">
        <f t="shared" ref="H21:H29" si="6">IFERROR(2*1.645*SQRT(F21*(1-F21)/B21),"")</f>
        <v>0.15325198461958453</v>
      </c>
      <c r="I21">
        <f>COUNTIFS(LLM_Data_Entry!$F$3:$F$430,"LLM",LLM_Data_Entry!$H$3:$H$430,"HOLD")</f>
        <v>158</v>
      </c>
      <c r="J21">
        <f t="shared" ref="J21:J29" si="7">IFERROR(I21/(I21+K21),"")</f>
        <v>0.4376731301939058</v>
      </c>
      <c r="K21">
        <f>COUNTIFS(LLM_Data_Entry!$F$3:$F$430,"LLM",LLM_Data_Entry!$H$3:$H$430,"BUY")+COUNTIFS(LLM_Data_Entry!$F$3:$F$430,"LLM",LLM_Data_Entry!$H$3:$H$430,"SELL")</f>
        <v>203</v>
      </c>
    </row>
    <row r="22" spans="1:11" x14ac:dyDescent="0.2">
      <c r="A22" t="s">
        <v>3759</v>
      </c>
      <c r="B22">
        <f>COUNTIFS(Human_Data_Entry!$J$3:$J$524,"BUY",Human_Data_Entry!$R$3:$R$524,"UP")+COUNTIFS(Human_Data_Entry!$J$3:$J$524,"BUY",Human_Data_Entry!$R$3:$R$524,"DOWN")+COUNTIFS(Human_Data_Entry!$J$3:$J$524,"SELL",Human_Data_Entry!$R$3:$R$524,"UP")+COUNTIFS(Human_Data_Entry!$J$3:$J$524,"SELL",Human_Data_Entry!$R$3:$R$524,"DOWN")</f>
        <v>169</v>
      </c>
      <c r="C22">
        <f>COUNTIFS(Human_Data_Entry!$J$3:$J$524,"BUY",Human_Data_Entry!$R$3:$R$524,"UP")+COUNTIFS(Human_Data_Entry!$J$3:$J$524,"SELL",Human_Data_Entry!$R$3:$R$524,"DOWN")</f>
        <v>83</v>
      </c>
      <c r="D22">
        <f t="shared" si="4"/>
        <v>0.4911242603550296</v>
      </c>
      <c r="E22">
        <f>COUNTIFS(Human_Data_Entry!$J$3:$J$524,"BUY",Human_Data_Entry!$R$3:$R$524,"DOWN")+COUNTIFS(Human_Data_Entry!$J$3:$J$524,"SELL",Human_Data_Entry!$R$3:$R$524,"DOWN")</f>
        <v>91</v>
      </c>
      <c r="F22">
        <f t="shared" si="5"/>
        <v>0.53846153846153844</v>
      </c>
      <c r="G22" t="str">
        <f ca="1">IFERROR(1-_xludf.BINOM.DIST(C22-1,B22,F22,TRUE),"")</f>
        <v/>
      </c>
      <c r="H22">
        <f t="shared" si="6"/>
        <v>0.12616353193941929</v>
      </c>
      <c r="I22">
        <f>COUNTIF(Human_Data_Entry!$J$3:$J$524,"HOLD")</f>
        <v>114</v>
      </c>
      <c r="J22">
        <f t="shared" si="7"/>
        <v>0.27142857142857141</v>
      </c>
      <c r="K22">
        <f>COUNTIF(Human_Data_Entry!$J$3:$J$524,"BUY")+COUNTIF(Human_Data_Entry!$J$3:$J$524,"SELL")</f>
        <v>306</v>
      </c>
    </row>
    <row r="23" spans="1:11" x14ac:dyDescent="0.2">
      <c r="A23" t="str">
        <f>Settings!$A$8</f>
        <v>Anna</v>
      </c>
      <c r="B23">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28</v>
      </c>
      <c r="C23">
        <f>COUNTIFS(Human_Data_Entry!$G$3:$G$524,A23,Human_Data_Entry!$J$3:$J$524,"BUY",Human_Data_Entry!$R$3:$R$524,"UP")+COUNTIFS(Human_Data_Entry!$G$3:$G$524,A23,Human_Data_Entry!$J$3:$J$524,"SELL",Human_Data_Entry!$R$3:$R$524,"DOWN")</f>
        <v>14</v>
      </c>
      <c r="D23">
        <f t="shared" si="4"/>
        <v>0.5</v>
      </c>
      <c r="E23">
        <f>COUNTIFS(Human_Data_Entry!$G$3:$G$524,A23,Human_Data_Entry!$J$3:$J$524,"BUY",Human_Data_Entry!$R$3:$R$524,"DOWN")+COUNTIFS(Human_Data_Entry!$G$3:$G$524,A23,Human_Data_Entry!$J$3:$J$524,"SELL",Human_Data_Entry!$R$3:$R$524,"DOWN")</f>
        <v>15</v>
      </c>
      <c r="F23">
        <f t="shared" si="5"/>
        <v>0.5357142857142857</v>
      </c>
      <c r="G23" t="str">
        <f ca="1">IFERROR(1-_xludf.BINOM.DIST(C23-1,B23,F23,TRUE),"")</f>
        <v/>
      </c>
      <c r="H23">
        <f t="shared" si="6"/>
        <v>0.31008171446065169</v>
      </c>
      <c r="I23">
        <f>COUNTIFS(Human_Data_Entry!$G$3:$G$524,A23,Human_Data_Entry!$J$3:$J$524,"HOLD")</f>
        <v>20</v>
      </c>
      <c r="J23">
        <f t="shared" si="7"/>
        <v>0.28985507246376813</v>
      </c>
      <c r="K23">
        <f>COUNTIFS(Human_Data_Entry!$G$3:$G$524,A23,Human_Data_Entry!$J$3:$J$524,"BUY")+COUNTIFS(Human_Data_Entry!$G$3:$G$524,A23,Human_Data_Entry!$J$3:$J$524,"SELL")</f>
        <v>49</v>
      </c>
    </row>
    <row r="24" spans="1:11" x14ac:dyDescent="0.2">
      <c r="A24" t="str">
        <f>Settings!$A$9</f>
        <v>Abdul</v>
      </c>
      <c r="B24">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35</v>
      </c>
      <c r="C24">
        <f>COUNTIFS(Human_Data_Entry!$G$3:$G$524,A24,Human_Data_Entry!$J$3:$J$524,"BUY",Human_Data_Entry!$R$3:$R$524,"UP")+COUNTIFS(Human_Data_Entry!$G$3:$G$524,A24,Human_Data_Entry!$J$3:$J$524,"SELL",Human_Data_Entry!$R$3:$R$524,"DOWN")</f>
        <v>26</v>
      </c>
      <c r="D24">
        <f t="shared" si="4"/>
        <v>0.74285714285714288</v>
      </c>
      <c r="E24">
        <f>COUNTIFS(Human_Data_Entry!$G$3:$G$524,A24,Human_Data_Entry!$J$3:$J$524,"BUY",Human_Data_Entry!$R$3:$R$524,"DOWN")+COUNTIFS(Human_Data_Entry!$G$3:$G$524,A24,Human_Data_Entry!$J$3:$J$524,"SELL",Human_Data_Entry!$R$3:$R$524,"DOWN")</f>
        <v>21</v>
      </c>
      <c r="F24">
        <f t="shared" si="5"/>
        <v>0.6</v>
      </c>
      <c r="G24" t="str">
        <f ca="1">IFERROR(1-_xludf.BINOM.DIST(C24-1,B24,F24,TRUE),"")</f>
        <v/>
      </c>
      <c r="H24">
        <f t="shared" si="6"/>
        <v>0.2724378828283614</v>
      </c>
      <c r="I24">
        <f>COUNTIFS(Human_Data_Entry!$G$3:$G$524,A24,Human_Data_Entry!$J$3:$J$524,"HOLD")</f>
        <v>9</v>
      </c>
      <c r="J24">
        <f t="shared" si="7"/>
        <v>0.15789473684210525</v>
      </c>
      <c r="K24">
        <f>COUNTIFS(Human_Data_Entry!$G$3:$G$524,A24,Human_Data_Entry!$J$3:$J$524,"BUY")+COUNTIFS(Human_Data_Entry!$G$3:$G$524,A24,Human_Data_Entry!$J$3:$J$524,"SELL")</f>
        <v>48</v>
      </c>
    </row>
    <row r="25" spans="1:11" x14ac:dyDescent="0.2">
      <c r="A25" t="str">
        <f>Settings!$A$10</f>
        <v>Nigel</v>
      </c>
      <c r="B25">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27</v>
      </c>
      <c r="C25">
        <f>COUNTIFS(Human_Data_Entry!$G$3:$G$524,A25,Human_Data_Entry!$J$3:$J$524,"BUY",Human_Data_Entry!$R$3:$R$524,"UP")+COUNTIFS(Human_Data_Entry!$G$3:$G$524,A25,Human_Data_Entry!$J$3:$J$524,"SELL",Human_Data_Entry!$R$3:$R$524,"DOWN")</f>
        <v>11</v>
      </c>
      <c r="D25">
        <f t="shared" si="4"/>
        <v>0.40740740740740738</v>
      </c>
      <c r="E25">
        <f>COUNTIFS(Human_Data_Entry!$G$3:$G$524,A25,Human_Data_Entry!$J$3:$J$524,"BUY",Human_Data_Entry!$R$3:$R$524,"DOWN")+COUNTIFS(Human_Data_Entry!$G$3:$G$524,A25,Human_Data_Entry!$J$3:$J$524,"SELL",Human_Data_Entry!$R$3:$R$524,"DOWN")</f>
        <v>14</v>
      </c>
      <c r="F25">
        <f t="shared" si="5"/>
        <v>0.51851851851851849</v>
      </c>
      <c r="G25" t="str">
        <f ca="1">IFERROR(1-_xludf.BINOM.DIST(C25-1,B25,F25,TRUE),"")</f>
        <v/>
      </c>
      <c r="H25">
        <f t="shared" si="6"/>
        <v>0.31636318976010425</v>
      </c>
      <c r="I25">
        <f>COUNTIFS(Human_Data_Entry!$G$3:$G$524,A25,Human_Data_Entry!$J$3:$J$524,"HOLD")</f>
        <v>10</v>
      </c>
      <c r="J25">
        <f t="shared" si="7"/>
        <v>0.16129032258064516</v>
      </c>
      <c r="K25">
        <f>COUNTIFS(Human_Data_Entry!$G$3:$G$524,A25,Human_Data_Entry!$J$3:$J$524,"BUY")+COUNTIFS(Human_Data_Entry!$G$3:$G$524,A25,Human_Data_Entry!$J$3:$J$524,"SELL")</f>
        <v>52</v>
      </c>
    </row>
    <row r="26" spans="1:11" x14ac:dyDescent="0.2">
      <c r="A26" t="str">
        <f>Settings!$A$11</f>
        <v>Meriem</v>
      </c>
      <c r="B26">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20</v>
      </c>
      <c r="C26">
        <f>COUNTIFS(Human_Data_Entry!$G$3:$G$524,A26,Human_Data_Entry!$J$3:$J$524,"BUY",Human_Data_Entry!$R$3:$R$524,"UP")+COUNTIFS(Human_Data_Entry!$G$3:$G$524,A26,Human_Data_Entry!$J$3:$J$524,"SELL",Human_Data_Entry!$R$3:$R$524,"DOWN")</f>
        <v>13</v>
      </c>
      <c r="D26">
        <f t="shared" si="4"/>
        <v>0.65</v>
      </c>
      <c r="E26">
        <f>COUNTIFS(Human_Data_Entry!$G$3:$G$524,A26,Human_Data_Entry!$J$3:$J$524,"BUY",Human_Data_Entry!$R$3:$R$524,"DOWN")+COUNTIFS(Human_Data_Entry!$G$3:$G$524,A26,Human_Data_Entry!$J$3:$J$524,"SELL",Human_Data_Entry!$R$3:$R$524,"DOWN")</f>
        <v>11</v>
      </c>
      <c r="F26">
        <f t="shared" si="5"/>
        <v>0.55000000000000004</v>
      </c>
      <c r="G26" t="str">
        <f ca="1">IFERROR(1-_xludf.BINOM.DIST(C26-1,B26,F26,TRUE),"")</f>
        <v/>
      </c>
      <c r="H26">
        <f t="shared" si="6"/>
        <v>0.36598939533817099</v>
      </c>
      <c r="I26">
        <f>COUNTIFS(Human_Data_Entry!$G$3:$G$524,A26,Human_Data_Entry!$J$3:$J$524,"HOLD")</f>
        <v>15</v>
      </c>
      <c r="J26">
        <f t="shared" si="7"/>
        <v>0.29411764705882354</v>
      </c>
      <c r="K26">
        <f>COUNTIFS(Human_Data_Entry!$G$3:$G$524,A26,Human_Data_Entry!$J$3:$J$524,"BUY")+COUNTIFS(Human_Data_Entry!$G$3:$G$524,A26,Human_Data_Entry!$J$3:$J$524,"SELL")</f>
        <v>36</v>
      </c>
    </row>
    <row r="27" spans="1:11" x14ac:dyDescent="0.2">
      <c r="A27" t="str">
        <f>Settings!$A$12</f>
        <v>David</v>
      </c>
      <c r="B27">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39</v>
      </c>
      <c r="C27">
        <f>COUNTIFS(Human_Data_Entry!$G$3:$G$524,A27,Human_Data_Entry!$J$3:$J$524,"BUY",Human_Data_Entry!$R$3:$R$524,"UP")+COUNTIFS(Human_Data_Entry!$G$3:$G$524,A27,Human_Data_Entry!$J$3:$J$524,"SELL",Human_Data_Entry!$R$3:$R$524,"DOWN")</f>
        <v>9</v>
      </c>
      <c r="D27">
        <f t="shared" si="4"/>
        <v>0.23076923076923078</v>
      </c>
      <c r="E27">
        <f>COUNTIFS(Human_Data_Entry!$G$3:$G$524,A27,Human_Data_Entry!$J$3:$J$524,"BUY",Human_Data_Entry!$R$3:$R$524,"DOWN")+COUNTIFS(Human_Data_Entry!$G$3:$G$524,A27,Human_Data_Entry!$J$3:$J$524,"SELL",Human_Data_Entry!$R$3:$R$524,"DOWN")</f>
        <v>19</v>
      </c>
      <c r="F27">
        <f t="shared" si="5"/>
        <v>0.48717948717948717</v>
      </c>
      <c r="G27" t="str">
        <f ca="1">IFERROR(1-_xludf.BINOM.DIST(C27-1,B27,F27,TRUE),"")</f>
        <v/>
      </c>
      <c r="H27">
        <f t="shared" si="6"/>
        <v>0.26332420744628132</v>
      </c>
      <c r="I27">
        <f>COUNTIFS(Human_Data_Entry!$G$3:$G$524,A27,Human_Data_Entry!$J$3:$J$524,"HOLD")</f>
        <v>30</v>
      </c>
      <c r="J27">
        <f t="shared" si="7"/>
        <v>0.34883720930232559</v>
      </c>
      <c r="K27">
        <f>COUNTIFS(Human_Data_Entry!$G$3:$G$524,A27,Human_Data_Entry!$J$3:$J$524,"BUY")+COUNTIFS(Human_Data_Entry!$G$3:$G$524,A27,Human_Data_Entry!$J$3:$J$524,"SELL")</f>
        <v>56</v>
      </c>
    </row>
    <row r="28" spans="1:11" x14ac:dyDescent="0.2">
      <c r="A28" t="str">
        <f>Settings!$A$13</f>
        <v>Dragos</v>
      </c>
      <c r="B28">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20</v>
      </c>
      <c r="C28">
        <f>COUNTIFS(Human_Data_Entry!$G$3:$G$524,A28,Human_Data_Entry!$J$3:$J$524,"BUY",Human_Data_Entry!$R$3:$R$524,"UP")+COUNTIFS(Human_Data_Entry!$G$3:$G$524,A28,Human_Data_Entry!$J$3:$J$524,"SELL",Human_Data_Entry!$R$3:$R$524,"DOWN")</f>
        <v>10</v>
      </c>
      <c r="D28">
        <f t="shared" si="4"/>
        <v>0.5</v>
      </c>
      <c r="E28">
        <f>COUNTIFS(Human_Data_Entry!$G$3:$G$524,A28,Human_Data_Entry!$J$3:$J$524,"BUY",Human_Data_Entry!$R$3:$R$524,"DOWN")+COUNTIFS(Human_Data_Entry!$G$3:$G$524,A28,Human_Data_Entry!$J$3:$J$524,"SELL",Human_Data_Entry!$R$3:$R$524,"DOWN")</f>
        <v>11</v>
      </c>
      <c r="F28">
        <f t="shared" si="5"/>
        <v>0.55000000000000004</v>
      </c>
      <c r="G28" t="str">
        <f ca="1">IFERROR(1-_xludf.BINOM.DIST(C28-1,B28,F28,TRUE),"")</f>
        <v/>
      </c>
      <c r="H28">
        <f t="shared" si="6"/>
        <v>0.36598939533817099</v>
      </c>
      <c r="I28">
        <f>COUNTIFS(Human_Data_Entry!$G$3:$G$524,A28,Human_Data_Entry!$J$3:$J$524,"HOLD")</f>
        <v>30</v>
      </c>
      <c r="J28">
        <f t="shared" si="7"/>
        <v>0.31578947368421051</v>
      </c>
      <c r="K28">
        <f>COUNTIFS(Human_Data_Entry!$G$3:$G$524,A28,Human_Data_Entry!$J$3:$J$524,"BUY")+COUNTIFS(Human_Data_Entry!$G$3:$G$524,A28,Human_Data_Entry!$J$3:$J$524,"SELL")</f>
        <v>65</v>
      </c>
    </row>
    <row r="29" spans="1:11" x14ac:dyDescent="0.2">
      <c r="A29" t="str">
        <f>Settings!$A$14</f>
        <v>Ben/DeepSeek</v>
      </c>
      <c r="B29">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0</v>
      </c>
      <c r="C29">
        <f>COUNTIFS(Human_Data_Entry!$G$3:$G$524,A29,Human_Data_Entry!$J$3:$J$524,"BUY",Human_Data_Entry!$R$3:$R$524,"UP")+COUNTIFS(Human_Data_Entry!$G$3:$G$524,A29,Human_Data_Entry!$J$3:$J$524,"SELL",Human_Data_Entry!$R$3:$R$524,"DOWN")</f>
        <v>0</v>
      </c>
      <c r="D29" t="str">
        <f t="shared" si="4"/>
        <v/>
      </c>
      <c r="E29">
        <f>COUNTIFS(Human_Data_Entry!$G$3:$G$524,A29,Human_Data_Entry!$J$3:$J$524,"BUY",Human_Data_Entry!$R$3:$R$524,"DOWN")+COUNTIFS(Human_Data_Entry!$G$3:$G$524,A29,Human_Data_Entry!$J$3:$J$524,"SELL",Human_Data_Entry!$R$3:$R$524,"DOWN")</f>
        <v>0</v>
      </c>
      <c r="F29" t="str">
        <f t="shared" si="5"/>
        <v/>
      </c>
      <c r="G29" t="str">
        <f ca="1">IFERROR(1-_xludf.BINOM.DIST(C29-1,B29,F29,TRUE),"")</f>
        <v/>
      </c>
      <c r="H29" t="str">
        <f t="shared" si="6"/>
        <v/>
      </c>
      <c r="I29">
        <f>COUNTIFS(Human_Data_Entry!$G$3:$G$524,A29,Human_Data_Entry!$J$3:$J$524,"HOLD")</f>
        <v>0</v>
      </c>
      <c r="J29" t="str">
        <f t="shared" si="7"/>
        <v/>
      </c>
      <c r="K29">
        <f>COUNTIFS(Human_Data_Entry!$G$3:$G$524,A29,Human_Data_Entry!$J$3:$J$524,"BUY")+COUNTIFS(Human_Data_Entry!$G$3:$G$524,A29,Human_Data_Entry!$J$3:$J$524,"SELL")</f>
        <v>0</v>
      </c>
    </row>
    <row r="30" spans="1:11" ht="60" customHeight="1" x14ac:dyDescent="0.2">
      <c r="A30" s="162" t="s">
        <v>3763</v>
      </c>
    </row>
    <row r="31" spans="1:11" x14ac:dyDescent="0.2">
      <c r="A31" s="171" t="s">
        <v>3764</v>
      </c>
      <c r="B31" s="172"/>
      <c r="C31" s="172"/>
      <c r="D31" s="172"/>
      <c r="E31" s="172"/>
    </row>
    <row r="32" spans="1:11" x14ac:dyDescent="0.2">
      <c r="A32" s="155" t="s">
        <v>2515</v>
      </c>
      <c r="B32" s="155" t="s">
        <v>3765</v>
      </c>
      <c r="C32" s="155" t="s">
        <v>3766</v>
      </c>
      <c r="D32" s="155" t="s">
        <v>3767</v>
      </c>
      <c r="E32" s="155" t="s">
        <v>3768</v>
      </c>
    </row>
    <row r="33" spans="1:5" x14ac:dyDescent="0.2">
      <c r="A33" t="s">
        <v>1912</v>
      </c>
      <c r="B33">
        <f>D8</f>
        <v>0.31578947368421051</v>
      </c>
      <c r="C33">
        <f>D21</f>
        <v>0.66956521739130437</v>
      </c>
      <c r="D33">
        <f>F8</f>
        <v>0.25761772853185594</v>
      </c>
      <c r="E33">
        <f>F21</f>
        <v>0.52173913043478259</v>
      </c>
    </row>
    <row r="34" spans="1:5" x14ac:dyDescent="0.2">
      <c r="A34" t="s">
        <v>3759</v>
      </c>
      <c r="B34">
        <f>D9</f>
        <v>0.2988505747126437</v>
      </c>
      <c r="C34">
        <f>D22</f>
        <v>0.4911242603550296</v>
      </c>
      <c r="D34">
        <f>F9</f>
        <v>0.22413793103448276</v>
      </c>
      <c r="E34">
        <f>F22</f>
        <v>0.53846153846153844</v>
      </c>
    </row>
    <row r="60" spans="1:1" x14ac:dyDescent="0.2">
      <c r="A60" s="154" t="s">
        <v>3769</v>
      </c>
    </row>
    <row r="63" spans="1:1" x14ac:dyDescent="0.2">
      <c r="A63" s="155" t="s">
        <v>3770</v>
      </c>
    </row>
    <row r="64" spans="1:1" x14ac:dyDescent="0.2">
      <c r="A64" s="154" t="s">
        <v>3771</v>
      </c>
    </row>
    <row r="66" spans="1:7" x14ac:dyDescent="0.2">
      <c r="A66" s="152" t="s">
        <v>3772</v>
      </c>
    </row>
    <row r="67" spans="1:7" x14ac:dyDescent="0.2">
      <c r="A67" s="152" t="s">
        <v>2515</v>
      </c>
      <c r="B67" s="152" t="s">
        <v>554</v>
      </c>
      <c r="C67" s="152" t="s">
        <v>3163</v>
      </c>
      <c r="D67" s="152" t="s">
        <v>2525</v>
      </c>
      <c r="E67" s="152" t="s">
        <v>3773</v>
      </c>
      <c r="F67" s="152" t="s">
        <v>3774</v>
      </c>
      <c r="G67" s="152" t="s">
        <v>3775</v>
      </c>
    </row>
    <row r="68" spans="1:7" x14ac:dyDescent="0.2">
      <c r="A68" t="s">
        <v>3776</v>
      </c>
      <c r="B68">
        <f>COUNTIFS(Human_Data_Entry!$S$3:$S$524,"YES",Human_Data_Entry!$BS$3:$BS$524,"YES")</f>
        <v>151</v>
      </c>
      <c r="C68">
        <f>COUNTIFS(Human_Data_Entry!$S$3:$S$524,"&lt;&gt;""",Human_Data_Entry!$BS$3:$BS$524,"YES")</f>
        <v>405</v>
      </c>
      <c r="D68">
        <f>IFERROR(B68/C68,"")</f>
        <v>0.37283950617283951</v>
      </c>
      <c r="E68">
        <f>IFERROR(COUNTIFS(Human_Data_Entry!$R$3:$R$524,"DOWN",Human_Data_Entry!$BS$3:$BS$524,"YES")/COUNTIFS(Human_Data_Entry!$S$3:$S$524,"&lt;&gt;""",Human_Data_Entry!$BS$3:$BS$524,"YES"),"")</f>
        <v>0.2814814814814815</v>
      </c>
      <c r="F68" t="str">
        <f ca="1">IFERROR(1-_xludf.BINOM.DIST(B68-1,C68,E68,TRUE),"")</f>
        <v/>
      </c>
      <c r="G68">
        <f>IFERROR(2*1.645*SQRT(E68*(1-E68)/C68),"")</f>
        <v>7.3521148599813971E-2</v>
      </c>
    </row>
    <row r="69" spans="1:7" x14ac:dyDescent="0.2">
      <c r="A69" t="s">
        <v>3777</v>
      </c>
      <c r="B69">
        <f>COUNTIFS(LLM_Data_Entry!$F$3:$F$430,"LLM",LLM_Data_Entry!$R$3:$R$430,"YES")</f>
        <v>114</v>
      </c>
      <c r="C69">
        <f>COUNTIFS(LLM_Data_Entry!$F$3:$F$430,"LLM",LLM_Data_Entry!$R$3:$R$430,"&lt;&gt;""")</f>
        <v>361</v>
      </c>
      <c r="D69">
        <f>IFERROR(B69/C69,"")</f>
        <v>0.31578947368421051</v>
      </c>
      <c r="E69">
        <f>IFERROR(COUNTIFS(LLM_Data_Entry!$F$3:$F$430,"LLM",LLM_Data_Entry!$Q$3:$Q$430,"DOWN")/COUNTIFS(LLM_Data_Entry!$F$3:$F$430,"LLM",LLM_Data_Entry!$R$3:$R$430,"&lt;&gt;"""),"")</f>
        <v>0.25761772853185594</v>
      </c>
      <c r="F69" t="str">
        <f ca="1">IFERROR(1-_xludf.BINOM.DIST(B69-1,C69,E69,TRUE),"")</f>
        <v/>
      </c>
      <c r="G69">
        <f>IFERROR(2*1.645*SQRT(E69*(1-E69)/C69),"")</f>
        <v>7.5725816787798536E-2</v>
      </c>
    </row>
    <row r="71" spans="1:7" x14ac:dyDescent="0.2">
      <c r="A71" s="152" t="s">
        <v>3778</v>
      </c>
    </row>
    <row r="72" spans="1:7" x14ac:dyDescent="0.2">
      <c r="A72" s="152" t="s">
        <v>2515</v>
      </c>
      <c r="B72" s="152" t="s">
        <v>2064</v>
      </c>
      <c r="C72" s="152" t="s">
        <v>3779</v>
      </c>
      <c r="D72" s="152" t="s">
        <v>2525</v>
      </c>
      <c r="E72" s="152" t="s">
        <v>3773</v>
      </c>
      <c r="F72" s="152" t="s">
        <v>3774</v>
      </c>
      <c r="G72" s="152" t="s">
        <v>3775</v>
      </c>
    </row>
    <row r="73" spans="1:7" x14ac:dyDescent="0.2">
      <c r="A73" t="s">
        <v>3776</v>
      </c>
      <c r="B73">
        <f>COUNTIFS(Human_Data_Entry!$J$3:$J$524,"BUY",Human_Data_Entry!$R$3:$R$524,"UP",Human_Data_Entry!$BS$3:$BS$524,"YES")+COUNTIFS(Human_Data_Entry!$J$3:$J$524,"SELL",Human_Data_Entry!$R$3:$R$524,"DOWN",Human_Data_Entry!$BS$3:$BS$524,"YES")</f>
        <v>80</v>
      </c>
      <c r="C73">
        <f>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164</v>
      </c>
      <c r="D73">
        <f>IFERROR(B73/C73,"")</f>
        <v>0.48780487804878048</v>
      </c>
      <c r="E73">
        <f>IFERROR((COUNTIFS(Human_Data_Entry!$J$3:$J$524,"BUY",Human_Data_Entry!$R$3:$R$524,"DOWN",Human_Data_Entry!$BS$3:$BS$524,"YES")+COUNTIFS(Human_Data_Entry!$J$3:$J$524,"SELL",Human_Data_Entry!$R$3:$R$524,"DOWN",Human_Data_Entry!$BS$3:$BS$524,"YES"))/(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0.54268292682926833</v>
      </c>
      <c r="F73" t="str">
        <f ca="1">IFERROR(1-_xludf.BINOM.DIST(B73-1,C73,E73,TRUE),"")</f>
        <v/>
      </c>
      <c r="G73">
        <f>IFERROR(2*1.645*SQRT(E73*(1-E73)/C73),"")</f>
        <v>0.12798402400351394</v>
      </c>
    </row>
    <row r="74" spans="1:7" x14ac:dyDescent="0.2">
      <c r="A74" t="s">
        <v>3777</v>
      </c>
      <c r="B74">
        <f>COUNTIFS(LLM_Data_Entry!$F$3:$F$430,"LLM",LLM_Data_Entry!$H$3:$H$430,"BUY",LLM_Data_Entry!$Q$3:$Q$430,"UP")+COUNTIFS(LLM_Data_Entry!$F$3:$F$430,"LLM",LLM_Data_Entry!$H$3:$H$430,"SELL",LLM_Data_Entry!$Q$3:$Q$430,"DOWN")</f>
        <v>77</v>
      </c>
      <c r="C74">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115</v>
      </c>
      <c r="D74">
        <f>IFERROR(B74/C74,"")</f>
        <v>0.66956521739130437</v>
      </c>
      <c r="E74">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0.52173913043478259</v>
      </c>
      <c r="F74" t="str">
        <f ca="1">IFERROR(1-_xludf.BINOM.DIST(B74-1,C74,E74,TRUE),"")</f>
        <v/>
      </c>
      <c r="G74">
        <f>IFERROR(2*1.645*SQRT(E74*(1-E74)/C74),"")</f>
        <v>0.15325198461958453</v>
      </c>
    </row>
    <row r="76" spans="1:7" x14ac:dyDescent="0.2">
      <c r="A76" s="153" t="s">
        <v>3780</v>
      </c>
    </row>
    <row r="78" spans="1:7" x14ac:dyDescent="0.2">
      <c r="A78" s="163" t="s">
        <v>3781</v>
      </c>
    </row>
    <row r="79" spans="1:7" x14ac:dyDescent="0.2">
      <c r="A79" t="s">
        <v>3782</v>
      </c>
    </row>
    <row r="80" spans="1:7" x14ac:dyDescent="0.2">
      <c r="A80" s="152" t="s">
        <v>3783</v>
      </c>
    </row>
    <row r="81" spans="1:6" x14ac:dyDescent="0.2">
      <c r="A81" s="152" t="s">
        <v>2515</v>
      </c>
      <c r="B81" s="152" t="s">
        <v>3751</v>
      </c>
      <c r="C81" s="152" t="s">
        <v>3784</v>
      </c>
      <c r="D81" s="152" t="s">
        <v>2525</v>
      </c>
      <c r="E81" s="152" t="s">
        <v>2238</v>
      </c>
      <c r="F81" s="152" t="s">
        <v>3164</v>
      </c>
    </row>
    <row r="82" spans="1:6" x14ac:dyDescent="0.2">
      <c r="A82" s="164" t="s">
        <v>3785</v>
      </c>
      <c r="B82" s="164">
        <v>147</v>
      </c>
      <c r="C82" s="164">
        <v>62</v>
      </c>
      <c r="D82" s="164" t="s">
        <v>3786</v>
      </c>
      <c r="E82" s="164" t="s">
        <v>3787</v>
      </c>
      <c r="F82" s="164" t="s">
        <v>3788</v>
      </c>
    </row>
    <row r="84" spans="1:6" x14ac:dyDescent="0.2">
      <c r="A84" s="152" t="s">
        <v>3789</v>
      </c>
    </row>
    <row r="85" spans="1:6" x14ac:dyDescent="0.2">
      <c r="A85" s="152" t="s">
        <v>2515</v>
      </c>
      <c r="B85" s="152" t="s">
        <v>3751</v>
      </c>
      <c r="C85" s="152" t="s">
        <v>2064</v>
      </c>
      <c r="D85" s="152" t="s">
        <v>2525</v>
      </c>
      <c r="E85" s="152" t="s">
        <v>3773</v>
      </c>
      <c r="F85" s="152" t="s">
        <v>3164</v>
      </c>
    </row>
    <row r="86" spans="1:6" x14ac:dyDescent="0.2">
      <c r="A86" s="164" t="s">
        <v>3785</v>
      </c>
      <c r="B86" s="164">
        <v>95</v>
      </c>
      <c r="C86" s="164">
        <v>62</v>
      </c>
      <c r="D86" s="164" t="s">
        <v>3790</v>
      </c>
      <c r="E86" s="164" t="s">
        <v>3791</v>
      </c>
      <c r="F86" s="164" t="s">
        <v>3792</v>
      </c>
    </row>
    <row r="88" spans="1:6" x14ac:dyDescent="0.2">
      <c r="A88" t="s">
        <v>3793</v>
      </c>
    </row>
    <row r="89" spans="1:6" x14ac:dyDescent="0.2">
      <c r="A89" t="s">
        <v>3794</v>
      </c>
    </row>
    <row r="91" spans="1:6" x14ac:dyDescent="0.2">
      <c r="A91" t="s">
        <v>3795</v>
      </c>
    </row>
    <row r="92" spans="1:6" x14ac:dyDescent="0.2">
      <c r="A92" t="s">
        <v>3796</v>
      </c>
    </row>
  </sheetData>
  <mergeCells count="3">
    <mergeCell ref="A5:K5"/>
    <mergeCell ref="A18:K18"/>
    <mergeCell ref="A31:E31"/>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50"/>
  <sheetViews>
    <sheetView workbookViewId="0"/>
  </sheetViews>
  <sheetFormatPr baseColWidth="10" defaultColWidth="8.83203125" defaultRowHeight="15" x14ac:dyDescent="0.2"/>
  <sheetData>
    <row r="1" spans="1:17" x14ac:dyDescent="0.2">
      <c r="A1" t="s">
        <v>3797</v>
      </c>
    </row>
    <row r="3" spans="1:17" x14ac:dyDescent="0.2">
      <c r="A3" t="s">
        <v>0</v>
      </c>
      <c r="B3" t="s">
        <v>1</v>
      </c>
      <c r="C3" t="s">
        <v>2</v>
      </c>
      <c r="D3" t="s">
        <v>3</v>
      </c>
      <c r="E3" t="s">
        <v>4</v>
      </c>
      <c r="F3" t="s">
        <v>5</v>
      </c>
      <c r="G3" t="s">
        <v>6</v>
      </c>
      <c r="H3" t="s">
        <v>7</v>
      </c>
      <c r="I3" t="s">
        <v>8</v>
      </c>
      <c r="J3" t="s">
        <v>9</v>
      </c>
      <c r="K3" t="s">
        <v>10</v>
      </c>
      <c r="L3" t="s">
        <v>11</v>
      </c>
      <c r="M3" t="s">
        <v>12</v>
      </c>
      <c r="N3" t="s">
        <v>13</v>
      </c>
      <c r="O3" t="s">
        <v>14</v>
      </c>
      <c r="P3" t="s">
        <v>15</v>
      </c>
    </row>
    <row r="4" spans="1:17" x14ac:dyDescent="0.2">
      <c r="A4" t="s">
        <v>3798</v>
      </c>
      <c r="B4" t="s">
        <v>17</v>
      </c>
      <c r="C4" t="s">
        <v>18</v>
      </c>
      <c r="D4" t="s">
        <v>17</v>
      </c>
      <c r="F4" t="s">
        <v>3799</v>
      </c>
      <c r="N4" t="s">
        <v>20</v>
      </c>
      <c r="O4" t="s">
        <v>21</v>
      </c>
      <c r="P4" t="s">
        <v>3800</v>
      </c>
    </row>
    <row r="5" spans="1:17" x14ac:dyDescent="0.2">
      <c r="A5" t="s">
        <v>3801</v>
      </c>
      <c r="B5" t="s">
        <v>23</v>
      </c>
      <c r="C5" t="s">
        <v>18</v>
      </c>
      <c r="F5" t="s">
        <v>3799</v>
      </c>
      <c r="N5" t="s">
        <v>20</v>
      </c>
      <c r="O5" t="s">
        <v>3802</v>
      </c>
      <c r="P5" t="s">
        <v>3803</v>
      </c>
    </row>
    <row r="6" spans="1:17" x14ac:dyDescent="0.2">
      <c r="A6" t="s">
        <v>3804</v>
      </c>
      <c r="B6" t="s">
        <v>28</v>
      </c>
      <c r="C6" t="s">
        <v>18</v>
      </c>
      <c r="F6" t="s">
        <v>3799</v>
      </c>
      <c r="N6" t="s">
        <v>20</v>
      </c>
      <c r="O6" t="s">
        <v>21</v>
      </c>
      <c r="P6" t="s">
        <v>3805</v>
      </c>
    </row>
    <row r="7" spans="1:17" x14ac:dyDescent="0.2">
      <c r="A7" t="s">
        <v>3806</v>
      </c>
      <c r="B7" t="s">
        <v>31</v>
      </c>
      <c r="C7" t="s">
        <v>18</v>
      </c>
      <c r="F7" t="s">
        <v>3799</v>
      </c>
      <c r="N7" t="s">
        <v>20</v>
      </c>
      <c r="O7" t="s">
        <v>21</v>
      </c>
      <c r="P7" t="s">
        <v>3807</v>
      </c>
    </row>
    <row r="8" spans="1:17" x14ac:dyDescent="0.2">
      <c r="A8" t="s">
        <v>3808</v>
      </c>
      <c r="B8" t="s">
        <v>34</v>
      </c>
      <c r="C8" t="s">
        <v>18</v>
      </c>
      <c r="F8" t="s">
        <v>3799</v>
      </c>
      <c r="N8" t="s">
        <v>20</v>
      </c>
      <c r="O8" t="s">
        <v>21</v>
      </c>
      <c r="P8" t="s">
        <v>3809</v>
      </c>
    </row>
    <row r="9" spans="1:17" x14ac:dyDescent="0.2">
      <c r="A9" t="s">
        <v>3810</v>
      </c>
      <c r="B9" t="s">
        <v>37</v>
      </c>
      <c r="C9" t="s">
        <v>18</v>
      </c>
      <c r="E9" t="s">
        <v>38</v>
      </c>
      <c r="F9" t="s">
        <v>3799</v>
      </c>
      <c r="N9" t="s">
        <v>39</v>
      </c>
      <c r="O9" t="s">
        <v>40</v>
      </c>
    </row>
    <row r="10" spans="1:17" x14ac:dyDescent="0.2">
      <c r="A10" t="s">
        <v>3811</v>
      </c>
      <c r="B10" t="s">
        <v>3812</v>
      </c>
      <c r="C10" t="s">
        <v>18</v>
      </c>
      <c r="E10" t="s">
        <v>3813</v>
      </c>
      <c r="F10" t="s">
        <v>3799</v>
      </c>
      <c r="N10" t="s">
        <v>39</v>
      </c>
      <c r="O10" t="s">
        <v>40</v>
      </c>
    </row>
    <row r="11" spans="1:17" x14ac:dyDescent="0.2">
      <c r="A11" t="s">
        <v>3814</v>
      </c>
      <c r="B11" t="s">
        <v>42</v>
      </c>
      <c r="C11" t="s">
        <v>18</v>
      </c>
      <c r="E11" t="s">
        <v>3815</v>
      </c>
      <c r="F11" t="s">
        <v>3799</v>
      </c>
      <c r="G11" t="s">
        <v>3816</v>
      </c>
      <c r="N11" t="s">
        <v>39</v>
      </c>
      <c r="O11" t="s">
        <v>40</v>
      </c>
      <c r="P11" t="s">
        <v>3817</v>
      </c>
    </row>
    <row r="12" spans="1:17" x14ac:dyDescent="0.2">
      <c r="A12" t="s">
        <v>3818</v>
      </c>
      <c r="B12" t="s">
        <v>432</v>
      </c>
      <c r="C12" t="s">
        <v>18</v>
      </c>
      <c r="E12" t="s">
        <v>3819</v>
      </c>
      <c r="F12" t="s">
        <v>3799</v>
      </c>
      <c r="O12" t="s">
        <v>39</v>
      </c>
      <c r="P12" t="s">
        <v>21</v>
      </c>
      <c r="Q12" t="s">
        <v>3820</v>
      </c>
    </row>
    <row r="13" spans="1:17" x14ac:dyDescent="0.2">
      <c r="A13" t="s">
        <v>3821</v>
      </c>
      <c r="B13" t="s">
        <v>66</v>
      </c>
      <c r="C13" t="s">
        <v>18</v>
      </c>
      <c r="E13" t="s">
        <v>3822</v>
      </c>
      <c r="F13" t="s">
        <v>3799</v>
      </c>
      <c r="O13" t="s">
        <v>20</v>
      </c>
      <c r="P13" t="s">
        <v>40</v>
      </c>
    </row>
    <row r="14" spans="1:17" x14ac:dyDescent="0.2">
      <c r="A14" t="s">
        <v>3823</v>
      </c>
      <c r="B14" t="s">
        <v>347</v>
      </c>
      <c r="C14" t="s">
        <v>18</v>
      </c>
      <c r="E14" t="s">
        <v>3824</v>
      </c>
      <c r="F14" t="s">
        <v>3799</v>
      </c>
      <c r="O14" t="s">
        <v>39</v>
      </c>
      <c r="P14" t="s">
        <v>40</v>
      </c>
    </row>
    <row r="15" spans="1:17" x14ac:dyDescent="0.2">
      <c r="A15" t="s">
        <v>3825</v>
      </c>
      <c r="B15" t="s">
        <v>448</v>
      </c>
      <c r="C15" t="s">
        <v>18</v>
      </c>
      <c r="E15" t="s">
        <v>3826</v>
      </c>
      <c r="F15" t="s">
        <v>3799</v>
      </c>
      <c r="P15" t="s">
        <v>21</v>
      </c>
      <c r="Q15" t="s">
        <v>3827</v>
      </c>
    </row>
    <row r="16" spans="1:17" x14ac:dyDescent="0.2">
      <c r="A16" t="s">
        <v>3828</v>
      </c>
      <c r="B16" t="s">
        <v>3829</v>
      </c>
      <c r="C16" t="s">
        <v>18</v>
      </c>
      <c r="F16" t="s">
        <v>3830</v>
      </c>
      <c r="N16" t="s">
        <v>20</v>
      </c>
      <c r="O16" t="s">
        <v>3831</v>
      </c>
      <c r="P16" t="s">
        <v>3832</v>
      </c>
    </row>
    <row r="17" spans="1:17" x14ac:dyDescent="0.2">
      <c r="A17" t="s">
        <v>3833</v>
      </c>
      <c r="B17" t="s">
        <v>263</v>
      </c>
      <c r="C17" t="s">
        <v>18</v>
      </c>
      <c r="E17" t="s">
        <v>38</v>
      </c>
      <c r="F17" t="s">
        <v>3830</v>
      </c>
      <c r="N17" t="s">
        <v>39</v>
      </c>
      <c r="O17" t="s">
        <v>3834</v>
      </c>
    </row>
    <row r="18" spans="1:17" x14ac:dyDescent="0.2">
      <c r="A18" t="s">
        <v>3835</v>
      </c>
      <c r="B18" t="s">
        <v>3836</v>
      </c>
      <c r="C18" t="s">
        <v>18</v>
      </c>
      <c r="E18" t="s">
        <v>3837</v>
      </c>
      <c r="F18" t="s">
        <v>3830</v>
      </c>
      <c r="N18" t="s">
        <v>39</v>
      </c>
      <c r="O18" t="s">
        <v>3834</v>
      </c>
    </row>
    <row r="19" spans="1:17" x14ac:dyDescent="0.2">
      <c r="A19" t="s">
        <v>3838</v>
      </c>
      <c r="B19">
        <v>31</v>
      </c>
      <c r="C19" t="s">
        <v>18</v>
      </c>
      <c r="E19" t="s">
        <v>3822</v>
      </c>
      <c r="F19" t="s">
        <v>3830</v>
      </c>
      <c r="G19" t="s">
        <v>3816</v>
      </c>
      <c r="N19" t="s">
        <v>20</v>
      </c>
      <c r="O19" t="s">
        <v>3839</v>
      </c>
      <c r="P19" t="s">
        <v>3840</v>
      </c>
    </row>
    <row r="20" spans="1:17" x14ac:dyDescent="0.2">
      <c r="A20" t="s">
        <v>3841</v>
      </c>
      <c r="B20" t="s">
        <v>3842</v>
      </c>
      <c r="C20" t="s">
        <v>18</v>
      </c>
      <c r="E20" t="s">
        <v>3815</v>
      </c>
      <c r="F20" t="s">
        <v>3830</v>
      </c>
      <c r="O20" t="s">
        <v>39</v>
      </c>
      <c r="P20" t="s">
        <v>3839</v>
      </c>
    </row>
    <row r="21" spans="1:17" x14ac:dyDescent="0.2">
      <c r="A21" t="s">
        <v>3843</v>
      </c>
      <c r="B21" t="s">
        <v>3844</v>
      </c>
      <c r="C21" t="s">
        <v>18</v>
      </c>
      <c r="E21" t="s">
        <v>3824</v>
      </c>
      <c r="F21" t="s">
        <v>3830</v>
      </c>
      <c r="O21" t="s">
        <v>39</v>
      </c>
      <c r="P21" t="s">
        <v>3839</v>
      </c>
    </row>
    <row r="22" spans="1:17" x14ac:dyDescent="0.2">
      <c r="A22" t="s">
        <v>3845</v>
      </c>
      <c r="B22" t="s">
        <v>3846</v>
      </c>
      <c r="C22" t="s">
        <v>18</v>
      </c>
      <c r="F22" t="s">
        <v>3847</v>
      </c>
      <c r="N22" t="s">
        <v>20</v>
      </c>
      <c r="O22" t="s">
        <v>3848</v>
      </c>
      <c r="P22" t="s">
        <v>3849</v>
      </c>
    </row>
    <row r="23" spans="1:17" x14ac:dyDescent="0.2">
      <c r="A23" t="s">
        <v>3850</v>
      </c>
      <c r="B23" t="s">
        <v>3851</v>
      </c>
      <c r="C23" t="s">
        <v>18</v>
      </c>
      <c r="E23" t="s">
        <v>38</v>
      </c>
      <c r="F23" t="s">
        <v>3852</v>
      </c>
      <c r="N23" t="s">
        <v>39</v>
      </c>
      <c r="O23" t="s">
        <v>3848</v>
      </c>
      <c r="P23" t="s">
        <v>3853</v>
      </c>
    </row>
    <row r="24" spans="1:17" x14ac:dyDescent="0.2">
      <c r="A24" t="s">
        <v>3854</v>
      </c>
      <c r="B24" t="s">
        <v>3855</v>
      </c>
      <c r="C24" t="s">
        <v>18</v>
      </c>
      <c r="E24" t="s">
        <v>3815</v>
      </c>
      <c r="F24" t="s">
        <v>3852</v>
      </c>
      <c r="O24" t="s">
        <v>39</v>
      </c>
      <c r="P24" t="s">
        <v>3848</v>
      </c>
    </row>
    <row r="25" spans="1:17" x14ac:dyDescent="0.2">
      <c r="A25" t="s">
        <v>3856</v>
      </c>
      <c r="B25" t="s">
        <v>3857</v>
      </c>
      <c r="C25" t="s">
        <v>18</v>
      </c>
      <c r="E25" t="s">
        <v>3824</v>
      </c>
      <c r="F25" t="s">
        <v>3852</v>
      </c>
      <c r="O25" t="s">
        <v>39</v>
      </c>
      <c r="P25" t="s">
        <v>3848</v>
      </c>
      <c r="Q25" t="s">
        <v>3858</v>
      </c>
    </row>
    <row r="26" spans="1:17" x14ac:dyDescent="0.2">
      <c r="A26" t="s">
        <v>3859</v>
      </c>
      <c r="B26" t="s">
        <v>3857</v>
      </c>
      <c r="C26" t="s">
        <v>18</v>
      </c>
      <c r="D26" t="s">
        <v>34</v>
      </c>
      <c r="F26" t="s">
        <v>3799</v>
      </c>
      <c r="N26" t="s">
        <v>39</v>
      </c>
      <c r="O26" t="s">
        <v>3860</v>
      </c>
    </row>
    <row r="27" spans="1:17" x14ac:dyDescent="0.2">
      <c r="A27" t="s">
        <v>3861</v>
      </c>
      <c r="B27" t="s">
        <v>3862</v>
      </c>
      <c r="C27" t="s">
        <v>18</v>
      </c>
      <c r="D27" t="s">
        <v>34</v>
      </c>
      <c r="F27" t="s">
        <v>3799</v>
      </c>
      <c r="N27" t="s">
        <v>39</v>
      </c>
      <c r="O27" t="s">
        <v>3860</v>
      </c>
    </row>
    <row r="28" spans="1:17" x14ac:dyDescent="0.2">
      <c r="A28" t="s">
        <v>3863</v>
      </c>
      <c r="B28" t="s">
        <v>3812</v>
      </c>
      <c r="C28" t="s">
        <v>18</v>
      </c>
      <c r="D28" t="s">
        <v>34</v>
      </c>
      <c r="F28" t="s">
        <v>3799</v>
      </c>
      <c r="N28" t="s">
        <v>39</v>
      </c>
      <c r="O28" t="s">
        <v>3860</v>
      </c>
    </row>
    <row r="29" spans="1:17" x14ac:dyDescent="0.2">
      <c r="A29" t="s">
        <v>3864</v>
      </c>
      <c r="B29" t="s">
        <v>3865</v>
      </c>
      <c r="C29" t="s">
        <v>47</v>
      </c>
      <c r="D29" t="s">
        <v>34</v>
      </c>
      <c r="E29" t="s">
        <v>3866</v>
      </c>
      <c r="F29" t="s">
        <v>3799</v>
      </c>
      <c r="N29" t="s">
        <v>39</v>
      </c>
      <c r="O29" t="s">
        <v>3860</v>
      </c>
      <c r="P29" t="s">
        <v>3867</v>
      </c>
    </row>
    <row r="30" spans="1:17" x14ac:dyDescent="0.2">
      <c r="A30" t="s">
        <v>3868</v>
      </c>
      <c r="B30" t="s">
        <v>3869</v>
      </c>
      <c r="C30" t="s">
        <v>47</v>
      </c>
      <c r="D30" t="s">
        <v>34</v>
      </c>
      <c r="F30" t="s">
        <v>3799</v>
      </c>
      <c r="N30" t="s">
        <v>39</v>
      </c>
      <c r="O30" t="s">
        <v>3860</v>
      </c>
      <c r="P30" t="s">
        <v>3870</v>
      </c>
    </row>
    <row r="31" spans="1:17" x14ac:dyDescent="0.2">
      <c r="A31" t="s">
        <v>3871</v>
      </c>
      <c r="B31" t="s">
        <v>3872</v>
      </c>
      <c r="C31" t="s">
        <v>47</v>
      </c>
      <c r="D31" t="s">
        <v>34</v>
      </c>
      <c r="F31" t="s">
        <v>3799</v>
      </c>
      <c r="N31" t="s">
        <v>39</v>
      </c>
      <c r="O31" t="s">
        <v>3860</v>
      </c>
      <c r="P31" t="s">
        <v>3873</v>
      </c>
    </row>
    <row r="32" spans="1:17" x14ac:dyDescent="0.2">
      <c r="A32" t="s">
        <v>3874</v>
      </c>
      <c r="B32" t="s">
        <v>3875</v>
      </c>
      <c r="C32" t="s">
        <v>18</v>
      </c>
      <c r="D32" t="s">
        <v>3829</v>
      </c>
      <c r="F32" t="s">
        <v>3830</v>
      </c>
      <c r="N32" t="s">
        <v>39</v>
      </c>
      <c r="O32" t="s">
        <v>3834</v>
      </c>
    </row>
    <row r="33" spans="1:19" x14ac:dyDescent="0.2">
      <c r="A33" t="s">
        <v>3876</v>
      </c>
      <c r="B33" t="s">
        <v>3877</v>
      </c>
      <c r="C33" t="s">
        <v>18</v>
      </c>
      <c r="D33" t="s">
        <v>3829</v>
      </c>
      <c r="F33" t="s">
        <v>3830</v>
      </c>
      <c r="N33" t="s">
        <v>39</v>
      </c>
      <c r="O33" t="s">
        <v>3834</v>
      </c>
    </row>
    <row r="34" spans="1:19" x14ac:dyDescent="0.2">
      <c r="A34" t="s">
        <v>3878</v>
      </c>
      <c r="B34" t="s">
        <v>3836</v>
      </c>
      <c r="C34" t="s">
        <v>18</v>
      </c>
      <c r="D34" t="s">
        <v>3829</v>
      </c>
      <c r="F34" t="s">
        <v>3830</v>
      </c>
      <c r="N34" t="s">
        <v>39</v>
      </c>
      <c r="O34" t="s">
        <v>3834</v>
      </c>
    </row>
    <row r="35" spans="1:19" x14ac:dyDescent="0.2">
      <c r="A35" t="s">
        <v>3879</v>
      </c>
      <c r="B35" t="s">
        <v>3880</v>
      </c>
      <c r="C35" t="s">
        <v>47</v>
      </c>
      <c r="D35" t="s">
        <v>3829</v>
      </c>
      <c r="F35" t="s">
        <v>3830</v>
      </c>
      <c r="N35" t="s">
        <v>39</v>
      </c>
      <c r="O35" t="s">
        <v>3834</v>
      </c>
      <c r="P35" t="s">
        <v>3881</v>
      </c>
    </row>
    <row r="36" spans="1:19" x14ac:dyDescent="0.2">
      <c r="A36" t="s">
        <v>3882</v>
      </c>
      <c r="B36" t="s">
        <v>3883</v>
      </c>
      <c r="C36" t="s">
        <v>47</v>
      </c>
      <c r="D36" t="s">
        <v>3829</v>
      </c>
      <c r="F36" t="s">
        <v>3830</v>
      </c>
      <c r="N36" t="s">
        <v>39</v>
      </c>
      <c r="O36" t="s">
        <v>3834</v>
      </c>
      <c r="P36" t="s">
        <v>3884</v>
      </c>
    </row>
    <row r="37" spans="1:19" x14ac:dyDescent="0.2">
      <c r="A37" t="s">
        <v>3885</v>
      </c>
      <c r="B37" t="s">
        <v>3886</v>
      </c>
      <c r="C37" t="s">
        <v>47</v>
      </c>
      <c r="D37" t="s">
        <v>3829</v>
      </c>
      <c r="F37" t="s">
        <v>3830</v>
      </c>
      <c r="N37" t="s">
        <v>39</v>
      </c>
      <c r="O37" t="s">
        <v>3834</v>
      </c>
      <c r="P37" t="s">
        <v>3887</v>
      </c>
    </row>
    <row r="38" spans="1:19" x14ac:dyDescent="0.2">
      <c r="A38" t="s">
        <v>3888</v>
      </c>
      <c r="B38" t="s">
        <v>46</v>
      </c>
      <c r="C38" t="s">
        <v>47</v>
      </c>
      <c r="D38" t="s">
        <v>42</v>
      </c>
      <c r="E38" t="s">
        <v>3889</v>
      </c>
      <c r="F38" t="s">
        <v>3799</v>
      </c>
      <c r="G38" t="s">
        <v>3890</v>
      </c>
      <c r="H38" t="s">
        <v>3891</v>
      </c>
      <c r="L38" t="s">
        <v>50</v>
      </c>
      <c r="M38" t="s">
        <v>51</v>
      </c>
      <c r="N38" t="s">
        <v>3892</v>
      </c>
      <c r="O38" t="s">
        <v>39</v>
      </c>
      <c r="P38" t="s">
        <v>40</v>
      </c>
      <c r="Q38" t="s">
        <v>3893</v>
      </c>
    </row>
    <row r="39" spans="1:19" x14ac:dyDescent="0.2">
      <c r="A39" t="s">
        <v>3894</v>
      </c>
      <c r="B39" t="s">
        <v>57</v>
      </c>
      <c r="C39" t="s">
        <v>47</v>
      </c>
      <c r="D39" t="s">
        <v>42</v>
      </c>
      <c r="E39" t="s">
        <v>3895</v>
      </c>
      <c r="F39" t="s">
        <v>3799</v>
      </c>
      <c r="N39" t="s">
        <v>20</v>
      </c>
      <c r="O39" t="s">
        <v>40</v>
      </c>
      <c r="P39" t="s">
        <v>3896</v>
      </c>
    </row>
    <row r="40" spans="1:19" x14ac:dyDescent="0.2">
      <c r="A40" t="s">
        <v>3897</v>
      </c>
      <c r="B40" t="s">
        <v>61</v>
      </c>
      <c r="C40" t="s">
        <v>62</v>
      </c>
      <c r="D40" t="s">
        <v>42</v>
      </c>
      <c r="G40" t="s">
        <v>3799</v>
      </c>
      <c r="L40" t="s">
        <v>51</v>
      </c>
      <c r="M40" t="s">
        <v>3898</v>
      </c>
      <c r="N40" t="s">
        <v>39</v>
      </c>
      <c r="O40" t="s">
        <v>40</v>
      </c>
      <c r="P40" t="s">
        <v>3899</v>
      </c>
    </row>
    <row r="41" spans="1:19" x14ac:dyDescent="0.2">
      <c r="A41" t="s">
        <v>3900</v>
      </c>
      <c r="B41" t="s">
        <v>3901</v>
      </c>
      <c r="C41" t="s">
        <v>47</v>
      </c>
      <c r="D41" t="s">
        <v>3842</v>
      </c>
      <c r="E41" t="s">
        <v>3889</v>
      </c>
      <c r="F41" t="s">
        <v>3830</v>
      </c>
      <c r="G41" t="s">
        <v>3890</v>
      </c>
      <c r="H41" t="s">
        <v>3891</v>
      </c>
      <c r="P41" t="s">
        <v>39</v>
      </c>
      <c r="Q41" t="s">
        <v>3839</v>
      </c>
      <c r="R41" t="s">
        <v>3902</v>
      </c>
      <c r="S41" t="s">
        <v>3903</v>
      </c>
    </row>
    <row r="42" spans="1:19" x14ac:dyDescent="0.2">
      <c r="A42" t="s">
        <v>3904</v>
      </c>
      <c r="B42" t="s">
        <v>3905</v>
      </c>
      <c r="C42" t="s">
        <v>47</v>
      </c>
      <c r="D42" t="s">
        <v>3842</v>
      </c>
      <c r="E42" t="s">
        <v>3906</v>
      </c>
      <c r="F42" t="s">
        <v>3830</v>
      </c>
      <c r="N42" t="s">
        <v>20</v>
      </c>
      <c r="O42" t="s">
        <v>3839</v>
      </c>
      <c r="P42" t="s">
        <v>3907</v>
      </c>
    </row>
    <row r="43" spans="1:19" x14ac:dyDescent="0.2">
      <c r="A43" t="s">
        <v>3908</v>
      </c>
      <c r="B43" t="s">
        <v>3909</v>
      </c>
      <c r="C43" t="s">
        <v>47</v>
      </c>
      <c r="D43" t="s">
        <v>3855</v>
      </c>
      <c r="E43" t="s">
        <v>3910</v>
      </c>
      <c r="F43" t="s">
        <v>3911</v>
      </c>
      <c r="N43" t="s">
        <v>39</v>
      </c>
      <c r="O43" t="s">
        <v>3848</v>
      </c>
      <c r="P43" t="s">
        <v>3912</v>
      </c>
    </row>
    <row r="44" spans="1:19" x14ac:dyDescent="0.2">
      <c r="A44" t="s">
        <v>3913</v>
      </c>
      <c r="B44" t="s">
        <v>65</v>
      </c>
      <c r="C44" t="s">
        <v>47</v>
      </c>
      <c r="D44" t="s">
        <v>66</v>
      </c>
      <c r="E44" t="s">
        <v>3914</v>
      </c>
      <c r="F44" t="s">
        <v>3799</v>
      </c>
      <c r="G44" t="s">
        <v>3915</v>
      </c>
      <c r="H44" t="s">
        <v>3891</v>
      </c>
      <c r="P44" t="s">
        <v>20</v>
      </c>
      <c r="Q44" t="s">
        <v>40</v>
      </c>
      <c r="R44" t="s">
        <v>3916</v>
      </c>
    </row>
    <row r="45" spans="1:19" x14ac:dyDescent="0.2">
      <c r="A45" t="s">
        <v>3917</v>
      </c>
      <c r="B45" t="s">
        <v>71</v>
      </c>
      <c r="C45" t="s">
        <v>47</v>
      </c>
      <c r="D45" t="s">
        <v>66</v>
      </c>
      <c r="E45" t="s">
        <v>3918</v>
      </c>
      <c r="F45" t="s">
        <v>3799</v>
      </c>
      <c r="N45" t="s">
        <v>20</v>
      </c>
      <c r="O45" t="s">
        <v>40</v>
      </c>
      <c r="P45" t="s">
        <v>3919</v>
      </c>
    </row>
    <row r="46" spans="1:19" x14ac:dyDescent="0.2">
      <c r="A46" t="s">
        <v>3920</v>
      </c>
      <c r="B46" t="s">
        <v>389</v>
      </c>
      <c r="C46" t="s">
        <v>47</v>
      </c>
      <c r="D46" t="s">
        <v>3921</v>
      </c>
      <c r="E46" t="s">
        <v>3922</v>
      </c>
      <c r="F46" t="s">
        <v>3830</v>
      </c>
      <c r="G46" t="s">
        <v>3915</v>
      </c>
      <c r="H46" t="s">
        <v>3891</v>
      </c>
      <c r="P46" t="s">
        <v>20</v>
      </c>
      <c r="Q46" t="s">
        <v>3839</v>
      </c>
      <c r="R46" t="s">
        <v>3923</v>
      </c>
    </row>
    <row r="47" spans="1:19" x14ac:dyDescent="0.2">
      <c r="A47" t="s">
        <v>3924</v>
      </c>
      <c r="B47" t="s">
        <v>3925</v>
      </c>
      <c r="C47" t="s">
        <v>47</v>
      </c>
      <c r="D47" t="s">
        <v>3921</v>
      </c>
      <c r="E47" t="s">
        <v>3926</v>
      </c>
      <c r="F47" t="s">
        <v>3830</v>
      </c>
      <c r="N47" t="s">
        <v>20</v>
      </c>
      <c r="O47" t="s">
        <v>3839</v>
      </c>
      <c r="P47" t="s">
        <v>3927</v>
      </c>
    </row>
    <row r="48" spans="1:19" x14ac:dyDescent="0.2">
      <c r="A48" t="s">
        <v>3928</v>
      </c>
      <c r="B48" t="s">
        <v>3929</v>
      </c>
      <c r="C48" t="s">
        <v>47</v>
      </c>
      <c r="D48" t="s">
        <v>3921</v>
      </c>
      <c r="E48" t="s">
        <v>3930</v>
      </c>
      <c r="F48" t="s">
        <v>3830</v>
      </c>
      <c r="N48" t="s">
        <v>20</v>
      </c>
      <c r="O48" t="s">
        <v>3839</v>
      </c>
      <c r="P48" t="s">
        <v>3931</v>
      </c>
    </row>
    <row r="49" spans="1:18" x14ac:dyDescent="0.2">
      <c r="A49" t="s">
        <v>3932</v>
      </c>
      <c r="B49" t="s">
        <v>75</v>
      </c>
      <c r="C49" t="s">
        <v>47</v>
      </c>
      <c r="D49" t="s">
        <v>37</v>
      </c>
      <c r="E49" t="s">
        <v>3933</v>
      </c>
      <c r="F49" t="s">
        <v>3799</v>
      </c>
      <c r="G49" t="s">
        <v>3934</v>
      </c>
      <c r="H49" t="s">
        <v>3935</v>
      </c>
      <c r="I49" t="s">
        <v>3936</v>
      </c>
      <c r="J49" t="s">
        <v>78</v>
      </c>
      <c r="K49" t="s">
        <v>79</v>
      </c>
      <c r="L49" t="s">
        <v>80</v>
      </c>
      <c r="P49" t="s">
        <v>39</v>
      </c>
      <c r="Q49" t="s">
        <v>40</v>
      </c>
      <c r="R49" t="s">
        <v>3937</v>
      </c>
    </row>
    <row r="50" spans="1:18" x14ac:dyDescent="0.2">
      <c r="A50" t="s">
        <v>3938</v>
      </c>
      <c r="B50" t="s">
        <v>83</v>
      </c>
      <c r="C50" t="s">
        <v>84</v>
      </c>
      <c r="D50" t="s">
        <v>37</v>
      </c>
      <c r="F50" t="s">
        <v>3799</v>
      </c>
      <c r="N50" t="s">
        <v>39</v>
      </c>
      <c r="O50" t="s">
        <v>86</v>
      </c>
      <c r="P50" t="s">
        <v>3939</v>
      </c>
    </row>
    <row r="51" spans="1:18" x14ac:dyDescent="0.2">
      <c r="A51" t="s">
        <v>3940</v>
      </c>
      <c r="B51" t="s">
        <v>89</v>
      </c>
      <c r="D51" t="s">
        <v>37</v>
      </c>
      <c r="E51" t="s">
        <v>3941</v>
      </c>
      <c r="F51" t="s">
        <v>3799</v>
      </c>
      <c r="G51" t="s">
        <v>90</v>
      </c>
      <c r="N51" t="s">
        <v>39</v>
      </c>
      <c r="O51" t="s">
        <v>86</v>
      </c>
      <c r="P51" t="s">
        <v>3942</v>
      </c>
    </row>
    <row r="52" spans="1:18" x14ac:dyDescent="0.2">
      <c r="A52" t="s">
        <v>3943</v>
      </c>
      <c r="B52" t="s">
        <v>93</v>
      </c>
      <c r="D52" t="s">
        <v>37</v>
      </c>
      <c r="F52" t="s">
        <v>3799</v>
      </c>
      <c r="G52" t="s">
        <v>3944</v>
      </c>
      <c r="N52" t="s">
        <v>39</v>
      </c>
      <c r="O52" t="s">
        <v>86</v>
      </c>
    </row>
    <row r="53" spans="1:18" x14ac:dyDescent="0.2">
      <c r="A53" t="s">
        <v>3945</v>
      </c>
      <c r="B53" t="s">
        <v>3946</v>
      </c>
      <c r="C53" t="s">
        <v>47</v>
      </c>
      <c r="D53" t="s">
        <v>263</v>
      </c>
      <c r="E53" t="s">
        <v>3947</v>
      </c>
      <c r="F53" t="s">
        <v>3830</v>
      </c>
      <c r="G53" t="s">
        <v>3934</v>
      </c>
      <c r="H53" t="s">
        <v>3948</v>
      </c>
      <c r="I53" t="s">
        <v>3949</v>
      </c>
      <c r="J53" t="s">
        <v>3950</v>
      </c>
      <c r="K53" t="s">
        <v>80</v>
      </c>
      <c r="O53" t="s">
        <v>39</v>
      </c>
      <c r="P53" t="s">
        <v>3834</v>
      </c>
      <c r="Q53" t="s">
        <v>3951</v>
      </c>
    </row>
    <row r="54" spans="1:18" x14ac:dyDescent="0.2">
      <c r="A54" t="s">
        <v>3952</v>
      </c>
      <c r="B54" t="s">
        <v>3953</v>
      </c>
      <c r="C54" t="s">
        <v>84</v>
      </c>
      <c r="D54" t="s">
        <v>263</v>
      </c>
      <c r="F54" t="s">
        <v>3830</v>
      </c>
      <c r="N54" t="s">
        <v>39</v>
      </c>
      <c r="O54" t="s">
        <v>3834</v>
      </c>
      <c r="P54" t="s">
        <v>3954</v>
      </c>
    </row>
    <row r="55" spans="1:18" x14ac:dyDescent="0.2">
      <c r="A55" t="s">
        <v>3955</v>
      </c>
      <c r="B55" t="s">
        <v>3956</v>
      </c>
      <c r="D55" t="s">
        <v>263</v>
      </c>
      <c r="E55" t="s">
        <v>3941</v>
      </c>
      <c r="F55" t="s">
        <v>3830</v>
      </c>
      <c r="G55" t="s">
        <v>3957</v>
      </c>
      <c r="N55" t="s">
        <v>39</v>
      </c>
      <c r="O55" t="s">
        <v>3834</v>
      </c>
    </row>
    <row r="56" spans="1:18" x14ac:dyDescent="0.2">
      <c r="A56" t="s">
        <v>3958</v>
      </c>
      <c r="B56" t="s">
        <v>3959</v>
      </c>
      <c r="D56" t="s">
        <v>263</v>
      </c>
      <c r="F56" t="s">
        <v>3830</v>
      </c>
      <c r="G56" t="s">
        <v>3944</v>
      </c>
      <c r="N56" t="s">
        <v>39</v>
      </c>
      <c r="O56" t="s">
        <v>3834</v>
      </c>
    </row>
    <row r="57" spans="1:18" x14ac:dyDescent="0.2">
      <c r="A57" t="s">
        <v>3960</v>
      </c>
      <c r="B57" t="s">
        <v>3961</v>
      </c>
      <c r="C57" t="s">
        <v>47</v>
      </c>
      <c r="D57" t="s">
        <v>3851</v>
      </c>
      <c r="E57" t="s">
        <v>3962</v>
      </c>
      <c r="F57" t="s">
        <v>3911</v>
      </c>
      <c r="G57" t="s">
        <v>3963</v>
      </c>
      <c r="H57" t="s">
        <v>3964</v>
      </c>
      <c r="I57" t="s">
        <v>3965</v>
      </c>
      <c r="J57" t="s">
        <v>80</v>
      </c>
      <c r="N57" t="s">
        <v>39</v>
      </c>
      <c r="O57" t="s">
        <v>3848</v>
      </c>
      <c r="P57" t="s">
        <v>3966</v>
      </c>
    </row>
    <row r="58" spans="1:18" x14ac:dyDescent="0.2">
      <c r="A58" t="s">
        <v>3967</v>
      </c>
      <c r="B58" t="s">
        <v>96</v>
      </c>
      <c r="D58" t="s">
        <v>34</v>
      </c>
      <c r="E58" t="s">
        <v>3968</v>
      </c>
      <c r="F58" t="s">
        <v>3799</v>
      </c>
      <c r="G58" t="s">
        <v>3969</v>
      </c>
      <c r="H58" t="s">
        <v>3970</v>
      </c>
      <c r="L58" t="s">
        <v>98</v>
      </c>
      <c r="N58" t="s">
        <v>3971</v>
      </c>
      <c r="O58" t="s">
        <v>3972</v>
      </c>
      <c r="P58" t="s">
        <v>20</v>
      </c>
      <c r="Q58" t="s">
        <v>40</v>
      </c>
      <c r="R58" t="s">
        <v>3973</v>
      </c>
    </row>
    <row r="59" spans="1:18" x14ac:dyDescent="0.2">
      <c r="A59" t="s">
        <v>3974</v>
      </c>
      <c r="B59" t="s">
        <v>75</v>
      </c>
      <c r="C59" t="s">
        <v>47</v>
      </c>
      <c r="D59" t="s">
        <v>37</v>
      </c>
      <c r="F59" t="s">
        <v>3799</v>
      </c>
      <c r="G59" t="s">
        <v>3975</v>
      </c>
      <c r="H59" t="s">
        <v>100</v>
      </c>
      <c r="I59" t="s">
        <v>101</v>
      </c>
      <c r="J59" t="s">
        <v>80</v>
      </c>
      <c r="N59" t="s">
        <v>20</v>
      </c>
      <c r="O59" t="s">
        <v>40</v>
      </c>
    </row>
    <row r="60" spans="1:18" x14ac:dyDescent="0.2">
      <c r="A60" t="s">
        <v>3976</v>
      </c>
      <c r="B60" t="s">
        <v>46</v>
      </c>
      <c r="C60" t="s">
        <v>47</v>
      </c>
      <c r="D60" t="s">
        <v>42</v>
      </c>
      <c r="E60" t="s">
        <v>3977</v>
      </c>
      <c r="F60" t="s">
        <v>3799</v>
      </c>
      <c r="O60" t="s">
        <v>39</v>
      </c>
      <c r="P60" t="s">
        <v>40</v>
      </c>
    </row>
    <row r="61" spans="1:18" x14ac:dyDescent="0.2">
      <c r="A61" t="s">
        <v>3978</v>
      </c>
      <c r="B61" t="s">
        <v>105</v>
      </c>
      <c r="D61" t="s">
        <v>34</v>
      </c>
      <c r="F61" t="s">
        <v>3799</v>
      </c>
      <c r="G61" t="s">
        <v>3979</v>
      </c>
      <c r="H61" t="s">
        <v>3980</v>
      </c>
      <c r="L61" t="s">
        <v>107</v>
      </c>
      <c r="N61" t="s">
        <v>3981</v>
      </c>
      <c r="O61" t="s">
        <v>20</v>
      </c>
      <c r="P61" t="s">
        <v>40</v>
      </c>
    </row>
    <row r="62" spans="1:18" x14ac:dyDescent="0.2">
      <c r="A62" t="s">
        <v>3982</v>
      </c>
      <c r="B62" t="s">
        <v>109</v>
      </c>
      <c r="C62" t="s">
        <v>47</v>
      </c>
      <c r="D62" t="s">
        <v>37</v>
      </c>
      <c r="F62" t="s">
        <v>3799</v>
      </c>
      <c r="G62" t="s">
        <v>3983</v>
      </c>
      <c r="H62" t="s">
        <v>110</v>
      </c>
      <c r="I62" t="s">
        <v>111</v>
      </c>
      <c r="J62" t="s">
        <v>80</v>
      </c>
      <c r="N62" t="s">
        <v>20</v>
      </c>
      <c r="O62" t="s">
        <v>40</v>
      </c>
    </row>
    <row r="63" spans="1:18" x14ac:dyDescent="0.2">
      <c r="A63" t="s">
        <v>3984</v>
      </c>
      <c r="B63" t="s">
        <v>113</v>
      </c>
      <c r="C63" t="s">
        <v>47</v>
      </c>
      <c r="D63" t="s">
        <v>114</v>
      </c>
      <c r="E63" t="s">
        <v>3985</v>
      </c>
      <c r="F63" t="s">
        <v>3799</v>
      </c>
      <c r="O63" t="s">
        <v>39</v>
      </c>
      <c r="P63" t="s">
        <v>40</v>
      </c>
    </row>
    <row r="64" spans="1:18" x14ac:dyDescent="0.2">
      <c r="A64" t="s">
        <v>3986</v>
      </c>
      <c r="B64" t="s">
        <v>117</v>
      </c>
      <c r="D64" t="s">
        <v>34</v>
      </c>
      <c r="F64" t="s">
        <v>3799</v>
      </c>
      <c r="G64" t="s">
        <v>3987</v>
      </c>
      <c r="H64" t="s">
        <v>3988</v>
      </c>
      <c r="L64" t="s">
        <v>119</v>
      </c>
      <c r="N64" t="s">
        <v>3981</v>
      </c>
      <c r="O64" t="s">
        <v>20</v>
      </c>
      <c r="P64" t="s">
        <v>40</v>
      </c>
    </row>
    <row r="65" spans="1:17" x14ac:dyDescent="0.2">
      <c r="A65" t="s">
        <v>3989</v>
      </c>
      <c r="B65" t="s">
        <v>121</v>
      </c>
      <c r="C65" t="s">
        <v>47</v>
      </c>
      <c r="D65" t="s">
        <v>37</v>
      </c>
      <c r="F65" t="s">
        <v>3799</v>
      </c>
      <c r="G65" t="s">
        <v>3990</v>
      </c>
      <c r="H65" t="s">
        <v>122</v>
      </c>
      <c r="I65" t="s">
        <v>123</v>
      </c>
      <c r="J65" t="s">
        <v>80</v>
      </c>
      <c r="N65" t="s">
        <v>20</v>
      </c>
      <c r="O65" t="s">
        <v>40</v>
      </c>
    </row>
    <row r="66" spans="1:17" x14ac:dyDescent="0.2">
      <c r="A66" t="s">
        <v>3991</v>
      </c>
      <c r="B66" t="s">
        <v>125</v>
      </c>
      <c r="C66" t="s">
        <v>47</v>
      </c>
      <c r="D66" t="s">
        <v>126</v>
      </c>
      <c r="E66" t="s">
        <v>3992</v>
      </c>
      <c r="F66" t="s">
        <v>3799</v>
      </c>
      <c r="O66" t="s">
        <v>39</v>
      </c>
      <c r="P66" t="s">
        <v>40</v>
      </c>
    </row>
    <row r="67" spans="1:17" x14ac:dyDescent="0.2">
      <c r="A67" t="s">
        <v>3993</v>
      </c>
      <c r="B67" t="s">
        <v>129</v>
      </c>
      <c r="D67" t="s">
        <v>34</v>
      </c>
      <c r="F67" t="s">
        <v>3799</v>
      </c>
      <c r="G67" t="s">
        <v>3994</v>
      </c>
      <c r="H67" t="s">
        <v>3995</v>
      </c>
      <c r="L67" t="s">
        <v>131</v>
      </c>
      <c r="N67" t="s">
        <v>3981</v>
      </c>
      <c r="O67" t="s">
        <v>20</v>
      </c>
      <c r="P67" t="s">
        <v>40</v>
      </c>
    </row>
    <row r="68" spans="1:17" x14ac:dyDescent="0.2">
      <c r="A68" t="s">
        <v>3996</v>
      </c>
      <c r="B68" t="s">
        <v>133</v>
      </c>
      <c r="C68" t="s">
        <v>47</v>
      </c>
      <c r="D68" t="s">
        <v>37</v>
      </c>
      <c r="F68" t="s">
        <v>3799</v>
      </c>
      <c r="G68" t="s">
        <v>3997</v>
      </c>
      <c r="H68" t="s">
        <v>134</v>
      </c>
      <c r="I68" t="s">
        <v>135</v>
      </c>
      <c r="J68" t="s">
        <v>80</v>
      </c>
      <c r="N68" t="s">
        <v>20</v>
      </c>
      <c r="O68" t="s">
        <v>40</v>
      </c>
      <c r="P68" t="s">
        <v>3998</v>
      </c>
    </row>
    <row r="69" spans="1:17" x14ac:dyDescent="0.2">
      <c r="A69" t="s">
        <v>3999</v>
      </c>
      <c r="B69" t="s">
        <v>137</v>
      </c>
      <c r="C69" t="s">
        <v>47</v>
      </c>
      <c r="D69" t="s">
        <v>138</v>
      </c>
      <c r="E69" t="s">
        <v>4000</v>
      </c>
      <c r="F69" t="s">
        <v>3799</v>
      </c>
      <c r="O69" t="s">
        <v>39</v>
      </c>
      <c r="P69" t="s">
        <v>40</v>
      </c>
    </row>
    <row r="70" spans="1:17" x14ac:dyDescent="0.2">
      <c r="A70" t="s">
        <v>4001</v>
      </c>
      <c r="B70" t="s">
        <v>141</v>
      </c>
      <c r="D70" t="s">
        <v>34</v>
      </c>
      <c r="F70" t="s">
        <v>3799</v>
      </c>
      <c r="G70" t="s">
        <v>4002</v>
      </c>
      <c r="H70" t="s">
        <v>4003</v>
      </c>
      <c r="L70" t="s">
        <v>143</v>
      </c>
      <c r="N70" t="s">
        <v>3981</v>
      </c>
      <c r="O70" t="s">
        <v>20</v>
      </c>
      <c r="P70" t="s">
        <v>40</v>
      </c>
    </row>
    <row r="71" spans="1:17" x14ac:dyDescent="0.2">
      <c r="A71" t="s">
        <v>4004</v>
      </c>
      <c r="B71" t="s">
        <v>145</v>
      </c>
      <c r="C71" t="s">
        <v>47</v>
      </c>
      <c r="D71" t="s">
        <v>37</v>
      </c>
      <c r="F71" t="s">
        <v>3799</v>
      </c>
      <c r="G71" t="s">
        <v>4005</v>
      </c>
      <c r="H71" t="s">
        <v>146</v>
      </c>
      <c r="I71" t="s">
        <v>147</v>
      </c>
      <c r="J71" t="s">
        <v>80</v>
      </c>
      <c r="N71" t="s">
        <v>20</v>
      </c>
      <c r="O71" t="s">
        <v>40</v>
      </c>
    </row>
    <row r="72" spans="1:17" x14ac:dyDescent="0.2">
      <c r="A72" t="s">
        <v>4006</v>
      </c>
      <c r="B72" t="s">
        <v>149</v>
      </c>
      <c r="C72" t="s">
        <v>47</v>
      </c>
      <c r="D72" t="s">
        <v>150</v>
      </c>
      <c r="E72" t="s">
        <v>4007</v>
      </c>
      <c r="F72" t="s">
        <v>3799</v>
      </c>
      <c r="O72" t="s">
        <v>39</v>
      </c>
      <c r="P72" t="s">
        <v>40</v>
      </c>
    </row>
    <row r="73" spans="1:17" x14ac:dyDescent="0.2">
      <c r="A73" t="s">
        <v>4008</v>
      </c>
      <c r="B73" t="s">
        <v>4009</v>
      </c>
      <c r="D73" t="s">
        <v>3829</v>
      </c>
      <c r="E73" t="s">
        <v>4010</v>
      </c>
      <c r="F73" t="s">
        <v>3830</v>
      </c>
      <c r="G73" t="s">
        <v>3969</v>
      </c>
      <c r="H73" t="s">
        <v>3970</v>
      </c>
      <c r="L73" t="s">
        <v>4011</v>
      </c>
      <c r="N73" t="s">
        <v>4012</v>
      </c>
      <c r="O73" t="s">
        <v>20</v>
      </c>
      <c r="P73" t="s">
        <v>4013</v>
      </c>
      <c r="Q73" t="s">
        <v>4014</v>
      </c>
    </row>
    <row r="74" spans="1:17" x14ac:dyDescent="0.2">
      <c r="A74" t="s">
        <v>4015</v>
      </c>
      <c r="B74" t="s">
        <v>156</v>
      </c>
      <c r="D74" t="s">
        <v>157</v>
      </c>
      <c r="E74" t="s">
        <v>4016</v>
      </c>
      <c r="F74" t="s">
        <v>4017</v>
      </c>
      <c r="G74" t="s">
        <v>4018</v>
      </c>
      <c r="H74" t="s">
        <v>161</v>
      </c>
      <c r="I74" t="s">
        <v>162</v>
      </c>
      <c r="J74" t="s">
        <v>80</v>
      </c>
      <c r="M74" t="s">
        <v>4019</v>
      </c>
      <c r="N74" t="s">
        <v>20</v>
      </c>
      <c r="O74" t="s">
        <v>164</v>
      </c>
      <c r="P74" t="s">
        <v>4020</v>
      </c>
    </row>
    <row r="75" spans="1:17" x14ac:dyDescent="0.2">
      <c r="A75" t="s">
        <v>4021</v>
      </c>
      <c r="B75" t="s">
        <v>193</v>
      </c>
      <c r="C75" t="s">
        <v>18</v>
      </c>
      <c r="E75" t="s">
        <v>4022</v>
      </c>
      <c r="F75" t="s">
        <v>4023</v>
      </c>
      <c r="G75" t="s">
        <v>4024</v>
      </c>
      <c r="N75" t="s">
        <v>20</v>
      </c>
      <c r="O75" t="s">
        <v>168</v>
      </c>
    </row>
    <row r="76" spans="1:17" x14ac:dyDescent="0.2">
      <c r="A76" t="s">
        <v>4025</v>
      </c>
      <c r="B76" t="s">
        <v>4026</v>
      </c>
      <c r="C76" t="s">
        <v>47</v>
      </c>
      <c r="D76" t="s">
        <v>193</v>
      </c>
      <c r="E76" t="s">
        <v>199</v>
      </c>
      <c r="F76" t="s">
        <v>4023</v>
      </c>
      <c r="G76" t="s">
        <v>4027</v>
      </c>
      <c r="N76" t="s">
        <v>20</v>
      </c>
      <c r="O76" t="s">
        <v>168</v>
      </c>
    </row>
    <row r="77" spans="1:17" x14ac:dyDescent="0.2">
      <c r="A77" t="s">
        <v>4028</v>
      </c>
      <c r="B77" t="s">
        <v>4029</v>
      </c>
      <c r="C77" t="s">
        <v>47</v>
      </c>
      <c r="D77" t="s">
        <v>193</v>
      </c>
      <c r="E77" t="s">
        <v>202</v>
      </c>
      <c r="F77" t="s">
        <v>4023</v>
      </c>
      <c r="G77" t="s">
        <v>4027</v>
      </c>
      <c r="N77" t="s">
        <v>20</v>
      </c>
      <c r="O77" t="s">
        <v>168</v>
      </c>
    </row>
    <row r="78" spans="1:17" x14ac:dyDescent="0.2">
      <c r="A78" t="s">
        <v>4030</v>
      </c>
      <c r="B78" t="s">
        <v>4031</v>
      </c>
      <c r="C78" t="s">
        <v>62</v>
      </c>
      <c r="D78" t="s">
        <v>193</v>
      </c>
      <c r="G78" t="s">
        <v>4023</v>
      </c>
      <c r="I78" t="s">
        <v>205</v>
      </c>
      <c r="J78" t="s">
        <v>4032</v>
      </c>
      <c r="K78" t="s">
        <v>80</v>
      </c>
      <c r="L78" t="s">
        <v>207</v>
      </c>
      <c r="N78" t="s">
        <v>4033</v>
      </c>
      <c r="O78" t="s">
        <v>20</v>
      </c>
      <c r="P78" t="s">
        <v>168</v>
      </c>
      <c r="Q78" t="s">
        <v>4034</v>
      </c>
    </row>
    <row r="79" spans="1:17" x14ac:dyDescent="0.2">
      <c r="A79" t="s">
        <v>4035</v>
      </c>
      <c r="B79" t="s">
        <v>210</v>
      </c>
      <c r="C79" t="s">
        <v>47</v>
      </c>
      <c r="D79" t="s">
        <v>193</v>
      </c>
      <c r="E79" t="s">
        <v>4036</v>
      </c>
      <c r="F79" t="s">
        <v>4023</v>
      </c>
      <c r="N79" t="s">
        <v>20</v>
      </c>
      <c r="O79" t="s">
        <v>168</v>
      </c>
    </row>
    <row r="80" spans="1:17" x14ac:dyDescent="0.2">
      <c r="A80" t="s">
        <v>4037</v>
      </c>
      <c r="B80" t="s">
        <v>247</v>
      </c>
      <c r="C80" t="s">
        <v>47</v>
      </c>
      <c r="D80" t="s">
        <v>173</v>
      </c>
      <c r="E80" t="s">
        <v>4038</v>
      </c>
      <c r="F80" t="s">
        <v>4023</v>
      </c>
      <c r="G80" t="s">
        <v>4039</v>
      </c>
      <c r="K80" t="s">
        <v>4040</v>
      </c>
      <c r="M80" t="s">
        <v>4041</v>
      </c>
      <c r="N80" t="s">
        <v>20</v>
      </c>
      <c r="O80" t="s">
        <v>230</v>
      </c>
      <c r="P80" t="s">
        <v>4042</v>
      </c>
    </row>
    <row r="81" spans="1:17" x14ac:dyDescent="0.2">
      <c r="A81" t="s">
        <v>4043</v>
      </c>
      <c r="B81" t="s">
        <v>240</v>
      </c>
      <c r="C81" t="s">
        <v>47</v>
      </c>
      <c r="D81" t="s">
        <v>241</v>
      </c>
      <c r="E81" t="s">
        <v>4044</v>
      </c>
      <c r="F81" t="s">
        <v>4023</v>
      </c>
      <c r="G81" t="s">
        <v>4039</v>
      </c>
      <c r="K81" t="s">
        <v>4045</v>
      </c>
      <c r="M81" t="s">
        <v>4041</v>
      </c>
      <c r="N81" t="s">
        <v>20</v>
      </c>
      <c r="O81" t="s">
        <v>230</v>
      </c>
      <c r="P81" t="s">
        <v>4046</v>
      </c>
    </row>
    <row r="82" spans="1:17" x14ac:dyDescent="0.2">
      <c r="A82" t="s">
        <v>4047</v>
      </c>
      <c r="B82" t="s">
        <v>233</v>
      </c>
      <c r="C82" t="s">
        <v>47</v>
      </c>
      <c r="D82" t="s">
        <v>234</v>
      </c>
      <c r="E82" t="s">
        <v>4048</v>
      </c>
      <c r="F82" t="s">
        <v>4023</v>
      </c>
      <c r="G82" t="s">
        <v>4039</v>
      </c>
      <c r="K82" t="s">
        <v>4049</v>
      </c>
      <c r="M82" t="s">
        <v>4041</v>
      </c>
      <c r="N82" t="s">
        <v>20</v>
      </c>
      <c r="O82" t="s">
        <v>230</v>
      </c>
      <c r="P82" t="s">
        <v>4050</v>
      </c>
    </row>
    <row r="83" spans="1:17" x14ac:dyDescent="0.2">
      <c r="A83" t="s">
        <v>4051</v>
      </c>
      <c r="B83" t="s">
        <v>224</v>
      </c>
      <c r="C83" t="s">
        <v>47</v>
      </c>
      <c r="D83" t="s">
        <v>225</v>
      </c>
      <c r="E83" t="s">
        <v>4052</v>
      </c>
      <c r="F83" t="s">
        <v>4023</v>
      </c>
      <c r="G83" t="s">
        <v>4039</v>
      </c>
      <c r="K83" t="s">
        <v>4053</v>
      </c>
      <c r="M83" t="s">
        <v>4041</v>
      </c>
      <c r="N83" t="s">
        <v>20</v>
      </c>
      <c r="O83" t="s">
        <v>230</v>
      </c>
      <c r="P83" t="s">
        <v>4054</v>
      </c>
    </row>
    <row r="84" spans="1:17" x14ac:dyDescent="0.2">
      <c r="A84" t="s">
        <v>4055</v>
      </c>
      <c r="B84" t="s">
        <v>181</v>
      </c>
      <c r="C84" t="s">
        <v>166</v>
      </c>
      <c r="D84" t="s">
        <v>157</v>
      </c>
      <c r="F84" t="s">
        <v>4017</v>
      </c>
      <c r="N84" t="s">
        <v>20</v>
      </c>
      <c r="O84" t="s">
        <v>168</v>
      </c>
    </row>
    <row r="85" spans="1:17" x14ac:dyDescent="0.2">
      <c r="A85" t="s">
        <v>4056</v>
      </c>
      <c r="B85" t="s">
        <v>185</v>
      </c>
      <c r="C85" t="s">
        <v>166</v>
      </c>
      <c r="D85" t="s">
        <v>157</v>
      </c>
      <c r="F85" t="s">
        <v>4017</v>
      </c>
      <c r="N85" t="s">
        <v>20</v>
      </c>
      <c r="O85" t="s">
        <v>168</v>
      </c>
    </row>
    <row r="86" spans="1:17" x14ac:dyDescent="0.2">
      <c r="A86" t="s">
        <v>4057</v>
      </c>
      <c r="B86" t="s">
        <v>189</v>
      </c>
      <c r="C86" t="s">
        <v>166</v>
      </c>
      <c r="D86" t="s">
        <v>157</v>
      </c>
      <c r="F86" t="s">
        <v>4017</v>
      </c>
      <c r="N86" t="s">
        <v>20</v>
      </c>
      <c r="O86" t="s">
        <v>168</v>
      </c>
    </row>
    <row r="87" spans="1:17" x14ac:dyDescent="0.2">
      <c r="A87" t="s">
        <v>4058</v>
      </c>
      <c r="B87" t="s">
        <v>126</v>
      </c>
      <c r="C87" t="s">
        <v>166</v>
      </c>
      <c r="D87" t="s">
        <v>157</v>
      </c>
      <c r="F87" t="s">
        <v>4017</v>
      </c>
      <c r="N87" t="s">
        <v>20</v>
      </c>
      <c r="O87" t="s">
        <v>168</v>
      </c>
    </row>
    <row r="88" spans="1:17" x14ac:dyDescent="0.2">
      <c r="A88" t="s">
        <v>4059</v>
      </c>
      <c r="B88" t="s">
        <v>173</v>
      </c>
      <c r="C88" t="s">
        <v>166</v>
      </c>
      <c r="D88" t="s">
        <v>157</v>
      </c>
      <c r="F88" t="s">
        <v>4017</v>
      </c>
      <c r="N88" t="s">
        <v>20</v>
      </c>
      <c r="O88" t="s">
        <v>168</v>
      </c>
    </row>
    <row r="89" spans="1:17" x14ac:dyDescent="0.2">
      <c r="A89" t="s">
        <v>4060</v>
      </c>
      <c r="B89" t="s">
        <v>177</v>
      </c>
      <c r="C89" t="s">
        <v>166</v>
      </c>
      <c r="D89" t="s">
        <v>157</v>
      </c>
      <c r="F89" t="s">
        <v>4017</v>
      </c>
      <c r="N89" t="s">
        <v>20</v>
      </c>
      <c r="O89" t="s">
        <v>168</v>
      </c>
    </row>
    <row r="90" spans="1:17" x14ac:dyDescent="0.2">
      <c r="A90" t="s">
        <v>4061</v>
      </c>
      <c r="B90" t="s">
        <v>253</v>
      </c>
      <c r="C90" t="s">
        <v>47</v>
      </c>
      <c r="D90" t="s">
        <v>254</v>
      </c>
      <c r="E90" t="s">
        <v>4062</v>
      </c>
      <c r="F90" t="s">
        <v>4063</v>
      </c>
      <c r="G90" t="s">
        <v>3890</v>
      </c>
      <c r="H90" t="s">
        <v>4064</v>
      </c>
      <c r="O90" t="s">
        <v>39</v>
      </c>
      <c r="P90" t="s">
        <v>258</v>
      </c>
      <c r="Q90" t="s">
        <v>4065</v>
      </c>
    </row>
    <row r="91" spans="1:17" x14ac:dyDescent="0.2">
      <c r="A91" t="s">
        <v>4066</v>
      </c>
      <c r="B91" t="s">
        <v>261</v>
      </c>
      <c r="C91" t="s">
        <v>4067</v>
      </c>
      <c r="D91" t="s">
        <v>263</v>
      </c>
      <c r="F91" t="s">
        <v>4063</v>
      </c>
      <c r="N91" t="s">
        <v>39</v>
      </c>
      <c r="O91" t="s">
        <v>258</v>
      </c>
    </row>
    <row r="92" spans="1:17" x14ac:dyDescent="0.2">
      <c r="A92" t="s">
        <v>4068</v>
      </c>
      <c r="B92" t="s">
        <v>266</v>
      </c>
      <c r="C92" t="s">
        <v>4069</v>
      </c>
      <c r="F92" t="s">
        <v>4063</v>
      </c>
      <c r="N92" t="s">
        <v>20</v>
      </c>
      <c r="O92" t="s">
        <v>258</v>
      </c>
    </row>
    <row r="93" spans="1:17" x14ac:dyDescent="0.2">
      <c r="A93" t="s">
        <v>4070</v>
      </c>
      <c r="B93" t="s">
        <v>269</v>
      </c>
      <c r="C93" t="s">
        <v>47</v>
      </c>
      <c r="D93" t="s">
        <v>270</v>
      </c>
      <c r="E93" t="s">
        <v>4062</v>
      </c>
      <c r="F93" t="s">
        <v>4063</v>
      </c>
      <c r="G93" t="s">
        <v>3890</v>
      </c>
      <c r="H93" t="s">
        <v>4064</v>
      </c>
      <c r="O93" t="s">
        <v>39</v>
      </c>
      <c r="P93" t="s">
        <v>258</v>
      </c>
      <c r="Q93" t="s">
        <v>4071</v>
      </c>
    </row>
    <row r="94" spans="1:17" x14ac:dyDescent="0.2">
      <c r="A94" t="s">
        <v>4072</v>
      </c>
      <c r="B94" t="s">
        <v>273</v>
      </c>
      <c r="C94" t="s">
        <v>4067</v>
      </c>
      <c r="D94" t="s">
        <v>274</v>
      </c>
      <c r="F94" t="s">
        <v>4063</v>
      </c>
      <c r="N94" t="s">
        <v>39</v>
      </c>
      <c r="O94" t="s">
        <v>258</v>
      </c>
    </row>
    <row r="95" spans="1:17" x14ac:dyDescent="0.2">
      <c r="A95" t="s">
        <v>4073</v>
      </c>
      <c r="B95" t="s">
        <v>277</v>
      </c>
      <c r="C95" t="s">
        <v>4069</v>
      </c>
      <c r="F95" t="s">
        <v>4063</v>
      </c>
      <c r="N95" t="s">
        <v>20</v>
      </c>
      <c r="O95" t="s">
        <v>258</v>
      </c>
    </row>
    <row r="96" spans="1:17" x14ac:dyDescent="0.2">
      <c r="A96" t="s">
        <v>4074</v>
      </c>
      <c r="B96" t="s">
        <v>279</v>
      </c>
      <c r="C96" t="s">
        <v>47</v>
      </c>
      <c r="D96" t="s">
        <v>280</v>
      </c>
      <c r="E96" t="s">
        <v>4062</v>
      </c>
      <c r="F96" t="s">
        <v>4063</v>
      </c>
      <c r="G96" t="s">
        <v>3890</v>
      </c>
      <c r="H96" t="s">
        <v>4064</v>
      </c>
      <c r="O96" t="s">
        <v>39</v>
      </c>
      <c r="P96" t="s">
        <v>258</v>
      </c>
      <c r="Q96" t="s">
        <v>4075</v>
      </c>
    </row>
    <row r="97" spans="1:17" x14ac:dyDescent="0.2">
      <c r="A97" t="s">
        <v>4076</v>
      </c>
      <c r="B97" t="s">
        <v>283</v>
      </c>
      <c r="C97" t="s">
        <v>4067</v>
      </c>
      <c r="D97" t="s">
        <v>284</v>
      </c>
      <c r="F97" t="s">
        <v>4063</v>
      </c>
      <c r="N97" t="s">
        <v>39</v>
      </c>
      <c r="O97" t="s">
        <v>258</v>
      </c>
    </row>
    <row r="98" spans="1:17" x14ac:dyDescent="0.2">
      <c r="A98" t="s">
        <v>4077</v>
      </c>
      <c r="B98" t="s">
        <v>287</v>
      </c>
      <c r="C98" t="s">
        <v>4069</v>
      </c>
      <c r="F98" t="s">
        <v>4063</v>
      </c>
      <c r="N98" t="s">
        <v>20</v>
      </c>
      <c r="O98" t="s">
        <v>258</v>
      </c>
    </row>
    <row r="99" spans="1:17" x14ac:dyDescent="0.2">
      <c r="A99" t="s">
        <v>4078</v>
      </c>
      <c r="B99" t="s">
        <v>289</v>
      </c>
      <c r="C99" t="s">
        <v>47</v>
      </c>
      <c r="D99" t="s">
        <v>290</v>
      </c>
      <c r="E99" t="s">
        <v>4062</v>
      </c>
      <c r="F99" t="s">
        <v>4063</v>
      </c>
      <c r="G99" t="s">
        <v>3890</v>
      </c>
      <c r="H99" t="s">
        <v>4064</v>
      </c>
      <c r="O99" t="s">
        <v>39</v>
      </c>
      <c r="P99" t="s">
        <v>258</v>
      </c>
      <c r="Q99" t="s">
        <v>4079</v>
      </c>
    </row>
    <row r="100" spans="1:17" x14ac:dyDescent="0.2">
      <c r="A100" t="s">
        <v>4080</v>
      </c>
      <c r="B100" t="s">
        <v>293</v>
      </c>
      <c r="C100" t="s">
        <v>4067</v>
      </c>
      <c r="D100" t="s">
        <v>284</v>
      </c>
      <c r="F100" t="s">
        <v>4063</v>
      </c>
      <c r="N100" t="s">
        <v>39</v>
      </c>
      <c r="O100" t="s">
        <v>258</v>
      </c>
    </row>
    <row r="101" spans="1:17" x14ac:dyDescent="0.2">
      <c r="A101" t="s">
        <v>4081</v>
      </c>
      <c r="B101" t="s">
        <v>296</v>
      </c>
      <c r="C101" t="s">
        <v>4069</v>
      </c>
      <c r="F101" t="s">
        <v>4063</v>
      </c>
      <c r="N101" t="s">
        <v>20</v>
      </c>
      <c r="O101" t="s">
        <v>258</v>
      </c>
    </row>
    <row r="102" spans="1:17" x14ac:dyDescent="0.2">
      <c r="A102" t="s">
        <v>4082</v>
      </c>
      <c r="B102" t="s">
        <v>4083</v>
      </c>
      <c r="C102" t="s">
        <v>4084</v>
      </c>
      <c r="D102" t="s">
        <v>327</v>
      </c>
      <c r="E102" t="s">
        <v>4085</v>
      </c>
      <c r="F102" t="s">
        <v>4086</v>
      </c>
      <c r="G102" t="s">
        <v>4087</v>
      </c>
      <c r="H102" t="s">
        <v>325</v>
      </c>
      <c r="I102" t="s">
        <v>325</v>
      </c>
      <c r="K102" t="s">
        <v>330</v>
      </c>
      <c r="M102" t="s">
        <v>4088</v>
      </c>
      <c r="N102" t="s">
        <v>39</v>
      </c>
      <c r="O102" t="s">
        <v>331</v>
      </c>
      <c r="P102" t="s">
        <v>4089</v>
      </c>
    </row>
    <row r="103" spans="1:17" x14ac:dyDescent="0.2">
      <c r="A103" t="s">
        <v>4090</v>
      </c>
      <c r="B103" t="s">
        <v>4091</v>
      </c>
      <c r="C103" t="s">
        <v>4084</v>
      </c>
      <c r="D103" t="s">
        <v>225</v>
      </c>
      <c r="E103" t="s">
        <v>4085</v>
      </c>
      <c r="F103" t="s">
        <v>4086</v>
      </c>
      <c r="G103" t="s">
        <v>4087</v>
      </c>
      <c r="H103" t="s">
        <v>4092</v>
      </c>
      <c r="I103" t="s">
        <v>325</v>
      </c>
      <c r="K103" t="s">
        <v>4093</v>
      </c>
      <c r="M103" t="s">
        <v>4088</v>
      </c>
      <c r="N103" t="s">
        <v>39</v>
      </c>
      <c r="O103" t="s">
        <v>331</v>
      </c>
    </row>
    <row r="104" spans="1:17" x14ac:dyDescent="0.2">
      <c r="A104" t="s">
        <v>4094</v>
      </c>
      <c r="B104" t="s">
        <v>4095</v>
      </c>
      <c r="C104" t="s">
        <v>4084</v>
      </c>
      <c r="D104" t="s">
        <v>353</v>
      </c>
      <c r="E104" t="s">
        <v>4085</v>
      </c>
      <c r="F104" t="s">
        <v>4086</v>
      </c>
      <c r="G104" t="s">
        <v>4087</v>
      </c>
      <c r="H104" t="s">
        <v>4096</v>
      </c>
      <c r="I104" t="s">
        <v>4097</v>
      </c>
      <c r="K104" t="s">
        <v>4098</v>
      </c>
      <c r="M104" t="s">
        <v>4088</v>
      </c>
      <c r="N104" t="s">
        <v>39</v>
      </c>
      <c r="O104" t="s">
        <v>331</v>
      </c>
    </row>
    <row r="105" spans="1:17" x14ac:dyDescent="0.2">
      <c r="A105" t="s">
        <v>4099</v>
      </c>
      <c r="B105" t="s">
        <v>4100</v>
      </c>
      <c r="C105" t="s">
        <v>47</v>
      </c>
      <c r="D105" t="s">
        <v>4101</v>
      </c>
      <c r="E105" t="s">
        <v>4102</v>
      </c>
      <c r="F105" t="s">
        <v>4103</v>
      </c>
      <c r="G105" t="s">
        <v>4104</v>
      </c>
      <c r="N105" t="s">
        <v>39</v>
      </c>
      <c r="O105" t="s">
        <v>4105</v>
      </c>
      <c r="P105" t="s">
        <v>4106</v>
      </c>
    </row>
    <row r="106" spans="1:17" x14ac:dyDescent="0.2">
      <c r="A106" t="s">
        <v>4107</v>
      </c>
      <c r="B106" t="s">
        <v>4100</v>
      </c>
      <c r="C106" t="s">
        <v>47</v>
      </c>
      <c r="D106" t="s">
        <v>3842</v>
      </c>
      <c r="E106" t="s">
        <v>4108</v>
      </c>
      <c r="F106" t="s">
        <v>4103</v>
      </c>
      <c r="G106" t="s">
        <v>4109</v>
      </c>
      <c r="N106" t="s">
        <v>39</v>
      </c>
      <c r="O106" t="s">
        <v>4105</v>
      </c>
      <c r="P106" t="s">
        <v>4110</v>
      </c>
    </row>
    <row r="107" spans="1:17" x14ac:dyDescent="0.2">
      <c r="A107" t="s">
        <v>4111</v>
      </c>
      <c r="B107" t="s">
        <v>4112</v>
      </c>
      <c r="C107" t="s">
        <v>47</v>
      </c>
      <c r="D107" t="s">
        <v>4113</v>
      </c>
      <c r="E107" t="s">
        <v>4108</v>
      </c>
      <c r="F107" t="s">
        <v>4103</v>
      </c>
      <c r="G107" t="s">
        <v>4114</v>
      </c>
      <c r="N107" t="s">
        <v>39</v>
      </c>
      <c r="O107" t="s">
        <v>4105</v>
      </c>
      <c r="P107" t="s">
        <v>4115</v>
      </c>
    </row>
    <row r="108" spans="1:17" x14ac:dyDescent="0.2">
      <c r="A108" t="s">
        <v>4116</v>
      </c>
      <c r="B108" t="s">
        <v>4117</v>
      </c>
      <c r="C108" t="s">
        <v>47</v>
      </c>
      <c r="D108" t="s">
        <v>23</v>
      </c>
      <c r="E108" t="s">
        <v>4108</v>
      </c>
      <c r="F108" t="s">
        <v>4103</v>
      </c>
      <c r="G108" t="s">
        <v>4118</v>
      </c>
      <c r="N108" t="s">
        <v>39</v>
      </c>
      <c r="O108" t="s">
        <v>4105</v>
      </c>
      <c r="P108" t="s">
        <v>4119</v>
      </c>
    </row>
    <row r="109" spans="1:17" x14ac:dyDescent="0.2">
      <c r="A109" t="s">
        <v>4120</v>
      </c>
      <c r="B109" t="s">
        <v>4083</v>
      </c>
      <c r="C109" t="s">
        <v>4084</v>
      </c>
      <c r="D109" t="s">
        <v>4121</v>
      </c>
      <c r="E109" t="s">
        <v>4085</v>
      </c>
      <c r="F109" t="s">
        <v>4122</v>
      </c>
      <c r="G109" t="s">
        <v>329</v>
      </c>
      <c r="H109" t="s">
        <v>325</v>
      </c>
      <c r="I109" t="s">
        <v>325</v>
      </c>
      <c r="K109" t="s">
        <v>330</v>
      </c>
      <c r="M109" t="s">
        <v>4088</v>
      </c>
      <c r="N109" t="s">
        <v>39</v>
      </c>
      <c r="O109" t="s">
        <v>4123</v>
      </c>
      <c r="P109" t="s">
        <v>4124</v>
      </c>
    </row>
    <row r="110" spans="1:17" x14ac:dyDescent="0.2">
      <c r="A110" t="s">
        <v>4125</v>
      </c>
      <c r="B110" t="s">
        <v>4126</v>
      </c>
      <c r="C110" t="s">
        <v>4084</v>
      </c>
      <c r="D110" t="s">
        <v>4127</v>
      </c>
      <c r="E110" t="s">
        <v>4085</v>
      </c>
      <c r="F110" t="s">
        <v>4122</v>
      </c>
      <c r="G110" t="s">
        <v>329</v>
      </c>
      <c r="H110" t="s">
        <v>4083</v>
      </c>
      <c r="I110" t="s">
        <v>4128</v>
      </c>
      <c r="K110" t="s">
        <v>4129</v>
      </c>
      <c r="M110" t="s">
        <v>4088</v>
      </c>
      <c r="N110" t="s">
        <v>39</v>
      </c>
      <c r="O110" t="s">
        <v>4123</v>
      </c>
    </row>
    <row r="111" spans="1:17" x14ac:dyDescent="0.2">
      <c r="A111" t="s">
        <v>4130</v>
      </c>
      <c r="B111" t="s">
        <v>4131</v>
      </c>
      <c r="C111" t="s">
        <v>4084</v>
      </c>
      <c r="D111" t="s">
        <v>4132</v>
      </c>
      <c r="E111" t="s">
        <v>4085</v>
      </c>
      <c r="F111" t="s">
        <v>4122</v>
      </c>
      <c r="G111" t="s">
        <v>329</v>
      </c>
      <c r="H111" t="s">
        <v>4083</v>
      </c>
      <c r="I111" t="s">
        <v>4133</v>
      </c>
      <c r="K111" t="s">
        <v>4134</v>
      </c>
      <c r="M111" t="s">
        <v>4088</v>
      </c>
      <c r="N111" t="s">
        <v>39</v>
      </c>
      <c r="O111" t="s">
        <v>4123</v>
      </c>
    </row>
    <row r="112" spans="1:17" x14ac:dyDescent="0.2">
      <c r="A112" t="s">
        <v>4135</v>
      </c>
      <c r="B112" t="s">
        <v>363</v>
      </c>
      <c r="C112" t="s">
        <v>47</v>
      </c>
      <c r="D112" t="s">
        <v>364</v>
      </c>
      <c r="E112" t="s">
        <v>4136</v>
      </c>
      <c r="F112" t="s">
        <v>4137</v>
      </c>
      <c r="G112" t="s">
        <v>4138</v>
      </c>
      <c r="H112" t="s">
        <v>367</v>
      </c>
      <c r="I112" t="s">
        <v>4139</v>
      </c>
      <c r="J112" t="s">
        <v>80</v>
      </c>
      <c r="M112" t="s">
        <v>4088</v>
      </c>
      <c r="N112" t="s">
        <v>20</v>
      </c>
      <c r="O112" t="s">
        <v>369</v>
      </c>
    </row>
    <row r="113" spans="1:21" x14ac:dyDescent="0.2">
      <c r="A113" t="s">
        <v>4140</v>
      </c>
      <c r="B113" t="s">
        <v>377</v>
      </c>
      <c r="C113" t="s">
        <v>47</v>
      </c>
      <c r="D113" t="s">
        <v>364</v>
      </c>
      <c r="E113" t="s">
        <v>4141</v>
      </c>
      <c r="F113" t="s">
        <v>4137</v>
      </c>
      <c r="G113" t="s">
        <v>4142</v>
      </c>
      <c r="H113" t="s">
        <v>4143</v>
      </c>
      <c r="I113" t="s">
        <v>378</v>
      </c>
      <c r="J113" t="s">
        <v>222</v>
      </c>
      <c r="K113" t="s">
        <v>80</v>
      </c>
      <c r="N113" t="s">
        <v>4088</v>
      </c>
      <c r="O113" t="s">
        <v>20</v>
      </c>
      <c r="P113" t="s">
        <v>369</v>
      </c>
      <c r="Q113" t="s">
        <v>4144</v>
      </c>
    </row>
    <row r="114" spans="1:21" x14ac:dyDescent="0.2">
      <c r="A114" t="s">
        <v>4145</v>
      </c>
      <c r="B114" t="s">
        <v>384</v>
      </c>
      <c r="C114" t="s">
        <v>47</v>
      </c>
      <c r="D114" t="s">
        <v>364</v>
      </c>
      <c r="E114" t="s">
        <v>4146</v>
      </c>
      <c r="F114" t="s">
        <v>4137</v>
      </c>
      <c r="G114" t="s">
        <v>4147</v>
      </c>
      <c r="H114" t="s">
        <v>4148</v>
      </c>
      <c r="I114" t="s">
        <v>385</v>
      </c>
      <c r="J114" t="s">
        <v>4149</v>
      </c>
      <c r="K114" t="s">
        <v>80</v>
      </c>
      <c r="N114" t="s">
        <v>4088</v>
      </c>
      <c r="O114" t="s">
        <v>20</v>
      </c>
      <c r="P114" t="s">
        <v>369</v>
      </c>
      <c r="Q114" t="s">
        <v>4150</v>
      </c>
    </row>
    <row r="115" spans="1:21" x14ac:dyDescent="0.2">
      <c r="A115" t="s">
        <v>4151</v>
      </c>
      <c r="B115" t="s">
        <v>391</v>
      </c>
      <c r="C115" t="s">
        <v>47</v>
      </c>
      <c r="D115" t="s">
        <v>364</v>
      </c>
      <c r="E115" t="s">
        <v>4152</v>
      </c>
      <c r="F115" t="s">
        <v>4137</v>
      </c>
      <c r="G115" t="s">
        <v>4153</v>
      </c>
      <c r="H115" t="s">
        <v>392</v>
      </c>
      <c r="I115" t="s">
        <v>4154</v>
      </c>
      <c r="J115" t="s">
        <v>80</v>
      </c>
      <c r="M115" t="s">
        <v>4088</v>
      </c>
      <c r="N115" t="s">
        <v>39</v>
      </c>
      <c r="O115" t="s">
        <v>369</v>
      </c>
      <c r="P115" t="s">
        <v>4155</v>
      </c>
    </row>
    <row r="116" spans="1:21" x14ac:dyDescent="0.2">
      <c r="A116" t="s">
        <v>4156</v>
      </c>
      <c r="B116" t="s">
        <v>3925</v>
      </c>
      <c r="C116" t="s">
        <v>47</v>
      </c>
      <c r="D116" t="s">
        <v>3921</v>
      </c>
      <c r="E116" t="s">
        <v>4157</v>
      </c>
      <c r="F116" t="s">
        <v>3830</v>
      </c>
      <c r="G116" t="s">
        <v>4158</v>
      </c>
      <c r="O116" t="s">
        <v>20</v>
      </c>
      <c r="P116" t="s">
        <v>4159</v>
      </c>
      <c r="Q116" t="s">
        <v>4160</v>
      </c>
    </row>
    <row r="117" spans="1:21" x14ac:dyDescent="0.2">
      <c r="A117" t="s">
        <v>4161</v>
      </c>
      <c r="B117" t="s">
        <v>4162</v>
      </c>
      <c r="C117" t="s">
        <v>47</v>
      </c>
      <c r="D117" t="s">
        <v>3921</v>
      </c>
      <c r="E117" t="s">
        <v>4141</v>
      </c>
      <c r="F117" t="s">
        <v>3830</v>
      </c>
      <c r="G117" t="s">
        <v>4163</v>
      </c>
      <c r="O117" t="s">
        <v>20</v>
      </c>
      <c r="P117" t="s">
        <v>4164</v>
      </c>
      <c r="Q117" t="s">
        <v>4165</v>
      </c>
    </row>
    <row r="118" spans="1:21" x14ac:dyDescent="0.2">
      <c r="A118" t="s">
        <v>4166</v>
      </c>
      <c r="B118" t="s">
        <v>4167</v>
      </c>
      <c r="C118" t="s">
        <v>47</v>
      </c>
      <c r="D118" t="s">
        <v>3921</v>
      </c>
      <c r="E118" t="s">
        <v>4146</v>
      </c>
      <c r="F118" t="s">
        <v>3830</v>
      </c>
      <c r="G118" t="s">
        <v>4168</v>
      </c>
      <c r="O118" t="s">
        <v>20</v>
      </c>
      <c r="P118" t="s">
        <v>3839</v>
      </c>
      <c r="Q118" t="s">
        <v>4169</v>
      </c>
    </row>
    <row r="119" spans="1:21" x14ac:dyDescent="0.2">
      <c r="A119" t="s">
        <v>4170</v>
      </c>
      <c r="B119" t="s">
        <v>389</v>
      </c>
      <c r="C119" t="s">
        <v>47</v>
      </c>
      <c r="D119" t="s">
        <v>3921</v>
      </c>
      <c r="E119" t="s">
        <v>4152</v>
      </c>
      <c r="F119" t="s">
        <v>3830</v>
      </c>
      <c r="G119" t="s">
        <v>4168</v>
      </c>
      <c r="O119" t="s">
        <v>39</v>
      </c>
      <c r="P119" t="s">
        <v>3839</v>
      </c>
      <c r="Q119" t="s">
        <v>4171</v>
      </c>
    </row>
    <row r="120" spans="1:21" x14ac:dyDescent="0.2">
      <c r="A120" t="s">
        <v>4172</v>
      </c>
      <c r="G120" t="s">
        <v>3830</v>
      </c>
      <c r="P120" t="s">
        <v>4173</v>
      </c>
      <c r="Q120" t="s">
        <v>4174</v>
      </c>
      <c r="R120" t="s">
        <v>4175</v>
      </c>
      <c r="S120" t="s">
        <v>4176</v>
      </c>
      <c r="T120" t="s">
        <v>4177</v>
      </c>
      <c r="U120" t="s">
        <v>4178</v>
      </c>
    </row>
    <row r="121" spans="1:21" x14ac:dyDescent="0.2">
      <c r="A121" t="s">
        <v>4179</v>
      </c>
      <c r="B121" t="s">
        <v>4180</v>
      </c>
      <c r="C121" t="s">
        <v>47</v>
      </c>
      <c r="D121" t="s">
        <v>4181</v>
      </c>
      <c r="E121" t="s">
        <v>4182</v>
      </c>
      <c r="F121" t="s">
        <v>4183</v>
      </c>
      <c r="G121" t="s">
        <v>4184</v>
      </c>
      <c r="O121" t="s">
        <v>4185</v>
      </c>
      <c r="P121" t="s">
        <v>4186</v>
      </c>
      <c r="Q121" t="s">
        <v>4187</v>
      </c>
    </row>
    <row r="122" spans="1:21" x14ac:dyDescent="0.2">
      <c r="A122" t="s">
        <v>4188</v>
      </c>
      <c r="B122" t="s">
        <v>4189</v>
      </c>
      <c r="C122" t="s">
        <v>47</v>
      </c>
      <c r="D122" t="s">
        <v>4181</v>
      </c>
      <c r="E122" t="s">
        <v>4141</v>
      </c>
      <c r="F122" t="s">
        <v>4183</v>
      </c>
      <c r="G122" t="s">
        <v>4190</v>
      </c>
      <c r="O122" t="s">
        <v>20</v>
      </c>
      <c r="P122" t="s">
        <v>4191</v>
      </c>
      <c r="Q122" t="s">
        <v>4192</v>
      </c>
    </row>
    <row r="123" spans="1:21" x14ac:dyDescent="0.2">
      <c r="A123" t="s">
        <v>4193</v>
      </c>
      <c r="B123" t="s">
        <v>4194</v>
      </c>
      <c r="C123" t="s">
        <v>47</v>
      </c>
      <c r="D123" t="s">
        <v>4181</v>
      </c>
      <c r="E123" t="s">
        <v>4146</v>
      </c>
      <c r="F123" t="s">
        <v>4183</v>
      </c>
      <c r="G123" t="s">
        <v>4195</v>
      </c>
      <c r="O123" t="s">
        <v>20</v>
      </c>
      <c r="P123" t="s">
        <v>4185</v>
      </c>
      <c r="Q123" t="s">
        <v>4196</v>
      </c>
    </row>
    <row r="124" spans="1:21" x14ac:dyDescent="0.2">
      <c r="A124" t="s">
        <v>4197</v>
      </c>
      <c r="B124" t="s">
        <v>4198</v>
      </c>
      <c r="C124" t="s">
        <v>47</v>
      </c>
      <c r="D124" t="s">
        <v>4181</v>
      </c>
      <c r="E124" t="s">
        <v>4152</v>
      </c>
      <c r="F124" t="s">
        <v>4183</v>
      </c>
      <c r="G124" t="s">
        <v>4199</v>
      </c>
      <c r="O124" t="s">
        <v>39</v>
      </c>
      <c r="P124" t="s">
        <v>4185</v>
      </c>
      <c r="Q124" t="s">
        <v>4200</v>
      </c>
    </row>
    <row r="125" spans="1:21" x14ac:dyDescent="0.2">
      <c r="A125" t="s">
        <v>4201</v>
      </c>
      <c r="B125" t="s">
        <v>4202</v>
      </c>
      <c r="F125" t="s">
        <v>4203</v>
      </c>
      <c r="N125" t="s">
        <v>20</v>
      </c>
      <c r="O125" t="s">
        <v>399</v>
      </c>
    </row>
    <row r="126" spans="1:21" x14ac:dyDescent="0.2">
      <c r="A126" t="s">
        <v>4204</v>
      </c>
      <c r="B126" t="s">
        <v>398</v>
      </c>
      <c r="F126" t="s">
        <v>4203</v>
      </c>
      <c r="N126" t="s">
        <v>20</v>
      </c>
      <c r="O126" t="s">
        <v>399</v>
      </c>
    </row>
    <row r="127" spans="1:21" x14ac:dyDescent="0.2">
      <c r="A127" t="s">
        <v>4205</v>
      </c>
      <c r="B127" t="s">
        <v>4206</v>
      </c>
      <c r="F127" t="s">
        <v>4203</v>
      </c>
      <c r="G127" t="s">
        <v>4207</v>
      </c>
      <c r="O127" t="s">
        <v>20</v>
      </c>
      <c r="P127" t="s">
        <v>399</v>
      </c>
      <c r="Q127" t="s">
        <v>4208</v>
      </c>
    </row>
    <row r="128" spans="1:21" x14ac:dyDescent="0.2">
      <c r="A128" t="s">
        <v>4209</v>
      </c>
      <c r="E128" t="s">
        <v>4210</v>
      </c>
      <c r="F128" t="s">
        <v>4203</v>
      </c>
      <c r="G128" t="s">
        <v>4211</v>
      </c>
      <c r="O128" t="s">
        <v>20</v>
      </c>
      <c r="P128" t="s">
        <v>399</v>
      </c>
      <c r="Q128" t="s">
        <v>4212</v>
      </c>
    </row>
    <row r="129" spans="1:18" x14ac:dyDescent="0.2">
      <c r="A129" t="s">
        <v>4213</v>
      </c>
      <c r="B129" t="s">
        <v>4214</v>
      </c>
      <c r="F129" t="s">
        <v>4203</v>
      </c>
      <c r="G129" t="s">
        <v>4215</v>
      </c>
      <c r="O129" t="s">
        <v>20</v>
      </c>
      <c r="P129" t="s">
        <v>4216</v>
      </c>
    </row>
    <row r="130" spans="1:18" x14ac:dyDescent="0.2">
      <c r="A130" t="s">
        <v>4217</v>
      </c>
      <c r="B130" t="s">
        <v>414</v>
      </c>
      <c r="C130" t="s">
        <v>47</v>
      </c>
      <c r="D130" t="s">
        <v>415</v>
      </c>
      <c r="E130" t="s">
        <v>4218</v>
      </c>
      <c r="F130" t="s">
        <v>4219</v>
      </c>
      <c r="G130" t="s">
        <v>3890</v>
      </c>
      <c r="H130" t="s">
        <v>4220</v>
      </c>
      <c r="L130" t="s">
        <v>418</v>
      </c>
      <c r="M130" t="s">
        <v>419</v>
      </c>
      <c r="N130" t="s">
        <v>420</v>
      </c>
      <c r="O130" t="s">
        <v>39</v>
      </c>
      <c r="P130" t="s">
        <v>421</v>
      </c>
      <c r="Q130" t="s">
        <v>4221</v>
      </c>
    </row>
    <row r="131" spans="1:18" x14ac:dyDescent="0.2">
      <c r="A131" t="s">
        <v>4222</v>
      </c>
      <c r="B131" t="s">
        <v>424</v>
      </c>
      <c r="C131" t="s">
        <v>47</v>
      </c>
      <c r="D131" t="s">
        <v>425</v>
      </c>
      <c r="E131" t="s">
        <v>4223</v>
      </c>
      <c r="F131" t="s">
        <v>4224</v>
      </c>
      <c r="G131" t="s">
        <v>3890</v>
      </c>
      <c r="H131" t="s">
        <v>4225</v>
      </c>
      <c r="N131" t="s">
        <v>428</v>
      </c>
      <c r="P131" t="s">
        <v>39</v>
      </c>
      <c r="Q131" t="s">
        <v>421</v>
      </c>
      <c r="R131" t="s">
        <v>4226</v>
      </c>
    </row>
    <row r="132" spans="1:18" x14ac:dyDescent="0.2">
      <c r="A132" t="s">
        <v>4227</v>
      </c>
      <c r="B132" t="s">
        <v>4228</v>
      </c>
      <c r="F132" t="s">
        <v>4229</v>
      </c>
      <c r="N132" t="s">
        <v>20</v>
      </c>
      <c r="O132" t="s">
        <v>3848</v>
      </c>
    </row>
    <row r="133" spans="1:18" x14ac:dyDescent="0.2">
      <c r="A133" t="s">
        <v>4230</v>
      </c>
      <c r="B133" t="s">
        <v>398</v>
      </c>
      <c r="F133" t="s">
        <v>4229</v>
      </c>
      <c r="N133" t="s">
        <v>20</v>
      </c>
      <c r="O133" t="s">
        <v>3848</v>
      </c>
    </row>
    <row r="134" spans="1:18" x14ac:dyDescent="0.2">
      <c r="A134" t="s">
        <v>4231</v>
      </c>
      <c r="B134" t="s">
        <v>4206</v>
      </c>
      <c r="F134" t="s">
        <v>4229</v>
      </c>
      <c r="G134" t="s">
        <v>4232</v>
      </c>
      <c r="O134" t="s">
        <v>20</v>
      </c>
      <c r="P134" t="s">
        <v>3848</v>
      </c>
    </row>
    <row r="135" spans="1:18" x14ac:dyDescent="0.2">
      <c r="A135" t="s">
        <v>4233</v>
      </c>
      <c r="B135" t="s">
        <v>3844</v>
      </c>
      <c r="C135" t="s">
        <v>4234</v>
      </c>
      <c r="E135" t="s">
        <v>4235</v>
      </c>
      <c r="F135" t="s">
        <v>4236</v>
      </c>
      <c r="N135" t="s">
        <v>20</v>
      </c>
      <c r="O135" t="s">
        <v>3848</v>
      </c>
    </row>
    <row r="136" spans="1:18" x14ac:dyDescent="0.2">
      <c r="A136" t="s">
        <v>4237</v>
      </c>
      <c r="B136" t="s">
        <v>4238</v>
      </c>
      <c r="C136" t="s">
        <v>47</v>
      </c>
      <c r="D136" t="s">
        <v>4239</v>
      </c>
      <c r="E136" t="s">
        <v>4240</v>
      </c>
      <c r="F136" t="s">
        <v>4236</v>
      </c>
      <c r="N136" t="s">
        <v>20</v>
      </c>
      <c r="O136" t="s">
        <v>3848</v>
      </c>
    </row>
    <row r="137" spans="1:18" x14ac:dyDescent="0.2">
      <c r="A137" t="s">
        <v>4241</v>
      </c>
      <c r="B137" t="s">
        <v>4242</v>
      </c>
      <c r="C137" t="s">
        <v>47</v>
      </c>
      <c r="D137" t="s">
        <v>3844</v>
      </c>
      <c r="F137" t="s">
        <v>4236</v>
      </c>
      <c r="H137" t="s">
        <v>4243</v>
      </c>
      <c r="I137" t="s">
        <v>4244</v>
      </c>
      <c r="J137" t="s">
        <v>80</v>
      </c>
      <c r="M137" t="s">
        <v>4088</v>
      </c>
      <c r="N137" t="s">
        <v>20</v>
      </c>
      <c r="O137" t="s">
        <v>3848</v>
      </c>
      <c r="P137" t="s">
        <v>4245</v>
      </c>
    </row>
    <row r="138" spans="1:18" x14ac:dyDescent="0.2">
      <c r="A138" t="s">
        <v>4246</v>
      </c>
      <c r="B138" t="s">
        <v>4247</v>
      </c>
      <c r="F138" t="s">
        <v>4248</v>
      </c>
      <c r="G138" t="s">
        <v>4249</v>
      </c>
      <c r="O138" t="s">
        <v>20</v>
      </c>
      <c r="P138" t="s">
        <v>3848</v>
      </c>
    </row>
    <row r="139" spans="1:18" x14ac:dyDescent="0.2">
      <c r="A139" t="s">
        <v>4250</v>
      </c>
      <c r="B139" t="s">
        <v>270</v>
      </c>
      <c r="C139" t="s">
        <v>4234</v>
      </c>
      <c r="E139" t="s">
        <v>4251</v>
      </c>
      <c r="F139" t="s">
        <v>4248</v>
      </c>
      <c r="N139" t="s">
        <v>20</v>
      </c>
      <c r="O139" t="s">
        <v>3848</v>
      </c>
    </row>
    <row r="140" spans="1:18" x14ac:dyDescent="0.2">
      <c r="A140" t="s">
        <v>4252</v>
      </c>
      <c r="B140" t="s">
        <v>23</v>
      </c>
      <c r="C140" t="s">
        <v>18</v>
      </c>
      <c r="E140" t="s">
        <v>4251</v>
      </c>
      <c r="F140" t="s">
        <v>4248</v>
      </c>
      <c r="N140" t="s">
        <v>20</v>
      </c>
      <c r="O140" t="s">
        <v>3848</v>
      </c>
    </row>
    <row r="141" spans="1:18" x14ac:dyDescent="0.2">
      <c r="A141" t="s">
        <v>4253</v>
      </c>
      <c r="B141" t="s">
        <v>3875</v>
      </c>
      <c r="C141" t="s">
        <v>18</v>
      </c>
      <c r="E141" t="s">
        <v>4251</v>
      </c>
      <c r="F141" t="s">
        <v>4248</v>
      </c>
      <c r="N141" t="s">
        <v>20</v>
      </c>
      <c r="O141" t="s">
        <v>3848</v>
      </c>
    </row>
    <row r="142" spans="1:18" x14ac:dyDescent="0.2">
      <c r="A142" t="s">
        <v>4254</v>
      </c>
      <c r="B142" t="s">
        <v>414</v>
      </c>
      <c r="C142" t="s">
        <v>47</v>
      </c>
      <c r="D142" t="s">
        <v>23</v>
      </c>
      <c r="E142" t="s">
        <v>4255</v>
      </c>
      <c r="F142" t="s">
        <v>4248</v>
      </c>
      <c r="N142" t="s">
        <v>20</v>
      </c>
      <c r="O142" t="s">
        <v>3848</v>
      </c>
    </row>
    <row r="143" spans="1:18" x14ac:dyDescent="0.2">
      <c r="A143" t="s">
        <v>4256</v>
      </c>
      <c r="B143" t="s">
        <v>4257</v>
      </c>
      <c r="C143" t="s">
        <v>47</v>
      </c>
      <c r="D143" t="s">
        <v>270</v>
      </c>
      <c r="F143" t="s">
        <v>4248</v>
      </c>
      <c r="G143" t="s">
        <v>4258</v>
      </c>
      <c r="H143" t="s">
        <v>4259</v>
      </c>
      <c r="I143" t="s">
        <v>80</v>
      </c>
      <c r="L143" t="s">
        <v>4088</v>
      </c>
      <c r="M143" t="s">
        <v>20</v>
      </c>
      <c r="N143" t="s">
        <v>3848</v>
      </c>
      <c r="O143" t="s">
        <v>4260</v>
      </c>
    </row>
    <row r="144" spans="1:18" x14ac:dyDescent="0.2">
      <c r="A144" t="s">
        <v>4261</v>
      </c>
      <c r="B144" t="s">
        <v>149</v>
      </c>
      <c r="C144" t="s">
        <v>47</v>
      </c>
      <c r="D144" t="s">
        <v>23</v>
      </c>
      <c r="E144" t="s">
        <v>4262</v>
      </c>
      <c r="F144" t="s">
        <v>4248</v>
      </c>
      <c r="N144" t="s">
        <v>20</v>
      </c>
      <c r="O144" t="s">
        <v>3848</v>
      </c>
    </row>
    <row r="145" spans="1:19" x14ac:dyDescent="0.2">
      <c r="A145" t="s">
        <v>4263</v>
      </c>
      <c r="B145" t="s">
        <v>4264</v>
      </c>
      <c r="C145" t="s">
        <v>62</v>
      </c>
      <c r="D145" t="s">
        <v>23</v>
      </c>
      <c r="E145" t="s">
        <v>4265</v>
      </c>
      <c r="F145" t="s">
        <v>4248</v>
      </c>
      <c r="N145" t="s">
        <v>20</v>
      </c>
      <c r="O145" t="s">
        <v>3848</v>
      </c>
      <c r="P145" t="s">
        <v>4266</v>
      </c>
    </row>
    <row r="146" spans="1:19" x14ac:dyDescent="0.2">
      <c r="A146" t="s">
        <v>4267</v>
      </c>
      <c r="G146" t="s">
        <v>4229</v>
      </c>
      <c r="O146" t="s">
        <v>20</v>
      </c>
      <c r="P146" t="s">
        <v>421</v>
      </c>
      <c r="Q146" t="s">
        <v>4268</v>
      </c>
      <c r="R146" t="s">
        <v>4269</v>
      </c>
      <c r="S146" t="s">
        <v>4270</v>
      </c>
    </row>
    <row r="147" spans="1:19" x14ac:dyDescent="0.2">
      <c r="A147" t="s">
        <v>4271</v>
      </c>
      <c r="B147" t="s">
        <v>4272</v>
      </c>
      <c r="C147" t="s">
        <v>4273</v>
      </c>
      <c r="D147" t="s">
        <v>3829</v>
      </c>
      <c r="E147" t="s">
        <v>4274</v>
      </c>
      <c r="F147" t="s">
        <v>3830</v>
      </c>
      <c r="G147" t="s">
        <v>4275</v>
      </c>
    </row>
    <row r="148" spans="1:19" x14ac:dyDescent="0.2">
      <c r="A148" t="s">
        <v>4276</v>
      </c>
      <c r="B148" t="s">
        <v>4277</v>
      </c>
      <c r="C148" t="s">
        <v>4273</v>
      </c>
      <c r="D148" t="s">
        <v>4278</v>
      </c>
      <c r="E148" t="s">
        <v>4279</v>
      </c>
      <c r="F148" t="s">
        <v>4280</v>
      </c>
      <c r="G148" t="s">
        <v>4281</v>
      </c>
    </row>
    <row r="149" spans="1:19" x14ac:dyDescent="0.2">
      <c r="A149" t="s">
        <v>4282</v>
      </c>
      <c r="B149" t="s">
        <v>554</v>
      </c>
      <c r="D149">
        <v>233</v>
      </c>
      <c r="E149" t="s">
        <v>4283</v>
      </c>
      <c r="F149" t="s">
        <v>3799</v>
      </c>
      <c r="N149" t="s">
        <v>20</v>
      </c>
      <c r="O149" t="s">
        <v>4284</v>
      </c>
      <c r="P149" t="s">
        <v>4285</v>
      </c>
    </row>
    <row r="150" spans="1:19" x14ac:dyDescent="0.2">
      <c r="A150" t="s">
        <v>4286</v>
      </c>
      <c r="B150" t="s">
        <v>546</v>
      </c>
      <c r="D150">
        <v>93</v>
      </c>
      <c r="E150" t="s">
        <v>4287</v>
      </c>
      <c r="F150" t="s">
        <v>3830</v>
      </c>
      <c r="P150" t="s">
        <v>4288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9"/>
  <sheetViews>
    <sheetView workbookViewId="0"/>
  </sheetViews>
  <sheetFormatPr baseColWidth="10" defaultColWidth="8.83203125" defaultRowHeight="15" x14ac:dyDescent="0.2"/>
  <sheetData>
    <row r="1" spans="1:8" x14ac:dyDescent="0.2">
      <c r="A1" t="s">
        <v>4289</v>
      </c>
    </row>
    <row r="3" spans="1:8" x14ac:dyDescent="0.2">
      <c r="A3" t="s">
        <v>4290</v>
      </c>
      <c r="B3" t="s">
        <v>5</v>
      </c>
      <c r="C3" t="s">
        <v>3732</v>
      </c>
      <c r="D3" t="s">
        <v>3648</v>
      </c>
      <c r="E3" t="s">
        <v>4291</v>
      </c>
      <c r="F3" t="s">
        <v>4292</v>
      </c>
      <c r="G3" t="s">
        <v>15</v>
      </c>
    </row>
    <row r="4" spans="1:8" x14ac:dyDescent="0.2">
      <c r="A4" t="s">
        <v>4293</v>
      </c>
      <c r="B4" t="s">
        <v>3799</v>
      </c>
      <c r="C4" t="s">
        <v>241</v>
      </c>
      <c r="D4" t="s">
        <v>3921</v>
      </c>
      <c r="E4" t="s">
        <v>4121</v>
      </c>
      <c r="F4" t="s">
        <v>4167</v>
      </c>
      <c r="G4" t="s">
        <v>4294</v>
      </c>
    </row>
    <row r="5" spans="1:8" x14ac:dyDescent="0.2">
      <c r="A5" t="s">
        <v>4295</v>
      </c>
      <c r="B5" t="s">
        <v>3799</v>
      </c>
      <c r="C5" t="s">
        <v>4296</v>
      </c>
      <c r="D5" t="s">
        <v>4297</v>
      </c>
      <c r="E5" t="s">
        <v>234</v>
      </c>
      <c r="F5" t="s">
        <v>4298</v>
      </c>
      <c r="G5" t="s">
        <v>4299</v>
      </c>
    </row>
    <row r="6" spans="1:8" x14ac:dyDescent="0.2">
      <c r="A6" t="s">
        <v>2147</v>
      </c>
      <c r="B6" t="s">
        <v>3799</v>
      </c>
      <c r="C6" t="s">
        <v>4300</v>
      </c>
      <c r="D6" t="s">
        <v>4127</v>
      </c>
      <c r="E6" t="s">
        <v>4301</v>
      </c>
      <c r="F6" t="s">
        <v>4302</v>
      </c>
      <c r="G6" t="s">
        <v>4303</v>
      </c>
    </row>
    <row r="7" spans="1:8" x14ac:dyDescent="0.2">
      <c r="A7" t="s">
        <v>2153</v>
      </c>
      <c r="B7" t="s">
        <v>3799</v>
      </c>
      <c r="C7" t="s">
        <v>284</v>
      </c>
      <c r="D7" t="s">
        <v>3875</v>
      </c>
      <c r="E7" t="s">
        <v>4304</v>
      </c>
      <c r="F7" t="s">
        <v>4305</v>
      </c>
      <c r="G7" t="s">
        <v>4306</v>
      </c>
    </row>
    <row r="8" spans="1:8" x14ac:dyDescent="0.2">
      <c r="A8" t="s">
        <v>2146</v>
      </c>
      <c r="B8" t="s">
        <v>3799</v>
      </c>
      <c r="C8" t="s">
        <v>4132</v>
      </c>
      <c r="D8" t="s">
        <v>4307</v>
      </c>
      <c r="E8" t="s">
        <v>4239</v>
      </c>
      <c r="F8" t="s">
        <v>4308</v>
      </c>
      <c r="G8" t="s">
        <v>4309</v>
      </c>
    </row>
    <row r="9" spans="1:8" x14ac:dyDescent="0.2">
      <c r="A9" t="s">
        <v>4310</v>
      </c>
      <c r="B9" t="s">
        <v>3799</v>
      </c>
      <c r="C9" t="s">
        <v>3842</v>
      </c>
      <c r="D9" t="s">
        <v>31</v>
      </c>
      <c r="E9" t="s">
        <v>4239</v>
      </c>
      <c r="F9" t="s">
        <v>4238</v>
      </c>
      <c r="G9" t="s">
        <v>4311</v>
      </c>
    </row>
    <row r="10" spans="1:8" x14ac:dyDescent="0.2">
      <c r="A10" t="s">
        <v>2154</v>
      </c>
      <c r="B10" t="s">
        <v>3799</v>
      </c>
      <c r="C10" t="s">
        <v>4312</v>
      </c>
      <c r="D10" t="s">
        <v>4313</v>
      </c>
      <c r="E10" t="s">
        <v>4313</v>
      </c>
      <c r="F10" t="s">
        <v>4314</v>
      </c>
      <c r="G10" t="s">
        <v>4315</v>
      </c>
    </row>
    <row r="11" spans="1:8" x14ac:dyDescent="0.2">
      <c r="A11" t="s">
        <v>4316</v>
      </c>
      <c r="B11" t="s">
        <v>3799</v>
      </c>
      <c r="C11" t="s">
        <v>34</v>
      </c>
      <c r="D11" t="s">
        <v>66</v>
      </c>
      <c r="E11" t="s">
        <v>347</v>
      </c>
      <c r="F11" t="s">
        <v>65</v>
      </c>
      <c r="G11" t="s">
        <v>4317</v>
      </c>
      <c r="H11" t="s">
        <v>4318</v>
      </c>
    </row>
    <row r="12" spans="1:8" x14ac:dyDescent="0.2">
      <c r="A12" t="s">
        <v>4293</v>
      </c>
      <c r="B12" t="s">
        <v>3830</v>
      </c>
      <c r="C12" t="s">
        <v>4307</v>
      </c>
      <c r="D12" t="s">
        <v>3877</v>
      </c>
      <c r="E12" t="s">
        <v>4319</v>
      </c>
      <c r="F12" t="s">
        <v>4308</v>
      </c>
      <c r="G12" t="s">
        <v>4320</v>
      </c>
    </row>
    <row r="13" spans="1:8" x14ac:dyDescent="0.2">
      <c r="A13" t="s">
        <v>4295</v>
      </c>
      <c r="B13" t="s">
        <v>3830</v>
      </c>
      <c r="C13" t="s">
        <v>284</v>
      </c>
      <c r="D13">
        <v>11</v>
      </c>
      <c r="E13">
        <v>2</v>
      </c>
      <c r="F13" t="s">
        <v>4321</v>
      </c>
      <c r="G13" t="s">
        <v>4322</v>
      </c>
    </row>
    <row r="14" spans="1:8" x14ac:dyDescent="0.2">
      <c r="A14" t="s">
        <v>2152</v>
      </c>
      <c r="B14" t="s">
        <v>3830</v>
      </c>
      <c r="C14" t="s">
        <v>4323</v>
      </c>
      <c r="D14" t="s">
        <v>4313</v>
      </c>
      <c r="E14" t="s">
        <v>4313</v>
      </c>
      <c r="F14" t="s">
        <v>4324</v>
      </c>
      <c r="G14" t="s">
        <v>4325</v>
      </c>
      <c r="H14" t="s">
        <v>4326</v>
      </c>
    </row>
    <row r="15" spans="1:8" x14ac:dyDescent="0.2">
      <c r="A15" t="s">
        <v>2151</v>
      </c>
      <c r="B15" t="s">
        <v>3830</v>
      </c>
      <c r="C15" t="s">
        <v>4327</v>
      </c>
      <c r="D15" t="s">
        <v>28</v>
      </c>
      <c r="E15" t="s">
        <v>4313</v>
      </c>
      <c r="F15" t="s">
        <v>4314</v>
      </c>
      <c r="G15" t="s">
        <v>4328</v>
      </c>
    </row>
    <row r="16" spans="1:8" x14ac:dyDescent="0.2">
      <c r="A16" t="s">
        <v>2147</v>
      </c>
      <c r="B16" t="s">
        <v>3830</v>
      </c>
      <c r="C16" t="s">
        <v>4301</v>
      </c>
      <c r="D16" t="s">
        <v>4329</v>
      </c>
      <c r="E16" t="s">
        <v>4329</v>
      </c>
      <c r="F16" t="s">
        <v>4314</v>
      </c>
      <c r="G16" t="s">
        <v>4330</v>
      </c>
    </row>
    <row r="17" spans="1:8" x14ac:dyDescent="0.2">
      <c r="A17" t="s">
        <v>2154</v>
      </c>
      <c r="B17" t="s">
        <v>3830</v>
      </c>
      <c r="C17" t="s">
        <v>4312</v>
      </c>
      <c r="D17" t="s">
        <v>4329</v>
      </c>
      <c r="E17" t="s">
        <v>28</v>
      </c>
      <c r="F17" t="s">
        <v>4314</v>
      </c>
      <c r="G17" t="s">
        <v>4331</v>
      </c>
    </row>
    <row r="18" spans="1:8" x14ac:dyDescent="0.2">
      <c r="A18" t="s">
        <v>2153</v>
      </c>
      <c r="B18" t="s">
        <v>3830</v>
      </c>
      <c r="C18" t="s">
        <v>398</v>
      </c>
      <c r="D18" t="s">
        <v>4313</v>
      </c>
      <c r="E18" t="s">
        <v>4313</v>
      </c>
      <c r="F18" t="s">
        <v>4324</v>
      </c>
      <c r="G18" t="s">
        <v>4332</v>
      </c>
    </row>
    <row r="19" spans="1:8" x14ac:dyDescent="0.2">
      <c r="A19" t="s">
        <v>4316</v>
      </c>
      <c r="B19" t="s">
        <v>3830</v>
      </c>
      <c r="C19" t="s">
        <v>3829</v>
      </c>
      <c r="D19">
        <v>31</v>
      </c>
      <c r="E19">
        <v>10</v>
      </c>
      <c r="F19" t="s">
        <v>389</v>
      </c>
      <c r="G19" t="s">
        <v>4333</v>
      </c>
      <c r="H19" t="s">
        <v>4334</v>
      </c>
    </row>
    <row r="20" spans="1:8" x14ac:dyDescent="0.2">
      <c r="A20" t="s">
        <v>4293</v>
      </c>
      <c r="B20" t="s">
        <v>3847</v>
      </c>
      <c r="C20" t="s">
        <v>4335</v>
      </c>
      <c r="D20" t="s">
        <v>305</v>
      </c>
      <c r="E20" t="s">
        <v>3875</v>
      </c>
      <c r="F20" t="s">
        <v>4336</v>
      </c>
      <c r="G20" t="s">
        <v>4337</v>
      </c>
    </row>
    <row r="21" spans="1:8" x14ac:dyDescent="0.2">
      <c r="A21" t="s">
        <v>4295</v>
      </c>
      <c r="B21" t="s">
        <v>3847</v>
      </c>
      <c r="C21" t="s">
        <v>4338</v>
      </c>
      <c r="D21">
        <v>61</v>
      </c>
      <c r="E21">
        <v>25</v>
      </c>
      <c r="F21" t="s">
        <v>4339</v>
      </c>
      <c r="G21" t="s">
        <v>4340</v>
      </c>
    </row>
    <row r="22" spans="1:8" x14ac:dyDescent="0.2">
      <c r="A22" t="s">
        <v>2147</v>
      </c>
      <c r="B22" t="s">
        <v>3847</v>
      </c>
      <c r="C22" t="s">
        <v>4341</v>
      </c>
      <c r="D22" t="s">
        <v>274</v>
      </c>
      <c r="E22" t="s">
        <v>3844</v>
      </c>
      <c r="F22" t="s">
        <v>4342</v>
      </c>
      <c r="G22" t="s">
        <v>4343</v>
      </c>
    </row>
    <row r="23" spans="1:8" x14ac:dyDescent="0.2">
      <c r="A23" t="s">
        <v>2153</v>
      </c>
      <c r="B23" t="s">
        <v>3847</v>
      </c>
      <c r="C23" t="s">
        <v>4344</v>
      </c>
      <c r="D23" t="s">
        <v>3875</v>
      </c>
      <c r="E23" t="s">
        <v>4304</v>
      </c>
      <c r="F23" t="s">
        <v>4305</v>
      </c>
      <c r="G23" t="s">
        <v>4345</v>
      </c>
    </row>
    <row r="24" spans="1:8" x14ac:dyDescent="0.2">
      <c r="A24" t="s">
        <v>2146</v>
      </c>
      <c r="B24" t="s">
        <v>3847</v>
      </c>
      <c r="C24" t="s">
        <v>4132</v>
      </c>
      <c r="D24" t="s">
        <v>4307</v>
      </c>
      <c r="E24" t="s">
        <v>4239</v>
      </c>
      <c r="F24" t="s">
        <v>4308</v>
      </c>
      <c r="G24" t="s">
        <v>4346</v>
      </c>
    </row>
    <row r="25" spans="1:8" x14ac:dyDescent="0.2">
      <c r="A25" t="s">
        <v>4310</v>
      </c>
      <c r="B25" t="s">
        <v>3847</v>
      </c>
      <c r="C25" t="s">
        <v>3842</v>
      </c>
      <c r="D25" t="s">
        <v>31</v>
      </c>
      <c r="E25" t="s">
        <v>4239</v>
      </c>
      <c r="F25" t="s">
        <v>4238</v>
      </c>
      <c r="G25" t="s">
        <v>4347</v>
      </c>
    </row>
    <row r="26" spans="1:8" x14ac:dyDescent="0.2">
      <c r="A26" t="s">
        <v>2151</v>
      </c>
      <c r="B26" t="s">
        <v>3847</v>
      </c>
      <c r="C26" t="s">
        <v>4327</v>
      </c>
      <c r="D26" t="s">
        <v>28</v>
      </c>
      <c r="E26" t="s">
        <v>4313</v>
      </c>
      <c r="F26" t="s">
        <v>4314</v>
      </c>
      <c r="G26" t="s">
        <v>4348</v>
      </c>
    </row>
    <row r="27" spans="1:8" x14ac:dyDescent="0.2">
      <c r="A27" t="s">
        <v>2152</v>
      </c>
      <c r="B27" t="s">
        <v>3847</v>
      </c>
      <c r="C27" t="s">
        <v>4323</v>
      </c>
      <c r="D27" t="s">
        <v>4313</v>
      </c>
      <c r="E27" t="s">
        <v>4313</v>
      </c>
      <c r="F27" t="s">
        <v>4324</v>
      </c>
      <c r="G27" t="s">
        <v>4349</v>
      </c>
    </row>
    <row r="28" spans="1:8" x14ac:dyDescent="0.2">
      <c r="A28" t="s">
        <v>2154</v>
      </c>
      <c r="B28" t="s">
        <v>3847</v>
      </c>
      <c r="C28" t="s">
        <v>4239</v>
      </c>
      <c r="D28" t="s">
        <v>4329</v>
      </c>
      <c r="E28" t="s">
        <v>28</v>
      </c>
      <c r="F28" t="s">
        <v>4314</v>
      </c>
      <c r="G28" t="s">
        <v>4350</v>
      </c>
    </row>
    <row r="29" spans="1:8" x14ac:dyDescent="0.2">
      <c r="A29" t="s">
        <v>4316</v>
      </c>
      <c r="B29" t="s">
        <v>3847</v>
      </c>
      <c r="C29" t="s">
        <v>3846</v>
      </c>
      <c r="D29">
        <v>178</v>
      </c>
      <c r="E29">
        <v>72</v>
      </c>
      <c r="F29" t="s">
        <v>4351</v>
      </c>
      <c r="G29" t="s">
        <v>4352</v>
      </c>
      <c r="H29" t="s">
        <v>4353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3"/>
  <sheetViews>
    <sheetView workbookViewId="0"/>
  </sheetViews>
  <sheetFormatPr baseColWidth="10" defaultColWidth="8.83203125" defaultRowHeight="15" x14ac:dyDescent="0.2"/>
  <cols>
    <col min="1" max="1" width="42" customWidth="1"/>
    <col min="2" max="2" width="80" customWidth="1"/>
  </cols>
  <sheetData>
    <row r="1" spans="1:2" ht="16" x14ac:dyDescent="0.2">
      <c r="A1" s="166" t="s">
        <v>4354</v>
      </c>
    </row>
    <row r="2" spans="1:2" ht="16" x14ac:dyDescent="0.2">
      <c r="A2" s="167" t="s">
        <v>4355</v>
      </c>
      <c r="B2" s="168" t="s">
        <v>3268</v>
      </c>
    </row>
    <row r="3" spans="1:2" x14ac:dyDescent="0.2">
      <c r="A3" s="167"/>
      <c r="B3" s="168"/>
    </row>
    <row r="4" spans="1:2" x14ac:dyDescent="0.2">
      <c r="A4" s="167" t="s">
        <v>4356</v>
      </c>
    </row>
    <row r="5" spans="1:2" ht="48" x14ac:dyDescent="0.2">
      <c r="A5" s="167" t="s">
        <v>4357</v>
      </c>
      <c r="B5" s="168" t="s">
        <v>4358</v>
      </c>
    </row>
    <row r="6" spans="1:2" ht="32" x14ac:dyDescent="0.2">
      <c r="A6" s="167" t="s">
        <v>3160</v>
      </c>
      <c r="B6" s="168" t="s">
        <v>4359</v>
      </c>
    </row>
    <row r="7" spans="1:2" ht="48" x14ac:dyDescent="0.2">
      <c r="A7" s="167" t="s">
        <v>4360</v>
      </c>
      <c r="B7" s="168" t="s">
        <v>4361</v>
      </c>
    </row>
    <row r="8" spans="1:2" x14ac:dyDescent="0.2">
      <c r="A8" s="167"/>
      <c r="B8" s="168"/>
    </row>
    <row r="9" spans="1:2" x14ac:dyDescent="0.2">
      <c r="A9" s="167" t="s">
        <v>4362</v>
      </c>
    </row>
    <row r="10" spans="1:2" ht="48" x14ac:dyDescent="0.2">
      <c r="A10" s="167" t="s">
        <v>4357</v>
      </c>
      <c r="B10" s="168" t="s">
        <v>4363</v>
      </c>
    </row>
    <row r="11" spans="1:2" ht="80" x14ac:dyDescent="0.2">
      <c r="A11" s="167" t="s">
        <v>4364</v>
      </c>
      <c r="B11" s="168" t="s">
        <v>4365</v>
      </c>
    </row>
    <row r="12" spans="1:2" x14ac:dyDescent="0.2">
      <c r="A12" s="167"/>
      <c r="B12" s="168"/>
    </row>
    <row r="13" spans="1:2" x14ac:dyDescent="0.2">
      <c r="A13" s="167" t="s">
        <v>4366</v>
      </c>
    </row>
    <row r="14" spans="1:2" ht="16" x14ac:dyDescent="0.2">
      <c r="A14" s="167" t="s">
        <v>4367</v>
      </c>
      <c r="B14" s="168" t="s">
        <v>4368</v>
      </c>
    </row>
    <row r="15" spans="1:2" x14ac:dyDescent="0.2">
      <c r="A15" s="167"/>
      <c r="B15" s="168"/>
    </row>
    <row r="16" spans="1:2" x14ac:dyDescent="0.2">
      <c r="A16" s="167" t="s">
        <v>4369</v>
      </c>
    </row>
    <row r="17" spans="1:2" ht="32" x14ac:dyDescent="0.2">
      <c r="A17" s="167" t="s">
        <v>1219</v>
      </c>
      <c r="B17" s="168" t="s">
        <v>4370</v>
      </c>
    </row>
    <row r="18" spans="1:2" ht="16" x14ac:dyDescent="0.2">
      <c r="A18" s="167" t="s">
        <v>2046</v>
      </c>
      <c r="B18" s="168" t="s">
        <v>4371</v>
      </c>
    </row>
    <row r="19" spans="1:2" ht="32" x14ac:dyDescent="0.2">
      <c r="A19" s="167" t="s">
        <v>2047</v>
      </c>
      <c r="B19" s="168" t="s">
        <v>4372</v>
      </c>
    </row>
    <row r="20" spans="1:2" ht="48" x14ac:dyDescent="0.2">
      <c r="A20" s="167" t="s">
        <v>2517</v>
      </c>
      <c r="B20" s="168" t="s">
        <v>4373</v>
      </c>
    </row>
    <row r="22" spans="1:2" x14ac:dyDescent="0.2">
      <c r="A22" t="s">
        <v>4374</v>
      </c>
    </row>
    <row r="23" spans="1:2" x14ac:dyDescent="0.2">
      <c r="A23" t="s">
        <v>4375</v>
      </c>
      <c r="B23" t="s">
        <v>4376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Human_Data_Entry</vt:lpstr>
      <vt:lpstr>LLM_Data_Entry</vt:lpstr>
      <vt:lpstr>Summary</vt:lpstr>
      <vt:lpstr>Charts</vt:lpstr>
      <vt:lpstr>Efficiency</vt:lpstr>
      <vt:lpstr>Company_List</vt:lpstr>
      <vt:lpstr>Settings</vt:lpstr>
      <vt:lpstr>Corrections_Log</vt:lpstr>
      <vt:lpstr>Corrected_Metrics</vt:lpstr>
      <vt:lpstr>Findings</vt:lpstr>
      <vt:lpstr>Confusion_Matrices</vt:lpstr>
      <vt:lpstr>Anchor_Audit</vt:lpstr>
      <vt:lpstr>Item_C_Ablation</vt:lpstr>
      <vt:lpstr>Walk_Forward</vt:lpstr>
      <vt:lpstr>Accuracy_Conventions</vt:lpstr>
      <vt:lpstr>Results_Three_Sets</vt:lpstr>
      <vt:lpstr>Sector_Breakdown</vt:lpstr>
      <vt:lpstr>Price_Basis_Note</vt:lpstr>
      <vt:lpstr>CompanyList</vt:lpstr>
      <vt:lpstr>DecisionList</vt:lpstr>
      <vt:lpstr>DocumentList</vt:lpstr>
      <vt:lpstr>QuarterList</vt:lpstr>
      <vt:lpstr>RaterList</vt:lpstr>
      <vt:lpstr>SectionList</vt:lpstr>
      <vt:lpstr>TickerList</vt:lpstr>
      <vt:lpstr>YearList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Nigel Sim</cp:lastModifiedBy>
  <cp:revision>0</cp:revision>
  <dcterms:created xsi:type="dcterms:W3CDTF">2026-07-06T09:42:38Z</dcterms:created>
  <dcterms:modified xsi:type="dcterms:W3CDTF">2026-08-15T07:34:18Z</dcterms:modified>
</cp:coreProperties>
</file>